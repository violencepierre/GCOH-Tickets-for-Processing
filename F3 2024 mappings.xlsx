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46157\Documents\GCOH-Tickets-for-Processing\GCOH-Tickets-for-Processing\"/>
    </mc:Choice>
  </mc:AlternateContent>
  <xr:revisionPtr revIDLastSave="0" documentId="13_ncr:1_{BEE05556-6D89-440C-A12A-EECAFD643637}" xr6:coauthVersionLast="47" xr6:coauthVersionMax="47" xr10:uidLastSave="{00000000-0000-0000-0000-000000000000}"/>
  <bookViews>
    <workbookView xWindow="-108" yWindow="-108" windowWidth="23256" windowHeight="12456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Sheet5" sheetId="32" r:id="rId6"/>
    <sheet name="Sheet4" sheetId="31" r:id="rId7"/>
    <sheet name="Sheet3" sheetId="30" r:id="rId8"/>
    <sheet name="Sheet2" sheetId="29" r:id="rId9"/>
    <sheet name="Sheet1" sheetId="28" r:id="rId10"/>
    <sheet name="For Commentary" sheetId="20" r:id="rId11"/>
    <sheet name="Authors" sheetId="18" r:id="rId12"/>
    <sheet name="STAT" sheetId="10" r:id="rId13"/>
    <sheet name="Sector" sheetId="3" r:id="rId14"/>
    <sheet name="YelTable" sheetId="24" r:id="rId15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14" hidden="1">YelTable!$A$1:$E$5</definedName>
    <definedName name="ID" localSheetId="11" hidden="1">"f29e49f0-c842-4a01-8df8-c72694a7b15c"</definedName>
    <definedName name="ID" localSheetId="3" hidden="1">"3fb6490e-8bae-4ce5-b09c-5121e79bff69"</definedName>
    <definedName name="ID" localSheetId="10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13" hidden="1">"fa560984-7bbe-4a11-88aa-39d6eb27c9e2"</definedName>
    <definedName name="ID" localSheetId="12" hidden="1">"e95ef0c9-3382-426f-86db-9e8ceaf6f6b4"</definedName>
    <definedName name="ID" localSheetId="14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91029"/>
  <pivotCaches>
    <pivotCache cacheId="0" r:id="rId1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5109" i="1" l="1"/>
  <c r="B5110" i="1"/>
  <c r="B5111" i="1"/>
  <c r="B5112" i="1"/>
  <c r="B5113" i="1"/>
  <c r="B5114" i="1"/>
  <c r="H5109" i="1"/>
  <c r="H5110" i="1"/>
  <c r="H5111" i="1"/>
  <c r="H5112" i="1"/>
  <c r="H5113" i="1"/>
  <c r="H5114" i="1"/>
  <c r="J5109" i="1"/>
  <c r="J5110" i="1"/>
  <c r="J5111" i="1"/>
  <c r="J5112" i="1"/>
  <c r="J5113" i="1"/>
  <c r="J5114" i="1"/>
  <c r="K5109" i="1"/>
  <c r="K5110" i="1"/>
  <c r="K5111" i="1"/>
  <c r="K5112" i="1"/>
  <c r="K5113" i="1"/>
  <c r="K5114" i="1"/>
  <c r="Q5109" i="1"/>
  <c r="P5109" i="1" s="1"/>
  <c r="Q5110" i="1"/>
  <c r="P5110" i="1" s="1"/>
  <c r="Q5111" i="1"/>
  <c r="P5111" i="1" s="1"/>
  <c r="Q5112" i="1"/>
  <c r="P5112" i="1" s="1"/>
  <c r="Q5113" i="1"/>
  <c r="P5113" i="1" s="1"/>
  <c r="Q5114" i="1"/>
  <c r="P5114" i="1" s="1"/>
  <c r="B5104" i="1"/>
  <c r="B5105" i="1"/>
  <c r="B5106" i="1"/>
  <c r="B5107" i="1"/>
  <c r="B5108" i="1"/>
  <c r="H5104" i="1"/>
  <c r="H5105" i="1"/>
  <c r="H5106" i="1"/>
  <c r="H5107" i="1"/>
  <c r="H5108" i="1"/>
  <c r="J5104" i="1"/>
  <c r="J5105" i="1"/>
  <c r="J5106" i="1"/>
  <c r="J5107" i="1"/>
  <c r="J5108" i="1"/>
  <c r="K5104" i="1"/>
  <c r="K5105" i="1"/>
  <c r="K5106" i="1"/>
  <c r="K5107" i="1"/>
  <c r="K5108" i="1"/>
  <c r="Q5104" i="1"/>
  <c r="P5104" i="1" s="1"/>
  <c r="Q5105" i="1"/>
  <c r="P5105" i="1" s="1"/>
  <c r="Q5106" i="1"/>
  <c r="P5106" i="1" s="1"/>
  <c r="Q5107" i="1"/>
  <c r="P5107" i="1" s="1"/>
  <c r="Q5108" i="1"/>
  <c r="P5108" i="1" s="1"/>
  <c r="F5103" i="1"/>
  <c r="F5102" i="1"/>
  <c r="F5101" i="1"/>
  <c r="F5100" i="1"/>
  <c r="J5100" i="1" s="1"/>
  <c r="F5099" i="1"/>
  <c r="J5099" i="1" s="1"/>
  <c r="F5098" i="1"/>
  <c r="J5098" i="1" s="1"/>
  <c r="F5097" i="1"/>
  <c r="J5097" i="1" s="1"/>
  <c r="F5096" i="1"/>
  <c r="J5096" i="1" s="1"/>
  <c r="F5090" i="1"/>
  <c r="J5090" i="1" s="1"/>
  <c r="B5097" i="1"/>
  <c r="B5098" i="1"/>
  <c r="B5099" i="1"/>
  <c r="B5100" i="1"/>
  <c r="B5101" i="1"/>
  <c r="B5102" i="1"/>
  <c r="B5103" i="1"/>
  <c r="H5097" i="1"/>
  <c r="H5099" i="1"/>
  <c r="H5100" i="1"/>
  <c r="H5101" i="1"/>
  <c r="H5102" i="1"/>
  <c r="H5103" i="1"/>
  <c r="J5101" i="1"/>
  <c r="J5102" i="1"/>
  <c r="J5103" i="1"/>
  <c r="K5097" i="1"/>
  <c r="K5098" i="1"/>
  <c r="K5099" i="1"/>
  <c r="K5100" i="1"/>
  <c r="K5101" i="1"/>
  <c r="K5102" i="1"/>
  <c r="K5103" i="1"/>
  <c r="Q5097" i="1"/>
  <c r="P5097" i="1" s="1"/>
  <c r="Q5098" i="1"/>
  <c r="P5098" i="1" s="1"/>
  <c r="Q5099" i="1"/>
  <c r="P5099" i="1" s="1"/>
  <c r="Q5100" i="1"/>
  <c r="P5100" i="1" s="1"/>
  <c r="Q5101" i="1"/>
  <c r="P5101" i="1" s="1"/>
  <c r="Q5102" i="1"/>
  <c r="P5102" i="1" s="1"/>
  <c r="Q5103" i="1"/>
  <c r="P5103" i="1" s="1"/>
  <c r="B5096" i="1"/>
  <c r="H5096" i="1"/>
  <c r="K5096" i="1"/>
  <c r="Q5096" i="1"/>
  <c r="P5096" i="1" s="1"/>
  <c r="F5095" i="1"/>
  <c r="J5095" i="1" s="1"/>
  <c r="F5094" i="1"/>
  <c r="J5094" i="1" s="1"/>
  <c r="F5093" i="1"/>
  <c r="J5093" i="1" s="1"/>
  <c r="F5091" i="1"/>
  <c r="J5091" i="1" s="1"/>
  <c r="F5089" i="1"/>
  <c r="J5089" i="1" s="1"/>
  <c r="F5088" i="1"/>
  <c r="J5088" i="1" s="1"/>
  <c r="F5087" i="1"/>
  <c r="F5086" i="1"/>
  <c r="J5086" i="1" s="1"/>
  <c r="F5085" i="1"/>
  <c r="J5085" i="1"/>
  <c r="F5084" i="1"/>
  <c r="J5084" i="1" s="1"/>
  <c r="F5083" i="1"/>
  <c r="J5083" i="1" s="1"/>
  <c r="F5082" i="1"/>
  <c r="J5082" i="1" s="1"/>
  <c r="F5081" i="1"/>
  <c r="J5081" i="1" s="1"/>
  <c r="F5080" i="1"/>
  <c r="J5080" i="1" s="1"/>
  <c r="F5079" i="1"/>
  <c r="J5079" i="1" s="1"/>
  <c r="F5078" i="1"/>
  <c r="J5078" i="1" s="1"/>
  <c r="F5077" i="1"/>
  <c r="J5077" i="1" s="1"/>
  <c r="F5076" i="1"/>
  <c r="J5076" i="1"/>
  <c r="F5075" i="1"/>
  <c r="J5075" i="1" s="1"/>
  <c r="F5074" i="1"/>
  <c r="J5074" i="1"/>
  <c r="F5073" i="1"/>
  <c r="J5073" i="1" s="1"/>
  <c r="F5072" i="1"/>
  <c r="J5072" i="1" s="1"/>
  <c r="F5071" i="1"/>
  <c r="J5071" i="1" s="1"/>
  <c r="F5070" i="1"/>
  <c r="J5070" i="1" s="1"/>
  <c r="F5069" i="1"/>
  <c r="J5069" i="1" s="1"/>
  <c r="F5068" i="1"/>
  <c r="J5068" i="1" s="1"/>
  <c r="F5067" i="1"/>
  <c r="J5067" i="1" s="1"/>
  <c r="F5066" i="1"/>
  <c r="J5066" i="1" s="1"/>
  <c r="F5065" i="1"/>
  <c r="J5065" i="1" s="1"/>
  <c r="F5064" i="1"/>
  <c r="J5064" i="1" s="1"/>
  <c r="F5063" i="1"/>
  <c r="J5063" i="1"/>
  <c r="F5062" i="1"/>
  <c r="J5062" i="1" s="1"/>
  <c r="F5041" i="1"/>
  <c r="J5041" i="1" s="1"/>
  <c r="F5039" i="1"/>
  <c r="J5039" i="1" s="1"/>
  <c r="F5038" i="1"/>
  <c r="F5037" i="1"/>
  <c r="F5036" i="1"/>
  <c r="F5035" i="1"/>
  <c r="F5022" i="1"/>
  <c r="J5022" i="1" s="1"/>
  <c r="F5021" i="1"/>
  <c r="J5021" i="1" s="1"/>
  <c r="F5020" i="1"/>
  <c r="F5019" i="1"/>
  <c r="J5019" i="1" s="1"/>
  <c r="F5018" i="1"/>
  <c r="J5018" i="1" s="1"/>
  <c r="F5017" i="1"/>
  <c r="J5017" i="1" s="1"/>
  <c r="B5091" i="1"/>
  <c r="B5092" i="1"/>
  <c r="B5093" i="1"/>
  <c r="B5094" i="1"/>
  <c r="B5095" i="1"/>
  <c r="H5091" i="1"/>
  <c r="H5092" i="1"/>
  <c r="H5093" i="1"/>
  <c r="H5094" i="1"/>
  <c r="H5095" i="1"/>
  <c r="J5092" i="1"/>
  <c r="K5091" i="1"/>
  <c r="K5092" i="1"/>
  <c r="K5093" i="1"/>
  <c r="K5094" i="1"/>
  <c r="K5095" i="1"/>
  <c r="Q5091" i="1"/>
  <c r="P5091" i="1" s="1"/>
  <c r="Q5092" i="1"/>
  <c r="P5092" i="1" s="1"/>
  <c r="Q5093" i="1"/>
  <c r="P5093" i="1" s="1"/>
  <c r="Q5094" i="1"/>
  <c r="P5094" i="1" s="1"/>
  <c r="Q5095" i="1"/>
  <c r="P5095" i="1" s="1"/>
  <c r="B5090" i="1"/>
  <c r="H5090" i="1"/>
  <c r="K5090" i="1"/>
  <c r="Q5090" i="1"/>
  <c r="P5090" i="1" s="1"/>
  <c r="B5065" i="1"/>
  <c r="B5066" i="1"/>
  <c r="B5067" i="1"/>
  <c r="B5068" i="1"/>
  <c r="B5069" i="1"/>
  <c r="B5070" i="1"/>
  <c r="B5071" i="1"/>
  <c r="B5072" i="1"/>
  <c r="B5073" i="1"/>
  <c r="B5074" i="1"/>
  <c r="B5075" i="1"/>
  <c r="B5076" i="1"/>
  <c r="B5077" i="1"/>
  <c r="B5078" i="1"/>
  <c r="B5079" i="1"/>
  <c r="B5080" i="1"/>
  <c r="B5081" i="1"/>
  <c r="B5082" i="1"/>
  <c r="B5083" i="1"/>
  <c r="B5084" i="1"/>
  <c r="B5085" i="1"/>
  <c r="B5086" i="1"/>
  <c r="B5087" i="1"/>
  <c r="B5088" i="1"/>
  <c r="B5089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J5087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84" i="1"/>
  <c r="K5085" i="1"/>
  <c r="K5086" i="1"/>
  <c r="K5087" i="1"/>
  <c r="K5088" i="1"/>
  <c r="K5089" i="1"/>
  <c r="Q5065" i="1"/>
  <c r="P5065" i="1" s="1"/>
  <c r="Q5066" i="1"/>
  <c r="P5066" i="1" s="1"/>
  <c r="Q5067" i="1"/>
  <c r="P5067" i="1" s="1"/>
  <c r="Q5068" i="1"/>
  <c r="P5068" i="1" s="1"/>
  <c r="Q5069" i="1"/>
  <c r="P5069" i="1" s="1"/>
  <c r="Q5070" i="1"/>
  <c r="P5070" i="1" s="1"/>
  <c r="Q5071" i="1"/>
  <c r="P5071" i="1" s="1"/>
  <c r="Q5072" i="1"/>
  <c r="P5072" i="1" s="1"/>
  <c r="Q5073" i="1"/>
  <c r="P5073" i="1" s="1"/>
  <c r="Q5074" i="1"/>
  <c r="P5074" i="1" s="1"/>
  <c r="Q5075" i="1"/>
  <c r="P5075" i="1" s="1"/>
  <c r="Q5076" i="1"/>
  <c r="P5076" i="1" s="1"/>
  <c r="Q5077" i="1"/>
  <c r="P5077" i="1" s="1"/>
  <c r="Q5078" i="1"/>
  <c r="P5078" i="1" s="1"/>
  <c r="Q5079" i="1"/>
  <c r="P5079" i="1" s="1"/>
  <c r="Q5080" i="1"/>
  <c r="P5080" i="1" s="1"/>
  <c r="Q5081" i="1"/>
  <c r="P5081" i="1" s="1"/>
  <c r="Q5082" i="1"/>
  <c r="P5082" i="1" s="1"/>
  <c r="Q5083" i="1"/>
  <c r="P5083" i="1" s="1"/>
  <c r="Q5084" i="1"/>
  <c r="P5084" i="1" s="1"/>
  <c r="Q5085" i="1"/>
  <c r="P5085" i="1" s="1"/>
  <c r="Q5086" i="1"/>
  <c r="P5086" i="1" s="1"/>
  <c r="Q5087" i="1"/>
  <c r="P5087" i="1" s="1"/>
  <c r="Q5088" i="1"/>
  <c r="P5088" i="1" s="1"/>
  <c r="Q5089" i="1"/>
  <c r="P5089" i="1" s="1"/>
  <c r="B5064" i="1"/>
  <c r="H5064" i="1"/>
  <c r="K5064" i="1"/>
  <c r="Q5064" i="1"/>
  <c r="P5064" i="1" s="1"/>
  <c r="B5063" i="1"/>
  <c r="H5063" i="1"/>
  <c r="K5063" i="1"/>
  <c r="Q5063" i="1"/>
  <c r="P5063" i="1" s="1"/>
  <c r="B5062" i="1"/>
  <c r="H5062" i="1"/>
  <c r="K5062" i="1"/>
  <c r="Q5062" i="1"/>
  <c r="P5062" i="1" s="1"/>
  <c r="B5052" i="1"/>
  <c r="B5053" i="1"/>
  <c r="B5054" i="1"/>
  <c r="B5055" i="1"/>
  <c r="B5056" i="1"/>
  <c r="B5057" i="1"/>
  <c r="B5058" i="1"/>
  <c r="B5059" i="1"/>
  <c r="B5060" i="1"/>
  <c r="B5061" i="1"/>
  <c r="H5052" i="1"/>
  <c r="H5053" i="1"/>
  <c r="H5054" i="1"/>
  <c r="H5055" i="1"/>
  <c r="H5056" i="1"/>
  <c r="H5057" i="1"/>
  <c r="H5058" i="1"/>
  <c r="H5059" i="1"/>
  <c r="H5060" i="1"/>
  <c r="H5061" i="1"/>
  <c r="J5052" i="1"/>
  <c r="J5053" i="1"/>
  <c r="J5054" i="1"/>
  <c r="J5055" i="1"/>
  <c r="J5056" i="1"/>
  <c r="J5057" i="1"/>
  <c r="J5058" i="1"/>
  <c r="J5059" i="1"/>
  <c r="J5060" i="1"/>
  <c r="J5061" i="1"/>
  <c r="K5052" i="1"/>
  <c r="K5053" i="1"/>
  <c r="K5054" i="1"/>
  <c r="K5055" i="1"/>
  <c r="K5056" i="1"/>
  <c r="K5057" i="1"/>
  <c r="K5058" i="1"/>
  <c r="K5059" i="1"/>
  <c r="K5060" i="1"/>
  <c r="K5061" i="1"/>
  <c r="Q5052" i="1"/>
  <c r="P5052" i="1" s="1"/>
  <c r="Q5053" i="1"/>
  <c r="P5053" i="1" s="1"/>
  <c r="Q5054" i="1"/>
  <c r="P5054" i="1" s="1"/>
  <c r="Q5055" i="1"/>
  <c r="P5055" i="1" s="1"/>
  <c r="Q5056" i="1"/>
  <c r="P5056" i="1" s="1"/>
  <c r="Q5057" i="1"/>
  <c r="P5057" i="1" s="1"/>
  <c r="Q5058" i="1"/>
  <c r="P5058" i="1" s="1"/>
  <c r="Q5059" i="1"/>
  <c r="P5059" i="1" s="1"/>
  <c r="Q5060" i="1"/>
  <c r="P5060" i="1" s="1"/>
  <c r="Q5061" i="1"/>
  <c r="P5061" i="1" s="1"/>
  <c r="B5044" i="1"/>
  <c r="B5045" i="1"/>
  <c r="B5046" i="1"/>
  <c r="B5047" i="1"/>
  <c r="B5048" i="1"/>
  <c r="B5049" i="1"/>
  <c r="B5050" i="1"/>
  <c r="B5051" i="1"/>
  <c r="H5044" i="1"/>
  <c r="H5045" i="1"/>
  <c r="H5046" i="1"/>
  <c r="H5047" i="1"/>
  <c r="H5048" i="1"/>
  <c r="H5049" i="1"/>
  <c r="H5050" i="1"/>
  <c r="H5051" i="1"/>
  <c r="J5044" i="1"/>
  <c r="J5045" i="1"/>
  <c r="J5046" i="1"/>
  <c r="J5047" i="1"/>
  <c r="J5048" i="1"/>
  <c r="J5049" i="1"/>
  <c r="J5050" i="1"/>
  <c r="J5051" i="1"/>
  <c r="K5044" i="1"/>
  <c r="K5045" i="1"/>
  <c r="K5046" i="1"/>
  <c r="K5047" i="1"/>
  <c r="K5048" i="1"/>
  <c r="K5049" i="1"/>
  <c r="K5050" i="1"/>
  <c r="K5051" i="1"/>
  <c r="Q5044" i="1"/>
  <c r="P5044" i="1" s="1"/>
  <c r="Q5045" i="1"/>
  <c r="P5045" i="1" s="1"/>
  <c r="Q5046" i="1"/>
  <c r="P5046" i="1" s="1"/>
  <c r="Q5047" i="1"/>
  <c r="P5047" i="1" s="1"/>
  <c r="Q5048" i="1"/>
  <c r="P5048" i="1" s="1"/>
  <c r="Q5049" i="1"/>
  <c r="P5049" i="1" s="1"/>
  <c r="Q5050" i="1"/>
  <c r="P5050" i="1" s="1"/>
  <c r="Q5051" i="1"/>
  <c r="P5051" i="1" s="1"/>
  <c r="B5043" i="1"/>
  <c r="H5043" i="1"/>
  <c r="J5043" i="1"/>
  <c r="K5043" i="1"/>
  <c r="Q5043" i="1"/>
  <c r="P5043" i="1" s="1"/>
  <c r="B5042" i="1"/>
  <c r="H5042" i="1"/>
  <c r="J5042" i="1"/>
  <c r="K5042" i="1"/>
  <c r="Q5042" i="1"/>
  <c r="P5042" i="1" s="1"/>
  <c r="B5041" i="1"/>
  <c r="H5041" i="1"/>
  <c r="K5041" i="1"/>
  <c r="Q5041" i="1"/>
  <c r="P5041" i="1" s="1"/>
  <c r="B5040" i="1"/>
  <c r="H5040" i="1"/>
  <c r="J5040" i="1"/>
  <c r="K5040" i="1"/>
  <c r="Q5040" i="1"/>
  <c r="P5040" i="1" s="1"/>
  <c r="B5037" i="1"/>
  <c r="B5038" i="1"/>
  <c r="B5039" i="1"/>
  <c r="H5037" i="1"/>
  <c r="H5038" i="1"/>
  <c r="H5039" i="1"/>
  <c r="J5037" i="1"/>
  <c r="J5038" i="1"/>
  <c r="K5037" i="1"/>
  <c r="K5038" i="1"/>
  <c r="K5039" i="1"/>
  <c r="Q5037" i="1"/>
  <c r="P5037" i="1" s="1"/>
  <c r="Q5038" i="1"/>
  <c r="P5038" i="1" s="1"/>
  <c r="Q5039" i="1"/>
  <c r="P5039" i="1" s="1"/>
  <c r="B5036" i="1"/>
  <c r="H5036" i="1"/>
  <c r="J5036" i="1"/>
  <c r="K5036" i="1"/>
  <c r="Q5036" i="1"/>
  <c r="P5036" i="1" s="1"/>
  <c r="B5035" i="1"/>
  <c r="H5035" i="1"/>
  <c r="J5035" i="1"/>
  <c r="K5035" i="1"/>
  <c r="Q5035" i="1"/>
  <c r="P5035" i="1" s="1"/>
  <c r="B5025" i="1"/>
  <c r="B5026" i="1"/>
  <c r="B5027" i="1"/>
  <c r="B5028" i="1"/>
  <c r="B5029" i="1"/>
  <c r="B5030" i="1"/>
  <c r="B5031" i="1"/>
  <c r="B5032" i="1"/>
  <c r="B5033" i="1"/>
  <c r="B5034" i="1"/>
  <c r="H5025" i="1"/>
  <c r="H5026" i="1"/>
  <c r="H5027" i="1"/>
  <c r="H5028" i="1"/>
  <c r="H5029" i="1"/>
  <c r="H5030" i="1"/>
  <c r="H5031" i="1"/>
  <c r="H5032" i="1"/>
  <c r="H5033" i="1"/>
  <c r="H5034" i="1"/>
  <c r="J5025" i="1"/>
  <c r="J5026" i="1"/>
  <c r="J5027" i="1"/>
  <c r="J5028" i="1"/>
  <c r="J5029" i="1"/>
  <c r="J5030" i="1"/>
  <c r="J5031" i="1"/>
  <c r="J5032" i="1"/>
  <c r="J5033" i="1"/>
  <c r="J5034" i="1"/>
  <c r="K5025" i="1"/>
  <c r="K5026" i="1"/>
  <c r="K5027" i="1"/>
  <c r="K5028" i="1"/>
  <c r="K5029" i="1"/>
  <c r="K5030" i="1"/>
  <c r="K5031" i="1"/>
  <c r="K5032" i="1"/>
  <c r="K5033" i="1"/>
  <c r="K5034" i="1"/>
  <c r="Q5025" i="1"/>
  <c r="P5025" i="1" s="1"/>
  <c r="Q5026" i="1"/>
  <c r="P5026" i="1" s="1"/>
  <c r="Q5027" i="1"/>
  <c r="P5027" i="1" s="1"/>
  <c r="Q5028" i="1"/>
  <c r="P5028" i="1" s="1"/>
  <c r="Q5029" i="1"/>
  <c r="P5029" i="1" s="1"/>
  <c r="Q5030" i="1"/>
  <c r="P5030" i="1" s="1"/>
  <c r="Q5031" i="1"/>
  <c r="P5031" i="1" s="1"/>
  <c r="Q5032" i="1"/>
  <c r="P5032" i="1" s="1"/>
  <c r="Q5033" i="1"/>
  <c r="P5033" i="1" s="1"/>
  <c r="Q5034" i="1"/>
  <c r="P5034" i="1" s="1"/>
  <c r="B5024" i="1"/>
  <c r="H5024" i="1"/>
  <c r="J5024" i="1"/>
  <c r="K5024" i="1"/>
  <c r="Q5024" i="1"/>
  <c r="P5024" i="1" s="1"/>
  <c r="B5023" i="1"/>
  <c r="H5023" i="1"/>
  <c r="J5023" i="1"/>
  <c r="K5023" i="1"/>
  <c r="Q5023" i="1"/>
  <c r="P5023" i="1" s="1"/>
  <c r="B5017" i="1"/>
  <c r="B5018" i="1"/>
  <c r="B5019" i="1"/>
  <c r="B5020" i="1"/>
  <c r="B5021" i="1"/>
  <c r="B5022" i="1"/>
  <c r="H5017" i="1"/>
  <c r="H5018" i="1"/>
  <c r="H5019" i="1"/>
  <c r="H5020" i="1"/>
  <c r="H5021" i="1"/>
  <c r="H5022" i="1"/>
  <c r="J5020" i="1"/>
  <c r="K5017" i="1"/>
  <c r="K5018" i="1"/>
  <c r="K5019" i="1"/>
  <c r="K5020" i="1"/>
  <c r="K5021" i="1"/>
  <c r="K5022" i="1"/>
  <c r="Q5017" i="1"/>
  <c r="P5017" i="1" s="1"/>
  <c r="Q5018" i="1"/>
  <c r="P5018" i="1" s="1"/>
  <c r="Q5019" i="1"/>
  <c r="P5019" i="1" s="1"/>
  <c r="Q5020" i="1"/>
  <c r="P5020" i="1" s="1"/>
  <c r="Q5021" i="1"/>
  <c r="P5021" i="1" s="1"/>
  <c r="Q5022" i="1"/>
  <c r="P5022" i="1" s="1"/>
  <c r="B5016" i="1"/>
  <c r="H5016" i="1"/>
  <c r="J5016" i="1"/>
  <c r="K5016" i="1"/>
  <c r="Q5016" i="1"/>
  <c r="P5016" i="1" s="1"/>
  <c r="B5015" i="1"/>
  <c r="H5015" i="1"/>
  <c r="J5015" i="1"/>
  <c r="K5015" i="1"/>
  <c r="Q5015" i="1"/>
  <c r="P5015" i="1" s="1"/>
  <c r="B5014" i="1"/>
  <c r="H5014" i="1"/>
  <c r="J5014" i="1"/>
  <c r="K5014" i="1"/>
  <c r="Q5014" i="1"/>
  <c r="P5014" i="1" s="1"/>
  <c r="J4996" i="1"/>
  <c r="J4995" i="1"/>
  <c r="J4994" i="1"/>
  <c r="J4993" i="1"/>
  <c r="J4991" i="1"/>
  <c r="J4989" i="1"/>
  <c r="J4988" i="1"/>
  <c r="J5013" i="1"/>
  <c r="J5003" i="1"/>
  <c r="J5002" i="1"/>
  <c r="J5001" i="1"/>
  <c r="J5000" i="1"/>
  <c r="J4999" i="1"/>
  <c r="J4998" i="1"/>
  <c r="J4997" i="1"/>
  <c r="J4987" i="1"/>
  <c r="J4986" i="1"/>
  <c r="J4985" i="1"/>
  <c r="J4984" i="1"/>
  <c r="J4983" i="1"/>
  <c r="J4982" i="1"/>
  <c r="J4981" i="1"/>
  <c r="B5005" i="1"/>
  <c r="B5006" i="1"/>
  <c r="B5007" i="1"/>
  <c r="B5008" i="1"/>
  <c r="B5009" i="1"/>
  <c r="B5010" i="1"/>
  <c r="B5011" i="1"/>
  <c r="B5012" i="1"/>
  <c r="B5013" i="1"/>
  <c r="H5005" i="1"/>
  <c r="H5006" i="1"/>
  <c r="H5007" i="1"/>
  <c r="H5008" i="1"/>
  <c r="H5009" i="1"/>
  <c r="H5010" i="1"/>
  <c r="H5011" i="1"/>
  <c r="H5012" i="1"/>
  <c r="H5013" i="1"/>
  <c r="J5007" i="1"/>
  <c r="J5008" i="1"/>
  <c r="J5009" i="1"/>
  <c r="J5011" i="1"/>
  <c r="J5012" i="1"/>
  <c r="K5005" i="1"/>
  <c r="K5006" i="1"/>
  <c r="K5007" i="1"/>
  <c r="K5008" i="1"/>
  <c r="K5009" i="1"/>
  <c r="K5010" i="1"/>
  <c r="K5011" i="1"/>
  <c r="K5012" i="1"/>
  <c r="K5013" i="1"/>
  <c r="Q5005" i="1"/>
  <c r="P5005" i="1" s="1"/>
  <c r="Q5006" i="1"/>
  <c r="P5006" i="1" s="1"/>
  <c r="Q5007" i="1"/>
  <c r="P5007" i="1" s="1"/>
  <c r="Q5008" i="1"/>
  <c r="P5008" i="1" s="1"/>
  <c r="Q5009" i="1"/>
  <c r="P5009" i="1" s="1"/>
  <c r="Q5010" i="1"/>
  <c r="P5010" i="1" s="1"/>
  <c r="Q5011" i="1"/>
  <c r="P5011" i="1" s="1"/>
  <c r="Q5012" i="1"/>
  <c r="P5012" i="1" s="1"/>
  <c r="Q5013" i="1"/>
  <c r="P5013" i="1" s="1"/>
  <c r="B5004" i="1"/>
  <c r="H5004" i="1"/>
  <c r="K5004" i="1"/>
  <c r="Q5004" i="1"/>
  <c r="P5004" i="1" s="1"/>
  <c r="B5003" i="1"/>
  <c r="H5003" i="1"/>
  <c r="K5003" i="1"/>
  <c r="Q5003" i="1"/>
  <c r="P5003" i="1" s="1"/>
  <c r="B4982" i="1"/>
  <c r="B4983" i="1"/>
  <c r="B4984" i="1"/>
  <c r="B4985" i="1"/>
  <c r="B4986" i="1"/>
  <c r="B4987" i="1"/>
  <c r="B4988" i="1"/>
  <c r="B4989" i="1"/>
  <c r="B4990" i="1"/>
  <c r="B4991" i="1"/>
  <c r="B4992" i="1"/>
  <c r="B4993" i="1"/>
  <c r="B4994" i="1"/>
  <c r="B4995" i="1"/>
  <c r="B4996" i="1"/>
  <c r="B4997" i="1"/>
  <c r="B4998" i="1"/>
  <c r="B4999" i="1"/>
  <c r="B5000" i="1"/>
  <c r="B5001" i="1"/>
  <c r="B5002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J4990" i="1"/>
  <c r="J4992" i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5002" i="1"/>
  <c r="Q4982" i="1"/>
  <c r="P4982" i="1" s="1"/>
  <c r="Q4983" i="1"/>
  <c r="P4983" i="1" s="1"/>
  <c r="Q4984" i="1"/>
  <c r="P4984" i="1" s="1"/>
  <c r="Q4985" i="1"/>
  <c r="P4985" i="1" s="1"/>
  <c r="Q4986" i="1"/>
  <c r="P4986" i="1" s="1"/>
  <c r="Q4987" i="1"/>
  <c r="P4987" i="1" s="1"/>
  <c r="Q4988" i="1"/>
  <c r="P4988" i="1" s="1"/>
  <c r="Q4989" i="1"/>
  <c r="P4989" i="1" s="1"/>
  <c r="Q4990" i="1"/>
  <c r="P4990" i="1" s="1"/>
  <c r="Q4991" i="1"/>
  <c r="P4991" i="1" s="1"/>
  <c r="Q4992" i="1"/>
  <c r="P4992" i="1" s="1"/>
  <c r="Q4993" i="1"/>
  <c r="P4993" i="1" s="1"/>
  <c r="Q4994" i="1"/>
  <c r="P4994" i="1" s="1"/>
  <c r="Q4995" i="1"/>
  <c r="P4995" i="1" s="1"/>
  <c r="Q4996" i="1"/>
  <c r="P4996" i="1" s="1"/>
  <c r="Q4997" i="1"/>
  <c r="P4997" i="1" s="1"/>
  <c r="Q4998" i="1"/>
  <c r="P4998" i="1" s="1"/>
  <c r="Q4999" i="1"/>
  <c r="P4999" i="1" s="1"/>
  <c r="Q5000" i="1"/>
  <c r="P5000" i="1" s="1"/>
  <c r="Q5001" i="1"/>
  <c r="P5001" i="1" s="1"/>
  <c r="Q5002" i="1"/>
  <c r="P5002" i="1" s="1"/>
  <c r="B4981" i="1"/>
  <c r="H4981" i="1"/>
  <c r="K4981" i="1"/>
  <c r="Q4981" i="1"/>
  <c r="P4981" i="1" s="1"/>
  <c r="B4980" i="1"/>
  <c r="H4980" i="1"/>
  <c r="J4980" i="1"/>
  <c r="K4980" i="1"/>
  <c r="Q4980" i="1"/>
  <c r="P4980" i="1" s="1"/>
  <c r="J5004" i="1"/>
  <c r="J5005" i="1"/>
  <c r="J5006" i="1"/>
  <c r="J5010" i="1"/>
  <c r="B4977" i="1"/>
  <c r="B4978" i="1"/>
  <c r="B4979" i="1"/>
  <c r="H4977" i="1"/>
  <c r="H4978" i="1"/>
  <c r="H4979" i="1"/>
  <c r="J4977" i="1"/>
  <c r="J4978" i="1"/>
  <c r="J4979" i="1"/>
  <c r="K4977" i="1"/>
  <c r="K4978" i="1"/>
  <c r="K4979" i="1"/>
  <c r="Q4977" i="1"/>
  <c r="P4977" i="1" s="1"/>
  <c r="Q4978" i="1"/>
  <c r="P4978" i="1" s="1"/>
  <c r="Q4979" i="1"/>
  <c r="P4979" i="1" s="1"/>
  <c r="B4976" i="1"/>
  <c r="H4976" i="1"/>
  <c r="J4976" i="1"/>
  <c r="K4976" i="1"/>
  <c r="Q4976" i="1"/>
  <c r="P4976" i="1" s="1"/>
  <c r="B4975" i="1"/>
  <c r="H4975" i="1"/>
  <c r="J4975" i="1"/>
  <c r="K4975" i="1"/>
  <c r="Q4975" i="1"/>
  <c r="P4975" i="1" s="1"/>
  <c r="B4832" i="1"/>
  <c r="B4833" i="1"/>
  <c r="B4834" i="1"/>
  <c r="B4835" i="1"/>
  <c r="B4836" i="1"/>
  <c r="B4837" i="1"/>
  <c r="B4838" i="1"/>
  <c r="B4839" i="1"/>
  <c r="B4840" i="1"/>
  <c r="B4841" i="1"/>
  <c r="B4842" i="1"/>
  <c r="B4843" i="1"/>
  <c r="B4844" i="1"/>
  <c r="B4845" i="1"/>
  <c r="B4846" i="1"/>
  <c r="B4847" i="1"/>
  <c r="B4848" i="1"/>
  <c r="B4849" i="1"/>
  <c r="B4850" i="1"/>
  <c r="B4851" i="1"/>
  <c r="B4852" i="1"/>
  <c r="B4853" i="1"/>
  <c r="B4854" i="1"/>
  <c r="B4855" i="1"/>
  <c r="B4856" i="1"/>
  <c r="B4857" i="1"/>
  <c r="B4858" i="1"/>
  <c r="B4859" i="1"/>
  <c r="B4860" i="1"/>
  <c r="B4861" i="1"/>
  <c r="B4862" i="1"/>
  <c r="B4863" i="1"/>
  <c r="B4864" i="1"/>
  <c r="B4865" i="1"/>
  <c r="B4866" i="1"/>
  <c r="B4867" i="1"/>
  <c r="B4868" i="1"/>
  <c r="B4869" i="1"/>
  <c r="B4870" i="1"/>
  <c r="B4871" i="1"/>
  <c r="B4872" i="1"/>
  <c r="B4873" i="1"/>
  <c r="B4874" i="1"/>
  <c r="B4875" i="1"/>
  <c r="B4876" i="1"/>
  <c r="B4877" i="1"/>
  <c r="B4878" i="1"/>
  <c r="B4879" i="1"/>
  <c r="B4880" i="1"/>
  <c r="B4881" i="1"/>
  <c r="B4882" i="1"/>
  <c r="B4883" i="1"/>
  <c r="B4884" i="1"/>
  <c r="B4885" i="1"/>
  <c r="B4886" i="1"/>
  <c r="B4887" i="1"/>
  <c r="B4888" i="1"/>
  <c r="B4889" i="1"/>
  <c r="B4890" i="1"/>
  <c r="B4891" i="1"/>
  <c r="B4892" i="1"/>
  <c r="B4893" i="1"/>
  <c r="B4894" i="1"/>
  <c r="B4895" i="1"/>
  <c r="B4896" i="1"/>
  <c r="B4897" i="1"/>
  <c r="B4898" i="1"/>
  <c r="B4899" i="1"/>
  <c r="B4900" i="1"/>
  <c r="B4901" i="1"/>
  <c r="B4902" i="1"/>
  <c r="B4903" i="1"/>
  <c r="B4904" i="1"/>
  <c r="B4905" i="1"/>
  <c r="B4906" i="1"/>
  <c r="B4907" i="1"/>
  <c r="B4908" i="1"/>
  <c r="B4909" i="1"/>
  <c r="B4910" i="1"/>
  <c r="B4911" i="1"/>
  <c r="B4912" i="1"/>
  <c r="B4913" i="1"/>
  <c r="B4914" i="1"/>
  <c r="B4915" i="1"/>
  <c r="B4916" i="1"/>
  <c r="B4917" i="1"/>
  <c r="B4918" i="1"/>
  <c r="B4919" i="1"/>
  <c r="B4920" i="1"/>
  <c r="B4921" i="1"/>
  <c r="B4922" i="1"/>
  <c r="B4923" i="1"/>
  <c r="B4924" i="1"/>
  <c r="B4925" i="1"/>
  <c r="B4926" i="1"/>
  <c r="B4927" i="1"/>
  <c r="B4928" i="1"/>
  <c r="B4929" i="1"/>
  <c r="B4930" i="1"/>
  <c r="B4931" i="1"/>
  <c r="B4932" i="1"/>
  <c r="B4933" i="1"/>
  <c r="B4934" i="1"/>
  <c r="B4935" i="1"/>
  <c r="B4936" i="1"/>
  <c r="B4937" i="1"/>
  <c r="B4938" i="1"/>
  <c r="B4939" i="1"/>
  <c r="B4940" i="1"/>
  <c r="B4941" i="1"/>
  <c r="B4942" i="1"/>
  <c r="B4943" i="1"/>
  <c r="B4944" i="1"/>
  <c r="B4945" i="1"/>
  <c r="B4946" i="1"/>
  <c r="B4947" i="1"/>
  <c r="B4948" i="1"/>
  <c r="B4949" i="1"/>
  <c r="B4950" i="1"/>
  <c r="B4951" i="1"/>
  <c r="B4952" i="1"/>
  <c r="B4953" i="1"/>
  <c r="B4954" i="1"/>
  <c r="B4955" i="1"/>
  <c r="B4956" i="1"/>
  <c r="B4957" i="1"/>
  <c r="B4958" i="1"/>
  <c r="B4959" i="1"/>
  <c r="B4960" i="1"/>
  <c r="B4961" i="1"/>
  <c r="B4962" i="1"/>
  <c r="B4963" i="1"/>
  <c r="B4964" i="1"/>
  <c r="B4965" i="1"/>
  <c r="B4966" i="1"/>
  <c r="B4967" i="1"/>
  <c r="B4968" i="1"/>
  <c r="B4969" i="1"/>
  <c r="B4970" i="1"/>
  <c r="B4971" i="1"/>
  <c r="B4972" i="1"/>
  <c r="B4973" i="1"/>
  <c r="B4974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J4832" i="1"/>
  <c r="J4833" i="1"/>
  <c r="J4834" i="1"/>
  <c r="J4835" i="1"/>
  <c r="J4836" i="1"/>
  <c r="J4837" i="1"/>
  <c r="J4838" i="1"/>
  <c r="J4839" i="1"/>
  <c r="J4840" i="1"/>
  <c r="J4841" i="1"/>
  <c r="J4842" i="1"/>
  <c r="J4843" i="1"/>
  <c r="J4844" i="1"/>
  <c r="J4845" i="1"/>
  <c r="J4846" i="1"/>
  <c r="J4847" i="1"/>
  <c r="J4848" i="1"/>
  <c r="J4849" i="1"/>
  <c r="J4850" i="1"/>
  <c r="J4851" i="1"/>
  <c r="J4852" i="1"/>
  <c r="J4853" i="1"/>
  <c r="J4854" i="1"/>
  <c r="J4855" i="1"/>
  <c r="J4856" i="1"/>
  <c r="J4857" i="1"/>
  <c r="J4858" i="1"/>
  <c r="J4859" i="1"/>
  <c r="J4860" i="1"/>
  <c r="J4861" i="1"/>
  <c r="J4862" i="1"/>
  <c r="J4863" i="1"/>
  <c r="J4864" i="1"/>
  <c r="J4865" i="1"/>
  <c r="J4866" i="1"/>
  <c r="J4867" i="1"/>
  <c r="J4868" i="1"/>
  <c r="J4869" i="1"/>
  <c r="J4870" i="1"/>
  <c r="J4871" i="1"/>
  <c r="J4872" i="1"/>
  <c r="J4873" i="1"/>
  <c r="J4874" i="1"/>
  <c r="J4875" i="1"/>
  <c r="J4876" i="1"/>
  <c r="J4877" i="1"/>
  <c r="J4878" i="1"/>
  <c r="J4879" i="1"/>
  <c r="J4880" i="1"/>
  <c r="J4881" i="1"/>
  <c r="J4882" i="1"/>
  <c r="J4883" i="1"/>
  <c r="J4884" i="1"/>
  <c r="J4885" i="1"/>
  <c r="J4886" i="1"/>
  <c r="J4887" i="1"/>
  <c r="J4888" i="1"/>
  <c r="J4889" i="1"/>
  <c r="J4890" i="1"/>
  <c r="J4891" i="1"/>
  <c r="J4892" i="1"/>
  <c r="J4893" i="1"/>
  <c r="J4894" i="1"/>
  <c r="J4895" i="1"/>
  <c r="J4896" i="1"/>
  <c r="J4897" i="1"/>
  <c r="J4898" i="1"/>
  <c r="J4899" i="1"/>
  <c r="J4900" i="1"/>
  <c r="J4901" i="1"/>
  <c r="J4902" i="1"/>
  <c r="J4903" i="1"/>
  <c r="J4904" i="1"/>
  <c r="J4905" i="1"/>
  <c r="J4906" i="1"/>
  <c r="J4907" i="1"/>
  <c r="J4908" i="1"/>
  <c r="J4909" i="1"/>
  <c r="J4910" i="1"/>
  <c r="J4911" i="1"/>
  <c r="J4912" i="1"/>
  <c r="J4913" i="1"/>
  <c r="J4914" i="1"/>
  <c r="J4915" i="1"/>
  <c r="J4916" i="1"/>
  <c r="J4917" i="1"/>
  <c r="J4918" i="1"/>
  <c r="J4919" i="1"/>
  <c r="J4920" i="1"/>
  <c r="J4921" i="1"/>
  <c r="J4922" i="1"/>
  <c r="J4923" i="1"/>
  <c r="J4924" i="1"/>
  <c r="J4925" i="1"/>
  <c r="J4926" i="1"/>
  <c r="J4927" i="1"/>
  <c r="J4928" i="1"/>
  <c r="J4929" i="1"/>
  <c r="J4930" i="1"/>
  <c r="J4931" i="1"/>
  <c r="J4932" i="1"/>
  <c r="J4933" i="1"/>
  <c r="J4934" i="1"/>
  <c r="J4935" i="1"/>
  <c r="J4936" i="1"/>
  <c r="J4937" i="1"/>
  <c r="J4938" i="1"/>
  <c r="J4939" i="1"/>
  <c r="J4940" i="1"/>
  <c r="J4941" i="1"/>
  <c r="J4942" i="1"/>
  <c r="J4943" i="1"/>
  <c r="J4944" i="1"/>
  <c r="J4945" i="1"/>
  <c r="J4946" i="1"/>
  <c r="J4947" i="1"/>
  <c r="J4948" i="1"/>
  <c r="J4949" i="1"/>
  <c r="J4950" i="1"/>
  <c r="J4951" i="1"/>
  <c r="J4952" i="1"/>
  <c r="J4953" i="1"/>
  <c r="J4954" i="1"/>
  <c r="J4955" i="1"/>
  <c r="J4956" i="1"/>
  <c r="J4957" i="1"/>
  <c r="J4958" i="1"/>
  <c r="J4959" i="1"/>
  <c r="J4960" i="1"/>
  <c r="J4961" i="1"/>
  <c r="J4962" i="1"/>
  <c r="J4963" i="1"/>
  <c r="J4964" i="1"/>
  <c r="J4965" i="1"/>
  <c r="J4966" i="1"/>
  <c r="J4967" i="1"/>
  <c r="J4968" i="1"/>
  <c r="J4969" i="1"/>
  <c r="J4970" i="1"/>
  <c r="J4971" i="1"/>
  <c r="J4972" i="1"/>
  <c r="J4973" i="1"/>
  <c r="J4974" i="1"/>
  <c r="K4832" i="1"/>
  <c r="K4833" i="1"/>
  <c r="K4834" i="1"/>
  <c r="K4835" i="1"/>
  <c r="K4836" i="1"/>
  <c r="K4837" i="1"/>
  <c r="K4838" i="1"/>
  <c r="K4839" i="1"/>
  <c r="K4840" i="1"/>
  <c r="K4841" i="1"/>
  <c r="K4842" i="1"/>
  <c r="K4843" i="1"/>
  <c r="K4844" i="1"/>
  <c r="K4845" i="1"/>
  <c r="K4846" i="1"/>
  <c r="K4847" i="1"/>
  <c r="K4848" i="1"/>
  <c r="K4849" i="1"/>
  <c r="K4850" i="1"/>
  <c r="K4851" i="1"/>
  <c r="K4852" i="1"/>
  <c r="K4853" i="1"/>
  <c r="K4854" i="1"/>
  <c r="K4855" i="1"/>
  <c r="K4856" i="1"/>
  <c r="K4857" i="1"/>
  <c r="K4858" i="1"/>
  <c r="K4859" i="1"/>
  <c r="K4860" i="1"/>
  <c r="K4861" i="1"/>
  <c r="K4862" i="1"/>
  <c r="K4863" i="1"/>
  <c r="K4864" i="1"/>
  <c r="K4865" i="1"/>
  <c r="K4866" i="1"/>
  <c r="K4867" i="1"/>
  <c r="K4868" i="1"/>
  <c r="K4869" i="1"/>
  <c r="K4870" i="1"/>
  <c r="K4871" i="1"/>
  <c r="K4872" i="1"/>
  <c r="K4873" i="1"/>
  <c r="K4874" i="1"/>
  <c r="K4875" i="1"/>
  <c r="K4876" i="1"/>
  <c r="K4877" i="1"/>
  <c r="K4878" i="1"/>
  <c r="K4879" i="1"/>
  <c r="K4880" i="1"/>
  <c r="K4881" i="1"/>
  <c r="K4882" i="1"/>
  <c r="K4883" i="1"/>
  <c r="K4884" i="1"/>
  <c r="K4885" i="1"/>
  <c r="K4886" i="1"/>
  <c r="K4887" i="1"/>
  <c r="K4888" i="1"/>
  <c r="K4889" i="1"/>
  <c r="K4890" i="1"/>
  <c r="K4891" i="1"/>
  <c r="K4892" i="1"/>
  <c r="K4893" i="1"/>
  <c r="K4894" i="1"/>
  <c r="K4895" i="1"/>
  <c r="K4896" i="1"/>
  <c r="K4897" i="1"/>
  <c r="K4898" i="1"/>
  <c r="K4899" i="1"/>
  <c r="K4900" i="1"/>
  <c r="K4901" i="1"/>
  <c r="K4902" i="1"/>
  <c r="K4903" i="1"/>
  <c r="K4904" i="1"/>
  <c r="K4905" i="1"/>
  <c r="K4906" i="1"/>
  <c r="K4907" i="1"/>
  <c r="K4908" i="1"/>
  <c r="K4909" i="1"/>
  <c r="K4910" i="1"/>
  <c r="K4911" i="1"/>
  <c r="K4912" i="1"/>
  <c r="K4913" i="1"/>
  <c r="K4914" i="1"/>
  <c r="K4915" i="1"/>
  <c r="K4916" i="1"/>
  <c r="K4917" i="1"/>
  <c r="K4918" i="1"/>
  <c r="K4919" i="1"/>
  <c r="K4920" i="1"/>
  <c r="K4921" i="1"/>
  <c r="K4922" i="1"/>
  <c r="K4923" i="1"/>
  <c r="K4924" i="1"/>
  <c r="K4925" i="1"/>
  <c r="K4926" i="1"/>
  <c r="K4927" i="1"/>
  <c r="K4928" i="1"/>
  <c r="K4929" i="1"/>
  <c r="K4930" i="1"/>
  <c r="K4931" i="1"/>
  <c r="K4932" i="1"/>
  <c r="K4933" i="1"/>
  <c r="K4934" i="1"/>
  <c r="K4935" i="1"/>
  <c r="K4936" i="1"/>
  <c r="K4937" i="1"/>
  <c r="K4938" i="1"/>
  <c r="K4939" i="1"/>
  <c r="K4940" i="1"/>
  <c r="K4941" i="1"/>
  <c r="K4942" i="1"/>
  <c r="K4943" i="1"/>
  <c r="K4944" i="1"/>
  <c r="K4945" i="1"/>
  <c r="K4946" i="1"/>
  <c r="K4947" i="1"/>
  <c r="K4948" i="1"/>
  <c r="K4949" i="1"/>
  <c r="K4950" i="1"/>
  <c r="K4951" i="1"/>
  <c r="K4952" i="1"/>
  <c r="K4953" i="1"/>
  <c r="K4954" i="1"/>
  <c r="K4955" i="1"/>
  <c r="K4956" i="1"/>
  <c r="K4957" i="1"/>
  <c r="K4958" i="1"/>
  <c r="K4959" i="1"/>
  <c r="K4960" i="1"/>
  <c r="K4961" i="1"/>
  <c r="K4962" i="1"/>
  <c r="K4963" i="1"/>
  <c r="K4964" i="1"/>
  <c r="K4965" i="1"/>
  <c r="K4966" i="1"/>
  <c r="K4967" i="1"/>
  <c r="K4968" i="1"/>
  <c r="K4969" i="1"/>
  <c r="K4970" i="1"/>
  <c r="K4971" i="1"/>
  <c r="K4972" i="1"/>
  <c r="K4973" i="1"/>
  <c r="K4974" i="1"/>
  <c r="Q4832" i="1"/>
  <c r="P4832" i="1" s="1"/>
  <c r="Q4833" i="1"/>
  <c r="P4833" i="1" s="1"/>
  <c r="Q4834" i="1"/>
  <c r="P4834" i="1" s="1"/>
  <c r="Q4835" i="1"/>
  <c r="P4835" i="1" s="1"/>
  <c r="Q4836" i="1"/>
  <c r="P4836" i="1" s="1"/>
  <c r="Q4837" i="1"/>
  <c r="P4837" i="1" s="1"/>
  <c r="Q4838" i="1"/>
  <c r="P4838" i="1" s="1"/>
  <c r="Q4839" i="1"/>
  <c r="P4839" i="1" s="1"/>
  <c r="Q4840" i="1"/>
  <c r="P4840" i="1" s="1"/>
  <c r="Q4841" i="1"/>
  <c r="P4841" i="1" s="1"/>
  <c r="Q4842" i="1"/>
  <c r="P4842" i="1" s="1"/>
  <c r="Q4843" i="1"/>
  <c r="P4843" i="1" s="1"/>
  <c r="Q4844" i="1"/>
  <c r="P4844" i="1" s="1"/>
  <c r="Q4845" i="1"/>
  <c r="P4845" i="1" s="1"/>
  <c r="Q4846" i="1"/>
  <c r="P4846" i="1" s="1"/>
  <c r="Q4847" i="1"/>
  <c r="P4847" i="1" s="1"/>
  <c r="Q4848" i="1"/>
  <c r="P4848" i="1" s="1"/>
  <c r="Q4849" i="1"/>
  <c r="P4849" i="1" s="1"/>
  <c r="Q4850" i="1"/>
  <c r="P4850" i="1" s="1"/>
  <c r="Q4851" i="1"/>
  <c r="P4851" i="1" s="1"/>
  <c r="Q4852" i="1"/>
  <c r="P4852" i="1" s="1"/>
  <c r="Q4853" i="1"/>
  <c r="P4853" i="1" s="1"/>
  <c r="Q4854" i="1"/>
  <c r="P4854" i="1" s="1"/>
  <c r="Q4855" i="1"/>
  <c r="P4855" i="1" s="1"/>
  <c r="Q4856" i="1"/>
  <c r="P4856" i="1" s="1"/>
  <c r="Q4857" i="1"/>
  <c r="P4857" i="1" s="1"/>
  <c r="Q4858" i="1"/>
  <c r="P4858" i="1" s="1"/>
  <c r="Q4859" i="1"/>
  <c r="P4859" i="1" s="1"/>
  <c r="Q4860" i="1"/>
  <c r="P4860" i="1" s="1"/>
  <c r="Q4861" i="1"/>
  <c r="P4861" i="1" s="1"/>
  <c r="Q4862" i="1"/>
  <c r="P4862" i="1" s="1"/>
  <c r="Q4863" i="1"/>
  <c r="P4863" i="1" s="1"/>
  <c r="Q4864" i="1"/>
  <c r="P4864" i="1" s="1"/>
  <c r="Q4865" i="1"/>
  <c r="P4865" i="1" s="1"/>
  <c r="Q4866" i="1"/>
  <c r="P4866" i="1" s="1"/>
  <c r="Q4867" i="1"/>
  <c r="P4867" i="1" s="1"/>
  <c r="Q4868" i="1"/>
  <c r="P4868" i="1" s="1"/>
  <c r="Q4869" i="1"/>
  <c r="P4869" i="1" s="1"/>
  <c r="Q4870" i="1"/>
  <c r="P4870" i="1" s="1"/>
  <c r="Q4871" i="1"/>
  <c r="P4871" i="1" s="1"/>
  <c r="Q4872" i="1"/>
  <c r="P4872" i="1" s="1"/>
  <c r="Q4873" i="1"/>
  <c r="P4873" i="1" s="1"/>
  <c r="Q4874" i="1"/>
  <c r="P4874" i="1" s="1"/>
  <c r="Q4875" i="1"/>
  <c r="P4875" i="1" s="1"/>
  <c r="Q4876" i="1"/>
  <c r="P4876" i="1" s="1"/>
  <c r="Q4877" i="1"/>
  <c r="P4877" i="1" s="1"/>
  <c r="Q4878" i="1"/>
  <c r="P4878" i="1" s="1"/>
  <c r="Q4879" i="1"/>
  <c r="P4879" i="1" s="1"/>
  <c r="Q4880" i="1"/>
  <c r="P4880" i="1" s="1"/>
  <c r="Q4881" i="1"/>
  <c r="P4881" i="1" s="1"/>
  <c r="Q4882" i="1"/>
  <c r="P4882" i="1" s="1"/>
  <c r="Q4883" i="1"/>
  <c r="P4883" i="1" s="1"/>
  <c r="Q4884" i="1"/>
  <c r="P4884" i="1" s="1"/>
  <c r="Q4885" i="1"/>
  <c r="P4885" i="1" s="1"/>
  <c r="Q4886" i="1"/>
  <c r="P4886" i="1" s="1"/>
  <c r="Q4887" i="1"/>
  <c r="P4887" i="1" s="1"/>
  <c r="Q4888" i="1"/>
  <c r="P4888" i="1" s="1"/>
  <c r="Q4889" i="1"/>
  <c r="P4889" i="1" s="1"/>
  <c r="Q4890" i="1"/>
  <c r="P4890" i="1" s="1"/>
  <c r="Q4891" i="1"/>
  <c r="P4891" i="1" s="1"/>
  <c r="Q4892" i="1"/>
  <c r="P4892" i="1" s="1"/>
  <c r="Q4893" i="1"/>
  <c r="P4893" i="1" s="1"/>
  <c r="Q4894" i="1"/>
  <c r="P4894" i="1" s="1"/>
  <c r="Q4895" i="1"/>
  <c r="P4895" i="1" s="1"/>
  <c r="Q4896" i="1"/>
  <c r="P4896" i="1" s="1"/>
  <c r="Q4897" i="1"/>
  <c r="P4897" i="1" s="1"/>
  <c r="Q4898" i="1"/>
  <c r="P4898" i="1" s="1"/>
  <c r="Q4899" i="1"/>
  <c r="P4899" i="1" s="1"/>
  <c r="Q4900" i="1"/>
  <c r="P4900" i="1" s="1"/>
  <c r="Q4901" i="1"/>
  <c r="P4901" i="1" s="1"/>
  <c r="Q4902" i="1"/>
  <c r="P4902" i="1" s="1"/>
  <c r="Q4903" i="1"/>
  <c r="P4903" i="1" s="1"/>
  <c r="Q4904" i="1"/>
  <c r="P4904" i="1" s="1"/>
  <c r="Q4905" i="1"/>
  <c r="P4905" i="1" s="1"/>
  <c r="Q4906" i="1"/>
  <c r="P4906" i="1" s="1"/>
  <c r="Q4907" i="1"/>
  <c r="P4907" i="1" s="1"/>
  <c r="Q4908" i="1"/>
  <c r="P4908" i="1" s="1"/>
  <c r="Q4909" i="1"/>
  <c r="P4909" i="1" s="1"/>
  <c r="Q4910" i="1"/>
  <c r="P4910" i="1" s="1"/>
  <c r="Q4911" i="1"/>
  <c r="P4911" i="1" s="1"/>
  <c r="Q4912" i="1"/>
  <c r="P4912" i="1" s="1"/>
  <c r="Q4913" i="1"/>
  <c r="P4913" i="1" s="1"/>
  <c r="Q4914" i="1"/>
  <c r="P4914" i="1" s="1"/>
  <c r="Q4915" i="1"/>
  <c r="P4915" i="1" s="1"/>
  <c r="Q4916" i="1"/>
  <c r="P4916" i="1" s="1"/>
  <c r="Q4917" i="1"/>
  <c r="P4917" i="1" s="1"/>
  <c r="Q4918" i="1"/>
  <c r="P4918" i="1" s="1"/>
  <c r="Q4919" i="1"/>
  <c r="P4919" i="1" s="1"/>
  <c r="Q4920" i="1"/>
  <c r="P4920" i="1" s="1"/>
  <c r="Q4921" i="1"/>
  <c r="P4921" i="1" s="1"/>
  <c r="Q4922" i="1"/>
  <c r="P4922" i="1" s="1"/>
  <c r="Q4923" i="1"/>
  <c r="P4923" i="1" s="1"/>
  <c r="Q4924" i="1"/>
  <c r="P4924" i="1" s="1"/>
  <c r="Q4925" i="1"/>
  <c r="P4925" i="1" s="1"/>
  <c r="Q4926" i="1"/>
  <c r="P4926" i="1" s="1"/>
  <c r="Q4927" i="1"/>
  <c r="P4927" i="1" s="1"/>
  <c r="Q4928" i="1"/>
  <c r="P4928" i="1" s="1"/>
  <c r="Q4929" i="1"/>
  <c r="P4929" i="1" s="1"/>
  <c r="Q4930" i="1"/>
  <c r="P4930" i="1" s="1"/>
  <c r="Q4931" i="1"/>
  <c r="P4931" i="1" s="1"/>
  <c r="Q4932" i="1"/>
  <c r="P4932" i="1" s="1"/>
  <c r="Q4933" i="1"/>
  <c r="P4933" i="1" s="1"/>
  <c r="Q4934" i="1"/>
  <c r="P4934" i="1" s="1"/>
  <c r="Q4935" i="1"/>
  <c r="P4935" i="1" s="1"/>
  <c r="Q4936" i="1"/>
  <c r="P4936" i="1" s="1"/>
  <c r="Q4937" i="1"/>
  <c r="P4937" i="1" s="1"/>
  <c r="Q4938" i="1"/>
  <c r="P4938" i="1" s="1"/>
  <c r="Q4939" i="1"/>
  <c r="P4939" i="1" s="1"/>
  <c r="Q4940" i="1"/>
  <c r="P4940" i="1" s="1"/>
  <c r="Q4941" i="1"/>
  <c r="P4941" i="1" s="1"/>
  <c r="Q4942" i="1"/>
  <c r="P4942" i="1" s="1"/>
  <c r="Q4943" i="1"/>
  <c r="P4943" i="1" s="1"/>
  <c r="Q4944" i="1"/>
  <c r="P4944" i="1" s="1"/>
  <c r="Q4945" i="1"/>
  <c r="P4945" i="1" s="1"/>
  <c r="Q4946" i="1"/>
  <c r="P4946" i="1" s="1"/>
  <c r="Q4947" i="1"/>
  <c r="P4947" i="1" s="1"/>
  <c r="Q4948" i="1"/>
  <c r="P4948" i="1" s="1"/>
  <c r="Q4949" i="1"/>
  <c r="P4949" i="1" s="1"/>
  <c r="Q4950" i="1"/>
  <c r="P4950" i="1" s="1"/>
  <c r="Q4951" i="1"/>
  <c r="P4951" i="1" s="1"/>
  <c r="Q4952" i="1"/>
  <c r="P4952" i="1" s="1"/>
  <c r="Q4953" i="1"/>
  <c r="P4953" i="1" s="1"/>
  <c r="Q4954" i="1"/>
  <c r="P4954" i="1" s="1"/>
  <c r="Q4955" i="1"/>
  <c r="P4955" i="1" s="1"/>
  <c r="Q4956" i="1"/>
  <c r="P4956" i="1" s="1"/>
  <c r="Q4957" i="1"/>
  <c r="P4957" i="1" s="1"/>
  <c r="Q4958" i="1"/>
  <c r="P4958" i="1" s="1"/>
  <c r="Q4959" i="1"/>
  <c r="P4959" i="1" s="1"/>
  <c r="Q4960" i="1"/>
  <c r="P4960" i="1" s="1"/>
  <c r="Q4961" i="1"/>
  <c r="P4961" i="1" s="1"/>
  <c r="Q4962" i="1"/>
  <c r="P4962" i="1" s="1"/>
  <c r="Q4963" i="1"/>
  <c r="P4963" i="1" s="1"/>
  <c r="Q4964" i="1"/>
  <c r="P4964" i="1" s="1"/>
  <c r="Q4965" i="1"/>
  <c r="P4965" i="1" s="1"/>
  <c r="Q4966" i="1"/>
  <c r="P4966" i="1" s="1"/>
  <c r="Q4967" i="1"/>
  <c r="P4967" i="1" s="1"/>
  <c r="Q4968" i="1"/>
  <c r="P4968" i="1" s="1"/>
  <c r="Q4969" i="1"/>
  <c r="P4969" i="1" s="1"/>
  <c r="Q4970" i="1"/>
  <c r="P4970" i="1" s="1"/>
  <c r="Q4971" i="1"/>
  <c r="P4971" i="1" s="1"/>
  <c r="Q4972" i="1"/>
  <c r="P4972" i="1" s="1"/>
  <c r="Q4973" i="1"/>
  <c r="P4973" i="1" s="1"/>
  <c r="Q4974" i="1"/>
  <c r="P4974" i="1" s="1"/>
  <c r="B4831" i="1"/>
  <c r="H4831" i="1"/>
  <c r="J4831" i="1"/>
  <c r="K4831" i="1"/>
  <c r="Q4831" i="1"/>
  <c r="P4831" i="1" s="1"/>
  <c r="B4830" i="1"/>
  <c r="H4830" i="1"/>
  <c r="J4830" i="1"/>
  <c r="K4830" i="1"/>
  <c r="Q4830" i="1"/>
  <c r="P4830" i="1" s="1"/>
  <c r="B4798" i="1"/>
  <c r="B4799" i="1"/>
  <c r="B4800" i="1"/>
  <c r="B4801" i="1"/>
  <c r="B4802" i="1"/>
  <c r="B4803" i="1"/>
  <c r="B4804" i="1"/>
  <c r="B4805" i="1"/>
  <c r="B4806" i="1"/>
  <c r="B4807" i="1"/>
  <c r="B4808" i="1"/>
  <c r="B4809" i="1"/>
  <c r="B4810" i="1"/>
  <c r="B4811" i="1"/>
  <c r="B4812" i="1"/>
  <c r="B4813" i="1"/>
  <c r="B4814" i="1"/>
  <c r="B4815" i="1"/>
  <c r="B4816" i="1"/>
  <c r="B4817" i="1"/>
  <c r="B4818" i="1"/>
  <c r="B4819" i="1"/>
  <c r="B4820" i="1"/>
  <c r="B4821" i="1"/>
  <c r="B4822" i="1"/>
  <c r="B4823" i="1"/>
  <c r="B4824" i="1"/>
  <c r="B4825" i="1"/>
  <c r="B4826" i="1"/>
  <c r="B4827" i="1"/>
  <c r="B4828" i="1"/>
  <c r="B4829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J4798" i="1"/>
  <c r="J4799" i="1"/>
  <c r="J4800" i="1"/>
  <c r="J4801" i="1"/>
  <c r="J4802" i="1"/>
  <c r="J4803" i="1"/>
  <c r="J4804" i="1"/>
  <c r="J4805" i="1"/>
  <c r="J4806" i="1"/>
  <c r="J4807" i="1"/>
  <c r="J4808" i="1"/>
  <c r="J4809" i="1"/>
  <c r="J4810" i="1"/>
  <c r="J4811" i="1"/>
  <c r="J4812" i="1"/>
  <c r="J4813" i="1"/>
  <c r="J4814" i="1"/>
  <c r="J4815" i="1"/>
  <c r="J4816" i="1"/>
  <c r="J4817" i="1"/>
  <c r="J4818" i="1"/>
  <c r="J4819" i="1"/>
  <c r="J4820" i="1"/>
  <c r="J4821" i="1"/>
  <c r="J4822" i="1"/>
  <c r="J4823" i="1"/>
  <c r="J4824" i="1"/>
  <c r="J4825" i="1"/>
  <c r="J4826" i="1"/>
  <c r="J4827" i="1"/>
  <c r="J4828" i="1"/>
  <c r="J4829" i="1"/>
  <c r="K4798" i="1"/>
  <c r="K4799" i="1"/>
  <c r="K4800" i="1"/>
  <c r="K4801" i="1"/>
  <c r="K4802" i="1"/>
  <c r="K4803" i="1"/>
  <c r="K4804" i="1"/>
  <c r="K4805" i="1"/>
  <c r="K4806" i="1"/>
  <c r="K4807" i="1"/>
  <c r="K4808" i="1"/>
  <c r="K4809" i="1"/>
  <c r="K4810" i="1"/>
  <c r="K4811" i="1"/>
  <c r="K4812" i="1"/>
  <c r="K4813" i="1"/>
  <c r="K4814" i="1"/>
  <c r="K4815" i="1"/>
  <c r="K4816" i="1"/>
  <c r="K4817" i="1"/>
  <c r="K4818" i="1"/>
  <c r="K4819" i="1"/>
  <c r="K4820" i="1"/>
  <c r="K4821" i="1"/>
  <c r="K4822" i="1"/>
  <c r="K4823" i="1"/>
  <c r="K4824" i="1"/>
  <c r="K4825" i="1"/>
  <c r="K4826" i="1"/>
  <c r="K4827" i="1"/>
  <c r="K4828" i="1"/>
  <c r="K4829" i="1"/>
  <c r="Q4798" i="1"/>
  <c r="P4798" i="1" s="1"/>
  <c r="Q4799" i="1"/>
  <c r="P4799" i="1" s="1"/>
  <c r="Q4800" i="1"/>
  <c r="P4800" i="1" s="1"/>
  <c r="Q4801" i="1"/>
  <c r="P4801" i="1" s="1"/>
  <c r="Q4802" i="1"/>
  <c r="P4802" i="1" s="1"/>
  <c r="Q4803" i="1"/>
  <c r="P4803" i="1" s="1"/>
  <c r="Q4804" i="1"/>
  <c r="P4804" i="1" s="1"/>
  <c r="Q4805" i="1"/>
  <c r="P4805" i="1" s="1"/>
  <c r="Q4806" i="1"/>
  <c r="P4806" i="1" s="1"/>
  <c r="Q4807" i="1"/>
  <c r="P4807" i="1" s="1"/>
  <c r="Q4808" i="1"/>
  <c r="P4808" i="1" s="1"/>
  <c r="Q4809" i="1"/>
  <c r="P4809" i="1" s="1"/>
  <c r="Q4810" i="1"/>
  <c r="P4810" i="1" s="1"/>
  <c r="Q4811" i="1"/>
  <c r="P4811" i="1" s="1"/>
  <c r="Q4812" i="1"/>
  <c r="P4812" i="1" s="1"/>
  <c r="Q4813" i="1"/>
  <c r="P4813" i="1" s="1"/>
  <c r="Q4814" i="1"/>
  <c r="P4814" i="1" s="1"/>
  <c r="Q4815" i="1"/>
  <c r="P4815" i="1" s="1"/>
  <c r="Q4816" i="1"/>
  <c r="P4816" i="1" s="1"/>
  <c r="Q4817" i="1"/>
  <c r="P4817" i="1" s="1"/>
  <c r="Q4818" i="1"/>
  <c r="P4818" i="1" s="1"/>
  <c r="Q4819" i="1"/>
  <c r="P4819" i="1" s="1"/>
  <c r="Q4820" i="1"/>
  <c r="P4820" i="1" s="1"/>
  <c r="Q4821" i="1"/>
  <c r="P4821" i="1" s="1"/>
  <c r="Q4822" i="1"/>
  <c r="P4822" i="1" s="1"/>
  <c r="Q4823" i="1"/>
  <c r="P4823" i="1" s="1"/>
  <c r="Q4824" i="1"/>
  <c r="P4824" i="1" s="1"/>
  <c r="Q4825" i="1"/>
  <c r="P4825" i="1" s="1"/>
  <c r="Q4826" i="1"/>
  <c r="P4826" i="1" s="1"/>
  <c r="Q4827" i="1"/>
  <c r="P4827" i="1" s="1"/>
  <c r="Q4828" i="1"/>
  <c r="P4828" i="1" s="1"/>
  <c r="Q4829" i="1"/>
  <c r="P4829" i="1" s="1"/>
  <c r="B4797" i="1"/>
  <c r="H4797" i="1"/>
  <c r="J4797" i="1"/>
  <c r="K4797" i="1"/>
  <c r="Q4797" i="1"/>
  <c r="P4797" i="1" s="1"/>
  <c r="B4796" i="1"/>
  <c r="H4796" i="1"/>
  <c r="J4796" i="1"/>
  <c r="K4796" i="1"/>
  <c r="Q4796" i="1"/>
  <c r="P4796" i="1" s="1"/>
  <c r="B4795" i="1"/>
  <c r="H4795" i="1"/>
  <c r="J4795" i="1"/>
  <c r="K4795" i="1"/>
  <c r="Q4795" i="1"/>
  <c r="P4795" i="1" s="1"/>
  <c r="B4792" i="1"/>
  <c r="B4793" i="1"/>
  <c r="B4794" i="1"/>
  <c r="H4792" i="1"/>
  <c r="H4793" i="1"/>
  <c r="H4794" i="1"/>
  <c r="J4792" i="1"/>
  <c r="J4793" i="1"/>
  <c r="J4794" i="1"/>
  <c r="K4792" i="1"/>
  <c r="K4793" i="1"/>
  <c r="K4794" i="1"/>
  <c r="Q4792" i="1"/>
  <c r="P4792" i="1" s="1"/>
  <c r="Q4793" i="1"/>
  <c r="P4793" i="1" s="1"/>
  <c r="Q4794" i="1"/>
  <c r="P4794" i="1" s="1"/>
  <c r="B4791" i="1"/>
  <c r="H4791" i="1"/>
  <c r="J4791" i="1"/>
  <c r="K4791" i="1"/>
  <c r="Q4791" i="1"/>
  <c r="P4791" i="1" s="1"/>
  <c r="B4790" i="1"/>
  <c r="H4790" i="1"/>
  <c r="J4790" i="1"/>
  <c r="K4790" i="1"/>
  <c r="Q4790" i="1"/>
  <c r="P4790" i="1" s="1"/>
  <c r="B4789" i="1"/>
  <c r="H4789" i="1"/>
  <c r="J4789" i="1"/>
  <c r="K4789" i="1"/>
  <c r="Q4789" i="1"/>
  <c r="P4789" i="1" s="1"/>
  <c r="B4788" i="1"/>
  <c r="H4788" i="1"/>
  <c r="J4788" i="1"/>
  <c r="K4788" i="1"/>
  <c r="Q4788" i="1"/>
  <c r="P4788" i="1" s="1"/>
  <c r="B4787" i="1"/>
  <c r="H4787" i="1"/>
  <c r="J4787" i="1"/>
  <c r="K4787" i="1"/>
  <c r="Q4787" i="1"/>
  <c r="P4787" i="1" s="1"/>
  <c r="B4786" i="1"/>
  <c r="H4786" i="1"/>
  <c r="J4786" i="1"/>
  <c r="K4786" i="1"/>
  <c r="Q4786" i="1"/>
  <c r="P4786" i="1" s="1"/>
  <c r="J4785" i="1"/>
  <c r="J4777" i="1"/>
  <c r="J4775" i="1"/>
  <c r="J4774" i="1"/>
  <c r="J4773" i="1"/>
  <c r="J4772" i="1"/>
  <c r="J4771" i="1"/>
  <c r="J4770" i="1"/>
  <c r="J4761" i="1"/>
  <c r="J4759" i="1"/>
  <c r="J4758" i="1"/>
  <c r="J4757" i="1"/>
  <c r="B4782" i="1"/>
  <c r="B4783" i="1"/>
  <c r="B4784" i="1"/>
  <c r="B4785" i="1"/>
  <c r="H4782" i="1"/>
  <c r="H4783" i="1"/>
  <c r="H4784" i="1"/>
  <c r="H4785" i="1"/>
  <c r="J4782" i="1"/>
  <c r="J4783" i="1"/>
  <c r="J4784" i="1"/>
  <c r="K4782" i="1"/>
  <c r="K4783" i="1"/>
  <c r="K4784" i="1"/>
  <c r="K4785" i="1"/>
  <c r="Q4782" i="1"/>
  <c r="P4782" i="1" s="1"/>
  <c r="Q4783" i="1"/>
  <c r="P4783" i="1" s="1"/>
  <c r="Q4784" i="1"/>
  <c r="P4784" i="1" s="1"/>
  <c r="Q4785" i="1"/>
  <c r="P4785" i="1" s="1"/>
  <c r="B4781" i="1"/>
  <c r="H4781" i="1"/>
  <c r="J4781" i="1"/>
  <c r="K4781" i="1"/>
  <c r="Q4781" i="1"/>
  <c r="P4781" i="1" s="1"/>
  <c r="B4780" i="1"/>
  <c r="H4780" i="1"/>
  <c r="J4780" i="1"/>
  <c r="K4780" i="1"/>
  <c r="Q4780" i="1"/>
  <c r="P4780" i="1" s="1"/>
  <c r="K4768" i="1"/>
  <c r="K4769" i="1"/>
  <c r="K4770" i="1"/>
  <c r="K4771" i="1"/>
  <c r="K4772" i="1"/>
  <c r="K4773" i="1"/>
  <c r="K4774" i="1"/>
  <c r="K4775" i="1"/>
  <c r="K4776" i="1"/>
  <c r="K4777" i="1"/>
  <c r="K4778" i="1"/>
  <c r="K4779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K4755" i="1"/>
  <c r="B4757" i="1"/>
  <c r="B4758" i="1"/>
  <c r="B4759" i="1"/>
  <c r="B4760" i="1"/>
  <c r="B4761" i="1"/>
  <c r="B4762" i="1"/>
  <c r="B4763" i="1"/>
  <c r="B4764" i="1"/>
  <c r="B4765" i="1"/>
  <c r="B4766" i="1"/>
  <c r="B4767" i="1"/>
  <c r="B4768" i="1"/>
  <c r="B4769" i="1"/>
  <c r="B4770" i="1"/>
  <c r="B4771" i="1"/>
  <c r="B4772" i="1"/>
  <c r="B4773" i="1"/>
  <c r="B4774" i="1"/>
  <c r="B4775" i="1"/>
  <c r="B4776" i="1"/>
  <c r="B4777" i="1"/>
  <c r="B4778" i="1"/>
  <c r="B4779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J4760" i="1"/>
  <c r="J4762" i="1"/>
  <c r="J4763" i="1"/>
  <c r="J4764" i="1"/>
  <c r="J4765" i="1"/>
  <c r="J4766" i="1"/>
  <c r="J4767" i="1"/>
  <c r="J4768" i="1"/>
  <c r="J4769" i="1"/>
  <c r="J4776" i="1"/>
  <c r="J4778" i="1"/>
  <c r="J4779" i="1"/>
  <c r="Q4757" i="1"/>
  <c r="P4757" i="1" s="1"/>
  <c r="Q4758" i="1"/>
  <c r="P4758" i="1" s="1"/>
  <c r="Q4759" i="1"/>
  <c r="P4759" i="1" s="1"/>
  <c r="Q4760" i="1"/>
  <c r="P4760" i="1" s="1"/>
  <c r="Q4761" i="1"/>
  <c r="P4761" i="1" s="1"/>
  <c r="Q4762" i="1"/>
  <c r="P4762" i="1" s="1"/>
  <c r="Q4763" i="1"/>
  <c r="P4763" i="1" s="1"/>
  <c r="Q4764" i="1"/>
  <c r="P4764" i="1" s="1"/>
  <c r="Q4765" i="1"/>
  <c r="P4765" i="1" s="1"/>
  <c r="Q4766" i="1"/>
  <c r="P4766" i="1" s="1"/>
  <c r="Q4767" i="1"/>
  <c r="P4767" i="1" s="1"/>
  <c r="Q4768" i="1"/>
  <c r="P4768" i="1" s="1"/>
  <c r="Q4769" i="1"/>
  <c r="P4769" i="1" s="1"/>
  <c r="Q4770" i="1"/>
  <c r="P4770" i="1" s="1"/>
  <c r="Q4771" i="1"/>
  <c r="P4771" i="1" s="1"/>
  <c r="Q4772" i="1"/>
  <c r="P4772" i="1" s="1"/>
  <c r="Q4773" i="1"/>
  <c r="P4773" i="1" s="1"/>
  <c r="Q4774" i="1"/>
  <c r="P4774" i="1" s="1"/>
  <c r="Q4775" i="1"/>
  <c r="P4775" i="1" s="1"/>
  <c r="Q4776" i="1"/>
  <c r="P4776" i="1" s="1"/>
  <c r="Q4777" i="1"/>
  <c r="P4777" i="1" s="1"/>
  <c r="Q4778" i="1"/>
  <c r="P4778" i="1" s="1"/>
  <c r="Q4779" i="1"/>
  <c r="P4779" i="1" s="1"/>
  <c r="B4756" i="1"/>
  <c r="H4756" i="1"/>
  <c r="J4756" i="1"/>
  <c r="Q4756" i="1"/>
  <c r="P4756" i="1" s="1"/>
  <c r="B4755" i="1"/>
  <c r="H4755" i="1"/>
  <c r="J4755" i="1"/>
  <c r="Q4755" i="1"/>
  <c r="P4755" i="1" s="1"/>
  <c r="K4754" i="1"/>
  <c r="K4753" i="1"/>
  <c r="K4752" i="1"/>
  <c r="B4754" i="1"/>
  <c r="H4754" i="1"/>
  <c r="J4754" i="1"/>
  <c r="Q4754" i="1"/>
  <c r="P4754" i="1" s="1"/>
  <c r="B4753" i="1"/>
  <c r="H4753" i="1"/>
  <c r="J4753" i="1"/>
  <c r="Q4753" i="1"/>
  <c r="P4753" i="1" s="1"/>
  <c r="B4752" i="1"/>
  <c r="H4752" i="1"/>
  <c r="J4752" i="1"/>
  <c r="Q4752" i="1"/>
  <c r="P4752" i="1" s="1"/>
  <c r="J4746" i="1"/>
  <c r="J4742" i="1"/>
  <c r="J4741" i="1"/>
  <c r="J4740" i="1"/>
  <c r="J4739" i="1"/>
  <c r="J4738" i="1"/>
  <c r="J4737" i="1"/>
  <c r="J4736" i="1"/>
  <c r="J4730" i="1"/>
  <c r="J4726" i="1"/>
  <c r="J4723" i="1"/>
  <c r="J4722" i="1"/>
  <c r="J4721" i="1"/>
  <c r="J4720" i="1"/>
  <c r="Q4727" i="1"/>
  <c r="P4727" i="1" s="1"/>
  <c r="B4729" i="1"/>
  <c r="B4730" i="1"/>
  <c r="B4731" i="1"/>
  <c r="B4732" i="1"/>
  <c r="B4733" i="1"/>
  <c r="B4734" i="1"/>
  <c r="B4735" i="1"/>
  <c r="B4736" i="1"/>
  <c r="B4737" i="1"/>
  <c r="B4738" i="1"/>
  <c r="B4739" i="1"/>
  <c r="B4740" i="1"/>
  <c r="B4741" i="1"/>
  <c r="B4742" i="1"/>
  <c r="B4743" i="1"/>
  <c r="B4744" i="1"/>
  <c r="B4745" i="1"/>
  <c r="B4746" i="1"/>
  <c r="B4747" i="1"/>
  <c r="B4748" i="1"/>
  <c r="B4749" i="1"/>
  <c r="B4750" i="1"/>
  <c r="B4751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J4729" i="1"/>
  <c r="J4731" i="1"/>
  <c r="J4732" i="1"/>
  <c r="J4733" i="1"/>
  <c r="J4734" i="1"/>
  <c r="J4735" i="1"/>
  <c r="J4743" i="1"/>
  <c r="J4744" i="1"/>
  <c r="J4745" i="1"/>
  <c r="J4747" i="1"/>
  <c r="J4748" i="1"/>
  <c r="J4749" i="1"/>
  <c r="J4750" i="1"/>
  <c r="J4751" i="1"/>
  <c r="K4729" i="1"/>
  <c r="K4730" i="1"/>
  <c r="K4731" i="1"/>
  <c r="K4732" i="1"/>
  <c r="K4733" i="1"/>
  <c r="K4734" i="1"/>
  <c r="K4735" i="1"/>
  <c r="K4736" i="1"/>
  <c r="K4737" i="1"/>
  <c r="K4738" i="1"/>
  <c r="K4739" i="1"/>
  <c r="K4740" i="1"/>
  <c r="K4741" i="1"/>
  <c r="K4742" i="1"/>
  <c r="K4743" i="1"/>
  <c r="K4744" i="1"/>
  <c r="K4745" i="1"/>
  <c r="K4746" i="1"/>
  <c r="K4747" i="1"/>
  <c r="K4748" i="1"/>
  <c r="K4749" i="1"/>
  <c r="K4750" i="1"/>
  <c r="K4751" i="1"/>
  <c r="Q4729" i="1"/>
  <c r="P4729" i="1" s="1"/>
  <c r="Q4730" i="1"/>
  <c r="P4730" i="1" s="1"/>
  <c r="Q4731" i="1"/>
  <c r="P4731" i="1" s="1"/>
  <c r="Q4732" i="1"/>
  <c r="P4732" i="1" s="1"/>
  <c r="Q4733" i="1"/>
  <c r="P4733" i="1" s="1"/>
  <c r="Q4734" i="1"/>
  <c r="P4734" i="1" s="1"/>
  <c r="Q4735" i="1"/>
  <c r="P4735" i="1" s="1"/>
  <c r="Q4736" i="1"/>
  <c r="P4736" i="1" s="1"/>
  <c r="Q4737" i="1"/>
  <c r="P4737" i="1" s="1"/>
  <c r="Q4738" i="1"/>
  <c r="P4738" i="1" s="1"/>
  <c r="Q4739" i="1"/>
  <c r="P4739" i="1" s="1"/>
  <c r="Q4740" i="1"/>
  <c r="P4740" i="1" s="1"/>
  <c r="Q4741" i="1"/>
  <c r="P4741" i="1" s="1"/>
  <c r="Q4742" i="1"/>
  <c r="P4742" i="1" s="1"/>
  <c r="Q4743" i="1"/>
  <c r="P4743" i="1" s="1"/>
  <c r="Q4744" i="1"/>
  <c r="P4744" i="1" s="1"/>
  <c r="Q4745" i="1"/>
  <c r="P4745" i="1" s="1"/>
  <c r="Q4746" i="1"/>
  <c r="P4746" i="1" s="1"/>
  <c r="Q4747" i="1"/>
  <c r="P4747" i="1" s="1"/>
  <c r="Q4748" i="1"/>
  <c r="P4748" i="1" s="1"/>
  <c r="Q4749" i="1"/>
  <c r="P4749" i="1" s="1"/>
  <c r="Q4750" i="1"/>
  <c r="P4750" i="1" s="1"/>
  <c r="Q4751" i="1"/>
  <c r="P4751" i="1" s="1"/>
  <c r="B4728" i="1"/>
  <c r="H4728" i="1"/>
  <c r="J4728" i="1"/>
  <c r="K4728" i="1"/>
  <c r="Q4728" i="1"/>
  <c r="P4728" i="1" s="1"/>
  <c r="B4723" i="1"/>
  <c r="B4724" i="1"/>
  <c r="B4725" i="1"/>
  <c r="B4726" i="1"/>
  <c r="B4727" i="1"/>
  <c r="H4723" i="1"/>
  <c r="H4724" i="1"/>
  <c r="H4725" i="1"/>
  <c r="H4726" i="1"/>
  <c r="H4727" i="1"/>
  <c r="J4724" i="1"/>
  <c r="J4725" i="1"/>
  <c r="J4727" i="1"/>
  <c r="K4723" i="1"/>
  <c r="K4724" i="1"/>
  <c r="K4725" i="1"/>
  <c r="K4726" i="1"/>
  <c r="K4727" i="1"/>
  <c r="Q4723" i="1"/>
  <c r="P4723" i="1" s="1"/>
  <c r="Q4724" i="1"/>
  <c r="P4724" i="1" s="1"/>
  <c r="Q4725" i="1"/>
  <c r="P4725" i="1" s="1"/>
  <c r="Q4726" i="1"/>
  <c r="P4726" i="1" s="1"/>
  <c r="B4722" i="1"/>
  <c r="H4722" i="1"/>
  <c r="K4722" i="1"/>
  <c r="Q4722" i="1"/>
  <c r="P4722" i="1" s="1"/>
  <c r="J4716" i="1"/>
  <c r="J4715" i="1"/>
  <c r="J4714" i="1"/>
  <c r="B4715" i="1"/>
  <c r="B4716" i="1"/>
  <c r="B4717" i="1"/>
  <c r="B4718" i="1"/>
  <c r="B4719" i="1"/>
  <c r="B4720" i="1"/>
  <c r="B4721" i="1"/>
  <c r="H4715" i="1"/>
  <c r="H4716" i="1"/>
  <c r="H4717" i="1"/>
  <c r="H4718" i="1"/>
  <c r="H4719" i="1"/>
  <c r="H4720" i="1"/>
  <c r="H4721" i="1"/>
  <c r="J4717" i="1"/>
  <c r="J4718" i="1"/>
  <c r="J4719" i="1"/>
  <c r="K4715" i="1"/>
  <c r="K4716" i="1"/>
  <c r="K4717" i="1"/>
  <c r="K4718" i="1"/>
  <c r="K4719" i="1"/>
  <c r="K4720" i="1"/>
  <c r="K4721" i="1"/>
  <c r="Q4715" i="1"/>
  <c r="P4715" i="1" s="1"/>
  <c r="Q4716" i="1"/>
  <c r="P4716" i="1" s="1"/>
  <c r="Q4717" i="1"/>
  <c r="P4717" i="1" s="1"/>
  <c r="Q4718" i="1"/>
  <c r="P4718" i="1" s="1"/>
  <c r="Q4719" i="1"/>
  <c r="P4719" i="1" s="1"/>
  <c r="Q4720" i="1"/>
  <c r="P4720" i="1" s="1"/>
  <c r="Q4721" i="1"/>
  <c r="P4721" i="1" s="1"/>
  <c r="J4713" i="1"/>
  <c r="J4711" i="1"/>
  <c r="J4709" i="1"/>
  <c r="J4708" i="1"/>
  <c r="J4706" i="1"/>
  <c r="J4702" i="1"/>
  <c r="K4714" i="1"/>
  <c r="Q4714" i="1"/>
  <c r="P4714" i="1" s="1"/>
  <c r="B4714" i="1"/>
  <c r="H4714" i="1"/>
  <c r="Q4713" i="1"/>
  <c r="P4713" i="1" s="1"/>
  <c r="B4713" i="1"/>
  <c r="H4713" i="1"/>
  <c r="K4713" i="1"/>
  <c r="H4712" i="1"/>
  <c r="J4712" i="1"/>
  <c r="K4712" i="1"/>
  <c r="Q4712" i="1"/>
  <c r="P4712" i="1" s="1"/>
  <c r="B4712" i="1"/>
  <c r="H4711" i="1"/>
  <c r="K4711" i="1"/>
  <c r="Q4711" i="1"/>
  <c r="P4711" i="1" s="1"/>
  <c r="B4711" i="1"/>
  <c r="H4710" i="1"/>
  <c r="J4710" i="1"/>
  <c r="K4710" i="1"/>
  <c r="Q4710" i="1"/>
  <c r="P4710" i="1" s="1"/>
  <c r="B4710" i="1"/>
  <c r="Q4708" i="1"/>
  <c r="P4708" i="1" s="1"/>
  <c r="Q4709" i="1"/>
  <c r="P4709" i="1" s="1"/>
  <c r="B4709" i="1"/>
  <c r="H4709" i="1"/>
  <c r="K4709" i="1"/>
  <c r="B4708" i="1"/>
  <c r="H4708" i="1"/>
  <c r="K4708" i="1"/>
  <c r="Q4706" i="1"/>
  <c r="P4706" i="1" s="1"/>
  <c r="Q4707" i="1"/>
  <c r="P4707" i="1" s="1"/>
  <c r="B4707" i="1"/>
  <c r="H4707" i="1"/>
  <c r="J4707" i="1"/>
  <c r="K4707" i="1"/>
  <c r="B4706" i="1"/>
  <c r="H4706" i="1"/>
  <c r="K4706" i="1"/>
  <c r="Q4705" i="1"/>
  <c r="P4705" i="1" s="1"/>
  <c r="B4705" i="1"/>
  <c r="H4705" i="1"/>
  <c r="J4705" i="1"/>
  <c r="K4705" i="1"/>
  <c r="B4704" i="1"/>
  <c r="H4704" i="1"/>
  <c r="J4704" i="1"/>
  <c r="K4704" i="1"/>
  <c r="Q4704" i="1"/>
  <c r="P4704" i="1" s="1"/>
  <c r="B4703" i="1"/>
  <c r="H4703" i="1"/>
  <c r="J4703" i="1"/>
  <c r="K4703" i="1"/>
  <c r="Q4703" i="1"/>
  <c r="P4703" i="1" s="1"/>
  <c r="B4702" i="1"/>
  <c r="H4702" i="1"/>
  <c r="K4702" i="1"/>
  <c r="Q4702" i="1"/>
  <c r="P4702" i="1" s="1"/>
  <c r="B4701" i="1"/>
  <c r="H4701" i="1"/>
  <c r="J4701" i="1"/>
  <c r="K4701" i="1"/>
  <c r="Q4701" i="1"/>
  <c r="P4701" i="1" s="1"/>
  <c r="B4700" i="1"/>
  <c r="H4700" i="1"/>
  <c r="J4700" i="1"/>
  <c r="K4700" i="1"/>
  <c r="Q4700" i="1"/>
  <c r="P4700" i="1" s="1"/>
  <c r="B4688" i="1"/>
  <c r="B4689" i="1"/>
  <c r="B4690" i="1"/>
  <c r="B4691" i="1"/>
  <c r="B4692" i="1"/>
  <c r="B4693" i="1"/>
  <c r="B4694" i="1"/>
  <c r="B4695" i="1"/>
  <c r="B4696" i="1"/>
  <c r="B4697" i="1"/>
  <c r="B4698" i="1"/>
  <c r="B4699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J4688" i="1"/>
  <c r="J4689" i="1"/>
  <c r="J4690" i="1"/>
  <c r="J4691" i="1"/>
  <c r="J4692" i="1"/>
  <c r="J4693" i="1"/>
  <c r="J4694" i="1"/>
  <c r="J4695" i="1"/>
  <c r="J4696" i="1"/>
  <c r="J4697" i="1"/>
  <c r="J4698" i="1"/>
  <c r="J4699" i="1"/>
  <c r="K4688" i="1"/>
  <c r="K4689" i="1"/>
  <c r="K4690" i="1"/>
  <c r="K4691" i="1"/>
  <c r="K4692" i="1"/>
  <c r="K4693" i="1"/>
  <c r="K4694" i="1"/>
  <c r="K4695" i="1"/>
  <c r="K4696" i="1"/>
  <c r="K4697" i="1"/>
  <c r="K4698" i="1"/>
  <c r="K4699" i="1"/>
  <c r="Q4688" i="1"/>
  <c r="P4688" i="1" s="1"/>
  <c r="Q4689" i="1"/>
  <c r="P4689" i="1" s="1"/>
  <c r="Q4690" i="1"/>
  <c r="P4690" i="1" s="1"/>
  <c r="Q4691" i="1"/>
  <c r="P4691" i="1" s="1"/>
  <c r="Q4692" i="1"/>
  <c r="P4692" i="1" s="1"/>
  <c r="Q4693" i="1"/>
  <c r="P4693" i="1" s="1"/>
  <c r="Q4694" i="1"/>
  <c r="P4694" i="1" s="1"/>
  <c r="Q4695" i="1"/>
  <c r="P4695" i="1" s="1"/>
  <c r="Q4696" i="1"/>
  <c r="P4696" i="1" s="1"/>
  <c r="Q4697" i="1"/>
  <c r="P4697" i="1" s="1"/>
  <c r="Q4698" i="1"/>
  <c r="P4698" i="1" s="1"/>
  <c r="Q4699" i="1"/>
  <c r="P4699" i="1" s="1"/>
  <c r="B4687" i="1"/>
  <c r="H4687" i="1"/>
  <c r="J4687" i="1"/>
  <c r="K4687" i="1"/>
  <c r="Q4687" i="1"/>
  <c r="P4687" i="1" s="1"/>
  <c r="B4686" i="1"/>
  <c r="H4686" i="1"/>
  <c r="J4686" i="1"/>
  <c r="K4686" i="1"/>
  <c r="Q4686" i="1"/>
  <c r="P4686" i="1" s="1"/>
  <c r="B4685" i="1"/>
  <c r="H4685" i="1"/>
  <c r="J4685" i="1"/>
  <c r="K4685" i="1"/>
  <c r="Q4685" i="1"/>
  <c r="P4685" i="1" s="1"/>
  <c r="B4684" i="1"/>
  <c r="H4684" i="1"/>
  <c r="J4684" i="1"/>
  <c r="K4684" i="1"/>
  <c r="Q4684" i="1"/>
  <c r="P4684" i="1" s="1"/>
  <c r="B4679" i="1"/>
  <c r="B4680" i="1"/>
  <c r="B4681" i="1"/>
  <c r="B4682" i="1"/>
  <c r="B4683" i="1"/>
  <c r="H4679" i="1"/>
  <c r="H4680" i="1"/>
  <c r="H4681" i="1"/>
  <c r="H4682" i="1"/>
  <c r="H4683" i="1"/>
  <c r="J4679" i="1"/>
  <c r="J4680" i="1"/>
  <c r="J4681" i="1"/>
  <c r="J4682" i="1"/>
  <c r="J4683" i="1"/>
  <c r="K4679" i="1"/>
  <c r="K4680" i="1"/>
  <c r="K4681" i="1"/>
  <c r="K4682" i="1"/>
  <c r="K4683" i="1"/>
  <c r="Q4679" i="1"/>
  <c r="P4679" i="1" s="1"/>
  <c r="Q4680" i="1"/>
  <c r="P4680" i="1" s="1"/>
  <c r="Q4681" i="1"/>
  <c r="P4681" i="1" s="1"/>
  <c r="Q4682" i="1"/>
  <c r="P4682" i="1" s="1"/>
  <c r="Q4683" i="1"/>
  <c r="P4683" i="1" s="1"/>
  <c r="B4678" i="1"/>
  <c r="H4678" i="1"/>
  <c r="J4678" i="1"/>
  <c r="K4678" i="1"/>
  <c r="Q4678" i="1"/>
  <c r="P4678" i="1" s="1"/>
  <c r="B4677" i="1"/>
  <c r="H4677" i="1"/>
  <c r="J4677" i="1"/>
  <c r="K4677" i="1"/>
  <c r="Q4677" i="1"/>
  <c r="P4677" i="1" s="1"/>
  <c r="B4656" i="1"/>
  <c r="B4657" i="1"/>
  <c r="B4658" i="1"/>
  <c r="B4659" i="1"/>
  <c r="B4660" i="1"/>
  <c r="B4661" i="1"/>
  <c r="B4662" i="1"/>
  <c r="B4663" i="1"/>
  <c r="B4664" i="1"/>
  <c r="B4665" i="1"/>
  <c r="B4666" i="1"/>
  <c r="B4667" i="1"/>
  <c r="B4668" i="1"/>
  <c r="B4669" i="1"/>
  <c r="B4670" i="1"/>
  <c r="B4671" i="1"/>
  <c r="B4672" i="1"/>
  <c r="B4673" i="1"/>
  <c r="B4674" i="1"/>
  <c r="B4675" i="1"/>
  <c r="B4676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J4656" i="1"/>
  <c r="J4657" i="1"/>
  <c r="J4658" i="1"/>
  <c r="J4659" i="1"/>
  <c r="J4660" i="1"/>
  <c r="J4661" i="1"/>
  <c r="J4662" i="1"/>
  <c r="J4663" i="1"/>
  <c r="J4664" i="1"/>
  <c r="J4665" i="1"/>
  <c r="J4666" i="1"/>
  <c r="J4667" i="1"/>
  <c r="J4668" i="1"/>
  <c r="J4669" i="1"/>
  <c r="J4670" i="1"/>
  <c r="J4671" i="1"/>
  <c r="J4672" i="1"/>
  <c r="J4673" i="1"/>
  <c r="J4674" i="1"/>
  <c r="J4675" i="1"/>
  <c r="J4676" i="1"/>
  <c r="K4656" i="1"/>
  <c r="K4657" i="1"/>
  <c r="K4658" i="1"/>
  <c r="K4659" i="1"/>
  <c r="K4660" i="1"/>
  <c r="K4661" i="1"/>
  <c r="K4662" i="1"/>
  <c r="K4663" i="1"/>
  <c r="K4664" i="1"/>
  <c r="K4665" i="1"/>
  <c r="K4666" i="1"/>
  <c r="K4667" i="1"/>
  <c r="K4668" i="1"/>
  <c r="K4669" i="1"/>
  <c r="K4670" i="1"/>
  <c r="K4671" i="1"/>
  <c r="K4672" i="1"/>
  <c r="K4673" i="1"/>
  <c r="K4674" i="1"/>
  <c r="K4675" i="1"/>
  <c r="K4676" i="1"/>
  <c r="Q4656" i="1"/>
  <c r="P4656" i="1" s="1"/>
  <c r="Q4657" i="1"/>
  <c r="P4657" i="1" s="1"/>
  <c r="Q4658" i="1"/>
  <c r="P4658" i="1" s="1"/>
  <c r="Q4659" i="1"/>
  <c r="P4659" i="1" s="1"/>
  <c r="Q4660" i="1"/>
  <c r="P4660" i="1" s="1"/>
  <c r="Q4661" i="1"/>
  <c r="P4661" i="1" s="1"/>
  <c r="Q4662" i="1"/>
  <c r="P4662" i="1" s="1"/>
  <c r="Q4663" i="1"/>
  <c r="P4663" i="1" s="1"/>
  <c r="Q4664" i="1"/>
  <c r="P4664" i="1" s="1"/>
  <c r="Q4665" i="1"/>
  <c r="P4665" i="1" s="1"/>
  <c r="Q4666" i="1"/>
  <c r="P4666" i="1" s="1"/>
  <c r="Q4667" i="1"/>
  <c r="P4667" i="1" s="1"/>
  <c r="Q4668" i="1"/>
  <c r="P4668" i="1" s="1"/>
  <c r="Q4669" i="1"/>
  <c r="P4669" i="1" s="1"/>
  <c r="Q4670" i="1"/>
  <c r="P4670" i="1" s="1"/>
  <c r="Q4671" i="1"/>
  <c r="P4671" i="1" s="1"/>
  <c r="Q4672" i="1"/>
  <c r="P4672" i="1" s="1"/>
  <c r="Q4673" i="1"/>
  <c r="P4673" i="1" s="1"/>
  <c r="Q4674" i="1"/>
  <c r="P4674" i="1" s="1"/>
  <c r="Q4675" i="1"/>
  <c r="P4675" i="1" s="1"/>
  <c r="Q4676" i="1"/>
  <c r="P4676" i="1" s="1"/>
  <c r="H4618" i="1"/>
  <c r="B4619" i="1"/>
  <c r="B4620" i="1"/>
  <c r="B4621" i="1"/>
  <c r="B4622" i="1"/>
  <c r="B4623" i="1"/>
  <c r="B4624" i="1"/>
  <c r="B4625" i="1"/>
  <c r="B4626" i="1"/>
  <c r="B4627" i="1"/>
  <c r="B4628" i="1"/>
  <c r="B4629" i="1"/>
  <c r="B4630" i="1"/>
  <c r="B4631" i="1"/>
  <c r="B4632" i="1"/>
  <c r="B4633" i="1"/>
  <c r="B4634" i="1"/>
  <c r="B4635" i="1"/>
  <c r="B4636" i="1"/>
  <c r="B4637" i="1"/>
  <c r="B4638" i="1"/>
  <c r="B4639" i="1"/>
  <c r="B4640" i="1"/>
  <c r="B4641" i="1"/>
  <c r="B4642" i="1"/>
  <c r="B4643" i="1"/>
  <c r="B4644" i="1"/>
  <c r="B4645" i="1"/>
  <c r="B4646" i="1"/>
  <c r="B4647" i="1"/>
  <c r="B4648" i="1"/>
  <c r="B4649" i="1"/>
  <c r="B4650" i="1"/>
  <c r="B4651" i="1"/>
  <c r="B4652" i="1"/>
  <c r="B4653" i="1"/>
  <c r="B4654" i="1"/>
  <c r="B4655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J4619" i="1"/>
  <c r="J4620" i="1"/>
  <c r="J4621" i="1"/>
  <c r="J4622" i="1"/>
  <c r="J4623" i="1"/>
  <c r="J4624" i="1"/>
  <c r="J4625" i="1"/>
  <c r="J4626" i="1"/>
  <c r="J4627" i="1"/>
  <c r="J4628" i="1"/>
  <c r="J4629" i="1"/>
  <c r="J4630" i="1"/>
  <c r="J4631" i="1"/>
  <c r="J4632" i="1"/>
  <c r="J4633" i="1"/>
  <c r="J4634" i="1"/>
  <c r="J4635" i="1"/>
  <c r="J4636" i="1"/>
  <c r="J4637" i="1"/>
  <c r="J4638" i="1"/>
  <c r="J4639" i="1"/>
  <c r="J4640" i="1"/>
  <c r="J4641" i="1"/>
  <c r="J4642" i="1"/>
  <c r="J4643" i="1"/>
  <c r="J4644" i="1"/>
  <c r="J4645" i="1"/>
  <c r="J4646" i="1"/>
  <c r="J4647" i="1"/>
  <c r="J4648" i="1"/>
  <c r="J4649" i="1"/>
  <c r="J4650" i="1"/>
  <c r="J4651" i="1"/>
  <c r="J4652" i="1"/>
  <c r="J4653" i="1"/>
  <c r="J4654" i="1"/>
  <c r="J4655" i="1"/>
  <c r="K4619" i="1"/>
  <c r="K4620" i="1"/>
  <c r="K4621" i="1"/>
  <c r="K4622" i="1"/>
  <c r="K4623" i="1"/>
  <c r="K4624" i="1"/>
  <c r="K4625" i="1"/>
  <c r="K4626" i="1"/>
  <c r="K4627" i="1"/>
  <c r="K4628" i="1"/>
  <c r="K4629" i="1"/>
  <c r="K4630" i="1"/>
  <c r="K4631" i="1"/>
  <c r="K4632" i="1"/>
  <c r="K4633" i="1"/>
  <c r="K4634" i="1"/>
  <c r="K4635" i="1"/>
  <c r="K4636" i="1"/>
  <c r="K4637" i="1"/>
  <c r="K4638" i="1"/>
  <c r="K4639" i="1"/>
  <c r="K4640" i="1"/>
  <c r="K4641" i="1"/>
  <c r="K4642" i="1"/>
  <c r="K4643" i="1"/>
  <c r="K4644" i="1"/>
  <c r="K4645" i="1"/>
  <c r="K4646" i="1"/>
  <c r="K4647" i="1"/>
  <c r="K4648" i="1"/>
  <c r="K4649" i="1"/>
  <c r="K4650" i="1"/>
  <c r="K4651" i="1"/>
  <c r="K4652" i="1"/>
  <c r="K4653" i="1"/>
  <c r="K4654" i="1"/>
  <c r="K4655" i="1"/>
  <c r="Q4619" i="1"/>
  <c r="P4619" i="1" s="1"/>
  <c r="Q4620" i="1"/>
  <c r="P4620" i="1" s="1"/>
  <c r="Q4621" i="1"/>
  <c r="P4621" i="1" s="1"/>
  <c r="Q4622" i="1"/>
  <c r="P4622" i="1" s="1"/>
  <c r="Q4623" i="1"/>
  <c r="P4623" i="1" s="1"/>
  <c r="Q4624" i="1"/>
  <c r="P4624" i="1" s="1"/>
  <c r="Q4625" i="1"/>
  <c r="P4625" i="1" s="1"/>
  <c r="Q4626" i="1"/>
  <c r="P4626" i="1" s="1"/>
  <c r="Q4627" i="1"/>
  <c r="P4627" i="1" s="1"/>
  <c r="Q4628" i="1"/>
  <c r="P4628" i="1" s="1"/>
  <c r="Q4629" i="1"/>
  <c r="P4629" i="1" s="1"/>
  <c r="Q4630" i="1"/>
  <c r="P4630" i="1" s="1"/>
  <c r="Q4631" i="1"/>
  <c r="P4631" i="1" s="1"/>
  <c r="Q4632" i="1"/>
  <c r="P4632" i="1" s="1"/>
  <c r="Q4633" i="1"/>
  <c r="P4633" i="1" s="1"/>
  <c r="Q4634" i="1"/>
  <c r="P4634" i="1" s="1"/>
  <c r="Q4635" i="1"/>
  <c r="P4635" i="1" s="1"/>
  <c r="Q4636" i="1"/>
  <c r="P4636" i="1" s="1"/>
  <c r="Q4637" i="1"/>
  <c r="P4637" i="1" s="1"/>
  <c r="Q4638" i="1"/>
  <c r="P4638" i="1" s="1"/>
  <c r="Q4639" i="1"/>
  <c r="P4639" i="1" s="1"/>
  <c r="Q4640" i="1"/>
  <c r="P4640" i="1" s="1"/>
  <c r="Q4641" i="1"/>
  <c r="P4641" i="1" s="1"/>
  <c r="Q4642" i="1"/>
  <c r="P4642" i="1" s="1"/>
  <c r="Q4643" i="1"/>
  <c r="P4643" i="1" s="1"/>
  <c r="Q4644" i="1"/>
  <c r="P4644" i="1" s="1"/>
  <c r="Q4645" i="1"/>
  <c r="P4645" i="1" s="1"/>
  <c r="Q4646" i="1"/>
  <c r="P4646" i="1" s="1"/>
  <c r="Q4647" i="1"/>
  <c r="P4647" i="1" s="1"/>
  <c r="Q4648" i="1"/>
  <c r="P4648" i="1" s="1"/>
  <c r="Q4649" i="1"/>
  <c r="P4649" i="1" s="1"/>
  <c r="Q4650" i="1"/>
  <c r="P4650" i="1" s="1"/>
  <c r="Q4651" i="1"/>
  <c r="P4651" i="1" s="1"/>
  <c r="Q4652" i="1"/>
  <c r="P4652" i="1" s="1"/>
  <c r="Q4653" i="1"/>
  <c r="P4653" i="1" s="1"/>
  <c r="Q4654" i="1"/>
  <c r="P4654" i="1" s="1"/>
  <c r="Q4655" i="1"/>
  <c r="P4655" i="1" s="1"/>
  <c r="B4618" i="1"/>
  <c r="J4618" i="1"/>
  <c r="K4618" i="1"/>
  <c r="Q4618" i="1"/>
  <c r="P4618" i="1" s="1"/>
  <c r="B4617" i="1"/>
  <c r="H4617" i="1"/>
  <c r="J4617" i="1"/>
  <c r="K4617" i="1"/>
  <c r="Q4617" i="1"/>
  <c r="P4617" i="1" s="1"/>
  <c r="B4616" i="1"/>
  <c r="H4616" i="1"/>
  <c r="J4616" i="1"/>
  <c r="K4616" i="1"/>
  <c r="Q4616" i="1"/>
  <c r="P4616" i="1" s="1"/>
  <c r="B4615" i="1"/>
  <c r="H4615" i="1"/>
  <c r="J4615" i="1"/>
  <c r="K4615" i="1"/>
  <c r="Q4615" i="1"/>
  <c r="P4615" i="1" s="1"/>
  <c r="B4614" i="1"/>
  <c r="H4614" i="1"/>
  <c r="J4614" i="1"/>
  <c r="K4614" i="1"/>
  <c r="Q4614" i="1"/>
  <c r="P4614" i="1" s="1"/>
  <c r="B4590" i="1"/>
  <c r="B4591" i="1"/>
  <c r="B4592" i="1"/>
  <c r="B4593" i="1"/>
  <c r="B4594" i="1"/>
  <c r="B4595" i="1"/>
  <c r="B4596" i="1"/>
  <c r="B4597" i="1"/>
  <c r="B4598" i="1"/>
  <c r="B4599" i="1"/>
  <c r="B4600" i="1"/>
  <c r="B4601" i="1"/>
  <c r="B4602" i="1"/>
  <c r="B4603" i="1"/>
  <c r="B4604" i="1"/>
  <c r="B4605" i="1"/>
  <c r="B4606" i="1"/>
  <c r="B4607" i="1"/>
  <c r="B4608" i="1"/>
  <c r="B4609" i="1"/>
  <c r="B4610" i="1"/>
  <c r="B4611" i="1"/>
  <c r="B4612" i="1"/>
  <c r="B4613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J4590" i="1"/>
  <c r="J4591" i="1"/>
  <c r="J4592" i="1"/>
  <c r="J4593" i="1"/>
  <c r="J4594" i="1"/>
  <c r="J4595" i="1"/>
  <c r="J4596" i="1"/>
  <c r="J4597" i="1"/>
  <c r="J4598" i="1"/>
  <c r="J4599" i="1"/>
  <c r="J4600" i="1"/>
  <c r="J4601" i="1"/>
  <c r="J4602" i="1"/>
  <c r="J4603" i="1"/>
  <c r="J4604" i="1"/>
  <c r="J4605" i="1"/>
  <c r="J4606" i="1"/>
  <c r="J4607" i="1"/>
  <c r="J4608" i="1"/>
  <c r="J4609" i="1"/>
  <c r="J4610" i="1"/>
  <c r="J4611" i="1"/>
  <c r="J4612" i="1"/>
  <c r="J4613" i="1"/>
  <c r="K4590" i="1"/>
  <c r="K4591" i="1"/>
  <c r="K4592" i="1"/>
  <c r="K4593" i="1"/>
  <c r="K4594" i="1"/>
  <c r="K4595" i="1"/>
  <c r="K4596" i="1"/>
  <c r="K4597" i="1"/>
  <c r="K4598" i="1"/>
  <c r="K4599" i="1"/>
  <c r="K4600" i="1"/>
  <c r="K4601" i="1"/>
  <c r="K4602" i="1"/>
  <c r="K4603" i="1"/>
  <c r="K4604" i="1"/>
  <c r="K4605" i="1"/>
  <c r="K4606" i="1"/>
  <c r="K4607" i="1"/>
  <c r="K4608" i="1"/>
  <c r="K4609" i="1"/>
  <c r="K4610" i="1"/>
  <c r="K4611" i="1"/>
  <c r="K4612" i="1"/>
  <c r="K4613" i="1"/>
  <c r="Q4590" i="1"/>
  <c r="P4590" i="1" s="1"/>
  <c r="Q4591" i="1"/>
  <c r="P4591" i="1" s="1"/>
  <c r="Q4592" i="1"/>
  <c r="P4592" i="1" s="1"/>
  <c r="Q4593" i="1"/>
  <c r="P4593" i="1" s="1"/>
  <c r="Q4594" i="1"/>
  <c r="P4594" i="1" s="1"/>
  <c r="Q4595" i="1"/>
  <c r="P4595" i="1" s="1"/>
  <c r="Q4596" i="1"/>
  <c r="P4596" i="1" s="1"/>
  <c r="Q4597" i="1"/>
  <c r="P4597" i="1" s="1"/>
  <c r="Q4598" i="1"/>
  <c r="P4598" i="1" s="1"/>
  <c r="Q4599" i="1"/>
  <c r="P4599" i="1" s="1"/>
  <c r="Q4600" i="1"/>
  <c r="P4600" i="1" s="1"/>
  <c r="Q4601" i="1"/>
  <c r="P4601" i="1" s="1"/>
  <c r="Q4602" i="1"/>
  <c r="P4602" i="1" s="1"/>
  <c r="Q4603" i="1"/>
  <c r="P4603" i="1" s="1"/>
  <c r="Q4604" i="1"/>
  <c r="P4604" i="1" s="1"/>
  <c r="Q4605" i="1"/>
  <c r="P4605" i="1" s="1"/>
  <c r="Q4606" i="1"/>
  <c r="P4606" i="1" s="1"/>
  <c r="Q4607" i="1"/>
  <c r="P4607" i="1" s="1"/>
  <c r="Q4608" i="1"/>
  <c r="P4608" i="1" s="1"/>
  <c r="Q4609" i="1"/>
  <c r="P4609" i="1" s="1"/>
  <c r="Q4610" i="1"/>
  <c r="P4610" i="1" s="1"/>
  <c r="Q4611" i="1"/>
  <c r="P4611" i="1" s="1"/>
  <c r="Q4612" i="1"/>
  <c r="P4612" i="1" s="1"/>
  <c r="Q4613" i="1"/>
  <c r="P4613" i="1" s="1"/>
  <c r="B4589" i="1"/>
  <c r="H4589" i="1"/>
  <c r="J4589" i="1"/>
  <c r="K4589" i="1"/>
  <c r="Q4589" i="1"/>
  <c r="P4589" i="1" s="1"/>
  <c r="B4586" i="1"/>
  <c r="B4587" i="1"/>
  <c r="B4588" i="1"/>
  <c r="H4586" i="1"/>
  <c r="H4587" i="1"/>
  <c r="H4588" i="1"/>
  <c r="J4586" i="1"/>
  <c r="J4587" i="1"/>
  <c r="J4588" i="1"/>
  <c r="K4586" i="1"/>
  <c r="K4587" i="1"/>
  <c r="K4588" i="1"/>
  <c r="Q4586" i="1"/>
  <c r="P4586" i="1" s="1"/>
  <c r="Q4587" i="1"/>
  <c r="P4587" i="1" s="1"/>
  <c r="Q4588" i="1"/>
  <c r="P4588" i="1" s="1"/>
  <c r="B4585" i="1"/>
  <c r="H4585" i="1"/>
  <c r="J4585" i="1"/>
  <c r="K4585" i="1"/>
  <c r="Q4585" i="1"/>
  <c r="P4585" i="1" s="1"/>
  <c r="J4572" i="1"/>
  <c r="J4570" i="1"/>
  <c r="J4569" i="1"/>
  <c r="J4556" i="1"/>
  <c r="J4554" i="1"/>
  <c r="J4553" i="1"/>
  <c r="J4540" i="1"/>
  <c r="J4538" i="1"/>
  <c r="J4537" i="1"/>
  <c r="J4522" i="1"/>
  <c r="J4521" i="1"/>
  <c r="J4508" i="1"/>
  <c r="J4506" i="1"/>
  <c r="J4505" i="1"/>
  <c r="J4492" i="1"/>
  <c r="J4490" i="1"/>
  <c r="J4489" i="1"/>
  <c r="J4469" i="1"/>
  <c r="J4466" i="1"/>
  <c r="J4464" i="1"/>
  <c r="J4486" i="1"/>
  <c r="J4485" i="1"/>
  <c r="J4454" i="1"/>
  <c r="J4452" i="1"/>
  <c r="J4451" i="1"/>
  <c r="J4447" i="1"/>
  <c r="B4560" i="1"/>
  <c r="B4561" i="1"/>
  <c r="B4562" i="1"/>
  <c r="B4563" i="1"/>
  <c r="B4564" i="1"/>
  <c r="B4565" i="1"/>
  <c r="B4566" i="1"/>
  <c r="B4567" i="1"/>
  <c r="B4568" i="1"/>
  <c r="B4569" i="1"/>
  <c r="B4570" i="1"/>
  <c r="B4571" i="1"/>
  <c r="B4572" i="1"/>
  <c r="B4573" i="1"/>
  <c r="B4574" i="1"/>
  <c r="B4575" i="1"/>
  <c r="B4576" i="1"/>
  <c r="B4577" i="1"/>
  <c r="B4578" i="1"/>
  <c r="B4579" i="1"/>
  <c r="B4580" i="1"/>
  <c r="B4581" i="1"/>
  <c r="B4582" i="1"/>
  <c r="B4583" i="1"/>
  <c r="B4584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J4560" i="1"/>
  <c r="J4561" i="1"/>
  <c r="J4562" i="1"/>
  <c r="J4563" i="1"/>
  <c r="J4564" i="1"/>
  <c r="J4565" i="1"/>
  <c r="J4566" i="1"/>
  <c r="J4567" i="1"/>
  <c r="J4568" i="1"/>
  <c r="J4571" i="1"/>
  <c r="J4573" i="1"/>
  <c r="J4574" i="1"/>
  <c r="J4575" i="1"/>
  <c r="J4576" i="1"/>
  <c r="J4577" i="1"/>
  <c r="J4578" i="1"/>
  <c r="J4579" i="1"/>
  <c r="J4580" i="1"/>
  <c r="J4581" i="1"/>
  <c r="J4582" i="1"/>
  <c r="J4583" i="1"/>
  <c r="J4584" i="1"/>
  <c r="K4560" i="1"/>
  <c r="K4561" i="1"/>
  <c r="K4562" i="1"/>
  <c r="K4563" i="1"/>
  <c r="K4564" i="1"/>
  <c r="K4565" i="1"/>
  <c r="K4566" i="1"/>
  <c r="K4567" i="1"/>
  <c r="K4568" i="1"/>
  <c r="K4569" i="1"/>
  <c r="K4570" i="1"/>
  <c r="K4571" i="1"/>
  <c r="K4572" i="1"/>
  <c r="K4573" i="1"/>
  <c r="K4574" i="1"/>
  <c r="K4575" i="1"/>
  <c r="K4576" i="1"/>
  <c r="K4577" i="1"/>
  <c r="K4578" i="1"/>
  <c r="K4579" i="1"/>
  <c r="K4580" i="1"/>
  <c r="K4581" i="1"/>
  <c r="K4582" i="1"/>
  <c r="K4583" i="1"/>
  <c r="K4584" i="1"/>
  <c r="Q4560" i="1"/>
  <c r="P4560" i="1" s="1"/>
  <c r="Q4561" i="1"/>
  <c r="P4561" i="1" s="1"/>
  <c r="Q4562" i="1"/>
  <c r="P4562" i="1" s="1"/>
  <c r="Q4563" i="1"/>
  <c r="P4563" i="1" s="1"/>
  <c r="Q4564" i="1"/>
  <c r="P4564" i="1" s="1"/>
  <c r="Q4565" i="1"/>
  <c r="P4565" i="1" s="1"/>
  <c r="Q4566" i="1"/>
  <c r="P4566" i="1" s="1"/>
  <c r="Q4567" i="1"/>
  <c r="P4567" i="1" s="1"/>
  <c r="Q4568" i="1"/>
  <c r="P4568" i="1" s="1"/>
  <c r="Q4569" i="1"/>
  <c r="P4569" i="1" s="1"/>
  <c r="Q4570" i="1"/>
  <c r="P4570" i="1" s="1"/>
  <c r="Q4571" i="1"/>
  <c r="P4571" i="1" s="1"/>
  <c r="Q4572" i="1"/>
  <c r="P4572" i="1" s="1"/>
  <c r="Q4573" i="1"/>
  <c r="P4573" i="1" s="1"/>
  <c r="Q4574" i="1"/>
  <c r="P4574" i="1" s="1"/>
  <c r="Q4575" i="1"/>
  <c r="P4575" i="1" s="1"/>
  <c r="Q4576" i="1"/>
  <c r="P4576" i="1" s="1"/>
  <c r="Q4577" i="1"/>
  <c r="P4577" i="1" s="1"/>
  <c r="Q4578" i="1"/>
  <c r="P4578" i="1" s="1"/>
  <c r="Q4579" i="1"/>
  <c r="P4579" i="1" s="1"/>
  <c r="Q4580" i="1"/>
  <c r="P4580" i="1" s="1"/>
  <c r="Q4581" i="1"/>
  <c r="P4581" i="1" s="1"/>
  <c r="Q4582" i="1"/>
  <c r="P4582" i="1" s="1"/>
  <c r="Q4583" i="1"/>
  <c r="P4583" i="1" s="1"/>
  <c r="Q4584" i="1"/>
  <c r="P4584" i="1" s="1"/>
  <c r="B4559" i="1"/>
  <c r="H4559" i="1"/>
  <c r="J4559" i="1"/>
  <c r="K4559" i="1"/>
  <c r="Q4559" i="1"/>
  <c r="P4559" i="1" s="1"/>
  <c r="B4514" i="1"/>
  <c r="B4515" i="1"/>
  <c r="B4516" i="1"/>
  <c r="B4517" i="1"/>
  <c r="B4518" i="1"/>
  <c r="B4519" i="1"/>
  <c r="B4520" i="1"/>
  <c r="B4521" i="1"/>
  <c r="B4522" i="1"/>
  <c r="B4523" i="1"/>
  <c r="B4524" i="1"/>
  <c r="B4525" i="1"/>
  <c r="B4526" i="1"/>
  <c r="B4527" i="1"/>
  <c r="B4528" i="1"/>
  <c r="B4529" i="1"/>
  <c r="B4530" i="1"/>
  <c r="B4531" i="1"/>
  <c r="B4532" i="1"/>
  <c r="B4533" i="1"/>
  <c r="B4534" i="1"/>
  <c r="B4535" i="1"/>
  <c r="B4536" i="1"/>
  <c r="B4537" i="1"/>
  <c r="B4538" i="1"/>
  <c r="B4539" i="1"/>
  <c r="B4540" i="1"/>
  <c r="B4541" i="1"/>
  <c r="B4542" i="1"/>
  <c r="B4543" i="1"/>
  <c r="B4544" i="1"/>
  <c r="B4545" i="1"/>
  <c r="B4546" i="1"/>
  <c r="B4547" i="1"/>
  <c r="B4548" i="1"/>
  <c r="B4549" i="1"/>
  <c r="B4550" i="1"/>
  <c r="B4551" i="1"/>
  <c r="B4552" i="1"/>
  <c r="B4553" i="1"/>
  <c r="B4554" i="1"/>
  <c r="B4555" i="1"/>
  <c r="B4556" i="1"/>
  <c r="B4557" i="1"/>
  <c r="B4558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J4514" i="1"/>
  <c r="J4515" i="1"/>
  <c r="J4516" i="1"/>
  <c r="J4517" i="1"/>
  <c r="J4518" i="1"/>
  <c r="J4519" i="1"/>
  <c r="J4520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9" i="1"/>
  <c r="J4541" i="1"/>
  <c r="J4542" i="1"/>
  <c r="J4543" i="1"/>
  <c r="J4544" i="1"/>
  <c r="J4545" i="1"/>
  <c r="J4546" i="1"/>
  <c r="J4547" i="1"/>
  <c r="J4548" i="1"/>
  <c r="J4549" i="1"/>
  <c r="J4550" i="1"/>
  <c r="J4551" i="1"/>
  <c r="J4552" i="1"/>
  <c r="J4555" i="1"/>
  <c r="J4557" i="1"/>
  <c r="J4558" i="1"/>
  <c r="K4514" i="1"/>
  <c r="K4515" i="1"/>
  <c r="K4516" i="1"/>
  <c r="K4517" i="1"/>
  <c r="K4518" i="1"/>
  <c r="K4519" i="1"/>
  <c r="K4520" i="1"/>
  <c r="K4521" i="1"/>
  <c r="K4522" i="1"/>
  <c r="K4523" i="1"/>
  <c r="K4524" i="1"/>
  <c r="K4525" i="1"/>
  <c r="K4526" i="1"/>
  <c r="K4527" i="1"/>
  <c r="K4528" i="1"/>
  <c r="K4529" i="1"/>
  <c r="K4530" i="1"/>
  <c r="K4531" i="1"/>
  <c r="K4532" i="1"/>
  <c r="K4533" i="1"/>
  <c r="K4534" i="1"/>
  <c r="K4535" i="1"/>
  <c r="K4536" i="1"/>
  <c r="K4537" i="1"/>
  <c r="K4538" i="1"/>
  <c r="K4539" i="1"/>
  <c r="K4540" i="1"/>
  <c r="K4541" i="1"/>
  <c r="K4542" i="1"/>
  <c r="K4543" i="1"/>
  <c r="K4544" i="1"/>
  <c r="K4545" i="1"/>
  <c r="K4546" i="1"/>
  <c r="K4547" i="1"/>
  <c r="K4548" i="1"/>
  <c r="K4549" i="1"/>
  <c r="K4550" i="1"/>
  <c r="K4551" i="1"/>
  <c r="K4552" i="1"/>
  <c r="K4553" i="1"/>
  <c r="K4554" i="1"/>
  <c r="K4555" i="1"/>
  <c r="K4556" i="1"/>
  <c r="K4557" i="1"/>
  <c r="K4558" i="1"/>
  <c r="Q4514" i="1"/>
  <c r="P4514" i="1" s="1"/>
  <c r="Q4515" i="1"/>
  <c r="P4515" i="1" s="1"/>
  <c r="Q4516" i="1"/>
  <c r="P4516" i="1" s="1"/>
  <c r="Q4517" i="1"/>
  <c r="P4517" i="1" s="1"/>
  <c r="Q4518" i="1"/>
  <c r="P4518" i="1" s="1"/>
  <c r="Q4519" i="1"/>
  <c r="P4519" i="1" s="1"/>
  <c r="Q4520" i="1"/>
  <c r="P4520" i="1" s="1"/>
  <c r="Q4521" i="1"/>
  <c r="P4521" i="1" s="1"/>
  <c r="Q4522" i="1"/>
  <c r="P4522" i="1" s="1"/>
  <c r="Q4523" i="1"/>
  <c r="P4523" i="1" s="1"/>
  <c r="Q4524" i="1"/>
  <c r="P4524" i="1" s="1"/>
  <c r="Q4525" i="1"/>
  <c r="P4525" i="1" s="1"/>
  <c r="Q4526" i="1"/>
  <c r="P4526" i="1" s="1"/>
  <c r="Q4527" i="1"/>
  <c r="P4527" i="1" s="1"/>
  <c r="Q4528" i="1"/>
  <c r="P4528" i="1" s="1"/>
  <c r="Q4529" i="1"/>
  <c r="P4529" i="1" s="1"/>
  <c r="Q4530" i="1"/>
  <c r="P4530" i="1" s="1"/>
  <c r="Q4531" i="1"/>
  <c r="P4531" i="1" s="1"/>
  <c r="Q4532" i="1"/>
  <c r="P4532" i="1" s="1"/>
  <c r="Q4533" i="1"/>
  <c r="P4533" i="1" s="1"/>
  <c r="Q4534" i="1"/>
  <c r="P4534" i="1" s="1"/>
  <c r="Q4535" i="1"/>
  <c r="P4535" i="1" s="1"/>
  <c r="Q4536" i="1"/>
  <c r="P4536" i="1" s="1"/>
  <c r="Q4537" i="1"/>
  <c r="P4537" i="1" s="1"/>
  <c r="Q4538" i="1"/>
  <c r="P4538" i="1" s="1"/>
  <c r="Q4539" i="1"/>
  <c r="P4539" i="1" s="1"/>
  <c r="Q4540" i="1"/>
  <c r="P4540" i="1" s="1"/>
  <c r="Q4541" i="1"/>
  <c r="P4541" i="1" s="1"/>
  <c r="Q4542" i="1"/>
  <c r="P4542" i="1" s="1"/>
  <c r="Q4543" i="1"/>
  <c r="P4543" i="1" s="1"/>
  <c r="Q4544" i="1"/>
  <c r="P4544" i="1" s="1"/>
  <c r="Q4545" i="1"/>
  <c r="P4545" i="1" s="1"/>
  <c r="Q4546" i="1"/>
  <c r="P4546" i="1" s="1"/>
  <c r="Q4547" i="1"/>
  <c r="P4547" i="1" s="1"/>
  <c r="Q4548" i="1"/>
  <c r="P4548" i="1" s="1"/>
  <c r="Q4549" i="1"/>
  <c r="P4549" i="1" s="1"/>
  <c r="Q4550" i="1"/>
  <c r="P4550" i="1" s="1"/>
  <c r="Q4551" i="1"/>
  <c r="P4551" i="1" s="1"/>
  <c r="Q4552" i="1"/>
  <c r="P4552" i="1" s="1"/>
  <c r="Q4553" i="1"/>
  <c r="P4553" i="1" s="1"/>
  <c r="Q4554" i="1"/>
  <c r="P4554" i="1" s="1"/>
  <c r="Q4555" i="1"/>
  <c r="P4555" i="1" s="1"/>
  <c r="Q4556" i="1"/>
  <c r="P4556" i="1" s="1"/>
  <c r="Q4557" i="1"/>
  <c r="P4557" i="1" s="1"/>
  <c r="Q4558" i="1"/>
  <c r="P4558" i="1" s="1"/>
  <c r="B4513" i="1"/>
  <c r="H4513" i="1"/>
  <c r="J4513" i="1"/>
  <c r="K4513" i="1"/>
  <c r="Q4513" i="1"/>
  <c r="P4513" i="1" s="1"/>
  <c r="B4493" i="1"/>
  <c r="B4494" i="1"/>
  <c r="B4495" i="1"/>
  <c r="B4496" i="1"/>
  <c r="B4497" i="1"/>
  <c r="B4498" i="1"/>
  <c r="B4499" i="1"/>
  <c r="B4500" i="1"/>
  <c r="B4501" i="1"/>
  <c r="B4502" i="1"/>
  <c r="B4503" i="1"/>
  <c r="B4504" i="1"/>
  <c r="B4505" i="1"/>
  <c r="B4506" i="1"/>
  <c r="B4507" i="1"/>
  <c r="B4508" i="1"/>
  <c r="B4509" i="1"/>
  <c r="B4510" i="1"/>
  <c r="B4511" i="1"/>
  <c r="B451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J4493" i="1"/>
  <c r="J4494" i="1"/>
  <c r="J4495" i="1"/>
  <c r="J4496" i="1"/>
  <c r="J4497" i="1"/>
  <c r="J4498" i="1"/>
  <c r="J4499" i="1"/>
  <c r="J4500" i="1"/>
  <c r="J4501" i="1"/>
  <c r="J4502" i="1"/>
  <c r="J4503" i="1"/>
  <c r="J4504" i="1"/>
  <c r="J4507" i="1"/>
  <c r="J4509" i="1"/>
  <c r="J4510" i="1"/>
  <c r="J4511" i="1"/>
  <c r="J4512" i="1"/>
  <c r="K4493" i="1"/>
  <c r="K4494" i="1"/>
  <c r="K4495" i="1"/>
  <c r="K4496" i="1"/>
  <c r="K4497" i="1"/>
  <c r="K4498" i="1"/>
  <c r="K4499" i="1"/>
  <c r="K4500" i="1"/>
  <c r="K4501" i="1"/>
  <c r="K4502" i="1"/>
  <c r="K4503" i="1"/>
  <c r="K4504" i="1"/>
  <c r="K4505" i="1"/>
  <c r="K4506" i="1"/>
  <c r="K4507" i="1"/>
  <c r="K4508" i="1"/>
  <c r="K4509" i="1"/>
  <c r="K4510" i="1"/>
  <c r="K4511" i="1"/>
  <c r="K4512" i="1"/>
  <c r="Q4493" i="1"/>
  <c r="P4493" i="1" s="1"/>
  <c r="Q4494" i="1"/>
  <c r="P4494" i="1" s="1"/>
  <c r="Q4495" i="1"/>
  <c r="P4495" i="1" s="1"/>
  <c r="Q4496" i="1"/>
  <c r="P4496" i="1" s="1"/>
  <c r="Q4497" i="1"/>
  <c r="P4497" i="1" s="1"/>
  <c r="Q4498" i="1"/>
  <c r="P4498" i="1" s="1"/>
  <c r="Q4499" i="1"/>
  <c r="P4499" i="1" s="1"/>
  <c r="Q4500" i="1"/>
  <c r="P4500" i="1" s="1"/>
  <c r="Q4501" i="1"/>
  <c r="P4501" i="1" s="1"/>
  <c r="Q4502" i="1"/>
  <c r="P4502" i="1" s="1"/>
  <c r="Q4503" i="1"/>
  <c r="P4503" i="1" s="1"/>
  <c r="Q4504" i="1"/>
  <c r="P4504" i="1" s="1"/>
  <c r="Q4505" i="1"/>
  <c r="P4505" i="1" s="1"/>
  <c r="Q4506" i="1"/>
  <c r="P4506" i="1" s="1"/>
  <c r="Q4507" i="1"/>
  <c r="P4507" i="1" s="1"/>
  <c r="Q4508" i="1"/>
  <c r="P4508" i="1" s="1"/>
  <c r="Q4509" i="1"/>
  <c r="P4509" i="1" s="1"/>
  <c r="Q4510" i="1"/>
  <c r="P4510" i="1" s="1"/>
  <c r="Q4511" i="1"/>
  <c r="P4511" i="1" s="1"/>
  <c r="Q4512" i="1"/>
  <c r="P4512" i="1" s="1"/>
  <c r="B4492" i="1"/>
  <c r="H4492" i="1"/>
  <c r="K4492" i="1"/>
  <c r="Q4492" i="1"/>
  <c r="P4492" i="1" s="1"/>
  <c r="B4491" i="1"/>
  <c r="H4491" i="1"/>
  <c r="J4491" i="1"/>
  <c r="K4491" i="1"/>
  <c r="Q4491" i="1"/>
  <c r="P4491" i="1" s="1"/>
  <c r="B4490" i="1"/>
  <c r="H4490" i="1"/>
  <c r="K4490" i="1"/>
  <c r="Q4490" i="1"/>
  <c r="P4490" i="1" s="1"/>
  <c r="B4489" i="1"/>
  <c r="H4489" i="1"/>
  <c r="K4489" i="1"/>
  <c r="Q4489" i="1"/>
  <c r="P4489" i="1" s="1"/>
  <c r="J4477" i="1"/>
  <c r="J4475" i="1"/>
  <c r="J4474" i="1"/>
  <c r="J4473" i="1"/>
  <c r="J4461" i="1"/>
  <c r="J4460" i="1"/>
  <c r="J4459" i="1"/>
  <c r="J4458" i="1"/>
  <c r="J4457" i="1"/>
  <c r="J4448" i="1"/>
  <c r="B4487" i="1"/>
  <c r="B4488" i="1"/>
  <c r="H4487" i="1"/>
  <c r="H4488" i="1"/>
  <c r="J4487" i="1"/>
  <c r="J4488" i="1"/>
  <c r="K4487" i="1"/>
  <c r="K4488" i="1"/>
  <c r="Q4487" i="1"/>
  <c r="P4487" i="1" s="1"/>
  <c r="Q4488" i="1"/>
  <c r="P4488" i="1" s="1"/>
  <c r="B4486" i="1"/>
  <c r="H4486" i="1"/>
  <c r="K4486" i="1"/>
  <c r="Q4486" i="1"/>
  <c r="P4486" i="1" s="1"/>
  <c r="B4485" i="1"/>
  <c r="H4485" i="1"/>
  <c r="K4485" i="1"/>
  <c r="Q4485" i="1"/>
  <c r="P4485" i="1" s="1"/>
  <c r="B4450" i="1"/>
  <c r="B4451" i="1"/>
  <c r="B4452" i="1"/>
  <c r="B4453" i="1"/>
  <c r="B4454" i="1"/>
  <c r="B4455" i="1"/>
  <c r="B4456" i="1"/>
  <c r="B4457" i="1"/>
  <c r="B4458" i="1"/>
  <c r="B4459" i="1"/>
  <c r="B4460" i="1"/>
  <c r="B4461" i="1"/>
  <c r="B4462" i="1"/>
  <c r="B4463" i="1"/>
  <c r="B4464" i="1"/>
  <c r="B4465" i="1"/>
  <c r="B4466" i="1"/>
  <c r="B4467" i="1"/>
  <c r="B4468" i="1"/>
  <c r="B4469" i="1"/>
  <c r="B4470" i="1"/>
  <c r="B4471" i="1"/>
  <c r="B4472" i="1"/>
  <c r="B4473" i="1"/>
  <c r="B4474" i="1"/>
  <c r="B4475" i="1"/>
  <c r="B4476" i="1"/>
  <c r="B4477" i="1"/>
  <c r="B4478" i="1"/>
  <c r="B4479" i="1"/>
  <c r="B4480" i="1"/>
  <c r="B4481" i="1"/>
  <c r="B4482" i="1"/>
  <c r="B4483" i="1"/>
  <c r="B4484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J4450" i="1"/>
  <c r="J4453" i="1"/>
  <c r="J4455" i="1"/>
  <c r="J4456" i="1"/>
  <c r="J4462" i="1"/>
  <c r="J4463" i="1"/>
  <c r="J4465" i="1"/>
  <c r="J4467" i="1"/>
  <c r="J4468" i="1"/>
  <c r="J4470" i="1"/>
  <c r="J4471" i="1"/>
  <c r="J4472" i="1"/>
  <c r="J4476" i="1"/>
  <c r="J4478" i="1"/>
  <c r="J4479" i="1"/>
  <c r="J4480" i="1"/>
  <c r="J4481" i="1"/>
  <c r="J4482" i="1"/>
  <c r="J4483" i="1"/>
  <c r="J4484" i="1"/>
  <c r="K4450" i="1"/>
  <c r="K4451" i="1"/>
  <c r="K4452" i="1"/>
  <c r="K4453" i="1"/>
  <c r="K4454" i="1"/>
  <c r="K4455" i="1"/>
  <c r="K4456" i="1"/>
  <c r="K4457" i="1"/>
  <c r="K4458" i="1"/>
  <c r="K4459" i="1"/>
  <c r="K4460" i="1"/>
  <c r="K4461" i="1"/>
  <c r="K4462" i="1"/>
  <c r="K4463" i="1"/>
  <c r="K4464" i="1"/>
  <c r="K4465" i="1"/>
  <c r="K4466" i="1"/>
  <c r="K4467" i="1"/>
  <c r="K4468" i="1"/>
  <c r="K4469" i="1"/>
  <c r="K4470" i="1"/>
  <c r="K4471" i="1"/>
  <c r="K4472" i="1"/>
  <c r="K4473" i="1"/>
  <c r="K4474" i="1"/>
  <c r="K4475" i="1"/>
  <c r="K4476" i="1"/>
  <c r="K4477" i="1"/>
  <c r="K4478" i="1"/>
  <c r="K4479" i="1"/>
  <c r="K4480" i="1"/>
  <c r="K4481" i="1"/>
  <c r="K4482" i="1"/>
  <c r="K4483" i="1"/>
  <c r="K4484" i="1"/>
  <c r="Q4450" i="1"/>
  <c r="P4450" i="1" s="1"/>
  <c r="Q4451" i="1"/>
  <c r="P4451" i="1" s="1"/>
  <c r="Q4452" i="1"/>
  <c r="P4452" i="1" s="1"/>
  <c r="Q4453" i="1"/>
  <c r="P4453" i="1" s="1"/>
  <c r="Q4454" i="1"/>
  <c r="P4454" i="1" s="1"/>
  <c r="Q4455" i="1"/>
  <c r="P4455" i="1" s="1"/>
  <c r="Q4456" i="1"/>
  <c r="P4456" i="1" s="1"/>
  <c r="Q4457" i="1"/>
  <c r="P4457" i="1" s="1"/>
  <c r="Q4458" i="1"/>
  <c r="P4458" i="1" s="1"/>
  <c r="Q4459" i="1"/>
  <c r="P4459" i="1" s="1"/>
  <c r="Q4460" i="1"/>
  <c r="P4460" i="1" s="1"/>
  <c r="Q4461" i="1"/>
  <c r="P4461" i="1" s="1"/>
  <c r="Q4462" i="1"/>
  <c r="P4462" i="1" s="1"/>
  <c r="Q4463" i="1"/>
  <c r="P4463" i="1" s="1"/>
  <c r="Q4464" i="1"/>
  <c r="P4464" i="1" s="1"/>
  <c r="Q4465" i="1"/>
  <c r="P4465" i="1" s="1"/>
  <c r="Q4466" i="1"/>
  <c r="P4466" i="1" s="1"/>
  <c r="Q4467" i="1"/>
  <c r="P4467" i="1" s="1"/>
  <c r="Q4468" i="1"/>
  <c r="P4468" i="1" s="1"/>
  <c r="Q4469" i="1"/>
  <c r="P4469" i="1" s="1"/>
  <c r="Q4470" i="1"/>
  <c r="P4470" i="1" s="1"/>
  <c r="Q4471" i="1"/>
  <c r="P4471" i="1" s="1"/>
  <c r="Q4472" i="1"/>
  <c r="P4472" i="1" s="1"/>
  <c r="Q4473" i="1"/>
  <c r="P4473" i="1" s="1"/>
  <c r="Q4474" i="1"/>
  <c r="P4474" i="1" s="1"/>
  <c r="Q4475" i="1"/>
  <c r="P4475" i="1" s="1"/>
  <c r="Q4476" i="1"/>
  <c r="P4476" i="1" s="1"/>
  <c r="Q4477" i="1"/>
  <c r="P4477" i="1" s="1"/>
  <c r="Q4478" i="1"/>
  <c r="P4478" i="1" s="1"/>
  <c r="Q4479" i="1"/>
  <c r="P4479" i="1" s="1"/>
  <c r="Q4480" i="1"/>
  <c r="P4480" i="1" s="1"/>
  <c r="Q4481" i="1"/>
  <c r="P4481" i="1" s="1"/>
  <c r="Q4482" i="1"/>
  <c r="P4482" i="1" s="1"/>
  <c r="Q4483" i="1"/>
  <c r="P4483" i="1" s="1"/>
  <c r="Q4484" i="1"/>
  <c r="P4484" i="1" s="1"/>
  <c r="B4449" i="1"/>
  <c r="H4449" i="1"/>
  <c r="J4449" i="1"/>
  <c r="K4449" i="1"/>
  <c r="Q4449" i="1"/>
  <c r="P4449" i="1" s="1"/>
  <c r="B4448" i="1"/>
  <c r="H4448" i="1"/>
  <c r="K4448" i="1"/>
  <c r="Q4448" i="1"/>
  <c r="P4448" i="1" s="1"/>
  <c r="B4447" i="1"/>
  <c r="H4447" i="1"/>
  <c r="K4447" i="1"/>
  <c r="Q4447" i="1"/>
  <c r="P4447" i="1" s="1"/>
  <c r="J4432" i="1"/>
  <c r="J4431" i="1"/>
  <c r="B4423" i="1"/>
  <c r="B4424" i="1"/>
  <c r="B4425" i="1"/>
  <c r="B4426" i="1"/>
  <c r="B4427" i="1"/>
  <c r="B4428" i="1"/>
  <c r="B4429" i="1"/>
  <c r="B4430" i="1"/>
  <c r="B4431" i="1"/>
  <c r="B4432" i="1"/>
  <c r="B4433" i="1"/>
  <c r="B4434" i="1"/>
  <c r="B4435" i="1"/>
  <c r="B4436" i="1"/>
  <c r="B4437" i="1"/>
  <c r="B4438" i="1"/>
  <c r="B4439" i="1"/>
  <c r="B4440" i="1"/>
  <c r="B4441" i="1"/>
  <c r="B4442" i="1"/>
  <c r="B4443" i="1"/>
  <c r="B4444" i="1"/>
  <c r="B4445" i="1"/>
  <c r="B4446" i="1"/>
  <c r="H4423" i="1"/>
  <c r="H4424" i="1"/>
  <c r="H4425" i="1"/>
  <c r="H4426" i="1"/>
  <c r="H4427" i="1"/>
  <c r="H4428" i="1"/>
  <c r="H4429" i="1"/>
  <c r="H4430" i="1"/>
  <c r="H4431" i="1"/>
  <c r="H4432" i="1"/>
  <c r="H4433" i="1"/>
  <c r="J4433" i="1"/>
  <c r="H4434" i="1"/>
  <c r="J4434" i="1"/>
  <c r="H4435" i="1"/>
  <c r="J4435" i="1"/>
  <c r="H4436" i="1"/>
  <c r="J4436" i="1"/>
  <c r="H4437" i="1"/>
  <c r="J4437" i="1"/>
  <c r="H4438" i="1"/>
  <c r="J4438" i="1"/>
  <c r="H4439" i="1"/>
  <c r="H4440" i="1"/>
  <c r="H4441" i="1"/>
  <c r="H4442" i="1"/>
  <c r="H4443" i="1"/>
  <c r="H4444" i="1"/>
  <c r="H4445" i="1"/>
  <c r="J4445" i="1"/>
  <c r="H4446" i="1"/>
  <c r="J4446" i="1"/>
  <c r="J4430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Q4423" i="1"/>
  <c r="P4423" i="1" s="1"/>
  <c r="Q4424" i="1"/>
  <c r="P4424" i="1" s="1"/>
  <c r="Q4425" i="1"/>
  <c r="P4425" i="1" s="1"/>
  <c r="Q4426" i="1"/>
  <c r="P4426" i="1" s="1"/>
  <c r="Q4427" i="1"/>
  <c r="P4427" i="1" s="1"/>
  <c r="Q4428" i="1"/>
  <c r="P4428" i="1" s="1"/>
  <c r="Q4429" i="1"/>
  <c r="P4429" i="1" s="1"/>
  <c r="Q4430" i="1"/>
  <c r="P4430" i="1" s="1"/>
  <c r="Q4431" i="1"/>
  <c r="P4431" i="1" s="1"/>
  <c r="Q4432" i="1"/>
  <c r="P4432" i="1" s="1"/>
  <c r="Q4433" i="1"/>
  <c r="P4433" i="1" s="1"/>
  <c r="Q4434" i="1"/>
  <c r="P4434" i="1" s="1"/>
  <c r="Q4435" i="1"/>
  <c r="P4435" i="1" s="1"/>
  <c r="Q4436" i="1"/>
  <c r="P4436" i="1" s="1"/>
  <c r="Q4437" i="1"/>
  <c r="P4437" i="1" s="1"/>
  <c r="Q4438" i="1"/>
  <c r="P4438" i="1" s="1"/>
  <c r="Q4439" i="1"/>
  <c r="P4439" i="1" s="1"/>
  <c r="Q4440" i="1"/>
  <c r="P4440" i="1" s="1"/>
  <c r="Q4441" i="1"/>
  <c r="P4441" i="1" s="1"/>
  <c r="Q4442" i="1"/>
  <c r="P4442" i="1" s="1"/>
  <c r="Q4443" i="1"/>
  <c r="P4443" i="1" s="1"/>
  <c r="Q4444" i="1"/>
  <c r="P4444" i="1" s="1"/>
  <c r="Q4445" i="1"/>
  <c r="P4445" i="1" s="1"/>
  <c r="Q4446" i="1"/>
  <c r="P4446" i="1" s="1"/>
  <c r="J4439" i="1"/>
  <c r="J4423" i="1"/>
  <c r="J4440" i="1"/>
  <c r="J4424" i="1"/>
  <c r="J4429" i="1"/>
  <c r="J4444" i="1"/>
  <c r="J4428" i="1"/>
  <c r="J4443" i="1"/>
  <c r="J4427" i="1"/>
  <c r="J4442" i="1"/>
  <c r="J4426" i="1"/>
  <c r="J4441" i="1"/>
  <c r="J4425" i="1"/>
  <c r="B4422" i="1"/>
  <c r="H4422" i="1"/>
  <c r="J4422" i="1"/>
  <c r="K4422" i="1"/>
  <c r="Q4422" i="1"/>
  <c r="P4422" i="1" s="1"/>
  <c r="B4421" i="1"/>
  <c r="H4421" i="1"/>
  <c r="J4421" i="1"/>
  <c r="K4421" i="1"/>
  <c r="Q4421" i="1"/>
  <c r="P4421" i="1" s="1"/>
  <c r="J4392" i="1"/>
  <c r="J4417" i="1"/>
  <c r="J4414" i="1"/>
  <c r="J4411" i="1"/>
  <c r="J4410" i="1"/>
  <c r="J4409" i="1"/>
  <c r="J4408" i="1"/>
  <c r="J4407" i="1"/>
  <c r="J4406" i="1"/>
  <c r="J4405" i="1"/>
  <c r="J4404" i="1"/>
  <c r="J4403" i="1"/>
  <c r="J4402" i="1"/>
  <c r="J4398" i="1"/>
  <c r="B4419" i="1"/>
  <c r="B4420" i="1"/>
  <c r="H4419" i="1"/>
  <c r="H4420" i="1"/>
  <c r="J4419" i="1"/>
  <c r="J4420" i="1"/>
  <c r="K4419" i="1"/>
  <c r="K4420" i="1"/>
  <c r="Q4419" i="1"/>
  <c r="P4419" i="1" s="1"/>
  <c r="Q4420" i="1"/>
  <c r="P4420" i="1" s="1"/>
  <c r="B4418" i="1"/>
  <c r="H4418" i="1"/>
  <c r="J4418" i="1"/>
  <c r="K4418" i="1"/>
  <c r="Q4418" i="1"/>
  <c r="P4418" i="1" s="1"/>
  <c r="B4399" i="1"/>
  <c r="B4400" i="1"/>
  <c r="B4401" i="1"/>
  <c r="B4402" i="1"/>
  <c r="B4403" i="1"/>
  <c r="B4404" i="1"/>
  <c r="B4405" i="1"/>
  <c r="B4406" i="1"/>
  <c r="B4407" i="1"/>
  <c r="B4408" i="1"/>
  <c r="B4409" i="1"/>
  <c r="B4410" i="1"/>
  <c r="B4411" i="1"/>
  <c r="B4412" i="1"/>
  <c r="B4413" i="1"/>
  <c r="B4414" i="1"/>
  <c r="B4415" i="1"/>
  <c r="B4416" i="1"/>
  <c r="B4417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J4399" i="1"/>
  <c r="J4400" i="1"/>
  <c r="J4401" i="1"/>
  <c r="J4412" i="1"/>
  <c r="J4413" i="1"/>
  <c r="J4415" i="1"/>
  <c r="J4416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Q4399" i="1"/>
  <c r="P4399" i="1" s="1"/>
  <c r="Q4400" i="1"/>
  <c r="P4400" i="1" s="1"/>
  <c r="Q4401" i="1"/>
  <c r="P4401" i="1" s="1"/>
  <c r="Q4402" i="1"/>
  <c r="P4402" i="1" s="1"/>
  <c r="Q4403" i="1"/>
  <c r="P4403" i="1" s="1"/>
  <c r="Q4404" i="1"/>
  <c r="P4404" i="1" s="1"/>
  <c r="Q4405" i="1"/>
  <c r="P4405" i="1" s="1"/>
  <c r="Q4406" i="1"/>
  <c r="P4406" i="1" s="1"/>
  <c r="Q4407" i="1"/>
  <c r="P4407" i="1" s="1"/>
  <c r="Q4408" i="1"/>
  <c r="P4408" i="1" s="1"/>
  <c r="Q4409" i="1"/>
  <c r="P4409" i="1" s="1"/>
  <c r="Q4410" i="1"/>
  <c r="P4410" i="1" s="1"/>
  <c r="Q4411" i="1"/>
  <c r="P4411" i="1" s="1"/>
  <c r="Q4412" i="1"/>
  <c r="P4412" i="1" s="1"/>
  <c r="Q4413" i="1"/>
  <c r="P4413" i="1" s="1"/>
  <c r="Q4414" i="1"/>
  <c r="P4414" i="1" s="1"/>
  <c r="Q4415" i="1"/>
  <c r="P4415" i="1" s="1"/>
  <c r="Q4416" i="1"/>
  <c r="P4416" i="1" s="1"/>
  <c r="Q4417" i="1"/>
  <c r="P4417" i="1" s="1"/>
  <c r="B4398" i="1"/>
  <c r="H4398" i="1"/>
  <c r="K4398" i="1"/>
  <c r="Q4398" i="1"/>
  <c r="P4398" i="1" s="1"/>
  <c r="B4397" i="1"/>
  <c r="H4397" i="1"/>
  <c r="J4397" i="1"/>
  <c r="K4397" i="1"/>
  <c r="Q4397" i="1"/>
  <c r="P4397" i="1" s="1"/>
  <c r="B4396" i="1"/>
  <c r="H4396" i="1"/>
  <c r="J4396" i="1"/>
  <c r="K4396" i="1"/>
  <c r="Q4396" i="1"/>
  <c r="P4396" i="1" s="1"/>
  <c r="B4393" i="1"/>
  <c r="B4394" i="1"/>
  <c r="B4395" i="1"/>
  <c r="H4393" i="1"/>
  <c r="H4394" i="1"/>
  <c r="H4395" i="1"/>
  <c r="J4393" i="1"/>
  <c r="J4394" i="1"/>
  <c r="J4395" i="1"/>
  <c r="K4393" i="1"/>
  <c r="K4394" i="1"/>
  <c r="K4395" i="1"/>
  <c r="Q4393" i="1"/>
  <c r="P4393" i="1" s="1"/>
  <c r="Q4394" i="1"/>
  <c r="P4394" i="1" s="1"/>
  <c r="Q4395" i="1"/>
  <c r="P4395" i="1" s="1"/>
  <c r="B4392" i="1"/>
  <c r="H4392" i="1"/>
  <c r="K4392" i="1"/>
  <c r="Q4392" i="1"/>
  <c r="P4392" i="1" s="1"/>
  <c r="J4383" i="1"/>
  <c r="J4382" i="1"/>
  <c r="J4381" i="1"/>
  <c r="J4380" i="1"/>
  <c r="J4379" i="1"/>
  <c r="J4378" i="1"/>
  <c r="J4377" i="1"/>
  <c r="J4376" i="1"/>
  <c r="B4380" i="1"/>
  <c r="B4381" i="1"/>
  <c r="B4382" i="1"/>
  <c r="B4383" i="1"/>
  <c r="B4384" i="1"/>
  <c r="B4385" i="1"/>
  <c r="B4386" i="1"/>
  <c r="B4387" i="1"/>
  <c r="B4388" i="1"/>
  <c r="B4389" i="1"/>
  <c r="B4390" i="1"/>
  <c r="B4391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J4384" i="1"/>
  <c r="J4385" i="1"/>
  <c r="J4386" i="1"/>
  <c r="J4387" i="1"/>
  <c r="J4388" i="1"/>
  <c r="J4389" i="1"/>
  <c r="J4390" i="1"/>
  <c r="J4391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Q4380" i="1"/>
  <c r="P4380" i="1" s="1"/>
  <c r="Q4381" i="1"/>
  <c r="P4381" i="1" s="1"/>
  <c r="Q4382" i="1"/>
  <c r="P4382" i="1" s="1"/>
  <c r="Q4383" i="1"/>
  <c r="P4383" i="1" s="1"/>
  <c r="Q4384" i="1"/>
  <c r="P4384" i="1" s="1"/>
  <c r="Q4385" i="1"/>
  <c r="P4385" i="1" s="1"/>
  <c r="Q4386" i="1"/>
  <c r="P4386" i="1" s="1"/>
  <c r="Q4387" i="1"/>
  <c r="P4387" i="1" s="1"/>
  <c r="Q4388" i="1"/>
  <c r="P4388" i="1" s="1"/>
  <c r="Q4389" i="1"/>
  <c r="P4389" i="1" s="1"/>
  <c r="Q4390" i="1"/>
  <c r="P4390" i="1" s="1"/>
  <c r="Q4391" i="1"/>
  <c r="P4391" i="1" s="1"/>
  <c r="B4379" i="1"/>
  <c r="H4379" i="1"/>
  <c r="K4379" i="1"/>
  <c r="Q4379" i="1"/>
  <c r="P4379" i="1" s="1"/>
  <c r="B4378" i="1"/>
  <c r="H4378" i="1"/>
  <c r="K4378" i="1"/>
  <c r="Q4378" i="1"/>
  <c r="P4378" i="1" s="1"/>
  <c r="B4376" i="1"/>
  <c r="B4377" i="1"/>
  <c r="H4376" i="1"/>
  <c r="H4377" i="1"/>
  <c r="K4376" i="1"/>
  <c r="K4377" i="1"/>
  <c r="Q4376" i="1"/>
  <c r="P4376" i="1" s="1"/>
  <c r="Q4377" i="1"/>
  <c r="P4377" i="1" s="1"/>
  <c r="B4375" i="1"/>
  <c r="H4375" i="1"/>
  <c r="J4375" i="1"/>
  <c r="K4375" i="1"/>
  <c r="Q4375" i="1"/>
  <c r="P4375" i="1" s="1"/>
  <c r="J4374" i="1"/>
  <c r="J4373" i="1"/>
  <c r="J4372" i="1"/>
  <c r="J4371" i="1"/>
  <c r="K4374" i="1"/>
  <c r="K4373" i="1"/>
  <c r="K4372" i="1"/>
  <c r="K4371" i="1"/>
  <c r="K4358" i="1"/>
  <c r="K4357" i="1"/>
  <c r="B4374" i="1"/>
  <c r="B4373" i="1"/>
  <c r="B4372" i="1"/>
  <c r="B4371" i="1"/>
  <c r="B4358" i="1"/>
  <c r="B4357" i="1"/>
  <c r="B4356" i="1"/>
  <c r="H4371" i="1"/>
  <c r="H4372" i="1"/>
  <c r="H4373" i="1"/>
  <c r="H4374" i="1"/>
  <c r="Q4371" i="1"/>
  <c r="P4371" i="1" s="1"/>
  <c r="Q4372" i="1"/>
  <c r="P4372" i="1" s="1"/>
  <c r="Q4373" i="1"/>
  <c r="P4373" i="1" s="1"/>
  <c r="Q4374" i="1"/>
  <c r="P4374" i="1" s="1"/>
  <c r="J4357" i="1"/>
  <c r="J4346" i="1"/>
  <c r="J4345" i="1"/>
  <c r="B4360" i="1"/>
  <c r="B4361" i="1"/>
  <c r="B4362" i="1"/>
  <c r="B4363" i="1"/>
  <c r="B4364" i="1"/>
  <c r="B4365" i="1"/>
  <c r="B4366" i="1"/>
  <c r="B4367" i="1"/>
  <c r="B4368" i="1"/>
  <c r="B4369" i="1"/>
  <c r="B4370" i="1"/>
  <c r="H4360" i="1"/>
  <c r="H4361" i="1"/>
  <c r="H4362" i="1"/>
  <c r="H4363" i="1"/>
  <c r="H4364" i="1"/>
  <c r="H4365" i="1"/>
  <c r="H4366" i="1"/>
  <c r="H4367" i="1"/>
  <c r="H4368" i="1"/>
  <c r="H4369" i="1"/>
  <c r="H4370" i="1"/>
  <c r="J4360" i="1"/>
  <c r="J4361" i="1"/>
  <c r="J4362" i="1"/>
  <c r="J4363" i="1"/>
  <c r="J4364" i="1"/>
  <c r="J4365" i="1"/>
  <c r="J4366" i="1"/>
  <c r="J4367" i="1"/>
  <c r="J4368" i="1"/>
  <c r="J4369" i="1"/>
  <c r="J4370" i="1"/>
  <c r="K4360" i="1"/>
  <c r="K4361" i="1"/>
  <c r="K4362" i="1"/>
  <c r="K4363" i="1"/>
  <c r="K4364" i="1"/>
  <c r="K4365" i="1"/>
  <c r="K4366" i="1"/>
  <c r="K4367" i="1"/>
  <c r="K4368" i="1"/>
  <c r="K4369" i="1"/>
  <c r="K4370" i="1"/>
  <c r="Q4360" i="1"/>
  <c r="P4360" i="1" s="1"/>
  <c r="Q4361" i="1"/>
  <c r="P4361" i="1" s="1"/>
  <c r="Q4362" i="1"/>
  <c r="P4362" i="1" s="1"/>
  <c r="Q4363" i="1"/>
  <c r="P4363" i="1" s="1"/>
  <c r="Q4364" i="1"/>
  <c r="P4364" i="1" s="1"/>
  <c r="Q4365" i="1"/>
  <c r="P4365" i="1" s="1"/>
  <c r="Q4366" i="1"/>
  <c r="P4366" i="1" s="1"/>
  <c r="Q4367" i="1"/>
  <c r="P4367" i="1" s="1"/>
  <c r="Q4368" i="1"/>
  <c r="P4368" i="1" s="1"/>
  <c r="Q4369" i="1"/>
  <c r="P4369" i="1" s="1"/>
  <c r="Q4370" i="1"/>
  <c r="P4370" i="1" s="1"/>
  <c r="B4359" i="1"/>
  <c r="H4359" i="1"/>
  <c r="J4359" i="1"/>
  <c r="K4359" i="1"/>
  <c r="Q4359" i="1"/>
  <c r="P4359" i="1" s="1"/>
  <c r="B4349" i="1"/>
  <c r="B4350" i="1"/>
  <c r="B4351" i="1"/>
  <c r="B4352" i="1"/>
  <c r="B4353" i="1"/>
  <c r="B4354" i="1"/>
  <c r="B4355" i="1"/>
  <c r="H4349" i="1"/>
  <c r="H4350" i="1"/>
  <c r="H4351" i="1"/>
  <c r="H4352" i="1"/>
  <c r="H4353" i="1"/>
  <c r="H4354" i="1"/>
  <c r="H4355" i="1"/>
  <c r="H4356" i="1"/>
  <c r="H4357" i="1"/>
  <c r="H4358" i="1"/>
  <c r="J4349" i="1"/>
  <c r="J4350" i="1"/>
  <c r="J4351" i="1"/>
  <c r="J4352" i="1"/>
  <c r="J4353" i="1"/>
  <c r="J4354" i="1"/>
  <c r="J4355" i="1"/>
  <c r="J4356" i="1"/>
  <c r="J4358" i="1"/>
  <c r="K4349" i="1"/>
  <c r="K4350" i="1"/>
  <c r="K4351" i="1"/>
  <c r="K4352" i="1"/>
  <c r="K4353" i="1"/>
  <c r="K4354" i="1"/>
  <c r="K4355" i="1"/>
  <c r="K4356" i="1"/>
  <c r="Q4349" i="1"/>
  <c r="P4349" i="1" s="1"/>
  <c r="Q4350" i="1"/>
  <c r="P4350" i="1" s="1"/>
  <c r="Q4351" i="1"/>
  <c r="P4351" i="1" s="1"/>
  <c r="Q4352" i="1"/>
  <c r="P4352" i="1" s="1"/>
  <c r="Q4353" i="1"/>
  <c r="P4353" i="1" s="1"/>
  <c r="Q4354" i="1"/>
  <c r="P4354" i="1" s="1"/>
  <c r="Q4355" i="1"/>
  <c r="P4355" i="1" s="1"/>
  <c r="Q4356" i="1"/>
  <c r="P4356" i="1" s="1"/>
  <c r="Q4357" i="1"/>
  <c r="P4357" i="1" s="1"/>
  <c r="Q4358" i="1"/>
  <c r="P4358" i="1" s="1"/>
  <c r="B4348" i="1"/>
  <c r="H4348" i="1"/>
  <c r="J4348" i="1"/>
  <c r="K4348" i="1"/>
  <c r="Q4348" i="1"/>
  <c r="P4348" i="1" s="1"/>
  <c r="B4347" i="1"/>
  <c r="H4347" i="1"/>
  <c r="J4347" i="1"/>
  <c r="K4347" i="1"/>
  <c r="Q4347" i="1"/>
  <c r="P4347" i="1" s="1"/>
  <c r="B4345" i="1"/>
  <c r="B4346" i="1"/>
  <c r="H4345" i="1"/>
  <c r="H4346" i="1"/>
  <c r="K4345" i="1"/>
  <c r="K4346" i="1"/>
  <c r="Q4345" i="1"/>
  <c r="P4345" i="1" s="1"/>
  <c r="Q4346" i="1"/>
  <c r="P4346" i="1" s="1"/>
  <c r="B4343" i="1"/>
  <c r="B4344" i="1"/>
  <c r="H4343" i="1"/>
  <c r="H4344" i="1"/>
  <c r="J4343" i="1"/>
  <c r="J4344" i="1"/>
  <c r="K4343" i="1"/>
  <c r="K4344" i="1"/>
  <c r="Q4343" i="1"/>
  <c r="P4343" i="1" s="1"/>
  <c r="Q4344" i="1"/>
  <c r="P4344" i="1" s="1"/>
  <c r="J4339" i="1"/>
  <c r="J4338" i="1"/>
  <c r="J4337" i="1"/>
  <c r="J4334" i="1"/>
  <c r="J4333" i="1"/>
  <c r="J4332" i="1"/>
  <c r="J4331" i="1"/>
  <c r="J4330" i="1"/>
  <c r="J4329" i="1"/>
  <c r="J4328" i="1"/>
  <c r="J4325" i="1"/>
  <c r="J4324" i="1"/>
  <c r="J4323" i="1"/>
  <c r="J4322" i="1"/>
  <c r="J4320" i="1"/>
  <c r="J4318" i="1"/>
  <c r="J4317" i="1"/>
  <c r="J4316" i="1"/>
  <c r="J4315" i="1"/>
  <c r="J4314" i="1"/>
  <c r="J4312" i="1"/>
  <c r="J4309" i="1"/>
  <c r="J4303" i="1"/>
  <c r="J4302" i="1"/>
  <c r="J4301" i="1"/>
  <c r="J4300" i="1"/>
  <c r="J4299" i="1"/>
  <c r="J4298" i="1"/>
  <c r="J4297" i="1"/>
  <c r="J4296" i="1"/>
  <c r="B4342" i="1"/>
  <c r="H4342" i="1"/>
  <c r="J4342" i="1"/>
  <c r="K4342" i="1"/>
  <c r="Q4342" i="1"/>
  <c r="P4342" i="1" s="1"/>
  <c r="B4341" i="1"/>
  <c r="H4341" i="1"/>
  <c r="J4341" i="1"/>
  <c r="K4341" i="1"/>
  <c r="Q4341" i="1"/>
  <c r="P4341" i="1" s="1"/>
  <c r="J4340" i="1"/>
  <c r="J4336" i="1"/>
  <c r="J4327" i="1"/>
  <c r="J4326" i="1"/>
  <c r="J4321" i="1"/>
  <c r="J4310" i="1"/>
  <c r="J4306" i="1"/>
  <c r="J4305" i="1"/>
  <c r="J4304" i="1"/>
  <c r="B4340" i="1"/>
  <c r="H4340" i="1"/>
  <c r="K4340" i="1"/>
  <c r="Q4340" i="1"/>
  <c r="P4340" i="1" s="1"/>
  <c r="B4339" i="1"/>
  <c r="H4339" i="1"/>
  <c r="K4339" i="1"/>
  <c r="Q4339" i="1"/>
  <c r="P4339" i="1" s="1"/>
  <c r="B4338" i="1"/>
  <c r="B4337" i="1"/>
  <c r="B4336" i="1"/>
  <c r="B4335" i="1"/>
  <c r="B4334" i="1"/>
  <c r="B4333" i="1"/>
  <c r="B4332" i="1"/>
  <c r="B4331" i="1"/>
  <c r="B4330" i="1"/>
  <c r="B4329" i="1"/>
  <c r="B4328" i="1"/>
  <c r="B4327" i="1"/>
  <c r="B4326" i="1"/>
  <c r="B4325" i="1"/>
  <c r="B4324" i="1"/>
  <c r="B4323" i="1"/>
  <c r="B4322" i="1"/>
  <c r="B4321" i="1"/>
  <c r="B4320" i="1"/>
  <c r="B4319" i="1"/>
  <c r="B4318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J4319" i="1"/>
  <c r="J4335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Q4318" i="1"/>
  <c r="P4318" i="1" s="1"/>
  <c r="Q4319" i="1"/>
  <c r="P4319" i="1" s="1"/>
  <c r="Q4320" i="1"/>
  <c r="P4320" i="1" s="1"/>
  <c r="Q4321" i="1"/>
  <c r="P4321" i="1" s="1"/>
  <c r="Q4322" i="1"/>
  <c r="P4322" i="1" s="1"/>
  <c r="Q4323" i="1"/>
  <c r="P4323" i="1" s="1"/>
  <c r="Q4324" i="1"/>
  <c r="P4324" i="1" s="1"/>
  <c r="Q4325" i="1"/>
  <c r="P4325" i="1" s="1"/>
  <c r="Q4326" i="1"/>
  <c r="P4326" i="1" s="1"/>
  <c r="Q4327" i="1"/>
  <c r="P4327" i="1" s="1"/>
  <c r="Q4328" i="1"/>
  <c r="P4328" i="1" s="1"/>
  <c r="Q4329" i="1"/>
  <c r="P4329" i="1" s="1"/>
  <c r="Q4330" i="1"/>
  <c r="P4330" i="1" s="1"/>
  <c r="Q4331" i="1"/>
  <c r="P4331" i="1" s="1"/>
  <c r="Q4332" i="1"/>
  <c r="P4332" i="1" s="1"/>
  <c r="Q4333" i="1"/>
  <c r="P4333" i="1" s="1"/>
  <c r="Q4334" i="1"/>
  <c r="P4334" i="1" s="1"/>
  <c r="Q4335" i="1"/>
  <c r="P4335" i="1" s="1"/>
  <c r="Q4336" i="1"/>
  <c r="P4336" i="1" s="1"/>
  <c r="Q4337" i="1"/>
  <c r="P4337" i="1" s="1"/>
  <c r="Q4338" i="1"/>
  <c r="P4338" i="1" s="1"/>
  <c r="B4317" i="1"/>
  <c r="H4317" i="1"/>
  <c r="K4317" i="1"/>
  <c r="Q4317" i="1"/>
  <c r="P4317" i="1" s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J4307" i="1"/>
  <c r="J4308" i="1"/>
  <c r="J4311" i="1"/>
  <c r="J4313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Q4297" i="1"/>
  <c r="P4297" i="1" s="1"/>
  <c r="Q4298" i="1"/>
  <c r="P4298" i="1" s="1"/>
  <c r="Q4299" i="1"/>
  <c r="P4299" i="1" s="1"/>
  <c r="Q4300" i="1"/>
  <c r="P4300" i="1" s="1"/>
  <c r="Q4301" i="1"/>
  <c r="P4301" i="1" s="1"/>
  <c r="Q4302" i="1"/>
  <c r="P4302" i="1" s="1"/>
  <c r="Q4303" i="1"/>
  <c r="P4303" i="1" s="1"/>
  <c r="Q4304" i="1"/>
  <c r="P4304" i="1" s="1"/>
  <c r="Q4305" i="1"/>
  <c r="P4305" i="1" s="1"/>
  <c r="Q4306" i="1"/>
  <c r="P4306" i="1" s="1"/>
  <c r="Q4307" i="1"/>
  <c r="P4307" i="1" s="1"/>
  <c r="Q4308" i="1"/>
  <c r="P4308" i="1" s="1"/>
  <c r="Q4309" i="1"/>
  <c r="P4309" i="1" s="1"/>
  <c r="Q4310" i="1"/>
  <c r="P4310" i="1" s="1"/>
  <c r="Q4311" i="1"/>
  <c r="P4311" i="1" s="1"/>
  <c r="Q4312" i="1"/>
  <c r="P4312" i="1" s="1"/>
  <c r="Q4313" i="1"/>
  <c r="P4313" i="1" s="1"/>
  <c r="Q4314" i="1"/>
  <c r="P4314" i="1" s="1"/>
  <c r="Q4315" i="1"/>
  <c r="P4315" i="1" s="1"/>
  <c r="Q4316" i="1"/>
  <c r="P4316" i="1" s="1"/>
  <c r="B4296" i="1"/>
  <c r="H4296" i="1"/>
  <c r="K4296" i="1"/>
  <c r="Q4296" i="1"/>
  <c r="P4296" i="1" s="1"/>
  <c r="B4294" i="1"/>
  <c r="B4295" i="1"/>
  <c r="H4294" i="1"/>
  <c r="H4295" i="1"/>
  <c r="J4294" i="1"/>
  <c r="J4295" i="1"/>
  <c r="K4294" i="1"/>
  <c r="K4295" i="1"/>
  <c r="Q4294" i="1"/>
  <c r="P4294" i="1" s="1"/>
  <c r="Q4295" i="1"/>
  <c r="P4295" i="1" s="1"/>
  <c r="B4289" i="1"/>
  <c r="B4290" i="1"/>
  <c r="B4291" i="1"/>
  <c r="B4292" i="1"/>
  <c r="B4293" i="1"/>
  <c r="H4289" i="1"/>
  <c r="H4290" i="1"/>
  <c r="H4291" i="1"/>
  <c r="H4292" i="1"/>
  <c r="H4293" i="1"/>
  <c r="J4289" i="1"/>
  <c r="J4290" i="1"/>
  <c r="J4291" i="1"/>
  <c r="J4292" i="1"/>
  <c r="J4293" i="1"/>
  <c r="K4289" i="1"/>
  <c r="K4290" i="1"/>
  <c r="K4291" i="1"/>
  <c r="K4292" i="1"/>
  <c r="K4293" i="1"/>
  <c r="Q4289" i="1"/>
  <c r="P4289" i="1" s="1"/>
  <c r="Q4290" i="1"/>
  <c r="P4290" i="1" s="1"/>
  <c r="Q4291" i="1"/>
  <c r="P4291" i="1" s="1"/>
  <c r="Q4292" i="1"/>
  <c r="P4292" i="1" s="1"/>
  <c r="Q4293" i="1"/>
  <c r="P4293" i="1" s="1"/>
  <c r="J4284" i="1"/>
  <c r="J4282" i="1"/>
  <c r="J4240" i="1"/>
  <c r="J4228" i="1"/>
  <c r="J4281" i="1"/>
  <c r="J4280" i="1"/>
  <c r="J4263" i="1"/>
  <c r="J4262" i="1"/>
  <c r="J4261" i="1"/>
  <c r="J4260" i="1"/>
  <c r="J4246" i="1"/>
  <c r="J4245" i="1"/>
  <c r="J4243" i="1"/>
  <c r="J4241" i="1"/>
  <c r="J4232" i="1"/>
  <c r="J4231" i="1"/>
  <c r="J4230" i="1"/>
  <c r="J4229" i="1"/>
  <c r="J4227" i="1"/>
  <c r="J4225" i="1"/>
  <c r="J4224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J4275" i="1"/>
  <c r="J4276" i="1"/>
  <c r="J4277" i="1"/>
  <c r="J4278" i="1"/>
  <c r="J4279" i="1"/>
  <c r="J4283" i="1"/>
  <c r="J4285" i="1"/>
  <c r="J4286" i="1"/>
  <c r="J4287" i="1"/>
  <c r="J4288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Q4275" i="1"/>
  <c r="P4275" i="1" s="1"/>
  <c r="Q4276" i="1"/>
  <c r="P4276" i="1" s="1"/>
  <c r="Q4277" i="1"/>
  <c r="P4277" i="1" s="1"/>
  <c r="Q4278" i="1"/>
  <c r="P4278" i="1" s="1"/>
  <c r="Q4279" i="1"/>
  <c r="P4279" i="1" s="1"/>
  <c r="Q4280" i="1"/>
  <c r="P4280" i="1" s="1"/>
  <c r="Q4281" i="1"/>
  <c r="P4281" i="1" s="1"/>
  <c r="Q4282" i="1"/>
  <c r="P4282" i="1" s="1"/>
  <c r="Q4283" i="1"/>
  <c r="P4283" i="1" s="1"/>
  <c r="Q4284" i="1"/>
  <c r="P4284" i="1" s="1"/>
  <c r="Q4285" i="1"/>
  <c r="P4285" i="1" s="1"/>
  <c r="Q4286" i="1"/>
  <c r="P4286" i="1" s="1"/>
  <c r="Q4287" i="1"/>
  <c r="P4287" i="1" s="1"/>
  <c r="Q4288" i="1"/>
  <c r="P4288" i="1" s="1"/>
  <c r="B4273" i="1"/>
  <c r="B4274" i="1"/>
  <c r="H4273" i="1"/>
  <c r="H4274" i="1"/>
  <c r="J4273" i="1"/>
  <c r="J4274" i="1"/>
  <c r="K4273" i="1"/>
  <c r="K4274" i="1"/>
  <c r="Q4273" i="1"/>
  <c r="P4273" i="1" s="1"/>
  <c r="Q4274" i="1"/>
  <c r="P4274" i="1" s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J4226" i="1"/>
  <c r="J4233" i="1"/>
  <c r="J4234" i="1"/>
  <c r="J4235" i="1"/>
  <c r="J4236" i="1"/>
  <c r="J4237" i="1"/>
  <c r="J4238" i="1"/>
  <c r="J4239" i="1"/>
  <c r="J4242" i="1"/>
  <c r="J4244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4" i="1"/>
  <c r="J4265" i="1"/>
  <c r="J4266" i="1"/>
  <c r="J4267" i="1"/>
  <c r="J4268" i="1"/>
  <c r="J4269" i="1"/>
  <c r="J4270" i="1"/>
  <c r="J4271" i="1"/>
  <c r="J4272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Q4225" i="1"/>
  <c r="P4225" i="1" s="1"/>
  <c r="Q4226" i="1"/>
  <c r="P4226" i="1" s="1"/>
  <c r="Q4227" i="1"/>
  <c r="P4227" i="1" s="1"/>
  <c r="Q4228" i="1"/>
  <c r="P4228" i="1" s="1"/>
  <c r="Q4229" i="1"/>
  <c r="P4229" i="1" s="1"/>
  <c r="Q4230" i="1"/>
  <c r="P4230" i="1" s="1"/>
  <c r="Q4231" i="1"/>
  <c r="P4231" i="1" s="1"/>
  <c r="Q4232" i="1"/>
  <c r="P4232" i="1" s="1"/>
  <c r="Q4233" i="1"/>
  <c r="P4233" i="1" s="1"/>
  <c r="Q4234" i="1"/>
  <c r="P4234" i="1" s="1"/>
  <c r="Q4235" i="1"/>
  <c r="P4235" i="1" s="1"/>
  <c r="Q4236" i="1"/>
  <c r="P4236" i="1" s="1"/>
  <c r="Q4237" i="1"/>
  <c r="P4237" i="1" s="1"/>
  <c r="Q4238" i="1"/>
  <c r="P4238" i="1" s="1"/>
  <c r="Q4239" i="1"/>
  <c r="P4239" i="1" s="1"/>
  <c r="Q4240" i="1"/>
  <c r="P4240" i="1" s="1"/>
  <c r="Q4241" i="1"/>
  <c r="P4241" i="1" s="1"/>
  <c r="Q4242" i="1"/>
  <c r="P4242" i="1" s="1"/>
  <c r="Q4243" i="1"/>
  <c r="P4243" i="1" s="1"/>
  <c r="Q4244" i="1"/>
  <c r="P4244" i="1" s="1"/>
  <c r="Q4245" i="1"/>
  <c r="P4245" i="1" s="1"/>
  <c r="Q4246" i="1"/>
  <c r="P4246" i="1" s="1"/>
  <c r="Q4247" i="1"/>
  <c r="P4247" i="1" s="1"/>
  <c r="Q4248" i="1"/>
  <c r="P4248" i="1" s="1"/>
  <c r="Q4249" i="1"/>
  <c r="P4249" i="1" s="1"/>
  <c r="Q4250" i="1"/>
  <c r="P4250" i="1" s="1"/>
  <c r="Q4251" i="1"/>
  <c r="P4251" i="1" s="1"/>
  <c r="Q4252" i="1"/>
  <c r="P4252" i="1" s="1"/>
  <c r="Q4253" i="1"/>
  <c r="P4253" i="1" s="1"/>
  <c r="Q4254" i="1"/>
  <c r="P4254" i="1" s="1"/>
  <c r="Q4255" i="1"/>
  <c r="P4255" i="1" s="1"/>
  <c r="Q4256" i="1"/>
  <c r="P4256" i="1" s="1"/>
  <c r="Q4257" i="1"/>
  <c r="P4257" i="1" s="1"/>
  <c r="Q4258" i="1"/>
  <c r="P4258" i="1" s="1"/>
  <c r="Q4259" i="1"/>
  <c r="P4259" i="1" s="1"/>
  <c r="Q4260" i="1"/>
  <c r="P4260" i="1" s="1"/>
  <c r="Q4261" i="1"/>
  <c r="P4261" i="1" s="1"/>
  <c r="Q4262" i="1"/>
  <c r="P4262" i="1" s="1"/>
  <c r="Q4263" i="1"/>
  <c r="P4263" i="1" s="1"/>
  <c r="Q4264" i="1"/>
  <c r="P4264" i="1" s="1"/>
  <c r="Q4265" i="1"/>
  <c r="P4265" i="1" s="1"/>
  <c r="Q4266" i="1"/>
  <c r="P4266" i="1" s="1"/>
  <c r="Q4267" i="1"/>
  <c r="P4267" i="1" s="1"/>
  <c r="Q4268" i="1"/>
  <c r="P4268" i="1" s="1"/>
  <c r="Q4269" i="1"/>
  <c r="P4269" i="1" s="1"/>
  <c r="Q4270" i="1"/>
  <c r="P4270" i="1" s="1"/>
  <c r="Q4271" i="1"/>
  <c r="P4271" i="1" s="1"/>
  <c r="Q4272" i="1"/>
  <c r="P4272" i="1" s="1"/>
  <c r="B4224" i="1"/>
  <c r="H4224" i="1"/>
  <c r="K4224" i="1"/>
  <c r="Q4224" i="1"/>
  <c r="P4224" i="1" s="1"/>
  <c r="B4223" i="1"/>
  <c r="H4223" i="1"/>
  <c r="J4223" i="1"/>
  <c r="K4223" i="1"/>
  <c r="Q4223" i="1"/>
  <c r="P4223" i="1" s="1"/>
  <c r="J4213" i="1"/>
  <c r="J4211" i="1"/>
  <c r="J4210" i="1"/>
  <c r="J4209" i="1"/>
  <c r="J4208" i="1"/>
  <c r="J4207" i="1"/>
  <c r="J4201" i="1"/>
  <c r="J4200" i="1"/>
  <c r="J4199" i="1"/>
  <c r="J4189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J4212" i="1"/>
  <c r="J4214" i="1"/>
  <c r="J4215" i="1"/>
  <c r="J4216" i="1"/>
  <c r="J4217" i="1"/>
  <c r="J4218" i="1"/>
  <c r="J4219" i="1"/>
  <c r="J4220" i="1"/>
  <c r="J4221" i="1"/>
  <c r="J4222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Q4211" i="1"/>
  <c r="P4211" i="1" s="1"/>
  <c r="Q4212" i="1"/>
  <c r="P4212" i="1" s="1"/>
  <c r="Q4213" i="1"/>
  <c r="P4213" i="1" s="1"/>
  <c r="Q4214" i="1"/>
  <c r="P4214" i="1" s="1"/>
  <c r="Q4215" i="1"/>
  <c r="P4215" i="1" s="1"/>
  <c r="Q4216" i="1"/>
  <c r="P4216" i="1" s="1"/>
  <c r="Q4217" i="1"/>
  <c r="P4217" i="1" s="1"/>
  <c r="Q4218" i="1"/>
  <c r="P4218" i="1" s="1"/>
  <c r="Q4219" i="1"/>
  <c r="P4219" i="1" s="1"/>
  <c r="Q4220" i="1"/>
  <c r="P4220" i="1" s="1"/>
  <c r="Q4221" i="1"/>
  <c r="P4221" i="1" s="1"/>
  <c r="Q4222" i="1"/>
  <c r="P4222" i="1" s="1"/>
  <c r="B4200" i="1"/>
  <c r="B4201" i="1"/>
  <c r="B4202" i="1"/>
  <c r="B4203" i="1"/>
  <c r="B4204" i="1"/>
  <c r="B4205" i="1"/>
  <c r="B4206" i="1"/>
  <c r="B4207" i="1"/>
  <c r="B4208" i="1"/>
  <c r="B4209" i="1"/>
  <c r="B4210" i="1"/>
  <c r="H4200" i="1"/>
  <c r="H4201" i="1"/>
  <c r="H4202" i="1"/>
  <c r="H4203" i="1"/>
  <c r="H4204" i="1"/>
  <c r="H4205" i="1"/>
  <c r="H4206" i="1"/>
  <c r="H4207" i="1"/>
  <c r="H4208" i="1"/>
  <c r="H4209" i="1"/>
  <c r="H4210" i="1"/>
  <c r="J4202" i="1"/>
  <c r="J4203" i="1"/>
  <c r="J4204" i="1"/>
  <c r="J4205" i="1"/>
  <c r="J4206" i="1"/>
  <c r="K4200" i="1"/>
  <c r="K4201" i="1"/>
  <c r="K4202" i="1"/>
  <c r="K4203" i="1"/>
  <c r="K4204" i="1"/>
  <c r="K4205" i="1"/>
  <c r="K4206" i="1"/>
  <c r="K4207" i="1"/>
  <c r="K4208" i="1"/>
  <c r="K4209" i="1"/>
  <c r="K4210" i="1"/>
  <c r="Q4200" i="1"/>
  <c r="P4200" i="1" s="1"/>
  <c r="Q4201" i="1"/>
  <c r="P4201" i="1" s="1"/>
  <c r="Q4202" i="1"/>
  <c r="P4202" i="1" s="1"/>
  <c r="Q4203" i="1"/>
  <c r="P4203" i="1" s="1"/>
  <c r="Q4204" i="1"/>
  <c r="P4204" i="1" s="1"/>
  <c r="Q4205" i="1"/>
  <c r="P4205" i="1" s="1"/>
  <c r="Q4206" i="1"/>
  <c r="P4206" i="1" s="1"/>
  <c r="Q4207" i="1"/>
  <c r="P4207" i="1" s="1"/>
  <c r="Q4208" i="1"/>
  <c r="P4208" i="1" s="1"/>
  <c r="Q4209" i="1"/>
  <c r="P4209" i="1" s="1"/>
  <c r="Q4210" i="1"/>
  <c r="P4210" i="1" s="1"/>
  <c r="B4199" i="1"/>
  <c r="H4199" i="1"/>
  <c r="K4199" i="1"/>
  <c r="Q4199" i="1"/>
  <c r="P4199" i="1" s="1"/>
  <c r="B4196" i="1"/>
  <c r="B4197" i="1"/>
  <c r="B4198" i="1"/>
  <c r="H4196" i="1"/>
  <c r="H4197" i="1"/>
  <c r="H4198" i="1"/>
  <c r="J4196" i="1"/>
  <c r="J4197" i="1"/>
  <c r="J4198" i="1"/>
  <c r="K4196" i="1"/>
  <c r="K4197" i="1"/>
  <c r="K4198" i="1"/>
  <c r="Q4196" i="1"/>
  <c r="P4196" i="1" s="1"/>
  <c r="Q4197" i="1"/>
  <c r="P4197" i="1" s="1"/>
  <c r="Q4198" i="1"/>
  <c r="P4198" i="1" s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J4179" i="1"/>
  <c r="J4180" i="1"/>
  <c r="J4181" i="1"/>
  <c r="J4182" i="1"/>
  <c r="J4183" i="1"/>
  <c r="J4184" i="1"/>
  <c r="J4185" i="1"/>
  <c r="J4186" i="1"/>
  <c r="J4187" i="1"/>
  <c r="J4188" i="1"/>
  <c r="J4190" i="1"/>
  <c r="J4191" i="1"/>
  <c r="J4192" i="1"/>
  <c r="J4193" i="1"/>
  <c r="J4194" i="1"/>
  <c r="J4195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Q4179" i="1"/>
  <c r="P4179" i="1" s="1"/>
  <c r="Q4180" i="1"/>
  <c r="P4180" i="1" s="1"/>
  <c r="Q4181" i="1"/>
  <c r="P4181" i="1" s="1"/>
  <c r="Q4182" i="1"/>
  <c r="P4182" i="1" s="1"/>
  <c r="Q4183" i="1"/>
  <c r="P4183" i="1" s="1"/>
  <c r="Q4184" i="1"/>
  <c r="P4184" i="1" s="1"/>
  <c r="Q4185" i="1"/>
  <c r="P4185" i="1" s="1"/>
  <c r="Q4186" i="1"/>
  <c r="P4186" i="1" s="1"/>
  <c r="Q4187" i="1"/>
  <c r="P4187" i="1" s="1"/>
  <c r="Q4188" i="1"/>
  <c r="P4188" i="1" s="1"/>
  <c r="Q4189" i="1"/>
  <c r="P4189" i="1" s="1"/>
  <c r="Q4190" i="1"/>
  <c r="P4190" i="1" s="1"/>
  <c r="Q4191" i="1"/>
  <c r="P4191" i="1" s="1"/>
  <c r="Q4192" i="1"/>
  <c r="P4192" i="1" s="1"/>
  <c r="Q4193" i="1"/>
  <c r="P4193" i="1" s="1"/>
  <c r="Q4194" i="1"/>
  <c r="P4194" i="1" s="1"/>
  <c r="Q4195" i="1"/>
  <c r="P4195" i="1" s="1"/>
  <c r="B4173" i="1"/>
  <c r="B4174" i="1"/>
  <c r="B4175" i="1"/>
  <c r="B4176" i="1"/>
  <c r="B4177" i="1"/>
  <c r="B4178" i="1"/>
  <c r="H4173" i="1"/>
  <c r="H4174" i="1"/>
  <c r="H4175" i="1"/>
  <c r="H4176" i="1"/>
  <c r="H4177" i="1"/>
  <c r="H4178" i="1"/>
  <c r="J4173" i="1"/>
  <c r="J4174" i="1"/>
  <c r="J4175" i="1"/>
  <c r="J4176" i="1"/>
  <c r="J4177" i="1"/>
  <c r="J4178" i="1"/>
  <c r="K4173" i="1"/>
  <c r="K4174" i="1"/>
  <c r="K4175" i="1"/>
  <c r="K4176" i="1"/>
  <c r="K4177" i="1"/>
  <c r="K4178" i="1"/>
  <c r="Q4173" i="1"/>
  <c r="P4173" i="1" s="1"/>
  <c r="Q4174" i="1"/>
  <c r="P4174" i="1" s="1"/>
  <c r="Q4175" i="1"/>
  <c r="P4175" i="1" s="1"/>
  <c r="Q4176" i="1"/>
  <c r="P4176" i="1" s="1"/>
  <c r="Q4177" i="1"/>
  <c r="P4177" i="1" s="1"/>
  <c r="Q4178" i="1"/>
  <c r="P4178" i="1" s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H4172" i="1"/>
  <c r="J4172" i="1"/>
  <c r="K4172" i="1"/>
  <c r="Q4172" i="1"/>
  <c r="P4172" i="1" s="1"/>
  <c r="H4163" i="1"/>
  <c r="H4164" i="1"/>
  <c r="H4165" i="1"/>
  <c r="H4166" i="1"/>
  <c r="H4167" i="1"/>
  <c r="H4168" i="1"/>
  <c r="H4169" i="1"/>
  <c r="H4170" i="1"/>
  <c r="H4171" i="1"/>
  <c r="J4163" i="1"/>
  <c r="J4164" i="1"/>
  <c r="J4165" i="1"/>
  <c r="J4166" i="1"/>
  <c r="J4167" i="1"/>
  <c r="J4168" i="1"/>
  <c r="J4169" i="1"/>
  <c r="J4170" i="1"/>
  <c r="J4171" i="1"/>
  <c r="K4163" i="1"/>
  <c r="K4164" i="1"/>
  <c r="K4165" i="1"/>
  <c r="K4166" i="1"/>
  <c r="K4167" i="1"/>
  <c r="K4168" i="1"/>
  <c r="K4169" i="1"/>
  <c r="K4170" i="1"/>
  <c r="K4171" i="1"/>
  <c r="Q4163" i="1"/>
  <c r="P4163" i="1" s="1"/>
  <c r="Q4164" i="1"/>
  <c r="P4164" i="1" s="1"/>
  <c r="Q4165" i="1"/>
  <c r="P4165" i="1" s="1"/>
  <c r="Q4166" i="1"/>
  <c r="P4166" i="1" s="1"/>
  <c r="Q4167" i="1"/>
  <c r="P4167" i="1" s="1"/>
  <c r="Q4168" i="1"/>
  <c r="P4168" i="1" s="1"/>
  <c r="Q4169" i="1"/>
  <c r="P4169" i="1" s="1"/>
  <c r="Q4170" i="1"/>
  <c r="P4170" i="1" s="1"/>
  <c r="Q4171" i="1"/>
  <c r="P4171" i="1" s="1"/>
  <c r="H4160" i="1"/>
  <c r="H4161" i="1"/>
  <c r="H4162" i="1"/>
  <c r="J4160" i="1"/>
  <c r="J4161" i="1"/>
  <c r="J4162" i="1"/>
  <c r="K4160" i="1"/>
  <c r="K4161" i="1"/>
  <c r="K4162" i="1"/>
  <c r="Q4160" i="1"/>
  <c r="P4160" i="1" s="1"/>
  <c r="Q4161" i="1"/>
  <c r="P4161" i="1" s="1"/>
  <c r="Q4162" i="1"/>
  <c r="P4162" i="1" s="1"/>
  <c r="K4159" i="1"/>
  <c r="K4158" i="1"/>
  <c r="K4157" i="1"/>
  <c r="K4156" i="1"/>
  <c r="K4155" i="1"/>
  <c r="H4158" i="1"/>
  <c r="H4159" i="1"/>
  <c r="J4158" i="1"/>
  <c r="J4159" i="1"/>
  <c r="Q4158" i="1"/>
  <c r="P4158" i="1" s="1"/>
  <c r="Q4159" i="1"/>
  <c r="P4159" i="1" s="1"/>
  <c r="H4157" i="1"/>
  <c r="J4157" i="1"/>
  <c r="Q4157" i="1"/>
  <c r="P4157" i="1" s="1"/>
  <c r="H4156" i="1"/>
  <c r="J4156" i="1"/>
  <c r="Q4156" i="1"/>
  <c r="P4156" i="1" s="1"/>
  <c r="H4155" i="1"/>
  <c r="J4155" i="1"/>
  <c r="Q4155" i="1"/>
  <c r="P4155" i="1" s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4135" i="1"/>
  <c r="H4131" i="1"/>
  <c r="H4152" i="1"/>
  <c r="H4153" i="1"/>
  <c r="H4154" i="1"/>
  <c r="J4152" i="1"/>
  <c r="J4153" i="1"/>
  <c r="J4154" i="1"/>
  <c r="Q4152" i="1"/>
  <c r="P4152" i="1" s="1"/>
  <c r="Q4153" i="1"/>
  <c r="P4153" i="1" s="1"/>
  <c r="Q4154" i="1"/>
  <c r="P4154" i="1" s="1"/>
  <c r="H4151" i="1"/>
  <c r="J4151" i="1"/>
  <c r="Q4151" i="1"/>
  <c r="P4151" i="1" s="1"/>
  <c r="H4150" i="1"/>
  <c r="J4150" i="1"/>
  <c r="Q4150" i="1"/>
  <c r="P4150" i="1" s="1"/>
  <c r="H4149" i="1"/>
  <c r="J4149" i="1"/>
  <c r="Q4149" i="1"/>
  <c r="P4149" i="1" s="1"/>
  <c r="H4132" i="1"/>
  <c r="H4133" i="1"/>
  <c r="H4134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Q4132" i="1"/>
  <c r="P4132" i="1" s="1"/>
  <c r="Q4133" i="1"/>
  <c r="P4133" i="1" s="1"/>
  <c r="Q4134" i="1"/>
  <c r="P4134" i="1" s="1"/>
  <c r="Q4135" i="1"/>
  <c r="P4135" i="1" s="1"/>
  <c r="Q4136" i="1"/>
  <c r="P4136" i="1" s="1"/>
  <c r="Q4137" i="1"/>
  <c r="P4137" i="1" s="1"/>
  <c r="Q4138" i="1"/>
  <c r="P4138" i="1" s="1"/>
  <c r="Q4139" i="1"/>
  <c r="P4139" i="1" s="1"/>
  <c r="Q4140" i="1"/>
  <c r="P4140" i="1" s="1"/>
  <c r="Q4141" i="1"/>
  <c r="P4141" i="1" s="1"/>
  <c r="Q4142" i="1"/>
  <c r="P4142" i="1" s="1"/>
  <c r="Q4143" i="1"/>
  <c r="P4143" i="1" s="1"/>
  <c r="Q4144" i="1"/>
  <c r="P4144" i="1" s="1"/>
  <c r="Q4145" i="1"/>
  <c r="P4145" i="1" s="1"/>
  <c r="Q4146" i="1"/>
  <c r="P4146" i="1" s="1"/>
  <c r="Q4147" i="1"/>
  <c r="P4147" i="1" s="1"/>
  <c r="Q4148" i="1"/>
  <c r="P4148" i="1" s="1"/>
  <c r="J4131" i="1"/>
  <c r="J4129" i="1"/>
  <c r="J4128" i="1"/>
  <c r="J4126" i="1"/>
  <c r="J4124" i="1"/>
  <c r="J4123" i="1"/>
  <c r="J4122" i="1"/>
  <c r="J4121" i="1"/>
  <c r="Q4131" i="1"/>
  <c r="P4131" i="1" s="1"/>
  <c r="J4127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Q4120" i="1"/>
  <c r="P4120" i="1" s="1"/>
  <c r="Q4121" i="1"/>
  <c r="P4121" i="1" s="1"/>
  <c r="Q4122" i="1"/>
  <c r="P4122" i="1" s="1"/>
  <c r="Q4123" i="1"/>
  <c r="P4123" i="1" s="1"/>
  <c r="Q4124" i="1"/>
  <c r="P4124" i="1" s="1"/>
  <c r="Q4125" i="1"/>
  <c r="P4125" i="1" s="1"/>
  <c r="Q4126" i="1"/>
  <c r="P4126" i="1" s="1"/>
  <c r="Q4127" i="1"/>
  <c r="P4127" i="1" s="1"/>
  <c r="Q4128" i="1"/>
  <c r="P4128" i="1" s="1"/>
  <c r="Q4129" i="1"/>
  <c r="P4129" i="1" s="1"/>
  <c r="Q4130" i="1"/>
  <c r="P4130" i="1" s="1"/>
  <c r="J4119" i="1"/>
  <c r="H4119" i="1"/>
  <c r="Q4119" i="1"/>
  <c r="P4119" i="1" s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Q4006" i="1"/>
  <c r="P4006" i="1" s="1"/>
  <c r="Q4007" i="1"/>
  <c r="P4007" i="1" s="1"/>
  <c r="Q4008" i="1"/>
  <c r="P4008" i="1" s="1"/>
  <c r="Q4009" i="1"/>
  <c r="P4009" i="1" s="1"/>
  <c r="Q4010" i="1"/>
  <c r="P4010" i="1" s="1"/>
  <c r="Q4011" i="1"/>
  <c r="P4011" i="1" s="1"/>
  <c r="Q4012" i="1"/>
  <c r="P4012" i="1" s="1"/>
  <c r="Q4013" i="1"/>
  <c r="P4013" i="1" s="1"/>
  <c r="Q4014" i="1"/>
  <c r="P4014" i="1" s="1"/>
  <c r="Q4015" i="1"/>
  <c r="P4015" i="1" s="1"/>
  <c r="Q4016" i="1"/>
  <c r="P4016" i="1" s="1"/>
  <c r="Q4017" i="1"/>
  <c r="P4017" i="1" s="1"/>
  <c r="Q4018" i="1"/>
  <c r="P4018" i="1" s="1"/>
  <c r="Q4019" i="1"/>
  <c r="P4019" i="1" s="1"/>
  <c r="Q4020" i="1"/>
  <c r="P4020" i="1" s="1"/>
  <c r="Q4021" i="1"/>
  <c r="P4021" i="1" s="1"/>
  <c r="Q4022" i="1"/>
  <c r="P4022" i="1" s="1"/>
  <c r="Q4023" i="1"/>
  <c r="P4023" i="1" s="1"/>
  <c r="Q4024" i="1"/>
  <c r="P4024" i="1" s="1"/>
  <c r="Q4025" i="1"/>
  <c r="P4025" i="1" s="1"/>
  <c r="Q4026" i="1"/>
  <c r="P4026" i="1" s="1"/>
  <c r="Q4027" i="1"/>
  <c r="P4027" i="1" s="1"/>
  <c r="Q4028" i="1"/>
  <c r="P4028" i="1" s="1"/>
  <c r="Q4029" i="1"/>
  <c r="P4029" i="1" s="1"/>
  <c r="Q4030" i="1"/>
  <c r="P4030" i="1" s="1"/>
  <c r="Q4031" i="1"/>
  <c r="P4031" i="1" s="1"/>
  <c r="Q4032" i="1"/>
  <c r="P4032" i="1" s="1"/>
  <c r="Q4033" i="1"/>
  <c r="P4033" i="1" s="1"/>
  <c r="Q4034" i="1"/>
  <c r="P4034" i="1" s="1"/>
  <c r="Q4035" i="1"/>
  <c r="P4035" i="1" s="1"/>
  <c r="Q4036" i="1"/>
  <c r="P4036" i="1" s="1"/>
  <c r="Q4037" i="1"/>
  <c r="P4037" i="1" s="1"/>
  <c r="Q4038" i="1"/>
  <c r="P4038" i="1" s="1"/>
  <c r="Q4039" i="1"/>
  <c r="P4039" i="1" s="1"/>
  <c r="Q4040" i="1"/>
  <c r="P4040" i="1" s="1"/>
  <c r="Q4041" i="1"/>
  <c r="P4041" i="1" s="1"/>
  <c r="Q4042" i="1"/>
  <c r="P4042" i="1" s="1"/>
  <c r="Q4043" i="1"/>
  <c r="P4043" i="1" s="1"/>
  <c r="Q4044" i="1"/>
  <c r="P4044" i="1" s="1"/>
  <c r="Q4045" i="1"/>
  <c r="P4045" i="1" s="1"/>
  <c r="Q4046" i="1"/>
  <c r="P4046" i="1" s="1"/>
  <c r="Q4047" i="1"/>
  <c r="P4047" i="1" s="1"/>
  <c r="Q4048" i="1"/>
  <c r="P4048" i="1" s="1"/>
  <c r="Q4049" i="1"/>
  <c r="P4049" i="1" s="1"/>
  <c r="Q4050" i="1"/>
  <c r="P4050" i="1" s="1"/>
  <c r="Q4051" i="1"/>
  <c r="P4051" i="1" s="1"/>
  <c r="Q4052" i="1"/>
  <c r="P4052" i="1" s="1"/>
  <c r="Q4053" i="1"/>
  <c r="P4053" i="1" s="1"/>
  <c r="Q4054" i="1"/>
  <c r="P4054" i="1" s="1"/>
  <c r="Q4055" i="1"/>
  <c r="P4055" i="1" s="1"/>
  <c r="Q4056" i="1"/>
  <c r="P4056" i="1" s="1"/>
  <c r="Q4057" i="1"/>
  <c r="P4057" i="1" s="1"/>
  <c r="Q4058" i="1"/>
  <c r="P4058" i="1" s="1"/>
  <c r="Q4059" i="1"/>
  <c r="P4059" i="1" s="1"/>
  <c r="Q4060" i="1"/>
  <c r="P4060" i="1" s="1"/>
  <c r="Q4061" i="1"/>
  <c r="P4061" i="1" s="1"/>
  <c r="Q4062" i="1"/>
  <c r="P4062" i="1" s="1"/>
  <c r="Q4063" i="1"/>
  <c r="P4063" i="1" s="1"/>
  <c r="Q4064" i="1"/>
  <c r="P4064" i="1" s="1"/>
  <c r="Q4065" i="1"/>
  <c r="P4065" i="1" s="1"/>
  <c r="Q4066" i="1"/>
  <c r="P4066" i="1" s="1"/>
  <c r="Q4067" i="1"/>
  <c r="P4067" i="1" s="1"/>
  <c r="Q4068" i="1"/>
  <c r="P4068" i="1" s="1"/>
  <c r="Q4069" i="1"/>
  <c r="P4069" i="1" s="1"/>
  <c r="Q4070" i="1"/>
  <c r="P4070" i="1" s="1"/>
  <c r="Q4071" i="1"/>
  <c r="P4071" i="1" s="1"/>
  <c r="Q4072" i="1"/>
  <c r="P4072" i="1" s="1"/>
  <c r="Q4073" i="1"/>
  <c r="P4073" i="1" s="1"/>
  <c r="Q4074" i="1"/>
  <c r="P4074" i="1" s="1"/>
  <c r="Q4075" i="1"/>
  <c r="P4075" i="1" s="1"/>
  <c r="Q4076" i="1"/>
  <c r="P4076" i="1" s="1"/>
  <c r="Q4077" i="1"/>
  <c r="P4077" i="1" s="1"/>
  <c r="Q4078" i="1"/>
  <c r="P4078" i="1" s="1"/>
  <c r="Q4079" i="1"/>
  <c r="P4079" i="1" s="1"/>
  <c r="Q4080" i="1"/>
  <c r="P4080" i="1" s="1"/>
  <c r="Q4081" i="1"/>
  <c r="P4081" i="1" s="1"/>
  <c r="Q4082" i="1"/>
  <c r="P4082" i="1" s="1"/>
  <c r="Q4083" i="1"/>
  <c r="P4083" i="1" s="1"/>
  <c r="Q4084" i="1"/>
  <c r="P4084" i="1" s="1"/>
  <c r="Q4085" i="1"/>
  <c r="P4085" i="1" s="1"/>
  <c r="Q4086" i="1"/>
  <c r="P4086" i="1" s="1"/>
  <c r="Q4087" i="1"/>
  <c r="P4087" i="1" s="1"/>
  <c r="Q4088" i="1"/>
  <c r="P4088" i="1" s="1"/>
  <c r="Q4089" i="1"/>
  <c r="P4089" i="1" s="1"/>
  <c r="Q4090" i="1"/>
  <c r="P4090" i="1" s="1"/>
  <c r="Q4091" i="1"/>
  <c r="P4091" i="1" s="1"/>
  <c r="Q4092" i="1"/>
  <c r="P4092" i="1" s="1"/>
  <c r="Q4093" i="1"/>
  <c r="P4093" i="1" s="1"/>
  <c r="Q4094" i="1"/>
  <c r="P4094" i="1" s="1"/>
  <c r="Q4095" i="1"/>
  <c r="P4095" i="1" s="1"/>
  <c r="Q4096" i="1"/>
  <c r="P4096" i="1" s="1"/>
  <c r="Q4097" i="1"/>
  <c r="P4097" i="1" s="1"/>
  <c r="Q4098" i="1"/>
  <c r="P4098" i="1" s="1"/>
  <c r="Q4099" i="1"/>
  <c r="P4099" i="1" s="1"/>
  <c r="Q4100" i="1"/>
  <c r="P4100" i="1" s="1"/>
  <c r="Q4101" i="1"/>
  <c r="P4101" i="1" s="1"/>
  <c r="Q4102" i="1"/>
  <c r="P4102" i="1" s="1"/>
  <c r="Q4103" i="1"/>
  <c r="P4103" i="1" s="1"/>
  <c r="Q4104" i="1"/>
  <c r="P4104" i="1" s="1"/>
  <c r="Q4105" i="1"/>
  <c r="P4105" i="1" s="1"/>
  <c r="Q4106" i="1"/>
  <c r="P4106" i="1" s="1"/>
  <c r="Q4107" i="1"/>
  <c r="P4107" i="1" s="1"/>
  <c r="Q4108" i="1"/>
  <c r="P4108" i="1" s="1"/>
  <c r="Q4109" i="1"/>
  <c r="P4109" i="1" s="1"/>
  <c r="Q4110" i="1"/>
  <c r="P4110" i="1" s="1"/>
  <c r="Q4111" i="1"/>
  <c r="P4111" i="1" s="1"/>
  <c r="Q4112" i="1"/>
  <c r="P4112" i="1" s="1"/>
  <c r="Q4113" i="1"/>
  <c r="P4113" i="1" s="1"/>
  <c r="Q4114" i="1"/>
  <c r="P4114" i="1" s="1"/>
  <c r="Q4115" i="1"/>
  <c r="P4115" i="1" s="1"/>
  <c r="Q4116" i="1"/>
  <c r="P4116" i="1" s="1"/>
  <c r="Q4117" i="1"/>
  <c r="P4117" i="1" s="1"/>
  <c r="Q4118" i="1"/>
  <c r="P4118" i="1" s="1"/>
  <c r="H4005" i="1"/>
  <c r="J4005" i="1"/>
  <c r="Q4005" i="1"/>
  <c r="P4005" i="1" s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Q3988" i="1"/>
  <c r="P3988" i="1" s="1"/>
  <c r="Q3989" i="1"/>
  <c r="P3989" i="1" s="1"/>
  <c r="Q3990" i="1"/>
  <c r="P3990" i="1" s="1"/>
  <c r="Q3991" i="1"/>
  <c r="P3991" i="1" s="1"/>
  <c r="Q3992" i="1"/>
  <c r="P3992" i="1" s="1"/>
  <c r="Q3993" i="1"/>
  <c r="P3993" i="1" s="1"/>
  <c r="Q3994" i="1"/>
  <c r="P3994" i="1" s="1"/>
  <c r="Q3995" i="1"/>
  <c r="P3995" i="1" s="1"/>
  <c r="Q3996" i="1"/>
  <c r="P3996" i="1" s="1"/>
  <c r="Q3997" i="1"/>
  <c r="P3997" i="1" s="1"/>
  <c r="Q3998" i="1"/>
  <c r="P3998" i="1" s="1"/>
  <c r="Q3999" i="1"/>
  <c r="P3999" i="1" s="1"/>
  <c r="Q4000" i="1"/>
  <c r="P4000" i="1" s="1"/>
  <c r="Q4001" i="1"/>
  <c r="P4001" i="1" s="1"/>
  <c r="Q4002" i="1"/>
  <c r="P4002" i="1" s="1"/>
  <c r="Q4003" i="1"/>
  <c r="P4003" i="1" s="1"/>
  <c r="Q4004" i="1"/>
  <c r="P4004" i="1" s="1"/>
  <c r="H3987" i="1"/>
  <c r="J3987" i="1"/>
  <c r="Q3987" i="1"/>
  <c r="P3987" i="1" s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Q3949" i="1"/>
  <c r="P3949" i="1" s="1"/>
  <c r="Q3950" i="1"/>
  <c r="P3950" i="1" s="1"/>
  <c r="Q3951" i="1"/>
  <c r="P3951" i="1" s="1"/>
  <c r="Q3952" i="1"/>
  <c r="P3952" i="1" s="1"/>
  <c r="Q3953" i="1"/>
  <c r="P3953" i="1" s="1"/>
  <c r="Q3954" i="1"/>
  <c r="P3954" i="1" s="1"/>
  <c r="Q3955" i="1"/>
  <c r="P3955" i="1" s="1"/>
  <c r="Q3956" i="1"/>
  <c r="P3956" i="1" s="1"/>
  <c r="Q3957" i="1"/>
  <c r="P3957" i="1" s="1"/>
  <c r="Q3958" i="1"/>
  <c r="P3958" i="1" s="1"/>
  <c r="Q3959" i="1"/>
  <c r="P3959" i="1" s="1"/>
  <c r="Q3960" i="1"/>
  <c r="P3960" i="1" s="1"/>
  <c r="Q3961" i="1"/>
  <c r="P3961" i="1" s="1"/>
  <c r="Q3962" i="1"/>
  <c r="P3962" i="1" s="1"/>
  <c r="Q3963" i="1"/>
  <c r="P3963" i="1" s="1"/>
  <c r="Q3964" i="1"/>
  <c r="P3964" i="1" s="1"/>
  <c r="Q3965" i="1"/>
  <c r="P3965" i="1" s="1"/>
  <c r="Q3966" i="1"/>
  <c r="P3966" i="1" s="1"/>
  <c r="Q3967" i="1"/>
  <c r="P3967" i="1" s="1"/>
  <c r="Q3968" i="1"/>
  <c r="P3968" i="1" s="1"/>
  <c r="Q3969" i="1"/>
  <c r="P3969" i="1" s="1"/>
  <c r="Q3970" i="1"/>
  <c r="P3970" i="1" s="1"/>
  <c r="Q3971" i="1"/>
  <c r="P3971" i="1" s="1"/>
  <c r="Q3972" i="1"/>
  <c r="P3972" i="1" s="1"/>
  <c r="Q3973" i="1"/>
  <c r="P3973" i="1" s="1"/>
  <c r="Q3974" i="1"/>
  <c r="P3974" i="1" s="1"/>
  <c r="Q3975" i="1"/>
  <c r="P3975" i="1" s="1"/>
  <c r="Q3976" i="1"/>
  <c r="P3976" i="1" s="1"/>
  <c r="Q3977" i="1"/>
  <c r="P3977" i="1" s="1"/>
  <c r="Q3978" i="1"/>
  <c r="P3978" i="1" s="1"/>
  <c r="Q3979" i="1"/>
  <c r="P3979" i="1" s="1"/>
  <c r="Q3980" i="1"/>
  <c r="P3980" i="1" s="1"/>
  <c r="Q3981" i="1"/>
  <c r="P3981" i="1" s="1"/>
  <c r="Q3982" i="1"/>
  <c r="P3982" i="1" s="1"/>
  <c r="Q3983" i="1"/>
  <c r="P3983" i="1" s="1"/>
  <c r="Q3984" i="1"/>
  <c r="P3984" i="1" s="1"/>
  <c r="Q3985" i="1"/>
  <c r="P3985" i="1" s="1"/>
  <c r="Q3986" i="1"/>
  <c r="P3986" i="1" s="1"/>
  <c r="H3948" i="1"/>
  <c r="Q3948" i="1"/>
  <c r="P3948" i="1" s="1"/>
  <c r="H3947" i="1"/>
  <c r="J3947" i="1"/>
  <c r="Q3947" i="1"/>
  <c r="P3947" i="1" s="1"/>
  <c r="C2" i="2"/>
  <c r="B4" i="1" s="1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Q3945" i="1"/>
  <c r="P3945" i="1" s="1"/>
  <c r="Q3946" i="1"/>
  <c r="P3946" i="1" s="1"/>
  <c r="H3944" i="1"/>
  <c r="Q3944" i="1"/>
  <c r="P3944" i="1" s="1"/>
  <c r="H3937" i="1"/>
  <c r="H3938" i="1"/>
  <c r="H3939" i="1"/>
  <c r="H3940" i="1"/>
  <c r="H3941" i="1"/>
  <c r="H3942" i="1"/>
  <c r="H3943" i="1"/>
  <c r="J3943" i="1"/>
  <c r="Q3937" i="1"/>
  <c r="P3937" i="1" s="1"/>
  <c r="Q3938" i="1"/>
  <c r="P3938" i="1" s="1"/>
  <c r="Q3939" i="1"/>
  <c r="P3939" i="1" s="1"/>
  <c r="Q3940" i="1"/>
  <c r="P3940" i="1" s="1"/>
  <c r="Q3941" i="1"/>
  <c r="P3941" i="1" s="1"/>
  <c r="Q3942" i="1"/>
  <c r="P3942" i="1" s="1"/>
  <c r="Q3943" i="1"/>
  <c r="P3943" i="1" s="1"/>
  <c r="H3932" i="1"/>
  <c r="H3933" i="1"/>
  <c r="H3934" i="1"/>
  <c r="H3935" i="1"/>
  <c r="H3936" i="1"/>
  <c r="Q3932" i="1"/>
  <c r="P3932" i="1" s="1"/>
  <c r="Q3933" i="1"/>
  <c r="P3933" i="1" s="1"/>
  <c r="Q3934" i="1"/>
  <c r="P3934" i="1" s="1"/>
  <c r="Q3935" i="1"/>
  <c r="P3935" i="1" s="1"/>
  <c r="Q3936" i="1"/>
  <c r="P3936" i="1" s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Q3818" i="1"/>
  <c r="P3818" i="1" s="1"/>
  <c r="Q3819" i="1"/>
  <c r="P3819" i="1" s="1"/>
  <c r="Q3820" i="1"/>
  <c r="P3820" i="1" s="1"/>
  <c r="Q3821" i="1"/>
  <c r="P3821" i="1" s="1"/>
  <c r="Q3822" i="1"/>
  <c r="P3822" i="1" s="1"/>
  <c r="Q3823" i="1"/>
  <c r="P3823" i="1" s="1"/>
  <c r="Q3824" i="1"/>
  <c r="P3824" i="1" s="1"/>
  <c r="Q3825" i="1"/>
  <c r="P3825" i="1" s="1"/>
  <c r="Q3826" i="1"/>
  <c r="P3826" i="1" s="1"/>
  <c r="Q3827" i="1"/>
  <c r="P3827" i="1" s="1"/>
  <c r="Q3828" i="1"/>
  <c r="P3828" i="1" s="1"/>
  <c r="Q3829" i="1"/>
  <c r="P3829" i="1" s="1"/>
  <c r="Q3830" i="1"/>
  <c r="P3830" i="1" s="1"/>
  <c r="Q3831" i="1"/>
  <c r="P3831" i="1" s="1"/>
  <c r="Q3832" i="1"/>
  <c r="P3832" i="1" s="1"/>
  <c r="Q3833" i="1"/>
  <c r="P3833" i="1" s="1"/>
  <c r="Q3834" i="1"/>
  <c r="P3834" i="1" s="1"/>
  <c r="Q3835" i="1"/>
  <c r="P3835" i="1" s="1"/>
  <c r="Q3836" i="1"/>
  <c r="P3836" i="1" s="1"/>
  <c r="Q3837" i="1"/>
  <c r="P3837" i="1" s="1"/>
  <c r="Q3838" i="1"/>
  <c r="P3838" i="1" s="1"/>
  <c r="Q3839" i="1"/>
  <c r="P3839" i="1" s="1"/>
  <c r="Q3840" i="1"/>
  <c r="P3840" i="1" s="1"/>
  <c r="Q3841" i="1"/>
  <c r="P3841" i="1" s="1"/>
  <c r="Q3842" i="1"/>
  <c r="P3842" i="1" s="1"/>
  <c r="Q3843" i="1"/>
  <c r="P3843" i="1" s="1"/>
  <c r="Q3844" i="1"/>
  <c r="P3844" i="1" s="1"/>
  <c r="Q3845" i="1"/>
  <c r="P3845" i="1" s="1"/>
  <c r="Q3846" i="1"/>
  <c r="P3846" i="1" s="1"/>
  <c r="Q3847" i="1"/>
  <c r="P3847" i="1" s="1"/>
  <c r="Q3848" i="1"/>
  <c r="P3848" i="1" s="1"/>
  <c r="Q3849" i="1"/>
  <c r="P3849" i="1" s="1"/>
  <c r="Q3850" i="1"/>
  <c r="P3850" i="1" s="1"/>
  <c r="Q3851" i="1"/>
  <c r="P3851" i="1" s="1"/>
  <c r="Q3852" i="1"/>
  <c r="P3852" i="1" s="1"/>
  <c r="Q3853" i="1"/>
  <c r="P3853" i="1" s="1"/>
  <c r="Q3854" i="1"/>
  <c r="P3854" i="1" s="1"/>
  <c r="Q3855" i="1"/>
  <c r="P3855" i="1" s="1"/>
  <c r="Q3856" i="1"/>
  <c r="P3856" i="1" s="1"/>
  <c r="Q3857" i="1"/>
  <c r="P3857" i="1" s="1"/>
  <c r="Q3858" i="1"/>
  <c r="P3858" i="1" s="1"/>
  <c r="Q3859" i="1"/>
  <c r="P3859" i="1" s="1"/>
  <c r="Q3860" i="1"/>
  <c r="P3860" i="1" s="1"/>
  <c r="Q3861" i="1"/>
  <c r="P3861" i="1" s="1"/>
  <c r="Q3862" i="1"/>
  <c r="P3862" i="1" s="1"/>
  <c r="Q3863" i="1"/>
  <c r="P3863" i="1" s="1"/>
  <c r="Q3864" i="1"/>
  <c r="P3864" i="1" s="1"/>
  <c r="Q3865" i="1"/>
  <c r="P3865" i="1" s="1"/>
  <c r="Q3866" i="1"/>
  <c r="P3866" i="1" s="1"/>
  <c r="Q3867" i="1"/>
  <c r="P3867" i="1" s="1"/>
  <c r="Q3868" i="1"/>
  <c r="P3868" i="1" s="1"/>
  <c r="Q3869" i="1"/>
  <c r="P3869" i="1" s="1"/>
  <c r="Q3870" i="1"/>
  <c r="P3870" i="1" s="1"/>
  <c r="Q3871" i="1"/>
  <c r="P3871" i="1" s="1"/>
  <c r="Q3872" i="1"/>
  <c r="P3872" i="1" s="1"/>
  <c r="Q3873" i="1"/>
  <c r="P3873" i="1" s="1"/>
  <c r="Q3874" i="1"/>
  <c r="P3874" i="1" s="1"/>
  <c r="Q3875" i="1"/>
  <c r="P3875" i="1" s="1"/>
  <c r="Q3876" i="1"/>
  <c r="P3876" i="1" s="1"/>
  <c r="Q3877" i="1"/>
  <c r="P3877" i="1" s="1"/>
  <c r="Q3878" i="1"/>
  <c r="P3878" i="1" s="1"/>
  <c r="Q3879" i="1"/>
  <c r="P3879" i="1" s="1"/>
  <c r="Q3880" i="1"/>
  <c r="P3880" i="1" s="1"/>
  <c r="Q3881" i="1"/>
  <c r="P3881" i="1" s="1"/>
  <c r="Q3882" i="1"/>
  <c r="P3882" i="1" s="1"/>
  <c r="Q3883" i="1"/>
  <c r="P3883" i="1" s="1"/>
  <c r="Q3884" i="1"/>
  <c r="P3884" i="1" s="1"/>
  <c r="Q3885" i="1"/>
  <c r="P3885" i="1" s="1"/>
  <c r="Q3886" i="1"/>
  <c r="P3886" i="1" s="1"/>
  <c r="Q3887" i="1"/>
  <c r="P3887" i="1" s="1"/>
  <c r="Q3888" i="1"/>
  <c r="P3888" i="1" s="1"/>
  <c r="Q3889" i="1"/>
  <c r="P3889" i="1" s="1"/>
  <c r="Q3890" i="1"/>
  <c r="P3890" i="1" s="1"/>
  <c r="Q3891" i="1"/>
  <c r="P3891" i="1" s="1"/>
  <c r="Q3892" i="1"/>
  <c r="P3892" i="1" s="1"/>
  <c r="Q3893" i="1"/>
  <c r="P3893" i="1" s="1"/>
  <c r="Q3894" i="1"/>
  <c r="P3894" i="1" s="1"/>
  <c r="Q3895" i="1"/>
  <c r="P3895" i="1" s="1"/>
  <c r="Q3896" i="1"/>
  <c r="P3896" i="1" s="1"/>
  <c r="Q3897" i="1"/>
  <c r="P3897" i="1" s="1"/>
  <c r="Q3898" i="1"/>
  <c r="P3898" i="1" s="1"/>
  <c r="Q3899" i="1"/>
  <c r="P3899" i="1" s="1"/>
  <c r="Q3900" i="1"/>
  <c r="P3900" i="1" s="1"/>
  <c r="Q3901" i="1"/>
  <c r="P3901" i="1" s="1"/>
  <c r="Q3902" i="1"/>
  <c r="P3902" i="1" s="1"/>
  <c r="Q3903" i="1"/>
  <c r="P3903" i="1" s="1"/>
  <c r="Q3904" i="1"/>
  <c r="P3904" i="1" s="1"/>
  <c r="Q3905" i="1"/>
  <c r="P3905" i="1" s="1"/>
  <c r="Q3906" i="1"/>
  <c r="P3906" i="1" s="1"/>
  <c r="Q3907" i="1"/>
  <c r="P3907" i="1" s="1"/>
  <c r="Q3908" i="1"/>
  <c r="P3908" i="1" s="1"/>
  <c r="Q3909" i="1"/>
  <c r="P3909" i="1" s="1"/>
  <c r="Q3910" i="1"/>
  <c r="P3910" i="1" s="1"/>
  <c r="Q3911" i="1"/>
  <c r="P3911" i="1" s="1"/>
  <c r="Q3912" i="1"/>
  <c r="P3912" i="1" s="1"/>
  <c r="Q3913" i="1"/>
  <c r="P3913" i="1" s="1"/>
  <c r="Q3914" i="1"/>
  <c r="P3914" i="1" s="1"/>
  <c r="Q3915" i="1"/>
  <c r="P3915" i="1" s="1"/>
  <c r="Q3916" i="1"/>
  <c r="P3916" i="1" s="1"/>
  <c r="Q3917" i="1"/>
  <c r="P3917" i="1" s="1"/>
  <c r="Q3918" i="1"/>
  <c r="P3918" i="1" s="1"/>
  <c r="Q3919" i="1"/>
  <c r="P3919" i="1" s="1"/>
  <c r="Q3920" i="1"/>
  <c r="P3920" i="1" s="1"/>
  <c r="Q3921" i="1"/>
  <c r="P3921" i="1" s="1"/>
  <c r="Q3922" i="1"/>
  <c r="P3922" i="1" s="1"/>
  <c r="Q3923" i="1"/>
  <c r="P3923" i="1" s="1"/>
  <c r="Q3924" i="1"/>
  <c r="P3924" i="1" s="1"/>
  <c r="Q3925" i="1"/>
  <c r="P3925" i="1" s="1"/>
  <c r="Q3926" i="1"/>
  <c r="P3926" i="1" s="1"/>
  <c r="Q3927" i="1"/>
  <c r="P3927" i="1" s="1"/>
  <c r="Q3928" i="1"/>
  <c r="P3928" i="1" s="1"/>
  <c r="Q3929" i="1"/>
  <c r="P3929" i="1" s="1"/>
  <c r="Q3930" i="1"/>
  <c r="P3930" i="1" s="1"/>
  <c r="Q3931" i="1"/>
  <c r="P3931" i="1" s="1"/>
  <c r="J3718" i="1"/>
  <c r="J3702" i="1"/>
  <c r="Q3720" i="1"/>
  <c r="P3720" i="1" s="1"/>
  <c r="Q3721" i="1"/>
  <c r="P3721" i="1" s="1"/>
  <c r="Q3722" i="1"/>
  <c r="P3722" i="1" s="1"/>
  <c r="Q3723" i="1"/>
  <c r="P3723" i="1" s="1"/>
  <c r="Q3724" i="1"/>
  <c r="P3724" i="1" s="1"/>
  <c r="Q3725" i="1"/>
  <c r="P3725" i="1" s="1"/>
  <c r="Q3726" i="1"/>
  <c r="P3726" i="1" s="1"/>
  <c r="Q3727" i="1"/>
  <c r="P3727" i="1" s="1"/>
  <c r="Q3728" i="1"/>
  <c r="P3728" i="1" s="1"/>
  <c r="Q3729" i="1"/>
  <c r="P3729" i="1" s="1"/>
  <c r="Q3730" i="1"/>
  <c r="P3730" i="1" s="1"/>
  <c r="Q3695" i="1"/>
  <c r="P3695" i="1" s="1"/>
  <c r="Q3696" i="1"/>
  <c r="P3696" i="1" s="1"/>
  <c r="Q3697" i="1"/>
  <c r="P3697" i="1" s="1"/>
  <c r="Q3698" i="1"/>
  <c r="P3698" i="1" s="1"/>
  <c r="Q3699" i="1"/>
  <c r="P3699" i="1" s="1"/>
  <c r="Q3700" i="1"/>
  <c r="P3700" i="1" s="1"/>
  <c r="Q3701" i="1"/>
  <c r="P3701" i="1" s="1"/>
  <c r="Q3702" i="1"/>
  <c r="P3702" i="1" s="1"/>
  <c r="Q3703" i="1"/>
  <c r="P3703" i="1" s="1"/>
  <c r="Q3704" i="1"/>
  <c r="P3704" i="1" s="1"/>
  <c r="Q3705" i="1"/>
  <c r="P3705" i="1" s="1"/>
  <c r="Q3706" i="1"/>
  <c r="P3706" i="1" s="1"/>
  <c r="Q3707" i="1"/>
  <c r="P3707" i="1" s="1"/>
  <c r="Q3708" i="1"/>
  <c r="P3708" i="1" s="1"/>
  <c r="Q3709" i="1"/>
  <c r="P3709" i="1" s="1"/>
  <c r="Q3710" i="1"/>
  <c r="P3710" i="1" s="1"/>
  <c r="Q3711" i="1"/>
  <c r="P3711" i="1" s="1"/>
  <c r="Q3712" i="1"/>
  <c r="P3712" i="1" s="1"/>
  <c r="Q3713" i="1"/>
  <c r="P3713" i="1" s="1"/>
  <c r="Q3714" i="1"/>
  <c r="P3714" i="1" s="1"/>
  <c r="Q3715" i="1"/>
  <c r="P3715" i="1" s="1"/>
  <c r="Q3716" i="1"/>
  <c r="P3716" i="1" s="1"/>
  <c r="Q3717" i="1"/>
  <c r="P3717" i="1" s="1"/>
  <c r="Q3718" i="1"/>
  <c r="P3718" i="1" s="1"/>
  <c r="Q3719" i="1"/>
  <c r="P3719" i="1" s="1"/>
  <c r="Q3693" i="1"/>
  <c r="P3693" i="1" s="1"/>
  <c r="Q3692" i="1"/>
  <c r="P3692" i="1" s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Q3800" i="1"/>
  <c r="P3800" i="1" s="1"/>
  <c r="Q3801" i="1"/>
  <c r="P3801" i="1" s="1"/>
  <c r="Q3802" i="1"/>
  <c r="P3802" i="1" s="1"/>
  <c r="Q3803" i="1"/>
  <c r="P3803" i="1" s="1"/>
  <c r="Q3804" i="1"/>
  <c r="P3804" i="1" s="1"/>
  <c r="Q3805" i="1"/>
  <c r="P3805" i="1" s="1"/>
  <c r="Q3806" i="1"/>
  <c r="P3806" i="1" s="1"/>
  <c r="Q3807" i="1"/>
  <c r="P3807" i="1" s="1"/>
  <c r="Q3808" i="1"/>
  <c r="P3808" i="1" s="1"/>
  <c r="Q3809" i="1"/>
  <c r="P3809" i="1" s="1"/>
  <c r="Q3810" i="1"/>
  <c r="P3810" i="1" s="1"/>
  <c r="Q3811" i="1"/>
  <c r="P3811" i="1" s="1"/>
  <c r="Q3812" i="1"/>
  <c r="P3812" i="1" s="1"/>
  <c r="Q3813" i="1"/>
  <c r="P3813" i="1" s="1"/>
  <c r="Q3814" i="1"/>
  <c r="P3814" i="1" s="1"/>
  <c r="Q3815" i="1"/>
  <c r="P3815" i="1" s="1"/>
  <c r="Q3816" i="1"/>
  <c r="P3816" i="1" s="1"/>
  <c r="Q3817" i="1"/>
  <c r="P3817" i="1" s="1"/>
  <c r="H3799" i="1"/>
  <c r="J3799" i="1"/>
  <c r="Q3799" i="1"/>
  <c r="P3799" i="1" s="1"/>
  <c r="H3796" i="1"/>
  <c r="H3797" i="1"/>
  <c r="H3798" i="1"/>
  <c r="J3797" i="1"/>
  <c r="Q3796" i="1"/>
  <c r="P3796" i="1" s="1"/>
  <c r="Q3797" i="1"/>
  <c r="P3797" i="1" s="1"/>
  <c r="Q3798" i="1"/>
  <c r="P3798" i="1" s="1"/>
  <c r="H3795" i="1"/>
  <c r="Q3795" i="1"/>
  <c r="P3795" i="1" s="1"/>
  <c r="H3794" i="1"/>
  <c r="Q3794" i="1"/>
  <c r="P3794" i="1" s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Q3736" i="1"/>
  <c r="P3736" i="1" s="1"/>
  <c r="Q3737" i="1"/>
  <c r="P3737" i="1" s="1"/>
  <c r="Q3738" i="1"/>
  <c r="P3738" i="1" s="1"/>
  <c r="Q3739" i="1"/>
  <c r="P3739" i="1" s="1"/>
  <c r="Q3740" i="1"/>
  <c r="P3740" i="1" s="1"/>
  <c r="Q3741" i="1"/>
  <c r="P3741" i="1" s="1"/>
  <c r="Q3742" i="1"/>
  <c r="P3742" i="1" s="1"/>
  <c r="Q3743" i="1"/>
  <c r="P3743" i="1" s="1"/>
  <c r="Q3744" i="1"/>
  <c r="P3744" i="1" s="1"/>
  <c r="Q3745" i="1"/>
  <c r="P3745" i="1" s="1"/>
  <c r="Q3746" i="1"/>
  <c r="P3746" i="1" s="1"/>
  <c r="Q3747" i="1"/>
  <c r="P3747" i="1" s="1"/>
  <c r="Q3748" i="1"/>
  <c r="P3748" i="1" s="1"/>
  <c r="Q3749" i="1"/>
  <c r="P3749" i="1" s="1"/>
  <c r="Q3750" i="1"/>
  <c r="P3750" i="1" s="1"/>
  <c r="Q3751" i="1"/>
  <c r="P3751" i="1" s="1"/>
  <c r="Q3752" i="1"/>
  <c r="P3752" i="1" s="1"/>
  <c r="Q3753" i="1"/>
  <c r="P3753" i="1" s="1"/>
  <c r="Q3754" i="1"/>
  <c r="P3754" i="1" s="1"/>
  <c r="Q3755" i="1"/>
  <c r="P3755" i="1" s="1"/>
  <c r="Q3756" i="1"/>
  <c r="P3756" i="1" s="1"/>
  <c r="Q3757" i="1"/>
  <c r="P3757" i="1" s="1"/>
  <c r="Q3758" i="1"/>
  <c r="P3758" i="1" s="1"/>
  <c r="Q3759" i="1"/>
  <c r="P3759" i="1" s="1"/>
  <c r="Q3760" i="1"/>
  <c r="P3760" i="1" s="1"/>
  <c r="Q3761" i="1"/>
  <c r="P3761" i="1" s="1"/>
  <c r="Q3762" i="1"/>
  <c r="P3762" i="1" s="1"/>
  <c r="Q3763" i="1"/>
  <c r="P3763" i="1" s="1"/>
  <c r="Q3764" i="1"/>
  <c r="P3764" i="1" s="1"/>
  <c r="Q3765" i="1"/>
  <c r="P3765" i="1" s="1"/>
  <c r="Q3766" i="1"/>
  <c r="P3766" i="1" s="1"/>
  <c r="Q3767" i="1"/>
  <c r="P3767" i="1" s="1"/>
  <c r="Q3768" i="1"/>
  <c r="P3768" i="1" s="1"/>
  <c r="Q3769" i="1"/>
  <c r="P3769" i="1" s="1"/>
  <c r="Q3770" i="1"/>
  <c r="P3770" i="1" s="1"/>
  <c r="Q3771" i="1"/>
  <c r="P3771" i="1" s="1"/>
  <c r="Q3772" i="1"/>
  <c r="P3772" i="1" s="1"/>
  <c r="Q3773" i="1"/>
  <c r="P3773" i="1" s="1"/>
  <c r="Q3774" i="1"/>
  <c r="P3774" i="1" s="1"/>
  <c r="Q3775" i="1"/>
  <c r="P3775" i="1" s="1"/>
  <c r="Q3776" i="1"/>
  <c r="P3776" i="1" s="1"/>
  <c r="Q3777" i="1"/>
  <c r="P3777" i="1" s="1"/>
  <c r="Q3778" i="1"/>
  <c r="P3778" i="1" s="1"/>
  <c r="Q3779" i="1"/>
  <c r="P3779" i="1" s="1"/>
  <c r="Q3780" i="1"/>
  <c r="P3780" i="1" s="1"/>
  <c r="Q3781" i="1"/>
  <c r="P3781" i="1" s="1"/>
  <c r="Q3782" i="1"/>
  <c r="P3782" i="1" s="1"/>
  <c r="Q3783" i="1"/>
  <c r="P3783" i="1" s="1"/>
  <c r="Q3784" i="1"/>
  <c r="P3784" i="1" s="1"/>
  <c r="Q3785" i="1"/>
  <c r="P3785" i="1" s="1"/>
  <c r="Q3786" i="1"/>
  <c r="P3786" i="1" s="1"/>
  <c r="Q3787" i="1"/>
  <c r="P3787" i="1" s="1"/>
  <c r="Q3788" i="1"/>
  <c r="P3788" i="1" s="1"/>
  <c r="Q3789" i="1"/>
  <c r="P3789" i="1" s="1"/>
  <c r="Q3790" i="1"/>
  <c r="P3790" i="1" s="1"/>
  <c r="Q3791" i="1"/>
  <c r="P3791" i="1" s="1"/>
  <c r="Q3792" i="1"/>
  <c r="P3792" i="1" s="1"/>
  <c r="Q3793" i="1"/>
  <c r="P3793" i="1" s="1"/>
  <c r="H3735" i="1"/>
  <c r="Q3735" i="1"/>
  <c r="P3735" i="1" s="1"/>
  <c r="H3734" i="1"/>
  <c r="Q3734" i="1"/>
  <c r="P3734" i="1" s="1"/>
  <c r="H3733" i="1"/>
  <c r="J3733" i="1"/>
  <c r="Q3733" i="1"/>
  <c r="P3733" i="1" s="1"/>
  <c r="H3732" i="1"/>
  <c r="J3732" i="1"/>
  <c r="Q3732" i="1"/>
  <c r="P3732" i="1" s="1"/>
  <c r="H3731" i="1"/>
  <c r="J3731" i="1"/>
  <c r="Q3731" i="1"/>
  <c r="P3731" i="1" s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Q3662" i="1"/>
  <c r="P3662" i="1" s="1"/>
  <c r="Q3663" i="1"/>
  <c r="P3663" i="1" s="1"/>
  <c r="Q3664" i="1"/>
  <c r="P3664" i="1" s="1"/>
  <c r="Q3665" i="1"/>
  <c r="P3665" i="1" s="1"/>
  <c r="Q3666" i="1"/>
  <c r="P3666" i="1" s="1"/>
  <c r="Q3667" i="1"/>
  <c r="P3667" i="1" s="1"/>
  <c r="Q3668" i="1"/>
  <c r="P3668" i="1" s="1"/>
  <c r="Q3669" i="1"/>
  <c r="P3669" i="1" s="1"/>
  <c r="Q3670" i="1"/>
  <c r="P3670" i="1" s="1"/>
  <c r="Q3671" i="1"/>
  <c r="P3671" i="1" s="1"/>
  <c r="Q3672" i="1"/>
  <c r="P3672" i="1" s="1"/>
  <c r="Q3673" i="1"/>
  <c r="P3673" i="1" s="1"/>
  <c r="Q3674" i="1"/>
  <c r="P3674" i="1" s="1"/>
  <c r="Q3675" i="1"/>
  <c r="P3675" i="1" s="1"/>
  <c r="Q3676" i="1"/>
  <c r="P3676" i="1" s="1"/>
  <c r="Q3677" i="1"/>
  <c r="P3677" i="1" s="1"/>
  <c r="Q3678" i="1"/>
  <c r="P3678" i="1" s="1"/>
  <c r="Q3679" i="1"/>
  <c r="P3679" i="1" s="1"/>
  <c r="Q3680" i="1"/>
  <c r="P3680" i="1" s="1"/>
  <c r="Q3681" i="1"/>
  <c r="P3681" i="1" s="1"/>
  <c r="Q3682" i="1"/>
  <c r="P3682" i="1" s="1"/>
  <c r="Q3683" i="1"/>
  <c r="P3683" i="1" s="1"/>
  <c r="Q3684" i="1"/>
  <c r="P3684" i="1" s="1"/>
  <c r="Q3685" i="1"/>
  <c r="P3685" i="1" s="1"/>
  <c r="Q3686" i="1"/>
  <c r="P3686" i="1" s="1"/>
  <c r="Q3687" i="1"/>
  <c r="P3687" i="1" s="1"/>
  <c r="Q3688" i="1"/>
  <c r="P3688" i="1" s="1"/>
  <c r="Q3689" i="1"/>
  <c r="P3689" i="1" s="1"/>
  <c r="Q3690" i="1"/>
  <c r="P3690" i="1" s="1"/>
  <c r="Q3691" i="1"/>
  <c r="P3691" i="1" s="1"/>
  <c r="Q3694" i="1"/>
  <c r="P3694" i="1" s="1"/>
  <c r="H3661" i="1"/>
  <c r="J3661" i="1"/>
  <c r="Q3661" i="1"/>
  <c r="P3661" i="1" s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Q3650" i="1"/>
  <c r="P3650" i="1" s="1"/>
  <c r="Q3651" i="1"/>
  <c r="P3651" i="1" s="1"/>
  <c r="Q3652" i="1"/>
  <c r="P3652" i="1" s="1"/>
  <c r="Q3653" i="1"/>
  <c r="P3653" i="1" s="1"/>
  <c r="Q3654" i="1"/>
  <c r="P3654" i="1" s="1"/>
  <c r="Q3655" i="1"/>
  <c r="P3655" i="1" s="1"/>
  <c r="Q3656" i="1"/>
  <c r="P3656" i="1" s="1"/>
  <c r="Q3657" i="1"/>
  <c r="P3657" i="1" s="1"/>
  <c r="Q3658" i="1"/>
  <c r="P3658" i="1" s="1"/>
  <c r="Q3659" i="1"/>
  <c r="P3659" i="1" s="1"/>
  <c r="Q3660" i="1"/>
  <c r="P3660" i="1" s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Q3633" i="1"/>
  <c r="P3633" i="1" s="1"/>
  <c r="Q3634" i="1"/>
  <c r="P3634" i="1" s="1"/>
  <c r="Q3635" i="1"/>
  <c r="P3635" i="1" s="1"/>
  <c r="Q3636" i="1"/>
  <c r="P3636" i="1" s="1"/>
  <c r="Q3637" i="1"/>
  <c r="P3637" i="1" s="1"/>
  <c r="Q3638" i="1"/>
  <c r="P3638" i="1" s="1"/>
  <c r="Q3639" i="1"/>
  <c r="P3639" i="1" s="1"/>
  <c r="Q3640" i="1"/>
  <c r="P3640" i="1" s="1"/>
  <c r="Q3641" i="1"/>
  <c r="P3641" i="1" s="1"/>
  <c r="Q3642" i="1"/>
  <c r="P3642" i="1" s="1"/>
  <c r="Q3643" i="1"/>
  <c r="P3643" i="1" s="1"/>
  <c r="Q3644" i="1"/>
  <c r="P3644" i="1" s="1"/>
  <c r="Q3645" i="1"/>
  <c r="P3645" i="1" s="1"/>
  <c r="Q3646" i="1"/>
  <c r="P3646" i="1" s="1"/>
  <c r="Q3647" i="1"/>
  <c r="P3647" i="1" s="1"/>
  <c r="Q3648" i="1"/>
  <c r="P3648" i="1" s="1"/>
  <c r="Q3649" i="1"/>
  <c r="P3649" i="1" s="1"/>
  <c r="H3632" i="1"/>
  <c r="J3632" i="1"/>
  <c r="Q3632" i="1"/>
  <c r="P3632" i="1" s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Q3631" i="1"/>
  <c r="P3631" i="1" s="1"/>
  <c r="J3620" i="1"/>
  <c r="J3615" i="1"/>
  <c r="J3603" i="1"/>
  <c r="J3602" i="1"/>
  <c r="J3538" i="1"/>
  <c r="J3537" i="1"/>
  <c r="J3536" i="1"/>
  <c r="H3630" i="1"/>
  <c r="J3630" i="1"/>
  <c r="Q3630" i="1"/>
  <c r="P3630" i="1" s="1"/>
  <c r="H3629" i="1"/>
  <c r="J3629" i="1"/>
  <c r="Q3629" i="1"/>
  <c r="P3629" i="1" s="1"/>
  <c r="H3628" i="1"/>
  <c r="J3628" i="1"/>
  <c r="Q3628" i="1"/>
  <c r="P3628" i="1" s="1"/>
  <c r="H3622" i="1"/>
  <c r="H3623" i="1"/>
  <c r="H3624" i="1"/>
  <c r="H3625" i="1"/>
  <c r="H3626" i="1"/>
  <c r="H3627" i="1"/>
  <c r="J3625" i="1"/>
  <c r="J3626" i="1"/>
  <c r="J3627" i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H3621" i="1"/>
  <c r="Q3621" i="1"/>
  <c r="P3621" i="1" s="1"/>
  <c r="H3620" i="1"/>
  <c r="Q3620" i="1"/>
  <c r="P3620" i="1" s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H3608" i="1"/>
  <c r="Q3608" i="1"/>
  <c r="P3608" i="1" s="1"/>
  <c r="H3607" i="1"/>
  <c r="J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Q3603" i="1"/>
  <c r="P3603" i="1" s="1"/>
  <c r="Q3604" i="1"/>
  <c r="P3604" i="1" s="1"/>
  <c r="Q3605" i="1"/>
  <c r="P3605" i="1" s="1"/>
  <c r="Q3606" i="1"/>
  <c r="P3606" i="1" s="1"/>
  <c r="H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Q3601" i="1"/>
  <c r="P3601" i="1" s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H3589" i="1"/>
  <c r="Q3589" i="1"/>
  <c r="P3589" i="1" s="1"/>
  <c r="H3584" i="1"/>
  <c r="H3585" i="1"/>
  <c r="H3586" i="1"/>
  <c r="H3587" i="1"/>
  <c r="H3588" i="1"/>
  <c r="J3584" i="1"/>
  <c r="J3585" i="1"/>
  <c r="Q3584" i="1"/>
  <c r="P3584" i="1" s="1"/>
  <c r="Q3585" i="1"/>
  <c r="P3585" i="1" s="1"/>
  <c r="Q3586" i="1"/>
  <c r="P3586" i="1" s="1"/>
  <c r="Q3587" i="1"/>
  <c r="P3587" i="1" s="1"/>
  <c r="Q3588" i="1"/>
  <c r="P3588" i="1" s="1"/>
  <c r="H3583" i="1"/>
  <c r="J3583" i="1"/>
  <c r="Q3583" i="1"/>
  <c r="P3583" i="1" s="1"/>
  <c r="J3488" i="1"/>
  <c r="J3486" i="1"/>
  <c r="H3582" i="1"/>
  <c r="J3582" i="1"/>
  <c r="Q3582" i="1"/>
  <c r="P3582" i="1" s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H3487" i="1"/>
  <c r="H3488" i="1"/>
  <c r="Q3487" i="1"/>
  <c r="P3487" i="1" s="1"/>
  <c r="Q3488" i="1"/>
  <c r="P3488" i="1" s="1"/>
  <c r="H3486" i="1"/>
  <c r="Q3486" i="1"/>
  <c r="P3486" i="1" s="1"/>
  <c r="J3485" i="1"/>
  <c r="J3484" i="1"/>
  <c r="J3483" i="1"/>
  <c r="J3482" i="1"/>
  <c r="J3478" i="1"/>
  <c r="H3480" i="1"/>
  <c r="H3481" i="1"/>
  <c r="H3482" i="1"/>
  <c r="H3483" i="1"/>
  <c r="H3484" i="1"/>
  <c r="H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H3479" i="1"/>
  <c r="Q3479" i="1"/>
  <c r="P3479" i="1" s="1"/>
  <c r="H3478" i="1"/>
  <c r="Q3478" i="1"/>
  <c r="P3478" i="1" s="1"/>
  <c r="H3477" i="1"/>
  <c r="J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H3460" i="1"/>
  <c r="H3461" i="1"/>
  <c r="H3462" i="1"/>
  <c r="H3463" i="1"/>
  <c r="H3464" i="1"/>
  <c r="H3465" i="1"/>
  <c r="H3466" i="1"/>
  <c r="J3460" i="1"/>
  <c r="J3464" i="1"/>
  <c r="J3465" i="1"/>
  <c r="J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H3459" i="1"/>
  <c r="J3459" i="1"/>
  <c r="Q3459" i="1"/>
  <c r="P3459" i="1" s="1"/>
  <c r="H3458" i="1"/>
  <c r="J3458" i="1"/>
  <c r="Q3458" i="1"/>
  <c r="P3458" i="1" s="1"/>
  <c r="H3457" i="1"/>
  <c r="J3457" i="1"/>
  <c r="Q3457" i="1"/>
  <c r="P3457" i="1" s="1"/>
  <c r="H3456" i="1"/>
  <c r="J3456" i="1"/>
  <c r="Q3456" i="1"/>
  <c r="P3456" i="1" s="1"/>
  <c r="H3455" i="1"/>
  <c r="J3455" i="1"/>
  <c r="Q3455" i="1"/>
  <c r="P3455" i="1" s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H3436" i="1"/>
  <c r="J3436" i="1"/>
  <c r="Q3436" i="1"/>
  <c r="P3436" i="1" s="1"/>
  <c r="H3435" i="1"/>
  <c r="Q3435" i="1"/>
  <c r="P3435" i="1" s="1"/>
  <c r="H3434" i="1"/>
  <c r="Q3434" i="1"/>
  <c r="P3434" i="1" s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H2919" i="1"/>
  <c r="J2919" i="1"/>
  <c r="Q2919" i="1"/>
  <c r="P2919" i="1" s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H2911" i="1"/>
  <c r="J2911" i="1"/>
  <c r="Q2911" i="1"/>
  <c r="P2911" i="1" s="1"/>
  <c r="H2908" i="1"/>
  <c r="H2909" i="1"/>
  <c r="H2910" i="1"/>
  <c r="J2908" i="1"/>
  <c r="J2909" i="1"/>
  <c r="J2910" i="1"/>
  <c r="Q2908" i="1"/>
  <c r="P2908" i="1" s="1"/>
  <c r="Q2909" i="1"/>
  <c r="P2909" i="1" s="1"/>
  <c r="Q2910" i="1"/>
  <c r="P2910" i="1" s="1"/>
  <c r="H2907" i="1"/>
  <c r="J2907" i="1"/>
  <c r="Q2907" i="1"/>
  <c r="P2907" i="1" s="1"/>
  <c r="H2906" i="1"/>
  <c r="J2906" i="1"/>
  <c r="Q2906" i="1"/>
  <c r="P2906" i="1" s="1"/>
  <c r="H2905" i="1"/>
  <c r="Q2905" i="1"/>
  <c r="P2905" i="1" s="1"/>
  <c r="H2903" i="1"/>
  <c r="H2904" i="1"/>
  <c r="J2904" i="1"/>
  <c r="Q2903" i="1"/>
  <c r="P2903" i="1" s="1"/>
  <c r="Q2904" i="1"/>
  <c r="P2904" i="1" s="1"/>
  <c r="H2902" i="1"/>
  <c r="J2902" i="1"/>
  <c r="Q2902" i="1"/>
  <c r="P2902" i="1" s="1"/>
  <c r="H2900" i="1"/>
  <c r="H2901" i="1"/>
  <c r="J2900" i="1"/>
  <c r="J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Q2898" i="1"/>
  <c r="P2898" i="1" s="1"/>
  <c r="Q2899" i="1"/>
  <c r="P2899" i="1" s="1"/>
  <c r="H2897" i="1"/>
  <c r="J2897" i="1"/>
  <c r="Q2897" i="1"/>
  <c r="P2897" i="1" s="1"/>
  <c r="H2890" i="1"/>
  <c r="H2891" i="1"/>
  <c r="H2892" i="1"/>
  <c r="H2893" i="1"/>
  <c r="H2894" i="1"/>
  <c r="H2895" i="1"/>
  <c r="H2896" i="1"/>
  <c r="J2890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H2872" i="1"/>
  <c r="Q2872" i="1"/>
  <c r="P2872" i="1" s="1"/>
  <c r="J2870" i="1"/>
  <c r="J2869" i="1"/>
  <c r="J2868" i="1"/>
  <c r="J2867" i="1"/>
  <c r="J2866" i="1"/>
  <c r="J2863" i="1"/>
  <c r="J2860" i="1"/>
  <c r="H2871" i="1"/>
  <c r="Q2871" i="1"/>
  <c r="P2871" i="1" s="1"/>
  <c r="J2861" i="1"/>
  <c r="J2865" i="1"/>
  <c r="H2870" i="1"/>
  <c r="Q2870" i="1"/>
  <c r="P2870" i="1" s="1"/>
  <c r="H2869" i="1"/>
  <c r="Q2869" i="1"/>
  <c r="P2869" i="1" s="1"/>
  <c r="H2868" i="1"/>
  <c r="Q2868" i="1"/>
  <c r="P2868" i="1" s="1"/>
  <c r="H2864" i="1"/>
  <c r="H2865" i="1"/>
  <c r="H2866" i="1"/>
  <c r="H2867" i="1"/>
  <c r="Q2864" i="1"/>
  <c r="P2864" i="1" s="1"/>
  <c r="Q2865" i="1"/>
  <c r="P2865" i="1" s="1"/>
  <c r="Q2866" i="1"/>
  <c r="P2866" i="1" s="1"/>
  <c r="Q2867" i="1"/>
  <c r="P2867" i="1" s="1"/>
  <c r="H2863" i="1"/>
  <c r="Q2863" i="1"/>
  <c r="P2863" i="1" s="1"/>
  <c r="J2862" i="1"/>
  <c r="J2859" i="1"/>
  <c r="J2858" i="1"/>
  <c r="J2857" i="1"/>
  <c r="H2862" i="1"/>
  <c r="Q2862" i="1"/>
  <c r="P2862" i="1" s="1"/>
  <c r="H2861" i="1"/>
  <c r="Q2861" i="1"/>
  <c r="P2861" i="1" s="1"/>
  <c r="H2860" i="1"/>
  <c r="Q2860" i="1"/>
  <c r="P2860" i="1" s="1"/>
  <c r="H2858" i="1"/>
  <c r="H2859" i="1"/>
  <c r="Q2858" i="1"/>
  <c r="P2858" i="1" s="1"/>
  <c r="Q2859" i="1"/>
  <c r="P2859" i="1" s="1"/>
  <c r="H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H2856" i="1"/>
  <c r="J2856" i="1"/>
  <c r="Q2856" i="1"/>
  <c r="P2856" i="1" s="1"/>
  <c r="H2855" i="1"/>
  <c r="J2855" i="1"/>
  <c r="Q2855" i="1"/>
  <c r="P2855" i="1" s="1"/>
  <c r="H2854" i="1"/>
  <c r="J2854" i="1"/>
  <c r="Q2854" i="1"/>
  <c r="P2854" i="1" s="1"/>
  <c r="J2853" i="1"/>
  <c r="J2852" i="1"/>
  <c r="J2851" i="1"/>
  <c r="J2848" i="1"/>
  <c r="J2843" i="1"/>
  <c r="J2850" i="1"/>
  <c r="J2849" i="1"/>
  <c r="H2853" i="1"/>
  <c r="Q2853" i="1"/>
  <c r="P2853" i="1" s="1"/>
  <c r="H2852" i="1"/>
  <c r="Q2852" i="1"/>
  <c r="P2852" i="1" s="1"/>
  <c r="H2850" i="1"/>
  <c r="H2851" i="1"/>
  <c r="Q2850" i="1"/>
  <c r="P2850" i="1" s="1"/>
  <c r="Q2851" i="1"/>
  <c r="P2851" i="1" s="1"/>
  <c r="H2849" i="1"/>
  <c r="Q2849" i="1"/>
  <c r="P2849" i="1" s="1"/>
  <c r="H2848" i="1"/>
  <c r="Q2848" i="1"/>
  <c r="P2848" i="1" s="1"/>
  <c r="J2847" i="1"/>
  <c r="J2846" i="1"/>
  <c r="J2845" i="1"/>
  <c r="J2844" i="1"/>
  <c r="J2842" i="1"/>
  <c r="J2837" i="1"/>
  <c r="J2836" i="1"/>
  <c r="J2835" i="1"/>
  <c r="H2846" i="1"/>
  <c r="H2847" i="1"/>
  <c r="Q2846" i="1"/>
  <c r="P2846" i="1" s="1"/>
  <c r="Q2847" i="1"/>
  <c r="P2847" i="1" s="1"/>
  <c r="H2845" i="1"/>
  <c r="Q2845" i="1"/>
  <c r="P2845" i="1" s="1"/>
  <c r="J2838" i="1"/>
  <c r="H2844" i="1"/>
  <c r="Q2844" i="1"/>
  <c r="P2844" i="1" s="1"/>
  <c r="H2843" i="1"/>
  <c r="Q2843" i="1"/>
  <c r="P2843" i="1" s="1"/>
  <c r="H2836" i="1"/>
  <c r="H2837" i="1"/>
  <c r="H2838" i="1"/>
  <c r="H2839" i="1"/>
  <c r="H2840" i="1"/>
  <c r="H2841" i="1"/>
  <c r="H2842" i="1"/>
  <c r="J2839" i="1"/>
  <c r="J2840" i="1"/>
  <c r="J2841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H2835" i="1"/>
  <c r="Q2835" i="1"/>
  <c r="P2835" i="1" s="1"/>
  <c r="H2833" i="1"/>
  <c r="H2834" i="1"/>
  <c r="J2833" i="1"/>
  <c r="J2834" i="1"/>
  <c r="Q2833" i="1"/>
  <c r="P2833" i="1" s="1"/>
  <c r="Q2834" i="1"/>
  <c r="P2834" i="1" s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H2821" i="1"/>
  <c r="J2821" i="1"/>
  <c r="Q2821" i="1"/>
  <c r="P2821" i="1" s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H2813" i="1"/>
  <c r="J2813" i="1"/>
  <c r="Q2813" i="1"/>
  <c r="P2813" i="1" s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H2502" i="1"/>
  <c r="J2502" i="1"/>
  <c r="Q2502" i="1"/>
  <c r="P2502" i="1" s="1"/>
  <c r="H2501" i="1"/>
  <c r="J2501" i="1"/>
  <c r="Q2501" i="1"/>
  <c r="P2501" i="1" s="1"/>
  <c r="H2500" i="1"/>
  <c r="J2500" i="1"/>
  <c r="Q2500" i="1"/>
  <c r="P2500" i="1" s="1"/>
  <c r="H2499" i="1"/>
  <c r="J2499" i="1"/>
  <c r="Q2499" i="1"/>
  <c r="P2499" i="1" s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H2430" i="1"/>
  <c r="J2430" i="1"/>
  <c r="Q2430" i="1"/>
  <c r="P2430" i="1" s="1"/>
  <c r="H2429" i="1"/>
  <c r="J2429" i="1"/>
  <c r="Q2429" i="1"/>
  <c r="P2429" i="1" s="1"/>
  <c r="H2428" i="1"/>
  <c r="J2428" i="1"/>
  <c r="Q2428" i="1"/>
  <c r="P2428" i="1" s="1"/>
  <c r="H2427" i="1"/>
  <c r="J2427" i="1"/>
  <c r="Q2427" i="1"/>
  <c r="P2427" i="1" s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H2418" i="1"/>
  <c r="J2418" i="1"/>
  <c r="Q2418" i="1"/>
  <c r="P2418" i="1" s="1"/>
  <c r="H2417" i="1"/>
  <c r="J2417" i="1"/>
  <c r="Q2417" i="1"/>
  <c r="P2417" i="1" s="1"/>
  <c r="H2416" i="1"/>
  <c r="J2416" i="1"/>
  <c r="Q2416" i="1"/>
  <c r="P2416" i="1" s="1"/>
  <c r="H2415" i="1"/>
  <c r="J2415" i="1"/>
  <c r="Q2415" i="1"/>
  <c r="P2415" i="1" s="1"/>
  <c r="H2414" i="1"/>
  <c r="J2414" i="1"/>
  <c r="Q2414" i="1"/>
  <c r="P2414" i="1" s="1"/>
  <c r="H2413" i="1"/>
  <c r="J2413" i="1"/>
  <c r="Q2413" i="1"/>
  <c r="P2413" i="1" s="1"/>
  <c r="H2409" i="1"/>
  <c r="H2410" i="1"/>
  <c r="H2411" i="1"/>
  <c r="H2412" i="1"/>
  <c r="J2409" i="1"/>
  <c r="J2410" i="1"/>
  <c r="J2411" i="1"/>
  <c r="J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Q2408" i="1"/>
  <c r="P2408" i="1" s="1"/>
  <c r="H2407" i="1"/>
  <c r="J2407" i="1"/>
  <c r="Q2407" i="1"/>
  <c r="P2407" i="1" s="1"/>
  <c r="H2406" i="1"/>
  <c r="Q2406" i="1"/>
  <c r="P2406" i="1" s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H2310" i="1"/>
  <c r="J2310" i="1"/>
  <c r="Q2310" i="1"/>
  <c r="P2310" i="1" s="1"/>
  <c r="H2305" i="1"/>
  <c r="H2306" i="1"/>
  <c r="H2307" i="1"/>
  <c r="H2308" i="1"/>
  <c r="H2309" i="1"/>
  <c r="J2305" i="1"/>
  <c r="J2306" i="1"/>
  <c r="J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H2304" i="1"/>
  <c r="J2304" i="1"/>
  <c r="Q2304" i="1"/>
  <c r="P2304" i="1" s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H2269" i="1"/>
  <c r="J2269" i="1"/>
  <c r="Q2269" i="1"/>
  <c r="P2269" i="1" s="1"/>
  <c r="H1513" i="1"/>
  <c r="H1515" i="1"/>
  <c r="J1515" i="1"/>
  <c r="Q1515" i="1"/>
  <c r="P1515" i="1" s="1"/>
  <c r="H1516" i="1"/>
  <c r="J1516" i="1"/>
  <c r="Q1516" i="1"/>
  <c r="P1516" i="1" s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H2261" i="1"/>
  <c r="J2261" i="1"/>
  <c r="Q2261" i="1"/>
  <c r="P2261" i="1" s="1"/>
  <c r="H2259" i="1"/>
  <c r="H2260" i="1"/>
  <c r="J2259" i="1"/>
  <c r="J2260" i="1"/>
  <c r="Q2259" i="1"/>
  <c r="P2259" i="1" s="1"/>
  <c r="Q2260" i="1"/>
  <c r="P2260" i="1" s="1"/>
  <c r="H2258" i="1"/>
  <c r="J2258" i="1"/>
  <c r="Q2258" i="1"/>
  <c r="P2258" i="1" s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H2249" i="1"/>
  <c r="J2249" i="1"/>
  <c r="Q2249" i="1"/>
  <c r="P2249" i="1" s="1"/>
  <c r="H2248" i="1"/>
  <c r="J2248" i="1"/>
  <c r="Q2248" i="1"/>
  <c r="P2248" i="1" s="1"/>
  <c r="H2247" i="1"/>
  <c r="J2247" i="1"/>
  <c r="Q2247" i="1"/>
  <c r="P2247" i="1" s="1"/>
  <c r="H2246" i="1"/>
  <c r="J2246" i="1"/>
  <c r="Q2246" i="1"/>
  <c r="P2246" i="1" s="1"/>
  <c r="H2245" i="1"/>
  <c r="J2245" i="1"/>
  <c r="Q2245" i="1"/>
  <c r="P2245" i="1" s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H2238" i="1"/>
  <c r="J2238" i="1"/>
  <c r="Q2238" i="1"/>
  <c r="P2238" i="1" s="1"/>
  <c r="H2234" i="1"/>
  <c r="H2235" i="1"/>
  <c r="H2236" i="1"/>
  <c r="H2237" i="1"/>
  <c r="J2234" i="1"/>
  <c r="J2235" i="1"/>
  <c r="J2236" i="1"/>
  <c r="J2237" i="1"/>
  <c r="Q2234" i="1"/>
  <c r="P2234" i="1" s="1"/>
  <c r="Q2235" i="1"/>
  <c r="P2235" i="1" s="1"/>
  <c r="Q2236" i="1"/>
  <c r="P2236" i="1" s="1"/>
  <c r="Q2237" i="1"/>
  <c r="P2237" i="1" s="1"/>
  <c r="H2233" i="1"/>
  <c r="J2233" i="1"/>
  <c r="Q2233" i="1"/>
  <c r="P2233" i="1" s="1"/>
  <c r="H2232" i="1"/>
  <c r="J2232" i="1"/>
  <c r="Q2232" i="1"/>
  <c r="P2232" i="1" s="1"/>
  <c r="H2231" i="1"/>
  <c r="J2231" i="1"/>
  <c r="Q2231" i="1"/>
  <c r="P2231" i="1" s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H1912" i="1"/>
  <c r="J1912" i="1"/>
  <c r="Q1912" i="1"/>
  <c r="P1912" i="1" s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H1814" i="1"/>
  <c r="J1814" i="1"/>
  <c r="Q1814" i="1"/>
  <c r="P1814" i="1" s="1"/>
  <c r="H1813" i="1"/>
  <c r="J1813" i="1"/>
  <c r="Q1813" i="1"/>
  <c r="P1813" i="1" s="1"/>
  <c r="H1808" i="1"/>
  <c r="H1809" i="1"/>
  <c r="H1810" i="1"/>
  <c r="H1811" i="1"/>
  <c r="H1812" i="1"/>
  <c r="J1808" i="1"/>
  <c r="J1809" i="1"/>
  <c r="J1810" i="1"/>
  <c r="J1811" i="1"/>
  <c r="J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H1807" i="1"/>
  <c r="J1807" i="1"/>
  <c r="Q1807" i="1"/>
  <c r="P1807" i="1" s="1"/>
  <c r="H1806" i="1"/>
  <c r="J1806" i="1"/>
  <c r="Q1806" i="1"/>
  <c r="P1806" i="1" s="1"/>
  <c r="H1805" i="1"/>
  <c r="J1805" i="1"/>
  <c r="Q1805" i="1"/>
  <c r="P1805" i="1" s="1"/>
  <c r="H1804" i="1"/>
  <c r="J1804" i="1"/>
  <c r="Q1804" i="1"/>
  <c r="P1804" i="1" s="1"/>
  <c r="H1800" i="1"/>
  <c r="H1801" i="1"/>
  <c r="H1802" i="1"/>
  <c r="H1803" i="1"/>
  <c r="J1800" i="1"/>
  <c r="J1801" i="1"/>
  <c r="J1802" i="1"/>
  <c r="J1803" i="1"/>
  <c r="Q1800" i="1"/>
  <c r="P1800" i="1" s="1"/>
  <c r="Q1801" i="1"/>
  <c r="P1801" i="1" s="1"/>
  <c r="Q1802" i="1"/>
  <c r="P1802" i="1" s="1"/>
  <c r="Q1803" i="1"/>
  <c r="P1803" i="1" s="1"/>
  <c r="H1799" i="1"/>
  <c r="J1799" i="1"/>
  <c r="Q1799" i="1"/>
  <c r="P1799" i="1" s="1"/>
  <c r="H1794" i="1"/>
  <c r="H1795" i="1"/>
  <c r="H1796" i="1"/>
  <c r="H1797" i="1"/>
  <c r="H1798" i="1"/>
  <c r="J1794" i="1"/>
  <c r="J1795" i="1"/>
  <c r="J1796" i="1"/>
  <c r="J1797" i="1"/>
  <c r="J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H1793" i="1"/>
  <c r="J1793" i="1"/>
  <c r="Q1793" i="1"/>
  <c r="P1793" i="1" s="1"/>
  <c r="H1790" i="1"/>
  <c r="H1791" i="1"/>
  <c r="H1792" i="1"/>
  <c r="J1790" i="1"/>
  <c r="J1791" i="1"/>
  <c r="J1792" i="1"/>
  <c r="Q1790" i="1"/>
  <c r="P1790" i="1" s="1"/>
  <c r="Q1791" i="1"/>
  <c r="P1791" i="1" s="1"/>
  <c r="Q1792" i="1"/>
  <c r="P1792" i="1" s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H1776" i="1"/>
  <c r="J1776" i="1"/>
  <c r="Q1776" i="1"/>
  <c r="P1776" i="1" s="1"/>
  <c r="H1772" i="1"/>
  <c r="H1773" i="1"/>
  <c r="H1774" i="1"/>
  <c r="H1775" i="1"/>
  <c r="J1772" i="1"/>
  <c r="J1773" i="1"/>
  <c r="J1774" i="1"/>
  <c r="J1775" i="1"/>
  <c r="Q1772" i="1"/>
  <c r="P1772" i="1" s="1"/>
  <c r="Q1773" i="1"/>
  <c r="P1773" i="1" s="1"/>
  <c r="Q1774" i="1"/>
  <c r="P1774" i="1" s="1"/>
  <c r="Q1775" i="1"/>
  <c r="P1775" i="1" s="1"/>
  <c r="H1771" i="1"/>
  <c r="J1771" i="1"/>
  <c r="Q1771" i="1"/>
  <c r="P1771" i="1" s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H1763" i="1"/>
  <c r="J1763" i="1"/>
  <c r="Q1763" i="1"/>
  <c r="P1763" i="1" s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H1756" i="1"/>
  <c r="J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H1644" i="1"/>
  <c r="J1644" i="1"/>
  <c r="Q1644" i="1"/>
  <c r="P1644" i="1" s="1"/>
  <c r="H1643" i="1"/>
  <c r="J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H1588" i="1"/>
  <c r="J1588" i="1"/>
  <c r="Q1588" i="1"/>
  <c r="P1588" i="1" s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H1579" i="1"/>
  <c r="J1579" i="1"/>
  <c r="Q1579" i="1"/>
  <c r="P1579" i="1" s="1"/>
  <c r="H1577" i="1"/>
  <c r="H1578" i="1"/>
  <c r="J1577" i="1"/>
  <c r="J1578" i="1"/>
  <c r="Q1577" i="1"/>
  <c r="P1577" i="1" s="1"/>
  <c r="Q1578" i="1"/>
  <c r="P1578" i="1" s="1"/>
  <c r="H1576" i="1"/>
  <c r="J1576" i="1"/>
  <c r="Q1576" i="1"/>
  <c r="P1576" i="1" s="1"/>
  <c r="H1575" i="1"/>
  <c r="J1575" i="1"/>
  <c r="Q1575" i="1"/>
  <c r="P1575" i="1" s="1"/>
  <c r="H1574" i="1"/>
  <c r="J1574" i="1"/>
  <c r="Q1574" i="1"/>
  <c r="P1574" i="1" s="1"/>
  <c r="H1573" i="1"/>
  <c r="J1573" i="1"/>
  <c r="Q1573" i="1"/>
  <c r="P1573" i="1" s="1"/>
  <c r="H1569" i="1"/>
  <c r="H1570" i="1"/>
  <c r="H1571" i="1"/>
  <c r="H1572" i="1"/>
  <c r="J1569" i="1"/>
  <c r="J1570" i="1"/>
  <c r="J1571" i="1"/>
  <c r="J1572" i="1"/>
  <c r="Q1569" i="1"/>
  <c r="P1569" i="1" s="1"/>
  <c r="Q1570" i="1"/>
  <c r="P1570" i="1" s="1"/>
  <c r="Q1571" i="1"/>
  <c r="P1571" i="1" s="1"/>
  <c r="Q1572" i="1"/>
  <c r="P1572" i="1" s="1"/>
  <c r="H1568" i="1"/>
  <c r="J1568" i="1"/>
  <c r="Q1568" i="1"/>
  <c r="P1568" i="1" s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H1561" i="1"/>
  <c r="J1561" i="1"/>
  <c r="Q1561" i="1"/>
  <c r="P1561" i="1" s="1"/>
  <c r="H1560" i="1"/>
  <c r="J1560" i="1"/>
  <c r="Q1560" i="1"/>
  <c r="P1560" i="1" s="1"/>
  <c r="H1559" i="1"/>
  <c r="J1559" i="1"/>
  <c r="Q1559" i="1"/>
  <c r="P1559" i="1" s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H1549" i="1"/>
  <c r="J1549" i="1"/>
  <c r="Q1549" i="1"/>
  <c r="P1549" i="1" s="1"/>
  <c r="H1548" i="1"/>
  <c r="J1548" i="1"/>
  <c r="Q1548" i="1"/>
  <c r="P1548" i="1" s="1"/>
  <c r="H1547" i="1"/>
  <c r="J1547" i="1"/>
  <c r="Q1547" i="1"/>
  <c r="P1547" i="1" s="1"/>
  <c r="Q1546" i="1"/>
  <c r="P1546" i="1" s="1"/>
  <c r="Q1545" i="1"/>
  <c r="P1545" i="1" s="1"/>
  <c r="Q1544" i="1"/>
  <c r="P1544" i="1" s="1"/>
  <c r="Q1543" i="1"/>
  <c r="P1543" i="1" s="1"/>
  <c r="Q1542" i="1"/>
  <c r="P1542" i="1" s="1"/>
  <c r="Q1541" i="1"/>
  <c r="P1541" i="1" s="1"/>
  <c r="Q1540" i="1"/>
  <c r="P1540" i="1" s="1"/>
  <c r="Q1539" i="1"/>
  <c r="P1539" i="1" s="1"/>
  <c r="Q1538" i="1"/>
  <c r="P1538" i="1" s="1"/>
  <c r="Q1537" i="1"/>
  <c r="P1537" i="1" s="1"/>
  <c r="Q1536" i="1"/>
  <c r="P1536" i="1" s="1"/>
  <c r="Q1535" i="1"/>
  <c r="P1535" i="1" s="1"/>
  <c r="Q1534" i="1"/>
  <c r="P1534" i="1" s="1"/>
  <c r="Q1533" i="1"/>
  <c r="P1533" i="1" s="1"/>
  <c r="Q1532" i="1"/>
  <c r="P1532" i="1" s="1"/>
  <c r="Q1531" i="1"/>
  <c r="P1531" i="1" s="1"/>
  <c r="Q1530" i="1"/>
  <c r="P1530" i="1" s="1"/>
  <c r="Q1529" i="1"/>
  <c r="P1529" i="1" s="1"/>
  <c r="Q1528" i="1"/>
  <c r="P1528" i="1" s="1"/>
  <c r="Q1527" i="1"/>
  <c r="P1527" i="1" s="1"/>
  <c r="Q1526" i="1"/>
  <c r="P1526" i="1" s="1"/>
  <c r="Q1525" i="1"/>
  <c r="P1525" i="1" s="1"/>
  <c r="Q1524" i="1"/>
  <c r="P1524" i="1" s="1"/>
  <c r="Q1523" i="1"/>
  <c r="P1523" i="1" s="1"/>
  <c r="Q1522" i="1"/>
  <c r="P1522" i="1" s="1"/>
  <c r="Q1521" i="1"/>
  <c r="P1521" i="1" s="1"/>
  <c r="Q1520" i="1"/>
  <c r="P1520" i="1" s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Q1519" i="1"/>
  <c r="P1519" i="1" s="1"/>
  <c r="H1518" i="1"/>
  <c r="J1518" i="1"/>
  <c r="Q1518" i="1"/>
  <c r="P1518" i="1" s="1"/>
  <c r="H1517" i="1"/>
  <c r="J1517" i="1"/>
  <c r="Q1517" i="1"/>
  <c r="P1517" i="1" s="1"/>
  <c r="H1514" i="1"/>
  <c r="J1513" i="1"/>
  <c r="J1514" i="1"/>
  <c r="Q1513" i="1"/>
  <c r="P1513" i="1" s="1"/>
  <c r="Q1514" i="1"/>
  <c r="P1514" i="1" s="1"/>
  <c r="H1512" i="1"/>
  <c r="J1512" i="1"/>
  <c r="Q1512" i="1"/>
  <c r="P1512" i="1" s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H1501" i="1"/>
  <c r="J1501" i="1"/>
  <c r="Q1501" i="1"/>
  <c r="P1501" i="1" s="1"/>
  <c r="H1499" i="1"/>
  <c r="H1500" i="1"/>
  <c r="J1499" i="1"/>
  <c r="J1500" i="1"/>
  <c r="Q1499" i="1"/>
  <c r="P1499" i="1" s="1"/>
  <c r="Q1500" i="1"/>
  <c r="P1500" i="1" s="1"/>
  <c r="H1498" i="1"/>
  <c r="J1498" i="1"/>
  <c r="Q1498" i="1"/>
  <c r="P1498" i="1" s="1"/>
  <c r="H1497" i="1"/>
  <c r="J1497" i="1"/>
  <c r="Q1497" i="1"/>
  <c r="P1497" i="1" s="1"/>
  <c r="H1496" i="1"/>
  <c r="J1496" i="1"/>
  <c r="Q1496" i="1"/>
  <c r="P1496" i="1" s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H1477" i="1"/>
  <c r="J1477" i="1"/>
  <c r="Q1477" i="1"/>
  <c r="P1477" i="1" s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H1454" i="1"/>
  <c r="J1454" i="1"/>
  <c r="Q1454" i="1"/>
  <c r="P1454" i="1" s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H1434" i="1"/>
  <c r="J1434" i="1"/>
  <c r="Q1434" i="1"/>
  <c r="P1434" i="1" s="1"/>
  <c r="H1433" i="1"/>
  <c r="J1433" i="1"/>
  <c r="Q1433" i="1"/>
  <c r="P1433" i="1" s="1"/>
  <c r="Q1432" i="1"/>
  <c r="P1432" i="1" s="1"/>
  <c r="H1432" i="1"/>
  <c r="J1432" i="1"/>
  <c r="H1431" i="1"/>
  <c r="J1431" i="1"/>
  <c r="Q1431" i="1"/>
  <c r="P1431" i="1" s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H1353" i="1"/>
  <c r="J1353" i="1"/>
  <c r="Q1353" i="1"/>
  <c r="P1353" i="1" s="1"/>
  <c r="H1352" i="1"/>
  <c r="J1352" i="1"/>
  <c r="Q1352" i="1"/>
  <c r="P1352" i="1" s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H1298" i="1"/>
  <c r="J1298" i="1"/>
  <c r="Q1298" i="1"/>
  <c r="P1298" i="1" s="1"/>
  <c r="H1297" i="1"/>
  <c r="J1297" i="1"/>
  <c r="Q1297" i="1"/>
  <c r="P1297" i="1" s="1"/>
  <c r="H1296" i="1"/>
  <c r="J1296" i="1"/>
  <c r="Q1296" i="1"/>
  <c r="P1296" i="1" s="1"/>
  <c r="H1295" i="1"/>
  <c r="J1295" i="1"/>
  <c r="Q1295" i="1"/>
  <c r="P1295" i="1" s="1"/>
  <c r="H1294" i="1"/>
  <c r="J1294" i="1"/>
  <c r="Q1294" i="1"/>
  <c r="P1294" i="1" s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H1193" i="1"/>
  <c r="J1193" i="1"/>
  <c r="Q1193" i="1"/>
  <c r="P1193" i="1" s="1"/>
  <c r="H1192" i="1"/>
  <c r="J1192" i="1"/>
  <c r="Q1192" i="1"/>
  <c r="P1192" i="1" s="1"/>
  <c r="H1191" i="1"/>
  <c r="J1191" i="1"/>
  <c r="Q1191" i="1"/>
  <c r="P1191" i="1" s="1"/>
  <c r="H1190" i="1"/>
  <c r="J1190" i="1"/>
  <c r="Q1190" i="1"/>
  <c r="P1190" i="1" s="1"/>
  <c r="H1186" i="1"/>
  <c r="H1187" i="1"/>
  <c r="H1188" i="1"/>
  <c r="H1189" i="1"/>
  <c r="J1186" i="1"/>
  <c r="J1187" i="1"/>
  <c r="J1188" i="1"/>
  <c r="J1189" i="1"/>
  <c r="Q1186" i="1"/>
  <c r="P1186" i="1" s="1"/>
  <c r="Q1187" i="1"/>
  <c r="P1187" i="1" s="1"/>
  <c r="Q1188" i="1"/>
  <c r="P1188" i="1" s="1"/>
  <c r="Q1189" i="1"/>
  <c r="P1189" i="1" s="1"/>
  <c r="H1185" i="1"/>
  <c r="J1185" i="1"/>
  <c r="Q1185" i="1"/>
  <c r="P1185" i="1" s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H1176" i="1"/>
  <c r="J1176" i="1"/>
  <c r="Q1176" i="1"/>
  <c r="P1176" i="1" s="1"/>
  <c r="H1175" i="1"/>
  <c r="J1175" i="1"/>
  <c r="Q1175" i="1"/>
  <c r="P1175" i="1" s="1"/>
  <c r="H1174" i="1"/>
  <c r="J1174" i="1"/>
  <c r="Q1174" i="1"/>
  <c r="P1174" i="1" s="1"/>
  <c r="H1170" i="1"/>
  <c r="H1171" i="1"/>
  <c r="H1172" i="1"/>
  <c r="H1173" i="1"/>
  <c r="J1170" i="1"/>
  <c r="J1171" i="1"/>
  <c r="J1172" i="1"/>
  <c r="J1173" i="1"/>
  <c r="Q1170" i="1"/>
  <c r="P1170" i="1" s="1"/>
  <c r="Q1171" i="1"/>
  <c r="P1171" i="1" s="1"/>
  <c r="Q1172" i="1"/>
  <c r="P1172" i="1" s="1"/>
  <c r="Q1173" i="1"/>
  <c r="P1173" i="1" s="1"/>
  <c r="H1169" i="1"/>
  <c r="J1169" i="1"/>
  <c r="Q1169" i="1"/>
  <c r="P1169" i="1" s="1"/>
  <c r="H1168" i="1"/>
  <c r="J1168" i="1"/>
  <c r="Q1168" i="1"/>
  <c r="P1168" i="1" s="1"/>
  <c r="H1167" i="1"/>
  <c r="J1167" i="1"/>
  <c r="Q1167" i="1"/>
  <c r="P1167" i="1" s="1"/>
  <c r="H1164" i="1"/>
  <c r="H1165" i="1"/>
  <c r="H1166" i="1"/>
  <c r="J1164" i="1"/>
  <c r="J1165" i="1"/>
  <c r="J1166" i="1"/>
  <c r="Q1164" i="1"/>
  <c r="P1164" i="1" s="1"/>
  <c r="Q1165" i="1"/>
  <c r="P1165" i="1" s="1"/>
  <c r="Q1166" i="1"/>
  <c r="P1166" i="1" s="1"/>
  <c r="H1163" i="1"/>
  <c r="J1163" i="1"/>
  <c r="Q1163" i="1"/>
  <c r="P1163" i="1" s="1"/>
  <c r="H1162" i="1"/>
  <c r="J1162" i="1"/>
  <c r="Q1162" i="1"/>
  <c r="P1162" i="1" s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H1155" i="1"/>
  <c r="J1155" i="1"/>
  <c r="Q1155" i="1"/>
  <c r="P1155" i="1" s="1"/>
  <c r="H1152" i="1"/>
  <c r="H1153" i="1"/>
  <c r="H1154" i="1"/>
  <c r="J1152" i="1"/>
  <c r="J1153" i="1"/>
  <c r="J1154" i="1"/>
  <c r="Q1152" i="1"/>
  <c r="P1152" i="1" s="1"/>
  <c r="Q1153" i="1"/>
  <c r="P1153" i="1" s="1"/>
  <c r="Q1154" i="1"/>
  <c r="P1154" i="1" s="1"/>
  <c r="H1148" i="1"/>
  <c r="H1149" i="1"/>
  <c r="H1150" i="1"/>
  <c r="H1151" i="1"/>
  <c r="J1148" i="1"/>
  <c r="J1149" i="1"/>
  <c r="J1150" i="1"/>
  <c r="J1151" i="1"/>
  <c r="Q1148" i="1"/>
  <c r="P1148" i="1" s="1"/>
  <c r="Q1149" i="1"/>
  <c r="P1149" i="1" s="1"/>
  <c r="Q1150" i="1"/>
  <c r="P1150" i="1" s="1"/>
  <c r="Q1151" i="1"/>
  <c r="P1151" i="1" s="1"/>
  <c r="H1147" i="1"/>
  <c r="J1147" i="1"/>
  <c r="Q1147" i="1"/>
  <c r="P1147" i="1" s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H1137" i="1"/>
  <c r="J1137" i="1"/>
  <c r="Q1137" i="1"/>
  <c r="P1137" i="1" s="1"/>
  <c r="H1136" i="1"/>
  <c r="J1136" i="1"/>
  <c r="Q1136" i="1"/>
  <c r="P1136" i="1" s="1"/>
  <c r="H1135" i="1"/>
  <c r="J1135" i="1"/>
  <c r="Q1135" i="1"/>
  <c r="P1135" i="1" s="1"/>
  <c r="H1133" i="1"/>
  <c r="H1134" i="1"/>
  <c r="J1133" i="1"/>
  <c r="J1134" i="1"/>
  <c r="Q1133" i="1"/>
  <c r="P1133" i="1" s="1"/>
  <c r="Q1134" i="1"/>
  <c r="P1134" i="1" s="1"/>
  <c r="H1132" i="1"/>
  <c r="J1132" i="1"/>
  <c r="Q1132" i="1"/>
  <c r="P1132" i="1" s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H1124" i="1"/>
  <c r="J1124" i="1"/>
  <c r="Q1124" i="1"/>
  <c r="P1124" i="1" s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H1072" i="1"/>
  <c r="J1072" i="1"/>
  <c r="Q1072" i="1"/>
  <c r="P1072" i="1" s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H1055" i="1"/>
  <c r="H1056" i="1"/>
  <c r="J1055" i="1"/>
  <c r="J1056" i="1"/>
  <c r="Q1055" i="1"/>
  <c r="P1055" i="1" s="1"/>
  <c r="Q1056" i="1"/>
  <c r="P1056" i="1" s="1"/>
  <c r="H1054" i="1"/>
  <c r="J1054" i="1"/>
  <c r="Q1054" i="1"/>
  <c r="P1054" i="1" s="1"/>
  <c r="H1023" i="1"/>
  <c r="J1023" i="1"/>
  <c r="Q1023" i="1"/>
  <c r="P1023" i="1" s="1"/>
  <c r="H1022" i="1"/>
  <c r="J1022" i="1"/>
  <c r="Q1022" i="1"/>
  <c r="P1022" i="1" s="1"/>
  <c r="H1015" i="1"/>
  <c r="J1015" i="1"/>
  <c r="Q1015" i="1"/>
  <c r="P1015" i="1" s="1"/>
  <c r="H1017" i="1"/>
  <c r="H1018" i="1"/>
  <c r="J1017" i="1"/>
  <c r="J1018" i="1"/>
  <c r="Q1017" i="1"/>
  <c r="P1017" i="1" s="1"/>
  <c r="Q1018" i="1"/>
  <c r="P1018" i="1" s="1"/>
  <c r="H1016" i="1"/>
  <c r="J1016" i="1"/>
  <c r="Q1016" i="1"/>
  <c r="P1016" i="1" s="1"/>
  <c r="H1014" i="1"/>
  <c r="J1014" i="1"/>
  <c r="Q1014" i="1"/>
  <c r="P1014" i="1" s="1"/>
  <c r="H1019" i="1"/>
  <c r="J1019" i="1"/>
  <c r="Q1019" i="1"/>
  <c r="P1019" i="1" s="1"/>
  <c r="H1021" i="1"/>
  <c r="J1021" i="1"/>
  <c r="Q1021" i="1"/>
  <c r="P1021" i="1" s="1"/>
  <c r="H1020" i="1"/>
  <c r="J1020" i="1"/>
  <c r="Q1020" i="1"/>
  <c r="P1020" i="1" s="1"/>
  <c r="H1053" i="1"/>
  <c r="J1053" i="1"/>
  <c r="Q1053" i="1"/>
  <c r="P1053" i="1" s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H1024" i="1"/>
  <c r="H1025" i="1"/>
  <c r="H1026" i="1"/>
  <c r="J1024" i="1"/>
  <c r="J1025" i="1"/>
  <c r="J1026" i="1"/>
  <c r="Q1024" i="1"/>
  <c r="P1024" i="1" s="1"/>
  <c r="Q1025" i="1"/>
  <c r="P1025" i="1" s="1"/>
  <c r="Q1026" i="1"/>
  <c r="P1026" i="1" s="1"/>
  <c r="H1009" i="1"/>
  <c r="J1009" i="1"/>
  <c r="Q1009" i="1"/>
  <c r="P1009" i="1" s="1"/>
  <c r="H1008" i="1"/>
  <c r="J1008" i="1"/>
  <c r="Q1008" i="1"/>
  <c r="P1008" i="1" s="1"/>
  <c r="H1011" i="1"/>
  <c r="J1011" i="1"/>
  <c r="Q1011" i="1"/>
  <c r="P1011" i="1" s="1"/>
  <c r="H1010" i="1"/>
  <c r="J1010" i="1"/>
  <c r="Q1010" i="1"/>
  <c r="P1010" i="1" s="1"/>
  <c r="H1012" i="1"/>
  <c r="H1013" i="1"/>
  <c r="J1012" i="1"/>
  <c r="J1013" i="1"/>
  <c r="Q1012" i="1"/>
  <c r="P1012" i="1" s="1"/>
  <c r="Q1013" i="1"/>
  <c r="P1013" i="1" s="1"/>
  <c r="H969" i="1"/>
  <c r="J969" i="1"/>
  <c r="Q969" i="1"/>
  <c r="P969" i="1" s="1"/>
  <c r="H1002" i="1"/>
  <c r="H1003" i="1"/>
  <c r="H1004" i="1"/>
  <c r="H1005" i="1"/>
  <c r="J1002" i="1"/>
  <c r="J1003" i="1"/>
  <c r="J1004" i="1"/>
  <c r="J1005" i="1"/>
  <c r="Q1002" i="1"/>
  <c r="P1002" i="1" s="1"/>
  <c r="Q1003" i="1"/>
  <c r="P1003" i="1" s="1"/>
  <c r="Q1004" i="1"/>
  <c r="P1004" i="1" s="1"/>
  <c r="Q1005" i="1"/>
  <c r="P1005" i="1" s="1"/>
  <c r="H1001" i="1"/>
  <c r="J1001" i="1"/>
  <c r="Q1001" i="1"/>
  <c r="P1001" i="1" s="1"/>
  <c r="H1007" i="1"/>
  <c r="J1007" i="1"/>
  <c r="Q1007" i="1"/>
  <c r="P1007" i="1" s="1"/>
  <c r="H1006" i="1"/>
  <c r="J1006" i="1"/>
  <c r="Q1006" i="1"/>
  <c r="P1006" i="1" s="1"/>
  <c r="H965" i="1"/>
  <c r="J965" i="1"/>
  <c r="Q965" i="1"/>
  <c r="P965" i="1" s="1"/>
  <c r="H1000" i="1"/>
  <c r="J1000" i="1"/>
  <c r="Q1000" i="1"/>
  <c r="P1000" i="1" s="1"/>
  <c r="H988" i="1"/>
  <c r="H989" i="1"/>
  <c r="H990" i="1"/>
  <c r="J988" i="1"/>
  <c r="J989" i="1"/>
  <c r="J990" i="1"/>
  <c r="Q988" i="1"/>
  <c r="P988" i="1" s="1"/>
  <c r="Q989" i="1"/>
  <c r="P989" i="1" s="1"/>
  <c r="Q990" i="1"/>
  <c r="P990" i="1" s="1"/>
  <c r="H992" i="1"/>
  <c r="H993" i="1"/>
  <c r="H994" i="1"/>
  <c r="J992" i="1"/>
  <c r="J993" i="1"/>
  <c r="J994" i="1"/>
  <c r="Q992" i="1"/>
  <c r="P992" i="1" s="1"/>
  <c r="Q993" i="1"/>
  <c r="P993" i="1" s="1"/>
  <c r="Q994" i="1"/>
  <c r="P994" i="1" s="1"/>
  <c r="H991" i="1"/>
  <c r="J991" i="1"/>
  <c r="Q991" i="1"/>
  <c r="P991" i="1" s="1"/>
  <c r="H995" i="1"/>
  <c r="H996" i="1"/>
  <c r="H997" i="1"/>
  <c r="H998" i="1"/>
  <c r="J995" i="1"/>
  <c r="J996" i="1"/>
  <c r="J997" i="1"/>
  <c r="J998" i="1"/>
  <c r="Q995" i="1"/>
  <c r="P995" i="1" s="1"/>
  <c r="Q996" i="1"/>
  <c r="P996" i="1" s="1"/>
  <c r="Q997" i="1"/>
  <c r="P997" i="1" s="1"/>
  <c r="Q998" i="1"/>
  <c r="P998" i="1" s="1"/>
  <c r="H999" i="1"/>
  <c r="J999" i="1"/>
  <c r="Q999" i="1"/>
  <c r="P999" i="1" s="1"/>
  <c r="H966" i="1"/>
  <c r="J966" i="1"/>
  <c r="Q966" i="1"/>
  <c r="P966" i="1" s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H977" i="1"/>
  <c r="J977" i="1"/>
  <c r="Q977" i="1"/>
  <c r="P977" i="1" s="1"/>
  <c r="H978" i="1"/>
  <c r="J978" i="1"/>
  <c r="Q978" i="1"/>
  <c r="P978" i="1" s="1"/>
  <c r="H979" i="1"/>
  <c r="J979" i="1"/>
  <c r="Q979" i="1"/>
  <c r="P979" i="1" s="1"/>
  <c r="H976" i="1"/>
  <c r="J976" i="1"/>
  <c r="Q976" i="1"/>
  <c r="P976" i="1" s="1"/>
  <c r="H968" i="1"/>
  <c r="J968" i="1"/>
  <c r="Q968" i="1"/>
  <c r="P968" i="1" s="1"/>
  <c r="H967" i="1"/>
  <c r="J967" i="1"/>
  <c r="Q967" i="1"/>
  <c r="P967" i="1" s="1"/>
  <c r="H970" i="1"/>
  <c r="J970" i="1"/>
  <c r="Q970" i="1"/>
  <c r="P970" i="1" s="1"/>
  <c r="H971" i="1"/>
  <c r="J971" i="1"/>
  <c r="Q971" i="1"/>
  <c r="P971" i="1" s="1"/>
  <c r="H972" i="1"/>
  <c r="J972" i="1"/>
  <c r="Q972" i="1"/>
  <c r="P972" i="1" s="1"/>
  <c r="H973" i="1"/>
  <c r="J973" i="1"/>
  <c r="Q973" i="1"/>
  <c r="P973" i="1" s="1"/>
  <c r="J866" i="1"/>
  <c r="H866" i="1"/>
  <c r="Q866" i="1"/>
  <c r="P866" i="1" s="1"/>
  <c r="H949" i="1"/>
  <c r="J949" i="1"/>
  <c r="Q949" i="1"/>
  <c r="P949" i="1" s="1"/>
  <c r="H950" i="1"/>
  <c r="J950" i="1"/>
  <c r="Q950" i="1"/>
  <c r="P950" i="1" s="1"/>
  <c r="H951" i="1"/>
  <c r="J951" i="1"/>
  <c r="Q951" i="1"/>
  <c r="P951" i="1" s="1"/>
  <c r="H952" i="1"/>
  <c r="J952" i="1"/>
  <c r="Q952" i="1"/>
  <c r="P952" i="1" s="1"/>
  <c r="H953" i="1"/>
  <c r="J953" i="1"/>
  <c r="Q953" i="1"/>
  <c r="P953" i="1" s="1"/>
  <c r="H954" i="1"/>
  <c r="J954" i="1"/>
  <c r="Q954" i="1"/>
  <c r="P954" i="1" s="1"/>
  <c r="H948" i="1"/>
  <c r="J948" i="1"/>
  <c r="Q948" i="1"/>
  <c r="P948" i="1" s="1"/>
  <c r="H946" i="1"/>
  <c r="J946" i="1"/>
  <c r="Q946" i="1"/>
  <c r="P946" i="1" s="1"/>
  <c r="H947" i="1"/>
  <c r="J947" i="1"/>
  <c r="Q947" i="1"/>
  <c r="P947" i="1" s="1"/>
  <c r="H938" i="1"/>
  <c r="J938" i="1"/>
  <c r="Q938" i="1"/>
  <c r="P938" i="1" s="1"/>
  <c r="H939" i="1"/>
  <c r="J939" i="1"/>
  <c r="Q939" i="1"/>
  <c r="P939" i="1" s="1"/>
  <c r="H940" i="1"/>
  <c r="J940" i="1"/>
  <c r="Q940" i="1"/>
  <c r="P940" i="1" s="1"/>
  <c r="H941" i="1"/>
  <c r="J941" i="1"/>
  <c r="Q941" i="1"/>
  <c r="P941" i="1" s="1"/>
  <c r="H942" i="1"/>
  <c r="J942" i="1"/>
  <c r="Q942" i="1"/>
  <c r="P942" i="1" s="1"/>
  <c r="H943" i="1"/>
  <c r="J943" i="1"/>
  <c r="Q943" i="1"/>
  <c r="P943" i="1" s="1"/>
  <c r="H944" i="1"/>
  <c r="J944" i="1"/>
  <c r="Q944" i="1"/>
  <c r="P944" i="1" s="1"/>
  <c r="H945" i="1"/>
  <c r="J945" i="1"/>
  <c r="Q945" i="1"/>
  <c r="P945" i="1" s="1"/>
  <c r="H975" i="1"/>
  <c r="J975" i="1"/>
  <c r="Q975" i="1"/>
  <c r="P975" i="1" s="1"/>
  <c r="H974" i="1"/>
  <c r="J974" i="1"/>
  <c r="Q974" i="1"/>
  <c r="P974" i="1" s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H955" i="1"/>
  <c r="J955" i="1"/>
  <c r="Q955" i="1"/>
  <c r="P955" i="1" s="1"/>
  <c r="H934" i="1"/>
  <c r="H935" i="1"/>
  <c r="H936" i="1"/>
  <c r="H937" i="1"/>
  <c r="J934" i="1"/>
  <c r="J935" i="1"/>
  <c r="J936" i="1"/>
  <c r="J937" i="1"/>
  <c r="Q934" i="1"/>
  <c r="P934" i="1" s="1"/>
  <c r="Q935" i="1"/>
  <c r="P935" i="1" s="1"/>
  <c r="Q936" i="1"/>
  <c r="P936" i="1" s="1"/>
  <c r="Q937" i="1"/>
  <c r="P937" i="1" s="1"/>
  <c r="H931" i="1"/>
  <c r="H932" i="1"/>
  <c r="H933" i="1"/>
  <c r="J931" i="1"/>
  <c r="J932" i="1"/>
  <c r="J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H927" i="1"/>
  <c r="H928" i="1"/>
  <c r="H929" i="1"/>
  <c r="J927" i="1"/>
  <c r="J928" i="1"/>
  <c r="J929" i="1"/>
  <c r="H926" i="1"/>
  <c r="J926" i="1"/>
  <c r="Q926" i="1"/>
  <c r="P926" i="1" s="1"/>
  <c r="H930" i="1"/>
  <c r="J930" i="1"/>
  <c r="Q930" i="1"/>
  <c r="P930" i="1" s="1"/>
  <c r="H925" i="1"/>
  <c r="J925" i="1"/>
  <c r="Q925" i="1"/>
  <c r="P925" i="1" s="1"/>
  <c r="H924" i="1"/>
  <c r="J924" i="1"/>
  <c r="Q924" i="1"/>
  <c r="P924" i="1" s="1"/>
  <c r="H923" i="1"/>
  <c r="J923" i="1"/>
  <c r="Q923" i="1"/>
  <c r="P923" i="1" s="1"/>
  <c r="H922" i="1"/>
  <c r="J922" i="1"/>
  <c r="Q922" i="1"/>
  <c r="P922" i="1" s="1"/>
  <c r="H921" i="1"/>
  <c r="J921" i="1"/>
  <c r="Q921" i="1"/>
  <c r="P921" i="1" s="1"/>
  <c r="H920" i="1"/>
  <c r="J920" i="1"/>
  <c r="Q920" i="1"/>
  <c r="P920" i="1" s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H907" i="1"/>
  <c r="J907" i="1"/>
  <c r="Q907" i="1"/>
  <c r="P907" i="1" s="1"/>
  <c r="H883" i="1"/>
  <c r="J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Q908" i="1"/>
  <c r="P908" i="1" s="1"/>
  <c r="H906" i="1"/>
  <c r="J906" i="1"/>
  <c r="Q906" i="1"/>
  <c r="P906" i="1" s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H897" i="1"/>
  <c r="J897" i="1"/>
  <c r="Q897" i="1"/>
  <c r="P897" i="1" s="1"/>
  <c r="H891" i="1"/>
  <c r="H892" i="1"/>
  <c r="H893" i="1"/>
  <c r="H894" i="1"/>
  <c r="J891" i="1"/>
  <c r="J892" i="1"/>
  <c r="J893" i="1"/>
  <c r="J894" i="1"/>
  <c r="Q891" i="1"/>
  <c r="P891" i="1" s="1"/>
  <c r="Q892" i="1"/>
  <c r="P892" i="1" s="1"/>
  <c r="Q893" i="1"/>
  <c r="P893" i="1" s="1"/>
  <c r="Q894" i="1"/>
  <c r="P894" i="1" s="1"/>
  <c r="H895" i="1"/>
  <c r="J895" i="1"/>
  <c r="Q895" i="1"/>
  <c r="P895" i="1" s="1"/>
  <c r="H896" i="1"/>
  <c r="J896" i="1"/>
  <c r="Q896" i="1"/>
  <c r="P896" i="1" s="1"/>
  <c r="H886" i="1"/>
  <c r="H887" i="1"/>
  <c r="H888" i="1"/>
  <c r="H889" i="1"/>
  <c r="Q886" i="1"/>
  <c r="P886" i="1" s="1"/>
  <c r="Q887" i="1"/>
  <c r="P887" i="1" s="1"/>
  <c r="Q888" i="1"/>
  <c r="P888" i="1" s="1"/>
  <c r="Q889" i="1"/>
  <c r="P889" i="1" s="1"/>
  <c r="H890" i="1"/>
  <c r="J890" i="1"/>
  <c r="Q890" i="1"/>
  <c r="P890" i="1" s="1"/>
  <c r="H832" i="1"/>
  <c r="Q832" i="1"/>
  <c r="P832" i="1" s="1"/>
  <c r="J832" i="1"/>
  <c r="H884" i="1"/>
  <c r="H885" i="1"/>
  <c r="J884" i="1"/>
  <c r="J885" i="1"/>
  <c r="Q884" i="1"/>
  <c r="P884" i="1" s="1"/>
  <c r="Q885" i="1"/>
  <c r="P885" i="1" s="1"/>
  <c r="H882" i="1"/>
  <c r="J882" i="1"/>
  <c r="Q882" i="1"/>
  <c r="P882" i="1" s="1"/>
  <c r="H881" i="1"/>
  <c r="J881" i="1"/>
  <c r="Q881" i="1"/>
  <c r="P881" i="1" s="1"/>
  <c r="Q851" i="1"/>
  <c r="P851" i="1" s="1"/>
  <c r="Q850" i="1"/>
  <c r="P850" i="1" s="1"/>
  <c r="Q849" i="1"/>
  <c r="P849" i="1" s="1"/>
  <c r="Q848" i="1"/>
  <c r="P848" i="1" s="1"/>
  <c r="Q847" i="1"/>
  <c r="P847" i="1" s="1"/>
  <c r="Q846" i="1"/>
  <c r="P846" i="1" s="1"/>
  <c r="Q845" i="1"/>
  <c r="P845" i="1" s="1"/>
  <c r="Q844" i="1"/>
  <c r="P844" i="1" s="1"/>
  <c r="Q843" i="1"/>
  <c r="P843" i="1" s="1"/>
  <c r="Q842" i="1"/>
  <c r="P842" i="1" s="1"/>
  <c r="Q841" i="1"/>
  <c r="P841" i="1" s="1"/>
  <c r="Q840" i="1"/>
  <c r="P840" i="1" s="1"/>
  <c r="Q839" i="1"/>
  <c r="P839" i="1" s="1"/>
  <c r="Q838" i="1"/>
  <c r="P838" i="1" s="1"/>
  <c r="Q837" i="1"/>
  <c r="P837" i="1" s="1"/>
  <c r="Q836" i="1"/>
  <c r="P836" i="1" s="1"/>
  <c r="Q835" i="1"/>
  <c r="P835" i="1" s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Q834" i="1"/>
  <c r="P834" i="1" s="1"/>
  <c r="H852" i="1"/>
  <c r="H853" i="1"/>
  <c r="H854" i="1"/>
  <c r="J852" i="1"/>
  <c r="J853" i="1"/>
  <c r="J854" i="1"/>
  <c r="Q852" i="1"/>
  <c r="P852" i="1" s="1"/>
  <c r="Q853" i="1"/>
  <c r="P853" i="1" s="1"/>
  <c r="Q854" i="1"/>
  <c r="P854" i="1" s="1"/>
  <c r="H855" i="1"/>
  <c r="H856" i="1"/>
  <c r="H857" i="1"/>
  <c r="H858" i="1"/>
  <c r="H859" i="1"/>
  <c r="H860" i="1"/>
  <c r="J855" i="1"/>
  <c r="J856" i="1"/>
  <c r="J857" i="1"/>
  <c r="J858" i="1"/>
  <c r="J859" i="1"/>
  <c r="J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Q878" i="1"/>
  <c r="P878" i="1" s="1"/>
  <c r="Q877" i="1"/>
  <c r="P877" i="1" s="1"/>
  <c r="Q876" i="1"/>
  <c r="P876" i="1" s="1"/>
  <c r="Q875" i="1"/>
  <c r="P875" i="1" s="1"/>
  <c r="Q874" i="1"/>
  <c r="P874" i="1" s="1"/>
  <c r="Q873" i="1"/>
  <c r="P873" i="1" s="1"/>
  <c r="Q872" i="1"/>
  <c r="P872" i="1" s="1"/>
  <c r="Q871" i="1"/>
  <c r="P871" i="1" s="1"/>
  <c r="Q870" i="1"/>
  <c r="P870" i="1" s="1"/>
  <c r="Q869" i="1"/>
  <c r="P869" i="1" s="1"/>
  <c r="Q868" i="1"/>
  <c r="P868" i="1" s="1"/>
  <c r="Q867" i="1"/>
  <c r="P867" i="1" s="1"/>
  <c r="Q865" i="1"/>
  <c r="P865" i="1" s="1"/>
  <c r="Q864" i="1"/>
  <c r="P864" i="1" s="1"/>
  <c r="Q863" i="1"/>
  <c r="P863" i="1" s="1"/>
  <c r="Q862" i="1"/>
  <c r="P862" i="1" s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Q861" i="1"/>
  <c r="P861" i="1" s="1"/>
  <c r="H880" i="1"/>
  <c r="J880" i="1"/>
  <c r="Q880" i="1"/>
  <c r="P880" i="1" s="1"/>
  <c r="H831" i="1"/>
  <c r="J831" i="1"/>
  <c r="Q831" i="1"/>
  <c r="P831" i="1" s="1"/>
  <c r="H833" i="1"/>
  <c r="Q833" i="1"/>
  <c r="P833" i="1" s="1"/>
  <c r="H808" i="1"/>
  <c r="H809" i="1"/>
  <c r="H810" i="1"/>
  <c r="H811" i="1"/>
  <c r="H812" i="1"/>
  <c r="J808" i="1"/>
  <c r="J809" i="1"/>
  <c r="J810" i="1"/>
  <c r="J811" i="1"/>
  <c r="J812" i="1"/>
  <c r="Q808" i="1"/>
  <c r="P808" i="1" s="1"/>
  <c r="Q809" i="1"/>
  <c r="P809" i="1" s="1"/>
  <c r="Q810" i="1"/>
  <c r="P810" i="1" s="1"/>
  <c r="Q811" i="1"/>
  <c r="P811" i="1" s="1"/>
  <c r="Q812" i="1"/>
  <c r="P812" i="1" s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H813" i="1"/>
  <c r="J813" i="1"/>
  <c r="Q813" i="1"/>
  <c r="P813" i="1" s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J773" i="1"/>
  <c r="J772" i="1"/>
  <c r="H773" i="1"/>
  <c r="H772" i="1"/>
  <c r="H774" i="1"/>
  <c r="J774" i="1"/>
  <c r="Q774" i="1"/>
  <c r="P774" i="1" s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H761" i="1"/>
  <c r="J761" i="1"/>
  <c r="Q761" i="1"/>
  <c r="P761" i="1" s="1"/>
  <c r="H762" i="1"/>
  <c r="H763" i="1"/>
  <c r="J762" i="1"/>
  <c r="J763" i="1"/>
  <c r="Q762" i="1"/>
  <c r="P762" i="1" s="1"/>
  <c r="Q763" i="1"/>
  <c r="P763" i="1" s="1"/>
  <c r="H755" i="1"/>
  <c r="J755" i="1"/>
  <c r="Q755" i="1"/>
  <c r="P755" i="1" s="1"/>
  <c r="H754" i="1"/>
  <c r="J754" i="1"/>
  <c r="Q754" i="1"/>
  <c r="P754" i="1" s="1"/>
  <c r="H757" i="1"/>
  <c r="H758" i="1"/>
  <c r="H759" i="1"/>
  <c r="J757" i="1"/>
  <c r="J758" i="1"/>
  <c r="J759" i="1"/>
  <c r="Q757" i="1"/>
  <c r="P757" i="1" s="1"/>
  <c r="Q758" i="1"/>
  <c r="P758" i="1" s="1"/>
  <c r="Q759" i="1"/>
  <c r="P759" i="1" s="1"/>
  <c r="H756" i="1"/>
  <c r="J756" i="1"/>
  <c r="Q756" i="1"/>
  <c r="P756" i="1" s="1"/>
  <c r="H760" i="1"/>
  <c r="J760" i="1"/>
  <c r="Q760" i="1"/>
  <c r="P760" i="1" s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Q734" i="1"/>
  <c r="P734" i="1" s="1"/>
  <c r="Q733" i="1"/>
  <c r="P733" i="1" s="1"/>
  <c r="Q732" i="1"/>
  <c r="P732" i="1" s="1"/>
  <c r="Q731" i="1"/>
  <c r="P731" i="1" s="1"/>
  <c r="Q730" i="1"/>
  <c r="P730" i="1" s="1"/>
  <c r="Q729" i="1"/>
  <c r="P729" i="1" s="1"/>
  <c r="Q728" i="1"/>
  <c r="P728" i="1" s="1"/>
  <c r="Q727" i="1"/>
  <c r="P727" i="1" s="1"/>
  <c r="Q726" i="1"/>
  <c r="P726" i="1" s="1"/>
  <c r="Q725" i="1"/>
  <c r="P725" i="1" s="1"/>
  <c r="Q724" i="1"/>
  <c r="P724" i="1" s="1"/>
  <c r="Q723" i="1"/>
  <c r="P723" i="1" s="1"/>
  <c r="Q722" i="1"/>
  <c r="P722" i="1" s="1"/>
  <c r="Q721" i="1"/>
  <c r="P721" i="1" s="1"/>
  <c r="Q720" i="1"/>
  <c r="P720" i="1" s="1"/>
  <c r="Q719" i="1"/>
  <c r="P719" i="1" s="1"/>
  <c r="Q718" i="1"/>
  <c r="P718" i="1" s="1"/>
  <c r="Q717" i="1"/>
  <c r="P717" i="1" s="1"/>
  <c r="Q716" i="1"/>
  <c r="P716" i="1" s="1"/>
  <c r="Q715" i="1"/>
  <c r="P715" i="1" s="1"/>
  <c r="Q714" i="1"/>
  <c r="P714" i="1" s="1"/>
  <c r="Q713" i="1"/>
  <c r="P713" i="1" s="1"/>
  <c r="Q712" i="1"/>
  <c r="P712" i="1" s="1"/>
  <c r="Q711" i="1"/>
  <c r="P711" i="1" s="1"/>
  <c r="Q710" i="1"/>
  <c r="P710" i="1" s="1"/>
  <c r="Q709" i="1"/>
  <c r="P709" i="1" s="1"/>
  <c r="Q708" i="1"/>
  <c r="P708" i="1" s="1"/>
  <c r="Q707" i="1"/>
  <c r="P707" i="1" s="1"/>
  <c r="Q706" i="1"/>
  <c r="P706" i="1" s="1"/>
  <c r="Q705" i="1"/>
  <c r="P705" i="1" s="1"/>
  <c r="Q704" i="1"/>
  <c r="P704" i="1" s="1"/>
  <c r="Q703" i="1"/>
  <c r="P703" i="1" s="1"/>
  <c r="Q702" i="1"/>
  <c r="P702" i="1" s="1"/>
  <c r="Q701" i="1"/>
  <c r="P701" i="1" s="1"/>
  <c r="Q700" i="1"/>
  <c r="P700" i="1" s="1"/>
  <c r="Q699" i="1"/>
  <c r="P699" i="1" s="1"/>
  <c r="Q698" i="1"/>
  <c r="P698" i="1" s="1"/>
  <c r="Q697" i="1"/>
  <c r="P697" i="1" s="1"/>
  <c r="Q696" i="1"/>
  <c r="P696" i="1" s="1"/>
  <c r="Q695" i="1"/>
  <c r="P695" i="1" s="1"/>
  <c r="Q694" i="1"/>
  <c r="P694" i="1" s="1"/>
  <c r="Q693" i="1"/>
  <c r="P693" i="1" s="1"/>
  <c r="Q692" i="1"/>
  <c r="P692" i="1" s="1"/>
  <c r="Q691" i="1"/>
  <c r="P691" i="1" s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Q690" i="1"/>
  <c r="P690" i="1" s="1"/>
  <c r="Q738" i="1"/>
  <c r="P738" i="1" s="1"/>
  <c r="Q737" i="1"/>
  <c r="P737" i="1" s="1"/>
  <c r="H737" i="1"/>
  <c r="H738" i="1"/>
  <c r="J737" i="1"/>
  <c r="J738" i="1"/>
  <c r="H736" i="1"/>
  <c r="J736" i="1"/>
  <c r="Q736" i="1"/>
  <c r="P736" i="1" s="1"/>
  <c r="H663" i="1"/>
  <c r="H664" i="1"/>
  <c r="H665" i="1"/>
  <c r="J663" i="1"/>
  <c r="J664" i="1"/>
  <c r="J665" i="1"/>
  <c r="Q663" i="1"/>
  <c r="P663" i="1" s="1"/>
  <c r="Q664" i="1"/>
  <c r="P664" i="1" s="1"/>
  <c r="Q665" i="1"/>
  <c r="P665" i="1" s="1"/>
  <c r="H662" i="1"/>
  <c r="J662" i="1"/>
  <c r="Q662" i="1"/>
  <c r="P662" i="1" s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H666" i="1"/>
  <c r="J666" i="1"/>
  <c r="Q666" i="1"/>
  <c r="P666" i="1" s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H652" i="1"/>
  <c r="J652" i="1"/>
  <c r="Q652" i="1"/>
  <c r="P652" i="1" s="1"/>
  <c r="H643" i="1"/>
  <c r="J643" i="1"/>
  <c r="Q643" i="1"/>
  <c r="P643" i="1" s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H651" i="1"/>
  <c r="J651" i="1"/>
  <c r="Q651" i="1"/>
  <c r="P651" i="1" s="1"/>
  <c r="H642" i="1"/>
  <c r="J642" i="1"/>
  <c r="Q642" i="1"/>
  <c r="P642" i="1" s="1"/>
  <c r="H641" i="1"/>
  <c r="J641" i="1"/>
  <c r="Q641" i="1"/>
  <c r="P641" i="1" s="1"/>
  <c r="H640" i="1"/>
  <c r="J640" i="1"/>
  <c r="Q640" i="1"/>
  <c r="P640" i="1" s="1"/>
  <c r="H633" i="1"/>
  <c r="H634" i="1"/>
  <c r="J633" i="1"/>
  <c r="J634" i="1"/>
  <c r="Q633" i="1"/>
  <c r="P633" i="1" s="1"/>
  <c r="Q634" i="1"/>
  <c r="P634" i="1" s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H623" i="1"/>
  <c r="J623" i="1"/>
  <c r="Q623" i="1"/>
  <c r="P623" i="1" s="1"/>
  <c r="H636" i="1"/>
  <c r="H637" i="1"/>
  <c r="H638" i="1"/>
  <c r="H639" i="1"/>
  <c r="J636" i="1"/>
  <c r="J637" i="1"/>
  <c r="J638" i="1"/>
  <c r="J639" i="1"/>
  <c r="Q636" i="1"/>
  <c r="P636" i="1" s="1"/>
  <c r="Q637" i="1"/>
  <c r="P637" i="1" s="1"/>
  <c r="Q638" i="1"/>
  <c r="P638" i="1" s="1"/>
  <c r="Q639" i="1"/>
  <c r="P639" i="1" s="1"/>
  <c r="H635" i="1"/>
  <c r="J635" i="1"/>
  <c r="Q635" i="1"/>
  <c r="P635" i="1" s="1"/>
  <c r="H377" i="1"/>
  <c r="J377" i="1"/>
  <c r="Q377" i="1"/>
  <c r="P377" i="1" s="1"/>
  <c r="H382" i="1"/>
  <c r="J382" i="1"/>
  <c r="Q382" i="1"/>
  <c r="P382" i="1" s="1"/>
  <c r="H499" i="1"/>
  <c r="J499" i="1"/>
  <c r="Q499" i="1"/>
  <c r="P499" i="1" s="1"/>
  <c r="H500" i="1"/>
  <c r="J500" i="1"/>
  <c r="Q500" i="1"/>
  <c r="P500" i="1" s="1"/>
  <c r="H501" i="1"/>
  <c r="J501" i="1"/>
  <c r="Q501" i="1"/>
  <c r="P501" i="1" s="1"/>
  <c r="H502" i="1"/>
  <c r="J502" i="1"/>
  <c r="Q502" i="1"/>
  <c r="P502" i="1" s="1"/>
  <c r="H503" i="1"/>
  <c r="J503" i="1"/>
  <c r="Q503" i="1"/>
  <c r="P503" i="1" s="1"/>
  <c r="H504" i="1"/>
  <c r="J504" i="1"/>
  <c r="Q504" i="1"/>
  <c r="P504" i="1" s="1"/>
  <c r="H505" i="1"/>
  <c r="J505" i="1"/>
  <c r="Q505" i="1"/>
  <c r="P505" i="1" s="1"/>
  <c r="H506" i="1"/>
  <c r="J506" i="1"/>
  <c r="Q506" i="1"/>
  <c r="P506" i="1" s="1"/>
  <c r="H507" i="1"/>
  <c r="J507" i="1"/>
  <c r="Q507" i="1"/>
  <c r="P507" i="1" s="1"/>
  <c r="H508" i="1"/>
  <c r="J508" i="1"/>
  <c r="Q508" i="1"/>
  <c r="P508" i="1" s="1"/>
  <c r="H514" i="1"/>
  <c r="J514" i="1"/>
  <c r="Q514" i="1"/>
  <c r="P514" i="1" s="1"/>
  <c r="H515" i="1"/>
  <c r="J515" i="1"/>
  <c r="Q515" i="1"/>
  <c r="P515" i="1" s="1"/>
  <c r="H516" i="1"/>
  <c r="J516" i="1"/>
  <c r="Q516" i="1"/>
  <c r="P516" i="1" s="1"/>
  <c r="H517" i="1"/>
  <c r="J517" i="1"/>
  <c r="Q517" i="1"/>
  <c r="P517" i="1" s="1"/>
  <c r="H518" i="1"/>
  <c r="J518" i="1"/>
  <c r="Q518" i="1"/>
  <c r="P518" i="1" s="1"/>
  <c r="H519" i="1"/>
  <c r="J519" i="1"/>
  <c r="Q519" i="1"/>
  <c r="P519" i="1" s="1"/>
  <c r="H520" i="1"/>
  <c r="J520" i="1"/>
  <c r="Q520" i="1"/>
  <c r="P520" i="1" s="1"/>
  <c r="H521" i="1"/>
  <c r="J521" i="1"/>
  <c r="Q521" i="1"/>
  <c r="P521" i="1" s="1"/>
  <c r="H522" i="1"/>
  <c r="J522" i="1"/>
  <c r="Q522" i="1"/>
  <c r="P522" i="1" s="1"/>
  <c r="H523" i="1"/>
  <c r="J523" i="1"/>
  <c r="Q523" i="1"/>
  <c r="P523" i="1" s="1"/>
  <c r="H524" i="1"/>
  <c r="J524" i="1"/>
  <c r="Q524" i="1"/>
  <c r="P524" i="1" s="1"/>
  <c r="H525" i="1"/>
  <c r="J525" i="1"/>
  <c r="Q525" i="1"/>
  <c r="P525" i="1" s="1"/>
  <c r="H526" i="1"/>
  <c r="J526" i="1"/>
  <c r="Q526" i="1"/>
  <c r="P526" i="1" s="1"/>
  <c r="H527" i="1"/>
  <c r="J527" i="1"/>
  <c r="Q527" i="1"/>
  <c r="P527" i="1" s="1"/>
  <c r="H528" i="1"/>
  <c r="J528" i="1"/>
  <c r="Q528" i="1"/>
  <c r="P528" i="1" s="1"/>
  <c r="H529" i="1"/>
  <c r="J529" i="1"/>
  <c r="Q529" i="1"/>
  <c r="P529" i="1" s="1"/>
  <c r="H530" i="1"/>
  <c r="J530" i="1"/>
  <c r="Q530" i="1"/>
  <c r="P530" i="1" s="1"/>
  <c r="H531" i="1"/>
  <c r="J531" i="1"/>
  <c r="Q531" i="1"/>
  <c r="P531" i="1" s="1"/>
  <c r="H532" i="1"/>
  <c r="J532" i="1"/>
  <c r="Q532" i="1"/>
  <c r="P532" i="1" s="1"/>
  <c r="H533" i="1"/>
  <c r="J533" i="1"/>
  <c r="Q533" i="1"/>
  <c r="P533" i="1" s="1"/>
  <c r="H534" i="1"/>
  <c r="J534" i="1"/>
  <c r="Q534" i="1"/>
  <c r="P534" i="1" s="1"/>
  <c r="H535" i="1"/>
  <c r="J535" i="1"/>
  <c r="Q535" i="1"/>
  <c r="P535" i="1" s="1"/>
  <c r="H536" i="1"/>
  <c r="J536" i="1"/>
  <c r="Q536" i="1"/>
  <c r="P536" i="1" s="1"/>
  <c r="H537" i="1"/>
  <c r="J537" i="1"/>
  <c r="Q537" i="1"/>
  <c r="P537" i="1" s="1"/>
  <c r="H538" i="1"/>
  <c r="J538" i="1"/>
  <c r="Q538" i="1"/>
  <c r="P538" i="1" s="1"/>
  <c r="H539" i="1"/>
  <c r="J539" i="1"/>
  <c r="Q539" i="1"/>
  <c r="P539" i="1" s="1"/>
  <c r="H540" i="1"/>
  <c r="J540" i="1"/>
  <c r="Q540" i="1"/>
  <c r="P540" i="1" s="1"/>
  <c r="H541" i="1"/>
  <c r="J541" i="1"/>
  <c r="Q541" i="1"/>
  <c r="P541" i="1" s="1"/>
  <c r="H542" i="1"/>
  <c r="J542" i="1"/>
  <c r="Q542" i="1"/>
  <c r="P542" i="1" s="1"/>
  <c r="H543" i="1"/>
  <c r="J543" i="1"/>
  <c r="Q543" i="1"/>
  <c r="P543" i="1" s="1"/>
  <c r="H544" i="1"/>
  <c r="J544" i="1"/>
  <c r="Q544" i="1"/>
  <c r="P544" i="1" s="1"/>
  <c r="H545" i="1"/>
  <c r="J545" i="1"/>
  <c r="Q545" i="1"/>
  <c r="P545" i="1" s="1"/>
  <c r="H546" i="1"/>
  <c r="J546" i="1"/>
  <c r="Q546" i="1"/>
  <c r="P546" i="1" s="1"/>
  <c r="H547" i="1"/>
  <c r="J547" i="1"/>
  <c r="Q547" i="1"/>
  <c r="P547" i="1" s="1"/>
  <c r="H548" i="1"/>
  <c r="J548" i="1"/>
  <c r="Q548" i="1"/>
  <c r="P548" i="1" s="1"/>
  <c r="H549" i="1"/>
  <c r="J549" i="1"/>
  <c r="Q549" i="1"/>
  <c r="P549" i="1" s="1"/>
  <c r="H550" i="1"/>
  <c r="J550" i="1"/>
  <c r="Q550" i="1"/>
  <c r="P550" i="1" s="1"/>
  <c r="H551" i="1"/>
  <c r="J551" i="1"/>
  <c r="Q551" i="1"/>
  <c r="P551" i="1" s="1"/>
  <c r="H552" i="1"/>
  <c r="J552" i="1"/>
  <c r="Q552" i="1"/>
  <c r="P552" i="1" s="1"/>
  <c r="H553" i="1"/>
  <c r="J553" i="1"/>
  <c r="Q553" i="1"/>
  <c r="P553" i="1" s="1"/>
  <c r="H554" i="1"/>
  <c r="J554" i="1"/>
  <c r="Q554" i="1"/>
  <c r="P554" i="1" s="1"/>
  <c r="H555" i="1"/>
  <c r="J555" i="1"/>
  <c r="Q555" i="1"/>
  <c r="P555" i="1" s="1"/>
  <c r="H556" i="1"/>
  <c r="J556" i="1"/>
  <c r="Q556" i="1"/>
  <c r="P556" i="1" s="1"/>
  <c r="H557" i="1"/>
  <c r="J557" i="1"/>
  <c r="Q557" i="1"/>
  <c r="P557" i="1" s="1"/>
  <c r="H558" i="1"/>
  <c r="J558" i="1"/>
  <c r="Q558" i="1"/>
  <c r="P558" i="1" s="1"/>
  <c r="H559" i="1"/>
  <c r="J559" i="1"/>
  <c r="Q559" i="1"/>
  <c r="P559" i="1" s="1"/>
  <c r="H560" i="1"/>
  <c r="J560" i="1"/>
  <c r="Q560" i="1"/>
  <c r="P560" i="1" s="1"/>
  <c r="H561" i="1"/>
  <c r="J561" i="1"/>
  <c r="Q561" i="1"/>
  <c r="P561" i="1" s="1"/>
  <c r="H562" i="1"/>
  <c r="J562" i="1"/>
  <c r="Q562" i="1"/>
  <c r="P562" i="1" s="1"/>
  <c r="H563" i="1"/>
  <c r="J563" i="1"/>
  <c r="Q563" i="1"/>
  <c r="P563" i="1" s="1"/>
  <c r="H564" i="1"/>
  <c r="J564" i="1"/>
  <c r="Q564" i="1"/>
  <c r="P564" i="1" s="1"/>
  <c r="H565" i="1"/>
  <c r="J565" i="1"/>
  <c r="Q565" i="1"/>
  <c r="P565" i="1" s="1"/>
  <c r="H566" i="1"/>
  <c r="J566" i="1"/>
  <c r="Q566" i="1"/>
  <c r="P566" i="1" s="1"/>
  <c r="H567" i="1"/>
  <c r="J567" i="1"/>
  <c r="Q567" i="1"/>
  <c r="P567" i="1" s="1"/>
  <c r="H568" i="1"/>
  <c r="J568" i="1"/>
  <c r="Q568" i="1"/>
  <c r="P568" i="1" s="1"/>
  <c r="H569" i="1"/>
  <c r="J569" i="1"/>
  <c r="Q569" i="1"/>
  <c r="P569" i="1" s="1"/>
  <c r="H570" i="1"/>
  <c r="J570" i="1"/>
  <c r="Q570" i="1"/>
  <c r="P570" i="1" s="1"/>
  <c r="H571" i="1"/>
  <c r="J571" i="1"/>
  <c r="Q571" i="1"/>
  <c r="P571" i="1" s="1"/>
  <c r="H572" i="1"/>
  <c r="J572" i="1"/>
  <c r="Q572" i="1"/>
  <c r="P572" i="1" s="1"/>
  <c r="H573" i="1"/>
  <c r="J573" i="1"/>
  <c r="Q573" i="1"/>
  <c r="P573" i="1" s="1"/>
  <c r="H574" i="1"/>
  <c r="J574" i="1"/>
  <c r="Q574" i="1"/>
  <c r="P574" i="1" s="1"/>
  <c r="H575" i="1"/>
  <c r="J575" i="1"/>
  <c r="Q575" i="1"/>
  <c r="P575" i="1" s="1"/>
  <c r="H576" i="1"/>
  <c r="J576" i="1"/>
  <c r="Q576" i="1"/>
  <c r="P576" i="1" s="1"/>
  <c r="H577" i="1"/>
  <c r="J577" i="1"/>
  <c r="Q577" i="1"/>
  <c r="P577" i="1" s="1"/>
  <c r="H578" i="1"/>
  <c r="J578" i="1"/>
  <c r="Q578" i="1"/>
  <c r="P578" i="1" s="1"/>
  <c r="H579" i="1"/>
  <c r="J579" i="1"/>
  <c r="Q579" i="1"/>
  <c r="P579" i="1" s="1"/>
  <c r="H580" i="1"/>
  <c r="J580" i="1"/>
  <c r="Q580" i="1"/>
  <c r="P580" i="1" s="1"/>
  <c r="H581" i="1"/>
  <c r="J581" i="1"/>
  <c r="Q581" i="1"/>
  <c r="P581" i="1" s="1"/>
  <c r="H582" i="1"/>
  <c r="J582" i="1"/>
  <c r="Q582" i="1"/>
  <c r="P582" i="1" s="1"/>
  <c r="H583" i="1"/>
  <c r="J583" i="1"/>
  <c r="Q583" i="1"/>
  <c r="P583" i="1" s="1"/>
  <c r="H584" i="1"/>
  <c r="J584" i="1"/>
  <c r="Q584" i="1"/>
  <c r="P584" i="1" s="1"/>
  <c r="H585" i="1"/>
  <c r="J585" i="1"/>
  <c r="Q585" i="1"/>
  <c r="P585" i="1" s="1"/>
  <c r="H586" i="1"/>
  <c r="J586" i="1"/>
  <c r="Q586" i="1"/>
  <c r="P586" i="1" s="1"/>
  <c r="H587" i="1"/>
  <c r="J587" i="1"/>
  <c r="Q587" i="1"/>
  <c r="P587" i="1" s="1"/>
  <c r="H588" i="1"/>
  <c r="J588" i="1"/>
  <c r="Q588" i="1"/>
  <c r="P588" i="1" s="1"/>
  <c r="H589" i="1"/>
  <c r="J589" i="1"/>
  <c r="Q589" i="1"/>
  <c r="P589" i="1" s="1"/>
  <c r="H590" i="1"/>
  <c r="J590" i="1"/>
  <c r="Q590" i="1"/>
  <c r="P590" i="1" s="1"/>
  <c r="H591" i="1"/>
  <c r="J591" i="1"/>
  <c r="Q591" i="1"/>
  <c r="P591" i="1" s="1"/>
  <c r="H592" i="1"/>
  <c r="J592" i="1"/>
  <c r="Q592" i="1"/>
  <c r="P592" i="1" s="1"/>
  <c r="H593" i="1"/>
  <c r="J593" i="1"/>
  <c r="Q593" i="1"/>
  <c r="P593" i="1" s="1"/>
  <c r="H594" i="1"/>
  <c r="J594" i="1"/>
  <c r="Q594" i="1"/>
  <c r="P594" i="1" s="1"/>
  <c r="H595" i="1"/>
  <c r="J595" i="1"/>
  <c r="Q595" i="1"/>
  <c r="P595" i="1" s="1"/>
  <c r="H596" i="1"/>
  <c r="J596" i="1"/>
  <c r="Q596" i="1"/>
  <c r="P596" i="1" s="1"/>
  <c r="H597" i="1"/>
  <c r="J597" i="1"/>
  <c r="Q597" i="1"/>
  <c r="P597" i="1" s="1"/>
  <c r="H598" i="1"/>
  <c r="J598" i="1"/>
  <c r="Q598" i="1"/>
  <c r="P598" i="1" s="1"/>
  <c r="H599" i="1"/>
  <c r="J599" i="1"/>
  <c r="Q599" i="1"/>
  <c r="P599" i="1" s="1"/>
  <c r="H600" i="1"/>
  <c r="J600" i="1"/>
  <c r="Q600" i="1"/>
  <c r="P600" i="1" s="1"/>
  <c r="H601" i="1"/>
  <c r="J601" i="1"/>
  <c r="Q601" i="1"/>
  <c r="P601" i="1" s="1"/>
  <c r="H602" i="1"/>
  <c r="J602" i="1"/>
  <c r="Q602" i="1"/>
  <c r="P602" i="1" s="1"/>
  <c r="H603" i="1"/>
  <c r="J603" i="1"/>
  <c r="Q603" i="1"/>
  <c r="P603" i="1" s="1"/>
  <c r="H604" i="1"/>
  <c r="J604" i="1"/>
  <c r="Q604" i="1"/>
  <c r="P604" i="1" s="1"/>
  <c r="H605" i="1"/>
  <c r="J605" i="1"/>
  <c r="Q605" i="1"/>
  <c r="P605" i="1" s="1"/>
  <c r="H606" i="1"/>
  <c r="J606" i="1"/>
  <c r="Q606" i="1"/>
  <c r="P606" i="1" s="1"/>
  <c r="H607" i="1"/>
  <c r="J607" i="1"/>
  <c r="Q607" i="1"/>
  <c r="P607" i="1" s="1"/>
  <c r="H608" i="1"/>
  <c r="J608" i="1"/>
  <c r="Q608" i="1"/>
  <c r="P608" i="1" s="1"/>
  <c r="H609" i="1"/>
  <c r="J609" i="1"/>
  <c r="Q609" i="1"/>
  <c r="P609" i="1" s="1"/>
  <c r="H610" i="1"/>
  <c r="J610" i="1"/>
  <c r="Q610" i="1"/>
  <c r="P610" i="1" s="1"/>
  <c r="H611" i="1"/>
  <c r="J611" i="1"/>
  <c r="Q611" i="1"/>
  <c r="P611" i="1" s="1"/>
  <c r="H612" i="1"/>
  <c r="J612" i="1"/>
  <c r="Q612" i="1"/>
  <c r="P612" i="1" s="1"/>
  <c r="H613" i="1"/>
  <c r="J613" i="1"/>
  <c r="Q613" i="1"/>
  <c r="P613" i="1" s="1"/>
  <c r="H614" i="1"/>
  <c r="J614" i="1"/>
  <c r="Q614" i="1"/>
  <c r="P614" i="1" s="1"/>
  <c r="H615" i="1"/>
  <c r="J615" i="1"/>
  <c r="Q615" i="1"/>
  <c r="P615" i="1" s="1"/>
  <c r="H616" i="1"/>
  <c r="J616" i="1"/>
  <c r="Q616" i="1"/>
  <c r="P616" i="1" s="1"/>
  <c r="H617" i="1"/>
  <c r="J617" i="1"/>
  <c r="Q617" i="1"/>
  <c r="P617" i="1" s="1"/>
  <c r="H618" i="1"/>
  <c r="J618" i="1"/>
  <c r="Q618" i="1"/>
  <c r="P618" i="1" s="1"/>
  <c r="H619" i="1"/>
  <c r="J619" i="1"/>
  <c r="Q619" i="1"/>
  <c r="P619" i="1" s="1"/>
  <c r="H620" i="1"/>
  <c r="J620" i="1"/>
  <c r="Q620" i="1"/>
  <c r="P620" i="1" s="1"/>
  <c r="H621" i="1"/>
  <c r="J621" i="1"/>
  <c r="Q621" i="1"/>
  <c r="P621" i="1" s="1"/>
  <c r="H622" i="1"/>
  <c r="J622" i="1"/>
  <c r="Q622" i="1"/>
  <c r="P622" i="1" s="1"/>
  <c r="H513" i="1"/>
  <c r="J513" i="1"/>
  <c r="Q513" i="1"/>
  <c r="P513" i="1" s="1"/>
  <c r="H512" i="1"/>
  <c r="J512" i="1"/>
  <c r="Q512" i="1"/>
  <c r="P512" i="1" s="1"/>
  <c r="H511" i="1"/>
  <c r="J511" i="1"/>
  <c r="Q511" i="1"/>
  <c r="P511" i="1" s="1"/>
  <c r="H510" i="1"/>
  <c r="J510" i="1"/>
  <c r="Q510" i="1"/>
  <c r="P510" i="1" s="1"/>
  <c r="H509" i="1"/>
  <c r="J509" i="1"/>
  <c r="Q509" i="1"/>
  <c r="P509" i="1" s="1"/>
  <c r="H498" i="1"/>
  <c r="J498" i="1"/>
  <c r="Q498" i="1"/>
  <c r="P498" i="1" s="1"/>
  <c r="H2" i="1"/>
  <c r="J2" i="1"/>
  <c r="K2" i="1"/>
  <c r="Q2" i="1"/>
  <c r="P2" i="1" s="1"/>
  <c r="H3" i="1"/>
  <c r="J3" i="1"/>
  <c r="Q3" i="1"/>
  <c r="P3" i="1" s="1"/>
  <c r="H4" i="1"/>
  <c r="J4" i="1"/>
  <c r="Q4" i="1"/>
  <c r="P4" i="1" s="1"/>
  <c r="H5" i="1"/>
  <c r="J5" i="1"/>
  <c r="Q5" i="1"/>
  <c r="P5" i="1" s="1"/>
  <c r="H6" i="1"/>
  <c r="J6" i="1"/>
  <c r="Q6" i="1"/>
  <c r="P6" i="1" s="1"/>
  <c r="H7" i="1"/>
  <c r="J7" i="1"/>
  <c r="Q7" i="1"/>
  <c r="P7" i="1" s="1"/>
  <c r="H8" i="1"/>
  <c r="J8" i="1"/>
  <c r="Q8" i="1"/>
  <c r="P8" i="1" s="1"/>
  <c r="H9" i="1"/>
  <c r="J9" i="1"/>
  <c r="Q9" i="1"/>
  <c r="P9" i="1" s="1"/>
  <c r="H10" i="1"/>
  <c r="J10" i="1"/>
  <c r="Q10" i="1"/>
  <c r="P10" i="1" s="1"/>
  <c r="H496" i="1"/>
  <c r="H497" i="1"/>
  <c r="J496" i="1"/>
  <c r="J497" i="1"/>
  <c r="Q496" i="1"/>
  <c r="P496" i="1" s="1"/>
  <c r="Q497" i="1"/>
  <c r="P497" i="1" s="1"/>
  <c r="H495" i="1"/>
  <c r="J495" i="1"/>
  <c r="Q495" i="1"/>
  <c r="P495" i="1" s="1"/>
  <c r="H494" i="1"/>
  <c r="J494" i="1"/>
  <c r="Q494" i="1"/>
  <c r="P494" i="1" s="1"/>
  <c r="H493" i="1"/>
  <c r="J493" i="1"/>
  <c r="Q493" i="1"/>
  <c r="P493" i="1" s="1"/>
  <c r="H488" i="1"/>
  <c r="H489" i="1"/>
  <c r="H490" i="1"/>
  <c r="H491" i="1"/>
  <c r="H492" i="1"/>
  <c r="J488" i="1"/>
  <c r="J489" i="1"/>
  <c r="J490" i="1"/>
  <c r="J491" i="1"/>
  <c r="J492" i="1"/>
  <c r="Q488" i="1"/>
  <c r="P488" i="1" s="1"/>
  <c r="Q489" i="1"/>
  <c r="P489" i="1" s="1"/>
  <c r="Q490" i="1"/>
  <c r="P490" i="1" s="1"/>
  <c r="Q491" i="1"/>
  <c r="P491" i="1" s="1"/>
  <c r="Q492" i="1"/>
  <c r="P492" i="1" s="1"/>
  <c r="H430" i="1"/>
  <c r="H431" i="1"/>
  <c r="J430" i="1"/>
  <c r="J431" i="1"/>
  <c r="Q430" i="1"/>
  <c r="P430" i="1" s="1"/>
  <c r="Q431" i="1"/>
  <c r="P431" i="1" s="1"/>
  <c r="H429" i="1"/>
  <c r="J429" i="1"/>
  <c r="Q429" i="1"/>
  <c r="P429" i="1" s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H432" i="1"/>
  <c r="J432" i="1"/>
  <c r="Q432" i="1"/>
  <c r="P432" i="1" s="1"/>
  <c r="H384" i="1"/>
  <c r="H385" i="1"/>
  <c r="H386" i="1"/>
  <c r="J384" i="1"/>
  <c r="J385" i="1"/>
  <c r="J386" i="1"/>
  <c r="Q384" i="1"/>
  <c r="P384" i="1" s="1"/>
  <c r="Q385" i="1"/>
  <c r="P385" i="1" s="1"/>
  <c r="Q386" i="1"/>
  <c r="P386" i="1" s="1"/>
  <c r="H383" i="1"/>
  <c r="J383" i="1"/>
  <c r="Q383" i="1"/>
  <c r="P383" i="1" s="1"/>
  <c r="H387" i="1"/>
  <c r="J387" i="1"/>
  <c r="Q387" i="1"/>
  <c r="P387" i="1" s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H365" i="1"/>
  <c r="J365" i="1"/>
  <c r="Q365" i="1"/>
  <c r="P365" i="1" s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H366" i="1"/>
  <c r="J366" i="1"/>
  <c r="Q366" i="1"/>
  <c r="P366" i="1" s="1"/>
  <c r="H342" i="1"/>
  <c r="H343" i="1"/>
  <c r="H344" i="1"/>
  <c r="H345" i="1"/>
  <c r="H346" i="1"/>
  <c r="J342" i="1"/>
  <c r="J343" i="1"/>
  <c r="J344" i="1"/>
  <c r="J345" i="1"/>
  <c r="J346" i="1"/>
  <c r="Q342" i="1"/>
  <c r="P342" i="1" s="1"/>
  <c r="Q343" i="1"/>
  <c r="P343" i="1" s="1"/>
  <c r="Q344" i="1"/>
  <c r="P344" i="1" s="1"/>
  <c r="Q345" i="1"/>
  <c r="P345" i="1" s="1"/>
  <c r="Q346" i="1"/>
  <c r="P346" i="1" s="1"/>
  <c r="H341" i="1"/>
  <c r="J341" i="1"/>
  <c r="Q341" i="1"/>
  <c r="P341" i="1" s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H361" i="1"/>
  <c r="H362" i="1"/>
  <c r="H363" i="1"/>
  <c r="J361" i="1"/>
  <c r="J362" i="1"/>
  <c r="J363" i="1"/>
  <c r="Q361" i="1"/>
  <c r="P361" i="1" s="1"/>
  <c r="Q362" i="1"/>
  <c r="P362" i="1" s="1"/>
  <c r="Q363" i="1"/>
  <c r="P363" i="1" s="1"/>
  <c r="H360" i="1"/>
  <c r="J360" i="1"/>
  <c r="Q360" i="1"/>
  <c r="P360" i="1" s="1"/>
  <c r="H364" i="1"/>
  <c r="J364" i="1"/>
  <c r="Q364" i="1"/>
  <c r="P364" i="1" s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H315" i="1"/>
  <c r="J315" i="1"/>
  <c r="Q315" i="1"/>
  <c r="P315" i="1" s="1"/>
  <c r="H317" i="1"/>
  <c r="H318" i="1"/>
  <c r="H319" i="1"/>
  <c r="H320" i="1"/>
  <c r="H321" i="1"/>
  <c r="J317" i="1"/>
  <c r="J318" i="1"/>
  <c r="J319" i="1"/>
  <c r="J320" i="1"/>
  <c r="J321" i="1"/>
  <c r="Q317" i="1"/>
  <c r="P317" i="1" s="1"/>
  <c r="Q318" i="1"/>
  <c r="P318" i="1" s="1"/>
  <c r="Q319" i="1"/>
  <c r="P319" i="1" s="1"/>
  <c r="Q320" i="1"/>
  <c r="P320" i="1" s="1"/>
  <c r="Q321" i="1"/>
  <c r="P321" i="1" s="1"/>
  <c r="H316" i="1"/>
  <c r="J316" i="1"/>
  <c r="Q316" i="1"/>
  <c r="P316" i="1" s="1"/>
  <c r="H322" i="1"/>
  <c r="J322" i="1"/>
  <c r="Q322" i="1"/>
  <c r="P322" i="1" s="1"/>
  <c r="H314" i="1"/>
  <c r="J314" i="1"/>
  <c r="Q314" i="1"/>
  <c r="P314" i="1" s="1"/>
  <c r="H309" i="1"/>
  <c r="H310" i="1"/>
  <c r="H311" i="1"/>
  <c r="H312" i="1"/>
  <c r="H313" i="1"/>
  <c r="J309" i="1"/>
  <c r="J310" i="1"/>
  <c r="J311" i="1"/>
  <c r="J312" i="1"/>
  <c r="J313" i="1"/>
  <c r="Q309" i="1"/>
  <c r="P309" i="1" s="1"/>
  <c r="Q310" i="1"/>
  <c r="P310" i="1" s="1"/>
  <c r="Q311" i="1"/>
  <c r="P311" i="1" s="1"/>
  <c r="Q312" i="1"/>
  <c r="P312" i="1" s="1"/>
  <c r="Q313" i="1"/>
  <c r="P313" i="1" s="1"/>
  <c r="H308" i="1"/>
  <c r="J308" i="1"/>
  <c r="Q308" i="1"/>
  <c r="P308" i="1" s="1"/>
  <c r="H307" i="1"/>
  <c r="J307" i="1"/>
  <c r="Q307" i="1"/>
  <c r="P307" i="1" s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H296" i="1"/>
  <c r="J296" i="1"/>
  <c r="Q296" i="1"/>
  <c r="P296" i="1" s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H286" i="1"/>
  <c r="J286" i="1"/>
  <c r="Q286" i="1"/>
  <c r="P286" i="1" s="1"/>
  <c r="H282" i="1"/>
  <c r="H283" i="1"/>
  <c r="H284" i="1"/>
  <c r="H285" i="1"/>
  <c r="J282" i="1"/>
  <c r="J283" i="1"/>
  <c r="J284" i="1"/>
  <c r="J285" i="1"/>
  <c r="Q282" i="1"/>
  <c r="P282" i="1" s="1"/>
  <c r="Q283" i="1"/>
  <c r="P283" i="1" s="1"/>
  <c r="Q284" i="1"/>
  <c r="P284" i="1" s="1"/>
  <c r="Q285" i="1"/>
  <c r="P285" i="1" s="1"/>
  <c r="H267" i="1"/>
  <c r="H268" i="1"/>
  <c r="H269" i="1"/>
  <c r="J267" i="1"/>
  <c r="J268" i="1"/>
  <c r="J269" i="1"/>
  <c r="Q267" i="1"/>
  <c r="P267" i="1" s="1"/>
  <c r="Q268" i="1"/>
  <c r="P268" i="1" s="1"/>
  <c r="Q269" i="1"/>
  <c r="P269" i="1" s="1"/>
  <c r="H266" i="1"/>
  <c r="J266" i="1"/>
  <c r="Q266" i="1"/>
  <c r="P266" i="1" s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H270" i="1"/>
  <c r="J270" i="1"/>
  <c r="Q270" i="1"/>
  <c r="P270" i="1" s="1"/>
  <c r="H263" i="1"/>
  <c r="H264" i="1"/>
  <c r="H265" i="1"/>
  <c r="J263" i="1"/>
  <c r="J264" i="1"/>
  <c r="J265" i="1"/>
  <c r="Q263" i="1"/>
  <c r="P263" i="1" s="1"/>
  <c r="Q264" i="1"/>
  <c r="P264" i="1" s="1"/>
  <c r="Q265" i="1"/>
  <c r="P265" i="1" s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H251" i="1"/>
  <c r="H252" i="1"/>
  <c r="H253" i="1"/>
  <c r="H254" i="1"/>
  <c r="H255" i="1"/>
  <c r="J251" i="1"/>
  <c r="J252" i="1"/>
  <c r="J253" i="1"/>
  <c r="J254" i="1"/>
  <c r="J255" i="1"/>
  <c r="Q251" i="1"/>
  <c r="P251" i="1" s="1"/>
  <c r="Q252" i="1"/>
  <c r="P252" i="1" s="1"/>
  <c r="Q253" i="1"/>
  <c r="P253" i="1" s="1"/>
  <c r="Q254" i="1"/>
  <c r="P254" i="1" s="1"/>
  <c r="Q255" i="1"/>
  <c r="P255" i="1" s="1"/>
  <c r="H250" i="1"/>
  <c r="J250" i="1"/>
  <c r="Q250" i="1"/>
  <c r="P250" i="1" s="1"/>
  <c r="H249" i="1"/>
  <c r="J249" i="1"/>
  <c r="Q249" i="1"/>
  <c r="P249" i="1" s="1"/>
  <c r="H245" i="1"/>
  <c r="H246" i="1"/>
  <c r="H247" i="1"/>
  <c r="H248" i="1"/>
  <c r="J245" i="1"/>
  <c r="J246" i="1"/>
  <c r="J247" i="1"/>
  <c r="J248" i="1"/>
  <c r="Q245" i="1"/>
  <c r="P245" i="1" s="1"/>
  <c r="Q246" i="1"/>
  <c r="P246" i="1" s="1"/>
  <c r="Q247" i="1"/>
  <c r="P247" i="1" s="1"/>
  <c r="Q248" i="1"/>
  <c r="P248" i="1" s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H206" i="1"/>
  <c r="H207" i="1"/>
  <c r="J206" i="1"/>
  <c r="J207" i="1"/>
  <c r="Q206" i="1"/>
  <c r="P206" i="1" s="1"/>
  <c r="Q207" i="1"/>
  <c r="P207" i="1" s="1"/>
  <c r="H205" i="1"/>
  <c r="J205" i="1"/>
  <c r="Q205" i="1"/>
  <c r="P205" i="1" s="1"/>
  <c r="H204" i="1"/>
  <c r="J204" i="1"/>
  <c r="Q204" i="1"/>
  <c r="P204" i="1" s="1"/>
  <c r="H203" i="1"/>
  <c r="J203" i="1"/>
  <c r="Q203" i="1"/>
  <c r="P203" i="1" s="1"/>
  <c r="H190" i="1"/>
  <c r="J190" i="1"/>
  <c r="Q190" i="1"/>
  <c r="P190" i="1" s="1"/>
  <c r="H191" i="1"/>
  <c r="J191" i="1"/>
  <c r="Q191" i="1"/>
  <c r="P191" i="1" s="1"/>
  <c r="H192" i="1"/>
  <c r="H193" i="1"/>
  <c r="H194" i="1"/>
  <c r="H195" i="1"/>
  <c r="H196" i="1"/>
  <c r="J192" i="1"/>
  <c r="J193" i="1"/>
  <c r="J194" i="1"/>
  <c r="J195" i="1"/>
  <c r="J196" i="1"/>
  <c r="Q192" i="1"/>
  <c r="P192" i="1" s="1"/>
  <c r="Q193" i="1"/>
  <c r="P193" i="1" s="1"/>
  <c r="Q194" i="1"/>
  <c r="P194" i="1" s="1"/>
  <c r="Q195" i="1"/>
  <c r="P195" i="1" s="1"/>
  <c r="Q196" i="1"/>
  <c r="P196" i="1" s="1"/>
  <c r="H201" i="1"/>
  <c r="H202" i="1"/>
  <c r="J201" i="1"/>
  <c r="J202" i="1"/>
  <c r="Q201" i="1"/>
  <c r="P201" i="1" s="1"/>
  <c r="Q202" i="1"/>
  <c r="P202" i="1" s="1"/>
  <c r="H197" i="1"/>
  <c r="H198" i="1"/>
  <c r="H199" i="1"/>
  <c r="H200" i="1"/>
  <c r="J197" i="1"/>
  <c r="J198" i="1"/>
  <c r="J199" i="1"/>
  <c r="J200" i="1"/>
  <c r="Q197" i="1"/>
  <c r="P197" i="1" s="1"/>
  <c r="Q198" i="1"/>
  <c r="P198" i="1" s="1"/>
  <c r="Q199" i="1"/>
  <c r="P199" i="1" s="1"/>
  <c r="Q200" i="1"/>
  <c r="P200" i="1" s="1"/>
  <c r="H187" i="1"/>
  <c r="H188" i="1"/>
  <c r="H189" i="1"/>
  <c r="J187" i="1"/>
  <c r="J188" i="1"/>
  <c r="J189" i="1"/>
  <c r="Q187" i="1"/>
  <c r="P187" i="1" s="1"/>
  <c r="Q188" i="1"/>
  <c r="P188" i="1" s="1"/>
  <c r="Q189" i="1"/>
  <c r="P189" i="1" s="1"/>
  <c r="H164" i="1"/>
  <c r="Q164" i="1"/>
  <c r="P164" i="1" s="1"/>
  <c r="H165" i="1"/>
  <c r="H166" i="1"/>
  <c r="J165" i="1"/>
  <c r="J166" i="1"/>
  <c r="Q165" i="1"/>
  <c r="P165" i="1" s="1"/>
  <c r="Q166" i="1"/>
  <c r="P166" i="1" s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H163" i="1"/>
  <c r="J163" i="1"/>
  <c r="Q163" i="1"/>
  <c r="P163" i="1" s="1"/>
  <c r="H162" i="1"/>
  <c r="J162" i="1"/>
  <c r="Q162" i="1"/>
  <c r="P162" i="1" s="1"/>
  <c r="H160" i="1"/>
  <c r="H161" i="1"/>
  <c r="J160" i="1"/>
  <c r="J161" i="1"/>
  <c r="Q160" i="1"/>
  <c r="P160" i="1" s="1"/>
  <c r="Q161" i="1"/>
  <c r="P161" i="1" s="1"/>
  <c r="H159" i="1"/>
  <c r="J159" i="1"/>
  <c r="Q159" i="1"/>
  <c r="P159" i="1" s="1"/>
  <c r="H157" i="1"/>
  <c r="H158" i="1"/>
  <c r="J157" i="1"/>
  <c r="J158" i="1"/>
  <c r="Q157" i="1"/>
  <c r="P157" i="1" s="1"/>
  <c r="Q158" i="1"/>
  <c r="P158" i="1" s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H130" i="1"/>
  <c r="H131" i="1"/>
  <c r="J130" i="1"/>
  <c r="J131" i="1"/>
  <c r="Q130" i="1"/>
  <c r="P130" i="1" s="1"/>
  <c r="Q131" i="1"/>
  <c r="P131" i="1" s="1"/>
  <c r="Q129" i="1"/>
  <c r="P129" i="1" s="1"/>
  <c r="Q128" i="1"/>
  <c r="P128" i="1" s="1"/>
  <c r="Q127" i="1"/>
  <c r="P127" i="1" s="1"/>
  <c r="Q126" i="1"/>
  <c r="P126" i="1" s="1"/>
  <c r="Q125" i="1"/>
  <c r="P125" i="1" s="1"/>
  <c r="Q124" i="1"/>
  <c r="P124" i="1" s="1"/>
  <c r="Q123" i="1"/>
  <c r="P123" i="1" s="1"/>
  <c r="Q122" i="1"/>
  <c r="P122" i="1" s="1"/>
  <c r="Q121" i="1"/>
  <c r="P121" i="1" s="1"/>
  <c r="Q120" i="1"/>
  <c r="P120" i="1" s="1"/>
  <c r="Q119" i="1"/>
  <c r="P119" i="1" s="1"/>
  <c r="Q118" i="1"/>
  <c r="P118" i="1" s="1"/>
  <c r="Q117" i="1"/>
  <c r="P117" i="1" s="1"/>
  <c r="Q116" i="1"/>
  <c r="P116" i="1" s="1"/>
  <c r="Q115" i="1"/>
  <c r="P115" i="1" s="1"/>
  <c r="Q114" i="1"/>
  <c r="P114" i="1" s="1"/>
  <c r="Q113" i="1"/>
  <c r="P113" i="1" s="1"/>
  <c r="Q112" i="1"/>
  <c r="P112" i="1" s="1"/>
  <c r="Q111" i="1"/>
  <c r="P111" i="1" s="1"/>
  <c r="Q110" i="1"/>
  <c r="P110" i="1" s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Q109" i="1"/>
  <c r="P109" i="1" s="1"/>
  <c r="H86" i="1"/>
  <c r="H87" i="1"/>
  <c r="H88" i="1"/>
  <c r="J86" i="1"/>
  <c r="J87" i="1"/>
  <c r="J88" i="1"/>
  <c r="Q86" i="1"/>
  <c r="P86" i="1" s="1"/>
  <c r="Q87" i="1"/>
  <c r="P87" i="1" s="1"/>
  <c r="Q88" i="1"/>
  <c r="P88" i="1" s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H89" i="1"/>
  <c r="J89" i="1"/>
  <c r="Q89" i="1"/>
  <c r="P89" i="1" s="1"/>
  <c r="Q85" i="1"/>
  <c r="P85" i="1" s="1"/>
  <c r="Q84" i="1"/>
  <c r="P84" i="1" s="1"/>
  <c r="Q83" i="1"/>
  <c r="P83" i="1" s="1"/>
  <c r="Q82" i="1"/>
  <c r="P82" i="1" s="1"/>
  <c r="Q81" i="1"/>
  <c r="P81" i="1" s="1"/>
  <c r="Q80" i="1"/>
  <c r="P80" i="1" s="1"/>
  <c r="Q79" i="1"/>
  <c r="P79" i="1" s="1"/>
  <c r="Q78" i="1"/>
  <c r="P78" i="1" s="1"/>
  <c r="Q77" i="1"/>
  <c r="P77" i="1" s="1"/>
  <c r="Q76" i="1"/>
  <c r="P76" i="1" s="1"/>
  <c r="Q75" i="1"/>
  <c r="P75" i="1" s="1"/>
  <c r="Q74" i="1"/>
  <c r="P74" i="1" s="1"/>
  <c r="Q73" i="1"/>
  <c r="P73" i="1" s="1"/>
  <c r="Q72" i="1"/>
  <c r="P72" i="1" s="1"/>
  <c r="Q71" i="1"/>
  <c r="P71" i="1" s="1"/>
  <c r="Q70" i="1"/>
  <c r="P70" i="1" s="1"/>
  <c r="Q69" i="1"/>
  <c r="P69" i="1" s="1"/>
  <c r="Q68" i="1"/>
  <c r="P68" i="1" s="1"/>
  <c r="Q67" i="1"/>
  <c r="P67" i="1" s="1"/>
  <c r="Q66" i="1"/>
  <c r="P66" i="1" s="1"/>
  <c r="Q65" i="1"/>
  <c r="P65" i="1" s="1"/>
  <c r="Q64" i="1"/>
  <c r="P64" i="1" s="1"/>
  <c r="Q63" i="1"/>
  <c r="P63" i="1" s="1"/>
  <c r="Q62" i="1"/>
  <c r="P62" i="1" s="1"/>
  <c r="Q61" i="1"/>
  <c r="P61" i="1" s="1"/>
  <c r="Q60" i="1"/>
  <c r="P60" i="1" s="1"/>
  <c r="Q59" i="1"/>
  <c r="P59" i="1" s="1"/>
  <c r="Q58" i="1"/>
  <c r="P58" i="1" s="1"/>
  <c r="Q57" i="1"/>
  <c r="P57" i="1" s="1"/>
  <c r="Q56" i="1"/>
  <c r="P56" i="1" s="1"/>
  <c r="Q55" i="1"/>
  <c r="P55" i="1" s="1"/>
  <c r="Q54" i="1"/>
  <c r="P54" i="1" s="1"/>
  <c r="Q53" i="1"/>
  <c r="P53" i="1" s="1"/>
  <c r="Q52" i="1"/>
  <c r="P52" i="1" s="1"/>
  <c r="Q51" i="1"/>
  <c r="P51" i="1" s="1"/>
  <c r="Q50" i="1"/>
  <c r="P50" i="1" s="1"/>
  <c r="Q49" i="1"/>
  <c r="P49" i="1" s="1"/>
  <c r="Q48" i="1"/>
  <c r="P48" i="1" s="1"/>
  <c r="Q47" i="1"/>
  <c r="P47" i="1" s="1"/>
  <c r="Q46" i="1"/>
  <c r="P46" i="1" s="1"/>
  <c r="Q45" i="1"/>
  <c r="P45" i="1" s="1"/>
  <c r="Q44" i="1"/>
  <c r="P44" i="1" s="1"/>
  <c r="Q43" i="1"/>
  <c r="P43" i="1" s="1"/>
  <c r="Q42" i="1"/>
  <c r="P42" i="1" s="1"/>
  <c r="Q41" i="1"/>
  <c r="P41" i="1" s="1"/>
  <c r="Q40" i="1"/>
  <c r="P40" i="1" s="1"/>
  <c r="Q39" i="1"/>
  <c r="P39" i="1" s="1"/>
  <c r="Q38" i="1"/>
  <c r="P38" i="1" s="1"/>
  <c r="Q37" i="1"/>
  <c r="P37" i="1" s="1"/>
  <c r="Q36" i="1"/>
  <c r="P36" i="1" s="1"/>
  <c r="Q35" i="1"/>
  <c r="P35" i="1" s="1"/>
  <c r="Q34" i="1"/>
  <c r="P34" i="1" s="1"/>
  <c r="Q33" i="1"/>
  <c r="P33" i="1" s="1"/>
  <c r="Q32" i="1"/>
  <c r="P32" i="1" s="1"/>
  <c r="Q31" i="1"/>
  <c r="P31" i="1" s="1"/>
  <c r="Q30" i="1"/>
  <c r="P30" i="1" s="1"/>
  <c r="Q29" i="1"/>
  <c r="P29" i="1" s="1"/>
  <c r="Q28" i="1"/>
  <c r="P28" i="1" s="1"/>
  <c r="Q27" i="1"/>
  <c r="P27" i="1" s="1"/>
  <c r="Q26" i="1"/>
  <c r="P26" i="1" s="1"/>
  <c r="Q25" i="1"/>
  <c r="P25" i="1" s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Q24" i="1"/>
  <c r="P24" i="1" s="1"/>
  <c r="Q23" i="1"/>
  <c r="P23" i="1" s="1"/>
  <c r="H23" i="1"/>
  <c r="J23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H21" i="1"/>
  <c r="H22" i="1"/>
  <c r="J21" i="1"/>
  <c r="J22" i="1"/>
  <c r="Q21" i="1"/>
  <c r="P21" i="1" s="1"/>
  <c r="Q22" i="1"/>
  <c r="P22" i="1" s="1"/>
  <c r="H11" i="1"/>
  <c r="J11" i="1"/>
  <c r="Q11" i="1"/>
  <c r="P11" i="1" s="1"/>
  <c r="H12" i="1"/>
  <c r="H13" i="1"/>
  <c r="H14" i="1"/>
  <c r="H15" i="1"/>
  <c r="H16" i="1"/>
  <c r="J12" i="1"/>
  <c r="J13" i="1"/>
  <c r="J14" i="1"/>
  <c r="J15" i="1"/>
  <c r="J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J2894" i="1"/>
  <c r="J2893" i="1"/>
  <c r="J2891" i="1"/>
  <c r="J2896" i="1"/>
  <c r="J2895" i="1"/>
  <c r="J2892" i="1"/>
  <c r="B9" i="1"/>
  <c r="B10" i="1"/>
  <c r="B8" i="1"/>
  <c r="B7" i="1"/>
  <c r="B2" i="1"/>
  <c r="B5" i="1"/>
  <c r="B6" i="1"/>
  <c r="B3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<sst xmlns="http://schemas.openxmlformats.org/spreadsheetml/2006/main" count="45410" uniqueCount="7410">
  <si>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</si>
  <si>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</si>
  <si>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</si>
  <si>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</si>
  <si>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</si>
  <si>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</si>
  <si>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</si>
  <si>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</si>
  <si>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</si>
  <si>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</si>
  <si>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</si>
  <si>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</si>
  <si>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</si>
  <si>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</si>
  <si>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</si>
  <si>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</si>
  <si>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</si>
  <si>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</si>
  <si>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</si>
  <si>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</si>
  <si>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</si>
  <si>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</si>
  <si>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</si>
  <si>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</si>
  <si>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</si>
  <si>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</si>
  <si>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</si>
  <si>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</si>
  <si>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</si>
  <si>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</si>
  <si>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</si>
  <si>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</si>
  <si>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</si>
  <si>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</si>
  <si>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</si>
  <si>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</si>
  <si>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</si>
  <si>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</si>
  <si>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</si>
  <si>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</si>
  <si>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</si>
  <si>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</si>
  <si>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</si>
  <si>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</si>
  <si>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</si>
  <si>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</si>
  <si>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</si>
  <si>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</si>
  <si>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</si>
  <si>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</si>
  <si>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</si>
  <si>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</si>
  <si>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</si>
  <si>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</si>
  <si>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</si>
  <si>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</si>
  <si>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</si>
  <si>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</si>
  <si>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</si>
  <si>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</si>
  <si>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</si>
  <si>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</si>
  <si>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</si>
  <si>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</si>
  <si>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</si>
  <si>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</si>
  <si>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</si>
  <si>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</si>
  <si>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</si>
  <si>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</si>
  <si>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</si>
  <si>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</si>
  <si>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</si>
  <si>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</si>
  <si>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</si>
  <si>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</si>
  <si>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</si>
  <si>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</si>
  <si>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</si>
  <si>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</si>
  <si>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</si>
  <si>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</si>
  <si>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</si>
  <si>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</si>
  <si>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</si>
  <si>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</si>
  <si>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</si>
  <si>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</si>
  <si>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</si>
  <si>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</si>
  <si>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</si>
  <si>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</si>
  <si>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</si>
  <si>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</si>
  <si>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</si>
  <si>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</si>
  <si>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</si>
  <si>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</si>
  <si>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</si>
  <si>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</si>
  <si>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</si>
  <si>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</si>
  <si>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</si>
  <si>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</si>
  <si>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</si>
  <si>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</si>
  <si>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</si>
  <si>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</si>
  <si>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</si>
  <si>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</si>
  <si>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</si>
  <si>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</si>
  <si>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</si>
  <si>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</si>
  <si>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</si>
  <si>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</si>
  <si>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</si>
  <si>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</si>
  <si>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</si>
  <si>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</si>
  <si>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</si>
  <si>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</si>
  <si>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</si>
  <si>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</si>
  <si>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</si>
  <si>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</si>
  <si>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</si>
  <si>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</si>
  <si>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</si>
  <si>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</si>
  <si>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</si>
  <si>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</si>
  <si>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</si>
  <si>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</si>
  <si>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</si>
  <si>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</si>
  <si>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</si>
  <si>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</si>
  <si>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</si>
  <si>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</si>
  <si>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</si>
  <si>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</si>
  <si>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</si>
  <si>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</si>
  <si>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</si>
  <si>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</si>
  <si>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</si>
  <si>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</si>
  <si>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</si>
  <si>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</si>
  <si>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</si>
  <si>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</si>
  <si>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</si>
  <si>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</si>
  <si>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</si>
  <si>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</si>
  <si>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</si>
  <si>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</si>
  <si>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</si>
  <si>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</si>
  <si>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</si>
  <si>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</si>
  <si>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</si>
  <si>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</si>
  <si>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</si>
  <si>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</si>
  <si>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</si>
  <si>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</si>
  <si>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</si>
  <si>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</si>
  <si>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</si>
  <si>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</si>
  <si>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</si>
  <si>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</si>
  <si>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</si>
  <si>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</si>
  <si>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</si>
  <si>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</si>
  <si>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</si>
  <si>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</si>
  <si>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</si>
  <si>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</si>
  <si>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</si>
  <si>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</si>
  <si>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</si>
  <si>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</si>
  <si>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</si>
  <si>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</si>
  <si>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</si>
  <si>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</si>
  <si>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</si>
  <si>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</si>
  <si>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</si>
  <si>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</si>
  <si>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</si>
  <si>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</si>
  <si>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</si>
  <si>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</si>
  <si>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</si>
  <si>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</si>
  <si>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</si>
  <si>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</si>
  <si>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</si>
  <si>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</si>
  <si>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</si>
  <si>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</si>
  <si>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</si>
  <si>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</si>
  <si>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</si>
  <si>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</si>
  <si>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</si>
  <si>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</si>
  <si>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</si>
  <si>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</si>
  <si>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</si>
  <si>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</si>
  <si>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</si>
  <si>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</si>
  <si>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</si>
  <si>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</si>
  <si>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</si>
  <si>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</si>
  <si>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</si>
  <si>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</si>
  <si>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</si>
  <si>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</si>
  <si>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</si>
  <si>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</si>
  <si>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</si>
  <si>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</si>
  <si>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</si>
  <si>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</si>
  <si>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</si>
  <si>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</si>
  <si>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</si>
  <si>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</si>
  <si>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</si>
  <si>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</si>
  <si>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</si>
  <si>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</si>
  <si>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</si>
  <si>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</si>
  <si>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</si>
  <si>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</si>
  <si>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</si>
  <si>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</si>
  <si>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</si>
  <si>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</si>
  <si>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</si>
  <si>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</si>
  <si>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</si>
  <si>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</si>
  <si>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</si>
  <si>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</si>
  <si>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</si>
  <si>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</si>
  <si>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</si>
  <si>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</si>
  <si>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</si>
  <si>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</si>
  <si>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</si>
  <si>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</si>
  <si>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</si>
  <si>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</si>
  <si>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</si>
  <si>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</si>
  <si>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</si>
  <si>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</si>
  <si>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</si>
  <si>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</si>
  <si>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</si>
  <si>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</si>
  <si>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</si>
  <si>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</si>
  <si>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</si>
  <si>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</si>
  <si>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</si>
  <si>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</si>
  <si>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</si>
  <si>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</si>
  <si>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</si>
  <si>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</si>
  <si>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</si>
  <si>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</si>
  <si>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</si>
  <si>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</si>
  <si>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</si>
  <si>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</si>
  <si>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</si>
  <si>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</si>
  <si>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</si>
  <si>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</si>
  <si>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</si>
  <si>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</si>
  <si>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</si>
  <si>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</si>
  <si>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</si>
  <si>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</si>
  <si>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</si>
  <si>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</si>
  <si>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</si>
  <si>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</si>
  <si>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</si>
  <si>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</si>
  <si>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</si>
  <si>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</si>
  <si>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</si>
  <si>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</si>
  <si>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</si>
  <si>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</si>
  <si>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</si>
  <si>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</si>
  <si>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</si>
  <si>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</si>
  <si>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</si>
  <si>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</si>
  <si>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</si>
  <si>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</si>
  <si>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</si>
  <si>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</si>
  <si>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</si>
  <si>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</si>
  <si>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</si>
  <si>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</si>
  <si>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</si>
  <si>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</si>
  <si>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</si>
  <si>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</si>
  <si>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</si>
  <si>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</si>
  <si>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</si>
  <si>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</si>
  <si>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</si>
  <si>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</si>
  <si>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</si>
  <si>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</si>
  <si>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</si>
  <si>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</si>
  <si>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</si>
  <si>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</si>
  <si>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</si>
  <si>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</si>
  <si>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</si>
  <si>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</si>
  <si>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</si>
  <si>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</si>
  <si>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</si>
  <si>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</si>
  <si>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</si>
  <si>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</si>
  <si>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</si>
  <si>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</si>
  <si>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</si>
  <si>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</si>
  <si>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</si>
  <si>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</si>
  <si>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</si>
  <si>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</si>
  <si>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</si>
  <si>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</si>
  <si>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</si>
  <si>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</si>
  <si>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</si>
  <si>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</si>
  <si>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</si>
  <si>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</si>
  <si>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</si>
  <si>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</si>
  <si>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</si>
  <si>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</si>
  <si>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</si>
  <si>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</si>
  <si>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</si>
  <si>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</si>
  <si>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</si>
  <si>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</si>
  <si>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</si>
  <si>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</si>
  <si>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</si>
  <si>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</si>
  <si>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</si>
  <si>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</si>
  <si>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</si>
  <si>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</si>
  <si>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</si>
  <si>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</si>
  <si>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</si>
  <si>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</si>
  <si>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</si>
  <si>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</si>
  <si>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</si>
  <si>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</si>
  <si>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</si>
  <si>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</si>
  <si>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</si>
  <si>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</si>
  <si>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</si>
  <si>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</si>
  <si>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</si>
  <si>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</si>
  <si>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</si>
  <si>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</si>
  <si>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</si>
  <si>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</si>
  <si>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</si>
  <si>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</si>
  <si>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</si>
  <si>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</si>
  <si>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</si>
  <si>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</si>
  <si>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</si>
  <si>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</si>
  <si>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</si>
  <si>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</si>
  <si>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</si>
  <si>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</si>
  <si>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</si>
  <si>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</si>
  <si>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</si>
  <si>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</si>
  <si>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</si>
  <si>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</si>
  <si>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</si>
  <si>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</si>
  <si>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</si>
  <si>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</si>
  <si>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</si>
  <si>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</si>
  <si>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</si>
  <si>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</si>
  <si>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</si>
  <si>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</si>
  <si>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</si>
  <si>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</si>
  <si>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</si>
  <si>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</si>
  <si>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</si>
  <si>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</si>
  <si>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</si>
  <si>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</si>
  <si>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</si>
  <si>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</si>
  <si>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</si>
  <si>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</si>
  <si>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</si>
  <si>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</si>
  <si>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</si>
  <si>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</si>
  <si>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</si>
  <si>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</si>
  <si>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</si>
  <si>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</si>
  <si>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</si>
  <si>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</si>
  <si>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</si>
  <si>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</si>
  <si>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</si>
  <si>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</si>
  <si>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</si>
  <si>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</si>
  <si>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</si>
  <si>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</si>
  <si>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</si>
  <si>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</si>
  <si>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</si>
  <si>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</si>
  <si>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</si>
  <si>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</si>
  <si>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</si>
  <si>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</si>
  <si>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</si>
  <si>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</si>
  <si>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</si>
  <si>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</si>
  <si>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</si>
  <si>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</si>
  <si>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</si>
  <si>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</si>
  <si>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</si>
  <si>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</si>
  <si>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</si>
  <si>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</si>
  <si>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</si>
  <si>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</si>
  <si>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</si>
  <si>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</si>
  <si>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</si>
  <si>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</si>
  <si>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</si>
  <si>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</si>
  <si>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</si>
  <si>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</si>
  <si>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</si>
  <si>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</si>
  <si>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</si>
  <si>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</si>
  <si>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</si>
  <si>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</si>
  <si>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</si>
  <si>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</si>
  <si>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</si>
  <si>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</si>
  <si>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</si>
  <si>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</si>
  <si>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</si>
  <si>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</si>
  <si>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</si>
  <si>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</si>
  <si>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</si>
  <si>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</si>
  <si>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</si>
  <si>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</si>
  <si>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</si>
  <si>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</si>
  <si>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</si>
  <si>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</si>
  <si>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</si>
  <si>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</si>
  <si>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</si>
  <si>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</si>
  <si>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</si>
  <si>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</si>
  <si>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</si>
  <si>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</si>
  <si>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</si>
  <si>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</si>
  <si>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</si>
  <si>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</si>
  <si>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</si>
  <si>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</si>
  <si>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</si>
  <si>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</si>
  <si>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</si>
  <si>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</si>
  <si>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</si>
  <si>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</si>
  <si>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</si>
  <si>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</si>
  <si>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</si>
  <si>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</si>
  <si>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</si>
  <si>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</si>
  <si>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</si>
  <si>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</si>
  <si>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</si>
  <si>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</si>
  <si>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</si>
  <si>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</si>
  <si>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</si>
  <si>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</si>
  <si>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</si>
  <si>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</si>
  <si>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</si>
  <si>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</si>
  <si>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</si>
  <si>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</si>
  <si>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</si>
  <si>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</si>
  <si>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</si>
  <si>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</si>
  <si>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</si>
  <si>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</si>
  <si>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</si>
  <si>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</si>
  <si>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</si>
  <si>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</si>
  <si>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</si>
  <si>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</si>
  <si>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</si>
  <si>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</si>
  <si>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</si>
  <si>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</si>
  <si>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</si>
  <si>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</si>
  <si>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</si>
  <si>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</si>
  <si>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</si>
  <si>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</si>
  <si>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</si>
  <si>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</si>
  <si>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</si>
  <si>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</si>
  <si>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</si>
  <si>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</si>
  <si>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</si>
  <si>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</si>
  <si>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</si>
  <si>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</si>
  <si>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</si>
  <si>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</si>
  <si>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</si>
  <si>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</si>
  <si>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</si>
  <si>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</si>
  <si>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</si>
  <si>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</si>
  <si>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</si>
  <si>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</si>
  <si>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</si>
  <si>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</si>
  <si>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</si>
  <si>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</si>
  <si>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</si>
  <si>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</si>
  <si>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</si>
  <si>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</si>
  <si>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</si>
  <si>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</si>
  <si>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</si>
  <si>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</si>
  <si>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</si>
  <si>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</si>
  <si>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</si>
  <si>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</si>
  <si>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</si>
  <si>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</si>
  <si>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</si>
  <si>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</si>
  <si>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</si>
  <si>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</si>
  <si>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</si>
  <si>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</si>
  <si>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</si>
  <si>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</si>
  <si>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</si>
  <si>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</si>
  <si>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</si>
  <si>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</si>
  <si>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</si>
  <si>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</si>
  <si>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</si>
  <si>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</si>
  <si>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</si>
  <si>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</si>
  <si>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</si>
  <si>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</si>
  <si>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</si>
  <si>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</si>
  <si>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</si>
  <si>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</si>
  <si>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</si>
  <si>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</si>
  <si>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</si>
  <si>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</si>
  <si>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</si>
  <si>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</si>
  <si>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</si>
  <si>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</si>
  <si>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</si>
  <si>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</si>
  <si>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</si>
  <si>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</si>
  <si>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</si>
  <si>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</si>
  <si>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</si>
  <si>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</si>
  <si>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</si>
  <si>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</si>
  <si>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</si>
  <si>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</si>
  <si>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</si>
  <si>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</si>
  <si>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</si>
  <si>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</si>
  <si>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</si>
  <si>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</si>
  <si>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</si>
  <si>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</si>
  <si>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</si>
  <si>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</si>
  <si>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</si>
  <si>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</si>
  <si>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</si>
  <si>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</si>
  <si>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</si>
  <si>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</si>
  <si>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</si>
  <si>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</si>
  <si>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</si>
  <si>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</si>
  <si>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</si>
  <si>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</si>
  <si>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</si>
  <si>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</si>
  <si>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</si>
  <si>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</si>
  <si>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</si>
  <si>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</si>
  <si>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</si>
  <si>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</si>
  <si>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</si>
  <si>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</si>
  <si>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</si>
  <si>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</si>
  <si>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</si>
  <si>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</si>
  <si>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</si>
  <si>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</si>
  <si>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</si>
  <si>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</si>
  <si>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</si>
  <si>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</si>
  <si>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</si>
  <si>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</si>
  <si>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</si>
  <si>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</si>
  <si>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</si>
  <si>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</si>
  <si>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</si>
  <si>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</si>
  <si>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</si>
  <si>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</si>
  <si>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</si>
  <si>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</si>
  <si>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</si>
  <si>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</si>
  <si>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</si>
  <si>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</si>
  <si>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</si>
  <si>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</si>
  <si>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</si>
  <si>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</si>
  <si>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</si>
  <si>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</si>
  <si>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</si>
  <si>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</si>
  <si>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</si>
  <si>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</si>
  <si>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</si>
  <si>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</si>
  <si>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</si>
  <si>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</si>
  <si>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</si>
  <si>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</si>
  <si>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</si>
  <si>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</si>
  <si>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</si>
  <si>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</si>
  <si>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</si>
  <si>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</si>
  <si>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</si>
  <si>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</si>
  <si>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</si>
  <si>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</si>
  <si>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</si>
  <si>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</si>
  <si>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</si>
  <si>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</si>
  <si>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</si>
  <si>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</si>
  <si>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</si>
  <si>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</si>
  <si>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</si>
  <si>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</si>
  <si>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</si>
  <si>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</si>
  <si>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</si>
  <si>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</si>
  <si>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</si>
  <si>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</si>
  <si>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</si>
  <si>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</si>
  <si>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</si>
  <si>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</si>
  <si>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</si>
  <si>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</si>
  <si>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</si>
  <si>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</si>
  <si>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</si>
  <si>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</si>
  <si>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</si>
  <si>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</si>
  <si>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</si>
  <si>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</si>
  <si>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</si>
  <si>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</si>
  <si>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</si>
  <si>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</si>
  <si>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</si>
  <si>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</si>
  <si>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</si>
  <si>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</si>
  <si>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</si>
  <si>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</si>
  <si>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</si>
  <si>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</si>
  <si>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</si>
  <si>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</si>
  <si>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</si>
  <si>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</si>
  <si>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</si>
  <si>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</si>
  <si>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</si>
  <si>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</si>
  <si>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</si>
  <si>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</si>
  <si>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</si>
  <si>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</si>
  <si>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</si>
  <si>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</si>
  <si>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</si>
  <si>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</si>
  <si>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</si>
  <si>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</si>
  <si>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</si>
  <si>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</si>
  <si>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</si>
  <si>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</si>
  <si>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</si>
  <si>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</si>
  <si>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</si>
  <si>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</si>
  <si>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</si>
  <si>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</si>
  <si>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</si>
  <si>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</si>
  <si>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</si>
  <si>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</si>
  <si>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</si>
  <si>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</si>
  <si>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</si>
  <si>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</si>
  <si>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</si>
  <si>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</si>
  <si>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</si>
  <si>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</si>
  <si>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</si>
  <si>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</si>
  <si>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</si>
  <si>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</si>
  <si>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</si>
  <si>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</si>
  <si>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</si>
  <si>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</si>
  <si>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</si>
  <si>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</si>
  <si>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</si>
  <si>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</si>
  <si>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</si>
  <si>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</si>
  <si>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</si>
  <si>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</si>
  <si>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</si>
  <si>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</si>
  <si>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</si>
  <si>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</si>
  <si>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</si>
  <si>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</si>
  <si>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</si>
  <si>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</si>
  <si>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</si>
  <si>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</si>
  <si>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</si>
  <si>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</si>
  <si>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</si>
  <si>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</si>
  <si>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</si>
  <si>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</si>
  <si>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</si>
  <si>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</si>
  <si>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</si>
  <si>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</si>
  <si>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</si>
  <si>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</si>
  <si>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</si>
  <si>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</si>
  <si>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</si>
  <si>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</si>
  <si>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</si>
  <si>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</si>
  <si>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</si>
  <si>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</si>
  <si>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</si>
  <si>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</si>
  <si>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</si>
  <si>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</si>
  <si>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</si>
  <si>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</si>
  <si>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</si>
  <si>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</si>
  <si>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</si>
  <si>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</si>
  <si>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</si>
  <si>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</si>
  <si>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</si>
  <si>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</si>
  <si>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</si>
  <si>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</si>
  <si>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</si>
  <si>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</si>
  <si>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</si>
  <si>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</si>
  <si>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</si>
  <si>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</si>
  <si>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</si>
  <si>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</si>
  <si>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</si>
  <si>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</si>
  <si>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</si>
  <si>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</si>
  <si>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</si>
  <si>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</si>
  <si>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</si>
  <si>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</si>
  <si>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</si>
  <si>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</si>
  <si>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</si>
  <si>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</si>
  <si>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</si>
  <si>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</si>
  <si>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</si>
  <si>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</si>
  <si>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</si>
  <si>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</si>
  <si>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</si>
  <si>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</si>
  <si>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</si>
  <si>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</si>
  <si>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</si>
  <si>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</si>
  <si>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</si>
  <si>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</si>
  <si>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</si>
  <si>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</si>
  <si>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</si>
  <si>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</si>
  <si>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</si>
  <si>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</si>
  <si>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</si>
  <si>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</si>
  <si>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</si>
  <si>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</si>
  <si>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</si>
  <si>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</si>
  <si>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</si>
  <si>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</si>
  <si>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</si>
  <si>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</si>
  <si>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</si>
  <si>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</si>
  <si>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</si>
  <si>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</si>
  <si>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</si>
  <si>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</si>
  <si>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</si>
  <si>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</si>
  <si>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</si>
  <si>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</si>
  <si>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</si>
  <si>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</si>
  <si>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</si>
  <si>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</si>
  <si>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</si>
  <si>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</si>
  <si>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</si>
  <si>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</si>
  <si>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</si>
  <si>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</si>
  <si>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</si>
  <si>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</si>
  <si>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</si>
  <si>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</si>
  <si>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</si>
  <si>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</si>
  <si>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</si>
  <si>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</si>
  <si>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</si>
  <si>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</si>
  <si>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</si>
  <si>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</si>
  <si>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</si>
  <si>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</si>
  <si>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</si>
  <si>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</si>
  <si>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</si>
  <si>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</si>
  <si>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</si>
  <si>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</si>
  <si>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</si>
  <si>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</si>
  <si>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</si>
  <si>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</si>
  <si>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</si>
  <si>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</si>
  <si>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</si>
  <si>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</si>
  <si>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</si>
  <si>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</si>
  <si>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</si>
  <si>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</si>
  <si>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</si>
  <si>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</si>
  <si>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</si>
  <si>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</si>
  <si>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</si>
  <si>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</si>
  <si>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</si>
  <si>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</si>
  <si>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</si>
  <si>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</si>
  <si>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</si>
  <si>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</si>
  <si>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</si>
  <si>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</si>
  <si>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</si>
  <si>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</si>
  <si>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</si>
  <si>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</si>
  <si>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</si>
  <si>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</si>
  <si>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</si>
  <si>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</si>
  <si>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</si>
  <si>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</si>
  <si>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</si>
  <si>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</si>
  <si>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</si>
  <si>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</si>
  <si>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</si>
  <si>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</si>
  <si>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</si>
  <si>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</si>
  <si>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</si>
  <si>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</si>
  <si>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</si>
  <si>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</si>
  <si>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</si>
  <si>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</si>
  <si>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</si>
  <si>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</si>
  <si>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</si>
  <si>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</si>
  <si>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</si>
  <si>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</si>
  <si>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</si>
  <si>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</si>
  <si>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</si>
  <si>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</si>
  <si>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</si>
  <si>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</si>
  <si>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</si>
  <si>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</si>
  <si>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</si>
  <si>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</si>
  <si>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</si>
  <si>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</si>
  <si>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</si>
  <si>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</si>
  <si>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</si>
  <si>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</si>
  <si>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</si>
  <si>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</si>
  <si>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</si>
  <si>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</si>
  <si>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</si>
  <si>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</si>
  <si>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</si>
  <si>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</si>
  <si>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</si>
  <si>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</si>
  <si>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</si>
  <si>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</si>
  <si>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</si>
  <si>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</si>
  <si>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</si>
  <si>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</si>
  <si>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</si>
  <si>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</si>
  <si>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</si>
  <si>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</si>
  <si>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</si>
  <si>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</si>
  <si>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</si>
  <si>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</si>
  <si>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</si>
  <si>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</si>
  <si>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</si>
  <si>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</si>
  <si>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</si>
  <si>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</si>
  <si>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</si>
  <si>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</si>
  <si>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</si>
  <si>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</si>
  <si>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</si>
  <si>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</si>
  <si>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</si>
  <si>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</si>
  <si>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</si>
  <si>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</si>
  <si>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</si>
  <si>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</si>
  <si>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</si>
  <si>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</si>
  <si>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</si>
  <si>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</si>
  <si>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</si>
  <si>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</si>
  <si>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</si>
  <si>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</si>
  <si>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</si>
  <si>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</si>
  <si>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</si>
  <si>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</si>
  <si>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</si>
  <si>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</si>
  <si>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</si>
  <si>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</si>
  <si>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</si>
  <si>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</si>
  <si>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</si>
  <si>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</si>
  <si>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</si>
  <si>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</si>
  <si>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</si>
  <si>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</si>
  <si>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</si>
  <si>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</si>
  <si>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</si>
  <si>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</si>
  <si>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</si>
  <si>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</si>
  <si>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</si>
  <si>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</si>
  <si>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</si>
  <si>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</si>
  <si>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</si>
  <si>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</si>
  <si>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</si>
  <si>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</si>
  <si>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</si>
  <si>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</si>
  <si>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</si>
  <si>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</si>
  <si>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</si>
  <si>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</si>
  <si>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</si>
  <si>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</si>
  <si>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</si>
  <si>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</si>
  <si>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</si>
  <si>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</si>
  <si>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</si>
  <si>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</si>
  <si>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</si>
  <si>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</si>
  <si>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</si>
  <si>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</si>
  <si>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</si>
  <si>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</si>
  <si>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</si>
  <si>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</si>
  <si>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</si>
  <si>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</si>
  <si>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</si>
  <si>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</si>
  <si>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</si>
  <si>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</si>
  <si>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</si>
  <si>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</si>
  <si>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</si>
  <si>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</si>
  <si>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</si>
  <si>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</si>
  <si>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</si>
  <si>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</si>
  <si>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</si>
  <si>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</si>
  <si>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</si>
  <si>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</si>
  <si>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</si>
  <si>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</si>
  <si>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</si>
  <si>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</si>
  <si>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</si>
  <si>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</si>
  <si>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</si>
  <si>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</si>
  <si>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</si>
  <si>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</si>
  <si>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</si>
  <si>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</si>
  <si>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</si>
  <si>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</si>
  <si>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</si>
  <si>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</si>
  <si>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</si>
  <si>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</si>
  <si>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</si>
  <si>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</si>
  <si>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</si>
  <si>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</si>
  <si>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</si>
  <si>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</si>
  <si>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</si>
  <si>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</si>
  <si>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</si>
  <si>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</si>
  <si>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</si>
  <si>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</si>
  <si>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</si>
  <si>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</si>
  <si>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</si>
  <si>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</si>
  <si>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</si>
  <si>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</si>
  <si>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</si>
  <si>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</si>
  <si>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</si>
  <si>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</si>
  <si>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</si>
  <si>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</si>
  <si>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</si>
  <si>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</si>
  <si>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</si>
  <si>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</si>
  <si>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</si>
  <si>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</si>
  <si>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</si>
  <si>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</si>
  <si>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</si>
  <si>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</si>
  <si>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</si>
  <si>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</si>
  <si>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</si>
  <si>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</si>
  <si>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</si>
  <si>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</si>
  <si>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</si>
  <si>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</si>
  <si>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</si>
  <si>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</si>
  <si>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</si>
  <si>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</si>
  <si>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</si>
  <si>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</si>
  <si>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</si>
  <si>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</si>
  <si>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</si>
  <si>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</si>
  <si>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</si>
  <si>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</si>
  <si>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</si>
  <si>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</si>
  <si>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</si>
  <si>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</si>
  <si>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</si>
  <si>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</si>
  <si>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</si>
  <si>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</si>
  <si>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</si>
  <si>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</si>
  <si>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</si>
  <si>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</si>
  <si>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</si>
  <si>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</si>
  <si>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</si>
  <si>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</si>
  <si>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</si>
  <si>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</si>
  <si>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</si>
  <si>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</si>
  <si>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</si>
  <si>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</si>
  <si>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</si>
  <si>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</si>
  <si>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</si>
  <si>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</si>
  <si>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</si>
  <si>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</si>
  <si>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</si>
  <si>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</si>
  <si>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</si>
  <si>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</si>
  <si>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</si>
  <si>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</si>
  <si>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</si>
  <si>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</si>
  <si>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</si>
  <si>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</si>
  <si>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</si>
  <si>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</si>
  <si>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</si>
  <si>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</si>
  <si>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</si>
  <si>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</si>
  <si>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</si>
  <si>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</si>
  <si>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</si>
  <si>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</si>
  <si>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</si>
  <si>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</si>
  <si>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</si>
  <si>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</si>
  <si>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</si>
  <si>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</si>
  <si>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</si>
  <si>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</si>
  <si>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</si>
  <si>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</si>
  <si>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</si>
  <si>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</si>
  <si>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</si>
  <si>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</si>
  <si>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</si>
  <si>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</si>
  <si>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</si>
  <si>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</si>
  <si>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</si>
  <si>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</si>
  <si>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</si>
  <si>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</si>
  <si>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</si>
  <si>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</si>
  <si>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</si>
  <si>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</si>
  <si>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</si>
  <si>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</si>
  <si>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</si>
  <si>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</si>
  <si>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</si>
  <si>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</si>
  <si>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</si>
  <si>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</si>
  <si>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</si>
  <si>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</si>
  <si>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</si>
  <si>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</si>
  <si>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</si>
  <si>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</si>
  <si>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</si>
  <si>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</si>
  <si>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</si>
  <si>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</si>
  <si>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</si>
  <si>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</si>
  <si>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</si>
  <si>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</si>
  <si>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</si>
  <si>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</si>
  <si>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</si>
  <si>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</si>
  <si>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</si>
  <si>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</si>
  <si>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</si>
  <si>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</si>
  <si>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</si>
  <si>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</si>
  <si>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</si>
  <si>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</si>
  <si>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</si>
  <si>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</si>
  <si>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</si>
  <si>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</si>
  <si>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</si>
  <si>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</si>
  <si>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</si>
  <si>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</si>
  <si>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</si>
  <si>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</si>
  <si>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</si>
  <si>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</si>
  <si>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</si>
  <si>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</si>
  <si>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</si>
  <si>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</si>
  <si>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</si>
  <si>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</si>
  <si>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</si>
  <si>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</si>
  <si>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</si>
  <si>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</si>
  <si>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</si>
  <si>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</si>
  <si>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</si>
  <si>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</si>
  <si>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</si>
  <si>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</si>
  <si>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</si>
  <si>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</si>
  <si>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</si>
  <si>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</si>
  <si>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</si>
  <si>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</si>
  <si>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</si>
  <si>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</si>
  <si>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</si>
  <si>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</si>
  <si>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</si>
  <si>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</si>
  <si>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</si>
  <si>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</si>
  <si>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</si>
  <si>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</si>
  <si>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</si>
  <si>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</si>
  <si>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</si>
  <si>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</si>
  <si>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</si>
  <si>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</si>
  <si>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</si>
  <si>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</si>
  <si>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</si>
  <si>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</si>
  <si>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</si>
  <si>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</si>
  <si>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</si>
  <si>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</si>
  <si>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</si>
  <si>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</si>
  <si>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</si>
  <si>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</si>
  <si>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</si>
  <si>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</si>
  <si>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</si>
  <si>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</si>
  <si>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</si>
  <si>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</si>
  <si>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</si>
  <si>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</si>
  <si>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</si>
  <si>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</si>
  <si>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</si>
  <si>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</si>
  <si>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</si>
  <si>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</si>
  <si>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</si>
  <si>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</si>
  <si>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</si>
  <si>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</si>
  <si>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</si>
  <si>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</si>
  <si>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</si>
  <si>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</si>
  <si>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</si>
  <si>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</si>
  <si>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</si>
  <si>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</si>
  <si>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</si>
  <si>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</si>
  <si>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</si>
  <si>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</si>
  <si>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</si>
  <si>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</si>
  <si>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</si>
  <si>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</si>
  <si>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</si>
  <si>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</si>
  <si>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</si>
  <si>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</si>
  <si>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</si>
  <si>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</si>
  <si>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</si>
  <si>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</si>
  <si>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</si>
  <si>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</si>
  <si>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</si>
  <si>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</si>
  <si>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</si>
  <si>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</si>
  <si>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</si>
  <si>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</si>
  <si>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</si>
  <si>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</si>
  <si>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</si>
  <si>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</si>
  <si>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</si>
  <si>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</si>
  <si>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</si>
  <si>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</si>
  <si>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</si>
  <si>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</si>
  <si>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</si>
  <si>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</si>
  <si>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</si>
  <si>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</si>
  <si>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</si>
  <si>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</si>
  <si>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</si>
  <si>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</si>
  <si>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</si>
  <si>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</si>
  <si>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</si>
  <si>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</si>
  <si>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</si>
  <si>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</si>
  <si>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</si>
  <si>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</si>
  <si>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</si>
  <si>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</si>
  <si>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</si>
  <si>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</si>
  <si>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</si>
  <si>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</si>
  <si>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</si>
  <si>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</si>
  <si>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</si>
  <si>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</si>
  <si>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</si>
  <si>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</si>
  <si>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</si>
  <si>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</si>
  <si>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</si>
  <si>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</si>
  <si>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</si>
  <si>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</si>
  <si>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</si>
  <si>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</si>
  <si>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</si>
  <si>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</si>
  <si>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</si>
  <si>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</si>
  <si>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</si>
  <si>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</si>
  <si>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</si>
  <si>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</si>
  <si>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</si>
  <si>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</si>
  <si>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</si>
  <si>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</si>
  <si>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</si>
  <si>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</si>
  <si>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</si>
  <si>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</si>
  <si>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</si>
  <si>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</si>
  <si>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</si>
  <si>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</si>
  <si>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</si>
  <si>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</si>
  <si>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</si>
  <si>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</si>
  <si>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</si>
  <si>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</si>
  <si>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</si>
  <si>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</si>
  <si>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</si>
  <si>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</si>
  <si>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</si>
  <si>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</si>
  <si>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</si>
  <si>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</si>
  <si>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</si>
  <si>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</si>
  <si>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</si>
  <si>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</si>
  <si>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</si>
  <si>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</si>
  <si>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</si>
  <si>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</si>
  <si>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</si>
  <si>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</si>
  <si>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</si>
  <si>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</si>
  <si>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</si>
  <si>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</si>
  <si>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</si>
  <si>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</si>
  <si>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</si>
  <si>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</si>
  <si>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</si>
  <si>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</si>
  <si>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</si>
  <si>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</si>
  <si>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</si>
  <si>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</si>
  <si>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</si>
  <si>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</si>
  <si>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</si>
  <si>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</si>
  <si>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</si>
  <si>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</si>
  <si>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</si>
  <si>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</si>
  <si>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</si>
  <si>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</si>
  <si>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</si>
  <si>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</si>
  <si>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</si>
  <si>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</si>
  <si>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</si>
  <si>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</si>
  <si>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</si>
  <si>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</si>
  <si>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</si>
  <si>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</si>
  <si>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</si>
  <si>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</si>
  <si>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</si>
  <si>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</si>
  <si>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</si>
  <si>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</si>
  <si>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</si>
  <si>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</si>
  <si>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</si>
  <si>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</si>
  <si>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</si>
  <si>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</si>
  <si>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</si>
  <si>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</si>
  <si>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</si>
  <si>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</si>
  <si>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</si>
  <si>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</si>
  <si>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</si>
  <si>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</si>
  <si>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</si>
  <si>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</si>
  <si>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</si>
  <si>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</si>
  <si>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</si>
  <si>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</si>
  <si>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</si>
  <si>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</si>
  <si>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</si>
  <si>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</si>
  <si>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</si>
  <si>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</si>
  <si>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</si>
  <si>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</si>
  <si>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</si>
  <si>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</si>
  <si>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</si>
  <si>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</si>
  <si>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</si>
  <si>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</si>
  <si>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</si>
  <si>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</si>
  <si>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</si>
  <si>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</si>
  <si>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</si>
  <si>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</si>
  <si>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</si>
  <si>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</si>
  <si>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</si>
  <si>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</si>
  <si>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</si>
  <si>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</si>
  <si>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</si>
  <si>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</si>
  <si>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</si>
  <si>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</si>
  <si>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</si>
  <si>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</si>
  <si>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</si>
  <si>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</si>
  <si>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</si>
  <si>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</si>
  <si>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</si>
  <si>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</si>
  <si>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</si>
  <si>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</si>
  <si>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</si>
  <si>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</si>
  <si>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</si>
  <si>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</si>
  <si>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</si>
  <si>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</si>
  <si>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</si>
  <si>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</si>
  <si>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</si>
  <si>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</si>
  <si>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</si>
  <si>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</si>
  <si>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</si>
  <si>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</si>
  <si>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</si>
  <si>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</si>
  <si>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</si>
  <si>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</si>
  <si>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</si>
  <si>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</si>
  <si>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</si>
  <si>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</si>
  <si>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</si>
  <si>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</si>
  <si>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</si>
  <si>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</si>
  <si>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</si>
  <si>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</si>
  <si>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</si>
  <si>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</si>
  <si>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</si>
  <si>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</si>
  <si>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</si>
  <si>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</si>
  <si>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</si>
  <si>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</si>
  <si>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</si>
  <si>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</si>
  <si>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</si>
  <si>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</si>
  <si>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</si>
  <si>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</si>
  <si>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</si>
  <si>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</si>
  <si>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</si>
  <si>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</si>
  <si>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</si>
  <si>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</si>
  <si>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</si>
  <si>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</si>
  <si>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</si>
  <si>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</si>
  <si>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</si>
  <si>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</si>
  <si>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</si>
  <si>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</si>
  <si>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</si>
  <si>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</si>
  <si>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</si>
  <si>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</si>
  <si>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</si>
  <si>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</si>
  <si>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</si>
  <si>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</si>
  <si>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</si>
  <si>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</si>
  <si>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</si>
  <si>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</si>
  <si>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</si>
  <si>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</si>
  <si>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</si>
  <si>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</si>
  <si>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</si>
  <si>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</si>
  <si>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</si>
  <si>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</si>
  <si>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</si>
  <si>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</si>
  <si>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</si>
  <si>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</si>
  <si>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</si>
  <si>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</si>
  <si>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</si>
  <si>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</si>
  <si>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</si>
  <si>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</si>
  <si>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</si>
  <si>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</si>
  <si>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</si>
  <si>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</si>
  <si>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</si>
  <si>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</si>
  <si>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</si>
  <si>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</si>
  <si>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</si>
  <si>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</si>
  <si>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</si>
  <si>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</si>
  <si>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</si>
  <si>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</si>
  <si>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</si>
  <si>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</si>
  <si>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</si>
  <si>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</si>
  <si>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</si>
  <si>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</si>
  <si>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</si>
  <si>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</si>
  <si>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</si>
  <si>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</si>
  <si>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</si>
  <si>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</si>
  <si>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</si>
  <si>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</si>
  <si>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</si>
  <si>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</si>
  <si>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</si>
  <si>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</si>
  <si>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</si>
  <si>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</si>
  <si>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</si>
  <si>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</si>
  <si>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</si>
  <si>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</si>
  <si>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</si>
  <si>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</si>
  <si>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</si>
  <si>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</si>
  <si>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</si>
  <si>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</si>
  <si>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</si>
  <si>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</si>
  <si>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</si>
  <si>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</si>
  <si>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</si>
  <si>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</si>
  <si>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</si>
  <si>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</si>
  <si>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</si>
  <si>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</si>
  <si>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</si>
  <si>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</si>
  <si>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</si>
  <si>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</si>
  <si>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</si>
  <si>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</si>
  <si>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</si>
  <si>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</si>
  <si>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</si>
  <si>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</si>
  <si>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</si>
  <si>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</si>
  <si>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</si>
  <si>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</si>
  <si>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</si>
  <si>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</si>
  <si>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</si>
  <si>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</si>
  <si>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</si>
  <si>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</si>
  <si>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</si>
  <si>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</si>
  <si>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</si>
  <si>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</si>
  <si>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</si>
  <si>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</si>
  <si>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</si>
  <si>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</si>
  <si>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</si>
  <si>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</si>
  <si>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</si>
  <si>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</si>
  <si>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</si>
  <si>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</si>
  <si>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</si>
  <si>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</si>
  <si>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</si>
  <si>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</si>
  <si>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</si>
  <si>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</si>
  <si>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</si>
  <si>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</si>
  <si>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</si>
  <si>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</si>
  <si>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</si>
  <si>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</si>
  <si>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</si>
  <si>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</si>
  <si>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</si>
  <si>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</si>
  <si>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</si>
  <si>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</si>
  <si>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</si>
  <si>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</si>
  <si>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</si>
  <si>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</si>
  <si>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</si>
  <si>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</si>
  <si>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</si>
  <si>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</si>
  <si>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</si>
  <si>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</si>
  <si>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</si>
  <si>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</si>
  <si>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</si>
  <si>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</si>
  <si>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</si>
  <si>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</si>
  <si>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</si>
  <si>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</si>
  <si>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</si>
  <si>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</si>
  <si>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</si>
  <si>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</si>
  <si>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</si>
  <si>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</si>
  <si>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</si>
  <si>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</si>
  <si>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</si>
  <si>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</si>
  <si>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</si>
  <si>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</si>
  <si>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</si>
  <si>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</si>
  <si>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</si>
  <si>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</si>
  <si>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</si>
  <si>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</si>
  <si>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</si>
  <si>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</si>
  <si>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</si>
  <si>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</si>
  <si>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</si>
  <si>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</si>
  <si>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</si>
  <si>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</si>
  <si>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</si>
  <si>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</si>
  <si>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</si>
  <si>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</si>
  <si>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</si>
  <si>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</si>
  <si>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</si>
  <si>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</si>
  <si>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</si>
  <si>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</si>
  <si>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</si>
  <si>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</si>
  <si>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</si>
  <si>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</si>
  <si>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</si>
  <si>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</si>
  <si>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</si>
  <si>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</si>
  <si>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</si>
  <si>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</si>
  <si>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</si>
  <si>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</si>
  <si>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</si>
  <si>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</si>
  <si>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</si>
  <si>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</si>
  <si>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</si>
  <si>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</si>
  <si>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</si>
  <si>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</si>
  <si>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</si>
  <si>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</si>
  <si>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</si>
  <si>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</si>
  <si>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</si>
  <si>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</si>
  <si>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</si>
  <si>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</si>
  <si>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</si>
  <si>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</si>
  <si>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</si>
  <si>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</si>
  <si>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</si>
  <si>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</si>
  <si>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</si>
  <si>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</si>
  <si>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</si>
  <si>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</si>
  <si>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</si>
  <si>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</si>
  <si>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</si>
  <si>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</si>
  <si>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</si>
  <si>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</si>
  <si>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</si>
  <si>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</si>
  <si>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</si>
  <si>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</si>
  <si>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</si>
  <si>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</si>
  <si>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</si>
  <si>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</si>
  <si>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</si>
  <si>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</si>
  <si>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</si>
  <si>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</si>
  <si>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</si>
  <si>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</si>
  <si>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</si>
  <si>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</si>
  <si>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</si>
  <si>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</si>
  <si>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</si>
  <si>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</si>
  <si>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</si>
  <si>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</si>
  <si>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</si>
  <si>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</si>
  <si>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</si>
  <si>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</si>
  <si>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</si>
  <si>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</si>
  <si>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</si>
  <si>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</si>
  <si>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</si>
  <si>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</si>
  <si>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</si>
  <si>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</si>
  <si>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</si>
  <si>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</si>
  <si>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</si>
  <si>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</si>
  <si>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</si>
  <si>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</si>
  <si>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</si>
  <si>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</si>
  <si>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</si>
  <si>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</si>
  <si>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</si>
  <si>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</si>
  <si>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</si>
  <si>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</si>
  <si>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</si>
  <si>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</si>
  <si>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</si>
  <si>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</si>
  <si>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</si>
  <si>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</si>
  <si>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</si>
  <si>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</si>
  <si>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</si>
  <si>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</si>
  <si>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</si>
  <si>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</si>
  <si>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</si>
  <si>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</si>
  <si>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</si>
  <si>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</si>
  <si>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</si>
  <si>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</si>
  <si>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</si>
  <si>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</si>
  <si>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</si>
  <si>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</si>
  <si>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</si>
  <si>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</si>
  <si>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</si>
  <si>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</si>
  <si>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</si>
  <si>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</si>
  <si>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</si>
  <si>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</si>
  <si>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</si>
  <si>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</si>
  <si>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</si>
  <si>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</si>
  <si>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</si>
  <si>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</si>
  <si>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</si>
  <si>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</si>
  <si>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</si>
  <si>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</si>
  <si>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</si>
  <si>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</si>
  <si>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</si>
  <si>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</si>
  <si>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</si>
  <si>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</si>
  <si>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</si>
  <si>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</si>
  <si>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</si>
  <si>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</si>
  <si>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</si>
  <si>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</si>
  <si>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</si>
  <si>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</si>
  <si>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</si>
  <si>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</si>
  <si>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</si>
  <si>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</si>
  <si>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</si>
  <si>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</si>
  <si>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</si>
  <si>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</si>
  <si>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</si>
  <si>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</si>
  <si>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</si>
  <si>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</si>
  <si>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</si>
  <si>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</si>
  <si>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</si>
  <si>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</si>
  <si>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</si>
  <si>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</si>
  <si>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</si>
  <si>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</si>
  <si>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</si>
  <si>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</si>
  <si>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</si>
  <si>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</si>
  <si>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</si>
  <si>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</si>
  <si>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</si>
  <si>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</si>
  <si>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</si>
  <si>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</si>
  <si>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</si>
  <si>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</si>
  <si>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</si>
  <si>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</si>
  <si>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</si>
  <si>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</si>
  <si>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</si>
  <si>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</si>
  <si>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</si>
  <si>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</si>
  <si>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</si>
  <si>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</si>
  <si>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</si>
  <si>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</si>
  <si>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</si>
  <si>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</si>
  <si>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</si>
  <si>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</si>
  <si>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</si>
  <si>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</si>
  <si>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</si>
  <si>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</si>
  <si>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</si>
  <si>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</si>
  <si>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</si>
  <si>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</si>
  <si>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</si>
  <si>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</si>
  <si>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</si>
  <si>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</si>
  <si>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</si>
  <si>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</si>
  <si>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</si>
  <si>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</si>
  <si>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</si>
  <si>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</si>
  <si>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</si>
  <si>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</si>
  <si>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</si>
  <si>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</si>
  <si>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</si>
  <si>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</si>
  <si>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</si>
  <si>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</si>
  <si>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</si>
  <si>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</si>
  <si>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</si>
  <si>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</si>
  <si>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</si>
  <si>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</si>
  <si>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</si>
  <si>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</si>
  <si>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</si>
  <si>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</si>
  <si>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</si>
  <si>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</si>
  <si>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</si>
  <si>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</si>
  <si>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</si>
  <si>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</si>
  <si>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</si>
  <si>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</si>
  <si>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</si>
  <si>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</si>
  <si>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</si>
  <si>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</si>
  <si>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</si>
  <si>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</si>
  <si>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</si>
  <si>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</si>
  <si>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</si>
  <si>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</si>
  <si>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</si>
  <si>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</si>
  <si>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</si>
  <si>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</si>
  <si>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</si>
  <si>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</si>
  <si>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</si>
  <si>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</si>
  <si>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</si>
  <si>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</si>
  <si>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</si>
  <si>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</si>
  <si>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</si>
  <si>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</si>
  <si>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</si>
  <si>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</si>
  <si>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</si>
  <si>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</si>
  <si>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</si>
  <si>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</si>
  <si>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</si>
  <si>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</si>
  <si>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</si>
  <si>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</si>
  <si>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</si>
  <si>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</si>
  <si>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</si>
  <si>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</si>
  <si>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</si>
  <si>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</si>
  <si>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</si>
  <si>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</si>
  <si>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</si>
  <si>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</si>
  <si>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</si>
  <si>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</si>
  <si>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</si>
  <si>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</si>
  <si>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</si>
  <si>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</si>
  <si>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</si>
  <si>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</si>
  <si>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</si>
  <si>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</si>
  <si>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</si>
  <si>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</si>
  <si>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</si>
  <si>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</si>
  <si>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</si>
  <si>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</si>
  <si>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</si>
  <si>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</si>
  <si>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</si>
  <si>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</si>
  <si>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</si>
  <si>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</si>
  <si>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</si>
  <si>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</si>
  <si>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</si>
  <si>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</si>
  <si>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</si>
  <si>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</si>
  <si>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</si>
  <si>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</si>
  <si>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</si>
  <si>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</si>
  <si>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</si>
  <si>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</si>
  <si>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</si>
  <si>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</si>
  <si>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</si>
  <si>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</si>
  <si>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</si>
  <si>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</si>
  <si>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</si>
  <si>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</si>
  <si>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</si>
  <si>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</si>
  <si>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</si>
  <si>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</si>
  <si>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</si>
  <si>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</si>
  <si>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</si>
  <si>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</si>
  <si>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</si>
  <si>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</si>
  <si>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</si>
  <si>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</si>
  <si>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</si>
  <si>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</si>
  <si>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</si>
  <si>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</si>
  <si>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</si>
  <si>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</si>
  <si>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</si>
  <si>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</si>
  <si>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</si>
  <si>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</si>
  <si>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</si>
  <si>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</si>
  <si>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</si>
  <si>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</si>
  <si>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</si>
  <si>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</si>
  <si>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</si>
  <si>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</si>
  <si>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</si>
  <si>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</si>
  <si>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</si>
  <si>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</si>
  <si>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</si>
  <si>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</si>
  <si>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</si>
  <si>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</si>
  <si>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</si>
  <si>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</si>
  <si>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</si>
  <si>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</si>
  <si>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</si>
  <si>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</si>
  <si>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</si>
  <si>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</si>
  <si>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</si>
  <si>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</si>
  <si>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</si>
  <si>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</si>
  <si>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</si>
  <si>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</si>
  <si>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</si>
  <si>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</si>
  <si>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</si>
  <si>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</si>
  <si>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</si>
  <si>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</si>
  <si>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</si>
  <si>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</si>
  <si>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</si>
  <si>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</si>
  <si>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</si>
  <si>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</si>
  <si>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</si>
  <si>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</si>
  <si>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</si>
  <si>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</si>
  <si>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</si>
  <si>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</si>
  <si>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</si>
  <si>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</si>
  <si>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</si>
  <si>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</si>
  <si>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</si>
  <si>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</si>
  <si>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</si>
  <si>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</si>
  <si>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</si>
  <si>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</si>
  <si>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</si>
  <si>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</si>
  <si>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</si>
  <si>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</si>
  <si>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</si>
  <si>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</si>
  <si>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</si>
  <si>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</si>
  <si>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</si>
  <si>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</si>
  <si>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</si>
  <si>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</si>
  <si>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</si>
  <si>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</si>
  <si>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</si>
  <si>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</si>
  <si>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</si>
  <si>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</si>
  <si>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</si>
  <si>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</si>
  <si>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</si>
  <si>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</si>
  <si>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</si>
  <si>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</si>
  <si>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</si>
  <si>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</si>
  <si>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</si>
  <si>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</si>
  <si>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</si>
  <si>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</si>
  <si>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</si>
  <si>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</si>
  <si>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</si>
  <si>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</si>
  <si>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</si>
  <si>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</si>
  <si>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</si>
  <si>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</si>
  <si>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</si>
  <si>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</si>
  <si>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</si>
  <si>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</si>
  <si>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</si>
  <si>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</si>
  <si>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</si>
  <si>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</si>
  <si>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</si>
  <si>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</si>
  <si>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</si>
  <si>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</si>
  <si>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</si>
  <si>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</si>
  <si>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</si>
  <si>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</si>
  <si>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</si>
  <si>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</si>
  <si>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</si>
  <si>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</si>
  <si>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</si>
  <si>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</si>
  <si>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</si>
  <si>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</si>
  <si>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</si>
  <si>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</si>
  <si>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</si>
  <si>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</si>
  <si>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</si>
  <si>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</si>
  <si>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</si>
  <si>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</si>
  <si>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</si>
  <si>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</si>
  <si>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</si>
  <si>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</si>
  <si>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</si>
  <si>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</si>
  <si>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</si>
  <si>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</si>
  <si>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</si>
  <si>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</si>
  <si>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</si>
  <si>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</si>
  <si>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</si>
  <si>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</si>
  <si>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</si>
  <si>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</si>
  <si>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</si>
  <si>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</si>
  <si>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</si>
  <si>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</si>
  <si>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</si>
  <si>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</si>
  <si>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</si>
  <si>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</si>
  <si>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</si>
  <si>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</si>
  <si>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</si>
  <si>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</si>
  <si>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</si>
  <si>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</si>
  <si>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</si>
  <si>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</si>
  <si>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</si>
  <si>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</si>
  <si>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</si>
  <si>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</si>
  <si>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</si>
  <si>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</si>
  <si>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</si>
  <si>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</si>
  <si>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</si>
  <si>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</si>
  <si>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</si>
  <si>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</si>
  <si>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</si>
  <si>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</si>
  <si>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</si>
  <si>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</si>
  <si>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</si>
  <si>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</si>
  <si>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</si>
  <si>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</si>
  <si>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</si>
  <si>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</si>
  <si>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</si>
  <si>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</si>
  <si>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</si>
  <si>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</si>
  <si>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</si>
  <si>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</si>
  <si>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</si>
  <si>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</si>
  <si>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</si>
  <si>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</si>
  <si>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</si>
  <si>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</si>
  <si>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</si>
  <si>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</si>
  <si>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</si>
  <si>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</si>
  <si>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</si>
  <si>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</si>
  <si>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</si>
  <si>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</si>
  <si>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</si>
  <si>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</si>
  <si>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</si>
  <si>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</si>
  <si>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</si>
  <si>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</si>
  <si>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</si>
  <si>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</si>
  <si>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</si>
  <si>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</si>
  <si>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</si>
  <si>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</si>
  <si>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</si>
  <si>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</si>
  <si>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</si>
  <si>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</si>
  <si>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</si>
  <si>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</si>
  <si>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</si>
  <si>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</si>
  <si>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</si>
  <si>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</si>
  <si>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</si>
  <si>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</si>
  <si>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</si>
  <si>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</si>
  <si>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</si>
  <si>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</si>
  <si>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</si>
  <si>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</si>
  <si>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</si>
  <si>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</si>
  <si>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</si>
  <si>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</si>
  <si>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</si>
  <si>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</si>
  <si>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</si>
  <si>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</si>
  <si>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</si>
  <si>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</si>
  <si>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</si>
  <si>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</si>
  <si>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</si>
  <si>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</si>
  <si>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</si>
  <si>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</si>
  <si>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</si>
  <si>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</si>
  <si>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</si>
  <si>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</si>
  <si>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</si>
  <si>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</si>
  <si>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</si>
  <si>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</si>
  <si>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</si>
  <si>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</si>
  <si>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</si>
  <si>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</si>
  <si>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</si>
  <si>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</si>
  <si>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</si>
  <si>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</si>
  <si>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</si>
  <si>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</si>
  <si>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</si>
  <si>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</si>
  <si>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</si>
  <si>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</si>
  <si>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</si>
  <si>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</si>
  <si>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</si>
  <si>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</si>
  <si>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</si>
  <si>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</si>
  <si>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</si>
  <si>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</si>
  <si>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</si>
  <si>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</si>
  <si>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</si>
  <si>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</si>
  <si>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</si>
  <si>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</si>
  <si>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</si>
  <si>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</si>
  <si>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</si>
  <si>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</si>
  <si>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</si>
  <si>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</si>
  <si>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</si>
  <si>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</si>
  <si>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</si>
  <si>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</si>
  <si>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</si>
  <si>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</si>
  <si>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</si>
  <si>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</si>
  <si>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</si>
  <si>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</si>
  <si>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</si>
  <si>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</si>
  <si>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</si>
  <si>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</si>
  <si>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</si>
  <si>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</si>
  <si>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</si>
  <si>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</si>
  <si>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</si>
  <si>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</si>
  <si>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</si>
  <si>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</si>
  <si>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</si>
  <si>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</si>
  <si>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</si>
  <si>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</si>
  <si>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</si>
  <si>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</si>
  <si>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</si>
  <si>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</si>
  <si>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</si>
  <si>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</si>
  <si>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</si>
  <si>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</si>
  <si>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</si>
  <si>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</si>
  <si>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</si>
  <si>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</si>
  <si>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</si>
  <si>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</si>
  <si>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</si>
  <si>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</si>
  <si>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</si>
  <si>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</si>
  <si>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</si>
  <si>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</si>
  <si>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</si>
  <si>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</si>
  <si>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</si>
  <si>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</si>
  <si>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</si>
  <si>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</si>
  <si>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</si>
  <si>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</si>
  <si>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</si>
  <si>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</si>
  <si>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</si>
  <si>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</si>
  <si>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</si>
  <si>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</si>
  <si>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</si>
  <si>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</si>
  <si>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</si>
  <si>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</si>
  <si>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</si>
  <si>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</si>
  <si>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</si>
  <si>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</si>
  <si>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</si>
  <si>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</si>
  <si>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</si>
  <si>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</si>
  <si>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</si>
  <si>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</si>
  <si>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</si>
  <si>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</si>
  <si>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</si>
  <si>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</si>
  <si>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</si>
  <si>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</si>
  <si>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</si>
  <si>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</si>
  <si>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</si>
  <si>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</si>
  <si>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</si>
  <si>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</si>
  <si>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</si>
  <si>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</si>
  <si>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</si>
  <si>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</si>
  <si>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</si>
  <si>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</si>
  <si>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</si>
  <si>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</si>
  <si>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</si>
  <si>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</si>
  <si>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</si>
  <si>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</si>
  <si>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</si>
  <si>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</si>
  <si>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</si>
  <si>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</si>
  <si>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</si>
  <si>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</si>
  <si>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</si>
  <si>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</si>
  <si>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</si>
  <si>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</si>
  <si>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</si>
  <si>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</si>
  <si>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</si>
  <si>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</si>
  <si>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</si>
  <si>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</si>
  <si>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</si>
  <si>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</si>
  <si>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</si>
  <si>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</si>
  <si>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</si>
  <si>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</si>
  <si>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</si>
  <si>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</si>
  <si>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</si>
  <si>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</si>
  <si>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</si>
  <si>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</si>
  <si>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</si>
  <si>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</si>
  <si>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</si>
  <si>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</si>
  <si>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</si>
  <si>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</si>
  <si>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</si>
  <si>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</si>
  <si>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</si>
  <si>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</si>
  <si>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</si>
  <si>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</si>
  <si>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</si>
  <si>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</si>
  <si>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</si>
  <si>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</si>
  <si>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</si>
  <si>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</si>
  <si>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</si>
  <si>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</si>
  <si>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</si>
  <si>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</si>
  <si>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</si>
  <si>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</si>
  <si>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</si>
  <si>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</si>
  <si>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</si>
  <si>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</si>
  <si>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</si>
  <si>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</si>
  <si>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</si>
  <si>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</si>
  <si>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</si>
  <si>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</si>
  <si>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</si>
  <si>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</si>
  <si>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</si>
  <si>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</si>
  <si>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</si>
  <si>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</si>
  <si>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</si>
  <si>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</si>
  <si>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</si>
  <si>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</si>
  <si>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</si>
  <si>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</si>
  <si>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</si>
  <si>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</si>
  <si>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</si>
  <si>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</si>
  <si>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</si>
  <si>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</si>
  <si>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</si>
  <si>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</si>
  <si>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</si>
  <si>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</si>
  <si>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</si>
  <si>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</si>
  <si>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</si>
  <si>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</si>
  <si>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</si>
  <si>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</si>
  <si>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</si>
  <si>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</si>
  <si>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</si>
  <si>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</si>
  <si>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</si>
  <si>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</si>
  <si>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</si>
  <si>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</si>
  <si>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</si>
  <si>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</si>
  <si>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</si>
  <si>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</si>
  <si>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</si>
  <si>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</si>
  <si>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</si>
  <si>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</si>
  <si>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</si>
  <si>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</si>
  <si>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</si>
  <si>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</si>
  <si>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</si>
  <si>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</si>
  <si>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</si>
  <si>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</si>
  <si>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</si>
  <si>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</si>
  <si>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</si>
  <si>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</si>
  <si>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</si>
  <si>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</si>
  <si>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</si>
  <si>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</si>
  <si>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</si>
  <si>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</si>
  <si>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</si>
  <si>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</si>
  <si>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</si>
  <si>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</si>
  <si>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</si>
  <si>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</si>
  <si>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</si>
  <si>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</si>
  <si>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</si>
  <si>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</si>
  <si>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</si>
  <si>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</si>
  <si>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</si>
  <si>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</si>
  <si>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</si>
  <si>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</si>
  <si>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</si>
  <si>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</si>
  <si>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</si>
  <si>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</si>
  <si>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</si>
  <si>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</si>
  <si>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</si>
  <si>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</si>
  <si>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</si>
  <si>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</si>
  <si>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</si>
  <si>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</si>
  <si>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</si>
  <si>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</si>
  <si>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</si>
  <si>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</si>
  <si>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</si>
  <si>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</si>
  <si>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</si>
  <si>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</si>
  <si>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</si>
  <si>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</si>
  <si>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</si>
  <si>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</si>
  <si>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</si>
  <si>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</si>
  <si>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</si>
  <si>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</si>
  <si>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</si>
  <si>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</si>
  <si>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</si>
  <si>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</si>
  <si>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</si>
  <si>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</si>
  <si>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</si>
  <si>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</si>
  <si>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</si>
  <si>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</si>
  <si>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</si>
  <si>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</si>
  <si>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</si>
  <si>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</si>
  <si>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</si>
  <si>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</si>
  <si>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</si>
  <si>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</si>
  <si>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</si>
  <si>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</si>
  <si>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</si>
  <si>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</si>
  <si>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</si>
  <si>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</si>
  <si>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</si>
  <si>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</si>
  <si>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</si>
  <si>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</si>
  <si>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</si>
  <si>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</si>
  <si>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</si>
  <si>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</si>
  <si>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</si>
  <si>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</si>
  <si>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</si>
  <si>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</si>
  <si>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</si>
  <si>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</si>
  <si>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</si>
  <si>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</si>
  <si>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</si>
  <si>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</si>
  <si>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</si>
  <si>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</si>
  <si>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</si>
  <si>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</si>
  <si>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</si>
  <si>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</si>
  <si>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</si>
  <si>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</si>
  <si>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</si>
  <si>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</si>
  <si>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</si>
  <si>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</si>
  <si>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</si>
  <si>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</si>
  <si>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</si>
  <si>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</si>
  <si>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</si>
  <si>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</si>
  <si>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</si>
  <si>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</si>
  <si>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</si>
  <si>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</si>
  <si>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</si>
  <si>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</si>
  <si>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</si>
  <si>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</si>
  <si>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</si>
  <si>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</si>
  <si>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</si>
  <si>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</si>
  <si>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</si>
  <si>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</si>
  <si>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</si>
  <si>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</si>
  <si>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</si>
  <si>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</si>
  <si>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</si>
  <si>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</si>
  <si>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</si>
  <si>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</si>
  <si>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</si>
  <si>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</si>
  <si>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</si>
  <si>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</si>
  <si>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</si>
  <si>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</si>
  <si>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</si>
  <si>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</si>
  <si>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</si>
  <si>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</si>
  <si>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</si>
  <si>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</si>
  <si>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</si>
  <si>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</si>
  <si>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</si>
  <si>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</si>
  <si>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</si>
  <si>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</si>
  <si>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</si>
  <si>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</si>
  <si>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</si>
  <si>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</si>
  <si>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</si>
  <si>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</si>
  <si>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</si>
  <si>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</si>
  <si>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</si>
  <si>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</si>
  <si>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</si>
  <si>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</si>
  <si>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</si>
  <si>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</si>
  <si>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</si>
  <si>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</si>
  <si>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</si>
  <si>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</si>
  <si>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</si>
  <si>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</si>
  <si>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</si>
  <si>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</si>
  <si>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</si>
  <si>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</si>
  <si>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</si>
  <si>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</si>
  <si>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</si>
  <si>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</si>
  <si>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</si>
  <si>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</si>
  <si>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</si>
  <si>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</si>
  <si>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</si>
  <si>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</si>
  <si>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</si>
  <si>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</si>
  <si>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</si>
  <si>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</si>
  <si>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</si>
  <si>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</si>
  <si>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</si>
  <si>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</si>
  <si>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</si>
  <si>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</si>
  <si>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</si>
  <si>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</si>
  <si>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</si>
  <si>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</si>
  <si>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</si>
  <si>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</si>
  <si>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</si>
  <si>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</si>
  <si>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</si>
  <si>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</si>
  <si>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</si>
  <si>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</si>
  <si>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</si>
  <si>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</si>
  <si>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</si>
  <si>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</si>
  <si>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</si>
  <si>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</si>
  <si>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</si>
  <si>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</si>
  <si>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</si>
  <si>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</si>
  <si>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</si>
  <si>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</si>
  <si>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</si>
  <si>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</si>
  <si>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</si>
  <si>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</si>
  <si>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</si>
  <si>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</si>
  <si>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</si>
  <si>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</si>
  <si>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</si>
  <si>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</si>
  <si>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</si>
  <si>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</si>
  <si>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</si>
  <si>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</si>
  <si>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</si>
  <si>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</si>
  <si>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</si>
  <si>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</si>
  <si>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</si>
  <si>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</si>
  <si>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</si>
  <si>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</si>
  <si>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</si>
  <si>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</si>
  <si>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</si>
  <si>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</si>
  <si>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</si>
  <si>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</si>
  <si>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</si>
  <si>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</si>
  <si>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</si>
  <si>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</si>
  <si>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</si>
  <si>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</si>
  <si>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</si>
  <si>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</si>
  <si>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</si>
  <si>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</si>
  <si>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</si>
  <si>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</si>
  <si>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</si>
  <si>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</si>
  <si>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</si>
  <si>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</si>
  <si>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</si>
  <si>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</si>
  <si>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</si>
  <si>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</si>
  <si>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</si>
  <si>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</si>
  <si>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</si>
  <si>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</si>
  <si>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</si>
  <si>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</si>
  <si>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</si>
  <si>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</si>
  <si>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</si>
  <si>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</si>
  <si>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</si>
  <si>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</si>
  <si>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</si>
  <si>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</si>
  <si>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</si>
  <si>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</si>
  <si>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</si>
  <si>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</si>
  <si>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</si>
  <si>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</si>
  <si>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</si>
  <si>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</si>
  <si>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</si>
  <si>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</si>
  <si>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</si>
  <si>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</si>
  <si>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</si>
  <si>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</si>
  <si>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</si>
  <si>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</si>
  <si>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</si>
  <si>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</si>
  <si>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</si>
  <si>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</si>
  <si>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</si>
  <si>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</si>
  <si>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</si>
  <si>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</si>
  <si>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</si>
  <si>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</si>
  <si>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</si>
  <si>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</si>
  <si>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</si>
  <si>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</si>
  <si>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</si>
  <si>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</si>
  <si>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</si>
  <si>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</si>
  <si>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</si>
  <si>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</si>
  <si>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</si>
  <si>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</si>
  <si>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</si>
  <si>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</si>
  <si>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</si>
  <si>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</si>
  <si>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</si>
  <si>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</si>
  <si>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</si>
  <si>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</si>
  <si>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</si>
  <si>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</si>
  <si>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</si>
  <si>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</si>
  <si>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</si>
  <si>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</si>
  <si>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</si>
  <si>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</si>
  <si>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</si>
  <si>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</si>
  <si>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</si>
  <si>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</si>
  <si>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</si>
  <si>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</si>
  <si>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</si>
  <si>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</si>
  <si>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</si>
  <si>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</si>
  <si>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</si>
  <si>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</si>
  <si>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</si>
  <si>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</si>
  <si>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</si>
  <si>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</si>
  <si>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</si>
  <si>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</si>
  <si>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</si>
  <si>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</si>
  <si>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</si>
  <si>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</si>
  <si>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</si>
  <si>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</si>
  <si>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</si>
  <si>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</si>
  <si>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</si>
  <si>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</si>
  <si>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</si>
  <si>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</si>
  <si>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</si>
  <si>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</si>
  <si>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</si>
  <si>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</si>
  <si>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</si>
  <si>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</si>
  <si>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</si>
  <si>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</si>
  <si>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</si>
  <si>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</si>
  <si>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</si>
  <si>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</si>
  <si>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</si>
  <si>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</si>
  <si>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</si>
  <si>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</si>
  <si>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</si>
  <si>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</si>
  <si>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</si>
  <si>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</si>
  <si>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</si>
  <si>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</si>
  <si>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</si>
  <si>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</si>
  <si>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</si>
  <si>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</si>
  <si>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</si>
  <si>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</si>
  <si>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</si>
  <si>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</si>
  <si>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</si>
  <si>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</si>
  <si>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</si>
  <si>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</si>
  <si>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</si>
  <si>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</si>
  <si>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</si>
  <si>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</si>
  <si>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</si>
  <si>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</si>
  <si>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</si>
  <si>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</si>
  <si>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</si>
  <si>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</si>
  <si>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</si>
  <si>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</si>
  <si>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</si>
  <si>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</si>
  <si>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</si>
  <si>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</si>
  <si>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</si>
  <si>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</si>
  <si>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</si>
  <si>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</si>
  <si>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</si>
  <si>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</si>
  <si>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</si>
  <si>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</si>
  <si>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</si>
  <si>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</si>
  <si>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</si>
  <si>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</si>
  <si>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</si>
  <si>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</si>
  <si>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</si>
  <si>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</si>
  <si>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</si>
  <si>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</si>
  <si>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</si>
  <si>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</si>
  <si>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</si>
  <si>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</si>
  <si>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</si>
  <si>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</si>
  <si>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</si>
  <si>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</si>
  <si>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</si>
  <si>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</si>
  <si>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</si>
  <si>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</si>
  <si>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</si>
  <si>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</si>
  <si>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</si>
  <si>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</si>
  <si>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</si>
  <si>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</si>
  <si>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</si>
  <si>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</si>
  <si>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</si>
  <si>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</si>
  <si>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</si>
  <si>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</si>
  <si>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</si>
  <si>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</si>
  <si>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</si>
  <si>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</si>
  <si>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</si>
  <si>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</si>
  <si>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</si>
  <si>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</si>
  <si>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</si>
  <si>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</si>
  <si>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</si>
  <si>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</si>
  <si>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</si>
  <si>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</si>
  <si>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</si>
  <si>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</si>
  <si>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</si>
  <si>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</si>
  <si>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</si>
  <si>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</si>
  <si>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</si>
  <si>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</si>
  <si>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</si>
  <si>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</si>
  <si>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</si>
  <si>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</si>
  <si>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</si>
  <si>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</si>
  <si>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</si>
  <si>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</si>
  <si>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</si>
  <si>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</si>
  <si>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</si>
  <si>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</si>
  <si>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</si>
  <si>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</si>
  <si>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</si>
  <si>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</si>
  <si>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</si>
  <si>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</si>
  <si>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</si>
  <si>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</si>
  <si>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</si>
  <si>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</si>
  <si>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</si>
  <si>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</si>
  <si>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</si>
  <si>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</si>
  <si>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</si>
  <si>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</si>
  <si>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</si>
  <si>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</si>
  <si>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</si>
  <si>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</si>
  <si>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</si>
  <si>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</si>
  <si>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</si>
  <si>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</si>
  <si>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</si>
  <si>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</si>
  <si>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</si>
  <si>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</si>
  <si>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</si>
  <si>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</si>
  <si>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</si>
  <si>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</si>
  <si>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</si>
  <si>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</si>
  <si>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</si>
  <si>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</si>
  <si>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</si>
  <si>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</si>
  <si>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</si>
  <si>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</si>
  <si>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</si>
  <si>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</si>
  <si>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</si>
  <si>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</si>
  <si>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</si>
  <si>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</si>
  <si>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</si>
  <si>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</si>
  <si>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</si>
  <si>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</si>
  <si>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</si>
  <si>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</si>
  <si>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</si>
  <si>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</si>
  <si>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</si>
  <si>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</si>
  <si>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</si>
  <si>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</si>
  <si>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</si>
  <si>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</si>
  <si>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</si>
  <si>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</si>
  <si>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</si>
  <si>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</si>
  <si>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</si>
  <si>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</si>
  <si>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</si>
  <si>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</si>
  <si>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</si>
  <si>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</si>
  <si>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</si>
  <si>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</si>
  <si>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</si>
  <si>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</si>
  <si>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</si>
  <si>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</si>
  <si>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</si>
  <si>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</si>
  <si>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</si>
  <si>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</si>
  <si>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</si>
  <si>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</si>
  <si>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</si>
  <si>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</si>
  <si>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</si>
  <si>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</si>
  <si>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</si>
  <si>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</si>
  <si>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</si>
  <si>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</si>
  <si>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</si>
  <si>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</si>
  <si>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</si>
  <si>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</si>
  <si>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</si>
  <si>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</si>
  <si>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</si>
  <si>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</si>
  <si>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</si>
  <si>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</si>
  <si>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</si>
  <si>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</si>
  <si>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</si>
  <si>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</si>
  <si>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</si>
  <si>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</si>
  <si>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</si>
  <si>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</si>
  <si>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</si>
  <si>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</si>
  <si>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</si>
  <si>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</si>
  <si>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</si>
  <si>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</si>
  <si>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</si>
  <si>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</si>
  <si>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</si>
  <si>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</si>
  <si>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</si>
  <si>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</si>
  <si>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</si>
  <si>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</si>
  <si>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</si>
  <si>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</si>
  <si>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</si>
  <si>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</si>
  <si>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</si>
  <si>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</si>
  <si>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</si>
  <si>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</si>
  <si>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</si>
  <si>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</si>
  <si>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</si>
  <si>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</si>
  <si>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</si>
  <si>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</si>
  <si>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</si>
  <si>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</si>
  <si>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</si>
  <si>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</si>
  <si>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</si>
  <si>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</si>
  <si>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</si>
  <si>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</si>
  <si>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</si>
  <si>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</si>
  <si>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</si>
  <si>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</si>
  <si>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</si>
  <si>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</si>
  <si>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</si>
  <si>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</si>
  <si>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</si>
  <si>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</si>
  <si>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</si>
  <si>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</si>
  <si>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</si>
  <si>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</si>
  <si>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</si>
  <si>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</si>
  <si>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</si>
  <si>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</si>
  <si>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</si>
  <si>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</si>
  <si>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</si>
  <si>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</si>
  <si>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</si>
  <si>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</si>
  <si>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</si>
  <si>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</si>
  <si>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</si>
  <si>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</si>
  <si>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</si>
  <si>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</si>
  <si>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</si>
  <si>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</si>
  <si>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</si>
  <si>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</si>
  <si>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</si>
  <si>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</si>
  <si>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</si>
  <si>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</si>
  <si>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</si>
  <si>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</si>
  <si>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</si>
  <si>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</si>
  <si>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</si>
  <si>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</si>
  <si>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</si>
  <si>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</si>
  <si>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</si>
  <si>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</si>
  <si>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</si>
  <si>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</si>
  <si>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</si>
  <si>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</si>
  <si>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</si>
  <si>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</si>
  <si>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</si>
  <si>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</si>
  <si>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</si>
  <si>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</si>
  <si>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</si>
  <si>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</si>
  <si>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</si>
  <si>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</si>
  <si>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</si>
  <si>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</si>
  <si>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</si>
  <si>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</si>
  <si>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</si>
  <si>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</si>
  <si>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</si>
  <si>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</si>
  <si>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</si>
  <si>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</si>
  <si>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</si>
  <si>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</si>
  <si>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</si>
  <si>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</si>
  <si>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</si>
  <si>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</si>
  <si>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</si>
  <si>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</si>
  <si>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</si>
  <si>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</si>
  <si>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</si>
  <si>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</si>
  <si>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</si>
  <si>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</si>
  <si>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</si>
  <si>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</si>
  <si>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</si>
  <si>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</si>
  <si>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</si>
  <si>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</si>
  <si>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</si>
  <si>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</si>
  <si>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</si>
  <si>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</si>
  <si>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</si>
  <si>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</si>
  <si>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</si>
  <si>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</si>
  <si>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</si>
  <si>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</si>
  <si>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</si>
  <si>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</si>
  <si>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</si>
  <si>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</si>
  <si>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</si>
  <si>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</si>
  <si>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</si>
  <si>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</si>
  <si>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</si>
  <si>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</si>
  <si>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</si>
  <si>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</si>
  <si>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</si>
  <si>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</si>
  <si>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</si>
  <si>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</si>
  <si>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</si>
  <si>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</si>
  <si>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</si>
  <si>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</si>
  <si>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</si>
  <si>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</si>
  <si>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</si>
  <si>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</si>
  <si>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</si>
  <si>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</si>
  <si>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</si>
  <si>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</si>
  <si>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</si>
  <si>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</si>
  <si>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</si>
  <si>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</si>
  <si>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</si>
  <si>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</si>
  <si>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</si>
  <si>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</si>
  <si>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</si>
  <si>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</si>
  <si>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</si>
  <si>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</si>
  <si>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</si>
  <si>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</si>
  <si>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</si>
  <si>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</si>
  <si>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</si>
  <si>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</si>
  <si>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</si>
  <si>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</si>
  <si>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</si>
  <si>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</si>
  <si>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</si>
  <si>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</si>
  <si>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</si>
  <si>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</si>
  <si>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</si>
  <si>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</si>
  <si>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</si>
  <si>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</si>
  <si>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</si>
  <si>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</si>
  <si>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</si>
  <si>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</si>
  <si>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</si>
  <si>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</si>
  <si>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</si>
  <si>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</si>
  <si>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</si>
  <si>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</si>
  <si>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</si>
  <si>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</si>
  <si>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</si>
  <si>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</si>
  <si>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</si>
  <si>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</si>
  <si>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</si>
  <si>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</si>
  <si>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</si>
  <si>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</si>
  <si>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</si>
  <si>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</si>
  <si>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</si>
  <si>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</si>
  <si>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</si>
  <si>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</si>
  <si>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</si>
  <si>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</si>
  <si>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</si>
  <si>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</si>
  <si>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</si>
  <si>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</si>
  <si>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</si>
  <si>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</si>
  <si>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</si>
  <si>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</si>
  <si>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</si>
  <si>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</si>
  <si>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</si>
  <si>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</si>
  <si>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</si>
  <si>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</si>
  <si>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</si>
  <si>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</si>
  <si>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</si>
  <si>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</si>
  <si>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</si>
  <si>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</si>
  <si>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</si>
  <si>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</si>
  <si>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</si>
  <si>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</si>
  <si>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</si>
  <si>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</si>
  <si>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</si>
  <si>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</si>
  <si>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</si>
  <si>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</si>
  <si>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</si>
  <si>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</si>
  <si>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</si>
  <si>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</si>
  <si>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</si>
  <si>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</si>
  <si>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</si>
  <si>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</si>
  <si>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</si>
  <si>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</si>
  <si>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</si>
  <si>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</si>
  <si>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</si>
  <si>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</si>
  <si>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</si>
  <si>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</si>
  <si>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</si>
  <si>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</si>
  <si>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</si>
  <si>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</si>
  <si>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</si>
  <si>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</si>
  <si>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</si>
  <si>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</si>
  <si>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</si>
  <si>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</si>
  <si>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</si>
  <si>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</si>
  <si>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</si>
  <si>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</si>
  <si>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</si>
  <si>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</si>
  <si>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</si>
  <si>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</si>
  <si>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</si>
  <si>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</si>
  <si>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</si>
  <si>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</si>
  <si>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</si>
  <si>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</si>
  <si>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</si>
  <si>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</si>
  <si>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</si>
  <si>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</si>
  <si>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</si>
  <si>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</si>
  <si>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</si>
  <si>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</si>
  <si>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</si>
  <si>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</si>
  <si>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</si>
  <si>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</si>
  <si>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</si>
  <si>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</si>
  <si>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</si>
  <si>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</si>
  <si>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</si>
  <si>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</si>
  <si>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</si>
  <si>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</si>
  <si>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</si>
  <si>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</si>
  <si>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</si>
  <si>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</si>
  <si>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</si>
  <si>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</si>
  <si>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</si>
  <si>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</si>
  <si>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</si>
  <si>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</si>
  <si>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</si>
  <si>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</si>
  <si>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</si>
  <si>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</si>
  <si>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</si>
  <si>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</si>
  <si>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</si>
  <si>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</si>
  <si>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</si>
  <si>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</si>
  <si>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</si>
  <si>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</si>
  <si>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</si>
  <si>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</si>
  <si>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</si>
  <si>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</si>
  <si>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</si>
  <si>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</si>
  <si>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</si>
  <si>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</si>
  <si>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</si>
  <si>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</si>
  <si>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</si>
  <si>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</si>
  <si>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</si>
  <si>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</si>
  <si>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</si>
  <si>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</si>
  <si>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</si>
  <si>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</si>
  <si>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</si>
  <si>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</si>
  <si>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</si>
  <si>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</si>
  <si>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</si>
  <si>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</si>
  <si>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</si>
  <si>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</si>
  <si>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</si>
  <si>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</si>
  <si>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</si>
  <si>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</si>
  <si>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</si>
  <si>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</si>
  <si>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</si>
  <si>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</si>
  <si>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</si>
  <si>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</si>
  <si>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</si>
  <si>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</si>
  <si>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</si>
  <si>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</si>
  <si>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</si>
  <si>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</si>
  <si>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</si>
  <si>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</si>
  <si>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</si>
  <si>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</si>
  <si>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</si>
  <si>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</si>
  <si>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</si>
  <si>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</si>
  <si>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</si>
  <si>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</si>
  <si>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</si>
  <si>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</si>
  <si>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</si>
  <si>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</si>
  <si>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</si>
  <si>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</si>
  <si>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</si>
  <si>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</si>
  <si>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</si>
  <si>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</si>
  <si>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</si>
  <si>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</si>
  <si>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</si>
  <si>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</si>
  <si>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</si>
  <si>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</si>
  <si>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</si>
  <si>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</si>
  <si>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</si>
  <si>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</si>
  <si>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</si>
  <si>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</si>
  <si>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</si>
  <si>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</si>
  <si>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</si>
  <si>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</si>
  <si>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</si>
  <si>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</si>
  <si>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</si>
  <si>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</si>
  <si>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</si>
  <si>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</si>
  <si>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</si>
  <si>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</si>
  <si>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</si>
  <si>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</si>
  <si>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</si>
  <si>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</si>
  <si>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</si>
  <si>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</si>
  <si>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</si>
  <si>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</si>
  <si>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</si>
  <si>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</si>
  <si>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</si>
  <si>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</si>
  <si>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</si>
  <si>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</si>
  <si>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</si>
  <si>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</si>
  <si>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</si>
  <si>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</si>
  <si>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</si>
  <si>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</si>
  <si>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</si>
  <si>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</si>
  <si>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</si>
  <si>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</si>
  <si>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</si>
  <si>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</si>
  <si>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</si>
  <si>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</si>
  <si>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</si>
  <si>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</si>
  <si>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</si>
  <si>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</si>
  <si>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</si>
  <si>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</si>
  <si>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</si>
  <si>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</si>
  <si>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</si>
  <si>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</si>
  <si>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</si>
  <si>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</si>
  <si>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</si>
  <si>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</si>
  <si>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</si>
  <si>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</si>
  <si>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</si>
  <si>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</si>
  <si>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</si>
  <si>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</si>
  <si>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</si>
  <si>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</si>
  <si>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</si>
  <si>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</si>
  <si>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</si>
  <si>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</si>
  <si>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</si>
  <si>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</si>
  <si>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</si>
  <si>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</si>
  <si>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</si>
  <si>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</si>
  <si>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</si>
  <si>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</si>
  <si>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</si>
  <si>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</si>
  <si>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</si>
  <si>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</si>
  <si>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</si>
  <si>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</si>
  <si>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</si>
  <si>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</si>
  <si>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</si>
  <si>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</si>
  <si>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</si>
  <si>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</si>
  <si>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</si>
  <si>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</si>
  <si>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</si>
  <si>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</si>
  <si>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</si>
  <si>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</si>
  <si>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</si>
  <si>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</si>
  <si>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</si>
  <si>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</si>
  <si>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</si>
  <si>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</si>
  <si>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</si>
  <si>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</si>
  <si>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</si>
  <si>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</si>
  <si>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</si>
  <si>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</si>
  <si>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</si>
  <si>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</si>
  <si>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</si>
  <si>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</si>
  <si>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</si>
  <si>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</si>
  <si>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</si>
  <si>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</si>
  <si>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</si>
  <si>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</si>
  <si>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</si>
  <si>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</si>
  <si>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</si>
  <si>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</si>
  <si>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</si>
  <si>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</si>
  <si>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</si>
  <si>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</si>
  <si>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</si>
  <si>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</si>
  <si>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</si>
  <si>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</si>
  <si>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</si>
  <si>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</si>
  <si>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</si>
  <si>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</si>
  <si>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</si>
  <si>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</si>
  <si>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</si>
  <si>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</si>
  <si>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</si>
  <si>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</si>
  <si>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</si>
  <si>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</si>
  <si>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</si>
  <si>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</si>
  <si>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</si>
  <si>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</si>
  <si>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</si>
  <si>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</si>
  <si>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</si>
  <si>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</si>
  <si>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</si>
  <si>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</si>
  <si>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</si>
  <si>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</si>
  <si>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</si>
  <si>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</si>
  <si>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</si>
  <si>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</si>
  <si>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</si>
  <si>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</si>
  <si>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</si>
  <si>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</si>
  <si>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</si>
  <si>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</si>
  <si>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</si>
  <si>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</si>
  <si>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</si>
  <si>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</si>
  <si>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</si>
  <si>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</si>
  <si>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</si>
  <si>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</si>
  <si>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</si>
  <si>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</si>
  <si>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</si>
  <si>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</si>
  <si>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</si>
  <si>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</si>
  <si>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</si>
  <si>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</si>
  <si>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</si>
  <si>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</si>
  <si>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</si>
  <si>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</si>
  <si>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</si>
  <si>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</si>
  <si>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</si>
  <si>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</si>
  <si>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</si>
  <si>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</si>
  <si>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</si>
  <si>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</si>
  <si>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</si>
  <si>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</si>
  <si>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</si>
  <si>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</si>
  <si>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</si>
  <si>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</si>
  <si>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</si>
  <si>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</si>
  <si>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</si>
  <si>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</si>
  <si>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</si>
  <si>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</si>
  <si>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</si>
  <si>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</si>
  <si>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</si>
  <si>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</si>
  <si>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</si>
  <si>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</si>
  <si>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</si>
  <si>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</si>
  <si>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</si>
  <si>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</si>
  <si>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</si>
  <si>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</si>
  <si>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</si>
  <si>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</si>
  <si>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</si>
  <si>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</si>
  <si>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</si>
  <si>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</si>
  <si>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</si>
  <si>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</si>
  <si>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</si>
  <si>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</si>
  <si>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</si>
  <si>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</si>
  <si>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</si>
  <si>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</si>
  <si>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</si>
  <si>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</si>
  <si>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</si>
  <si>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</si>
  <si>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</si>
  <si>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</si>
  <si>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</si>
  <si>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</si>
  <si>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</si>
  <si>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</si>
  <si>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</si>
  <si>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</si>
  <si>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</si>
  <si>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</si>
  <si>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</si>
  <si>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</si>
  <si>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</si>
  <si>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</si>
  <si>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</si>
  <si>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</si>
  <si>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</si>
  <si>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</si>
  <si>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</si>
  <si>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</si>
  <si>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</si>
  <si>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</si>
  <si>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</si>
  <si>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</si>
  <si>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</si>
  <si>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</si>
  <si>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</si>
  <si>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</si>
  <si>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</si>
  <si>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</si>
  <si>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</si>
  <si>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</si>
  <si>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</si>
  <si>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</si>
  <si>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</si>
  <si>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</si>
  <si>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</si>
  <si>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</si>
  <si>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</si>
  <si>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</si>
  <si>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</si>
  <si>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</si>
  <si>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</si>
  <si>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</si>
  <si>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</si>
  <si>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</si>
  <si>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</si>
  <si>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</si>
  <si>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</si>
  <si>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</si>
  <si>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</si>
  <si>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</si>
  <si>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</si>
  <si>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</si>
  <si>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</si>
  <si>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</si>
  <si>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</si>
  <si>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</si>
  <si>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</si>
  <si>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</si>
  <si>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</si>
  <si>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</si>
  <si>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</si>
  <si>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</si>
  <si>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</si>
  <si>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</si>
  <si>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</si>
  <si>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</si>
  <si>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</si>
  <si>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</si>
  <si>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</si>
  <si>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</si>
  <si>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</si>
  <si>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</si>
  <si>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</si>
  <si>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</si>
  <si>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</si>
  <si>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</si>
  <si>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</si>
  <si>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</si>
  <si>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</si>
  <si>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</si>
  <si>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</si>
  <si>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</si>
  <si>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</si>
  <si>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</si>
  <si>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</si>
  <si>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</si>
  <si>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</si>
  <si>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</si>
  <si>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</si>
  <si>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</si>
  <si>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</si>
  <si>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</si>
  <si>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</si>
  <si>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</si>
  <si>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</si>
  <si>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</si>
  <si>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</si>
  <si>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</si>
  <si>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</si>
  <si>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</si>
  <si>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</si>
  <si>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</si>
  <si>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</si>
  <si>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</si>
  <si>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</si>
  <si>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</si>
  <si>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</si>
  <si>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</si>
  <si>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</si>
  <si>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</si>
  <si>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</si>
  <si>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</si>
  <si>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</si>
  <si>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</si>
  <si>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</si>
  <si>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</si>
  <si>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</si>
  <si>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</si>
  <si>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</si>
  <si>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</si>
  <si>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</si>
  <si>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</si>
  <si>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</si>
  <si>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</si>
  <si>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</si>
  <si>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</si>
  <si>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</si>
  <si>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</si>
  <si>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</si>
  <si>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</si>
  <si>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</si>
  <si>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</si>
  <si>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</si>
  <si>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</si>
  <si>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</si>
  <si>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</si>
  <si>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</si>
  <si>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</si>
  <si>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</si>
  <si>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</si>
  <si>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</si>
  <si>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</si>
  <si>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</si>
  <si>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</si>
  <si>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</si>
  <si>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</si>
  <si>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</si>
  <si>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</si>
  <si>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</si>
  <si>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</si>
  <si>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</si>
  <si>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</si>
  <si>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</si>
  <si>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</si>
  <si>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</si>
  <si>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</si>
  <si>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</si>
  <si>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</si>
  <si>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</si>
  <si>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</si>
  <si>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</si>
  <si>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</si>
  <si>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</si>
  <si>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</si>
  <si>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</si>
  <si>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</si>
  <si>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</si>
  <si>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</si>
  <si>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</si>
  <si>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</si>
  <si>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</si>
  <si>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</si>
  <si>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</si>
  <si>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</si>
  <si>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</si>
  <si>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</si>
  <si>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</si>
  <si>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</si>
  <si>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</si>
  <si>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</si>
  <si>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</si>
  <si>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</si>
  <si>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</si>
  <si>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</si>
  <si>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</si>
  <si>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</si>
  <si>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</si>
  <si>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</si>
  <si>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</si>
  <si>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</si>
  <si>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</si>
  <si>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</si>
  <si>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</si>
  <si>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</si>
  <si>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</si>
  <si>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</si>
  <si>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</si>
  <si>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</si>
  <si>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</si>
  <si>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</si>
  <si>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</si>
  <si>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</si>
  <si>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</si>
  <si>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</si>
  <si>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</si>
  <si>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</si>
  <si>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</si>
  <si>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</si>
  <si>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</si>
  <si>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</si>
  <si>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</si>
  <si>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</si>
  <si>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</si>
  <si>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</si>
  <si>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</si>
  <si>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</si>
  <si>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</si>
  <si>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</si>
  <si>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</si>
  <si>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</si>
  <si>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</si>
  <si>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</si>
  <si>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</si>
  <si>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</si>
  <si>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</si>
  <si>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</si>
  <si>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</si>
  <si>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</si>
  <si>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</si>
  <si>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</si>
  <si>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</si>
  <si>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</si>
  <si>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</si>
  <si>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</si>
  <si>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</si>
  <si>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</si>
  <si>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</si>
  <si>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</si>
  <si>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</si>
  <si>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</si>
  <si>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</si>
  <si>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</si>
  <si>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</si>
  <si>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</si>
  <si>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</si>
  <si>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</si>
  <si>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</si>
  <si>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</si>
  <si>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</si>
  <si>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</si>
  <si>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</si>
  <si>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</si>
  <si>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</si>
  <si>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</si>
  <si>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</si>
  <si>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</si>
  <si>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</si>
  <si>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</si>
  <si>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</si>
  <si>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</si>
  <si>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</si>
  <si>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</si>
  <si>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</si>
  <si>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</si>
  <si>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</si>
  <si>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</si>
  <si>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</si>
  <si>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</si>
  <si>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</si>
  <si>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</si>
  <si>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</si>
  <si>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</si>
  <si>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</si>
  <si>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</si>
  <si>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</si>
  <si>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</si>
  <si>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</si>
  <si>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</si>
  <si>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</si>
  <si>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</si>
  <si>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</si>
  <si>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</si>
  <si>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</si>
  <si>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</si>
  <si>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</si>
  <si>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</si>
  <si>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</si>
  <si>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</si>
  <si>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</si>
  <si>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</si>
  <si>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</si>
  <si>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</si>
  <si>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</si>
  <si>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</si>
  <si>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</si>
  <si>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</si>
  <si>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</si>
  <si>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</si>
  <si>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</si>
  <si>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</si>
  <si>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</si>
  <si>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</si>
  <si>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</si>
  <si>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</si>
  <si>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</si>
  <si>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</si>
  <si>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</si>
  <si>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</si>
  <si>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</si>
  <si>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</si>
  <si>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</si>
  <si>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</si>
  <si>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</si>
  <si>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</si>
  <si>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</si>
  <si>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</si>
  <si>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</si>
  <si>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</si>
  <si>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</si>
  <si>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</si>
  <si>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</si>
  <si>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</si>
  <si>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</si>
  <si>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</si>
  <si>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</si>
  <si>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</si>
  <si>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</si>
  <si>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</si>
  <si>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</si>
  <si>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</si>
  <si>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</si>
  <si>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</si>
  <si>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</si>
  <si>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</si>
  <si>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</si>
  <si>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</si>
  <si>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</si>
  <si>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</si>
  <si>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</si>
  <si>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</si>
  <si>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</si>
  <si>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</si>
  <si>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</si>
  <si>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</si>
  <si>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</si>
  <si>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</si>
  <si>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</si>
  <si>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</si>
  <si>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</si>
  <si>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</si>
  <si>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</si>
  <si>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</si>
  <si>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</si>
  <si>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</si>
  <si>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</si>
  <si>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</si>
  <si>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</si>
  <si>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</si>
  <si>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</si>
  <si>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</si>
  <si>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</si>
  <si>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</si>
  <si>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</si>
  <si>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</si>
  <si>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</si>
  <si>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</si>
  <si>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</si>
  <si>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</si>
  <si>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</si>
  <si>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</si>
  <si>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</si>
  <si>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</si>
  <si>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</si>
  <si>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</si>
  <si>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</si>
  <si>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</si>
  <si>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</si>
  <si>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</si>
  <si>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</si>
  <si>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</si>
  <si>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</si>
  <si>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</si>
  <si>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</si>
  <si>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</si>
  <si>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</si>
  <si>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</si>
  <si>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</si>
  <si>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</si>
  <si>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</si>
  <si>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</si>
  <si>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</si>
  <si>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</si>
  <si>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</si>
  <si>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</si>
  <si>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</si>
  <si>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</si>
  <si>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</si>
  <si>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</si>
  <si>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</si>
  <si>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</si>
  <si>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</si>
  <si>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</si>
  <si>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</si>
  <si>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</si>
  <si>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</si>
  <si>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</si>
  <si>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</si>
  <si>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</si>
  <si>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</si>
  <si>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</si>
  <si>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</si>
  <si>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</si>
  <si>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</si>
  <si>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</si>
  <si>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</si>
  <si>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</si>
  <si>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</si>
  <si>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</si>
  <si>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</si>
  <si>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</si>
  <si>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</si>
  <si>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</si>
  <si>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</si>
  <si>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</si>
  <si>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</si>
  <si>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</si>
  <si>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</si>
  <si>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</si>
  <si>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</si>
  <si>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</si>
  <si>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</si>
  <si>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</si>
  <si>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</si>
  <si>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</si>
  <si>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</si>
  <si>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</si>
  <si>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</si>
  <si>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</si>
  <si>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</si>
  <si>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</si>
  <si>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</si>
  <si>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</si>
  <si>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</si>
  <si>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</si>
  <si>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</si>
  <si>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</si>
  <si>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</si>
  <si>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</si>
  <si>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</si>
  <si>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</si>
  <si>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</si>
  <si>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</si>
  <si>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</si>
  <si>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</si>
  <si>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</si>
  <si>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</si>
  <si>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</si>
  <si>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</si>
  <si>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</si>
  <si>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</si>
  <si>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</si>
  <si>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</si>
  <si>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</si>
  <si>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</si>
  <si>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</si>
  <si>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</si>
  <si>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</si>
  <si>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</si>
  <si>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</si>
  <si>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</si>
  <si>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</si>
  <si>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</si>
  <si>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</si>
  <si>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</si>
  <si>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</si>
  <si>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</si>
  <si>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</si>
  <si>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</si>
  <si>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</si>
  <si>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</si>
  <si>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</si>
  <si>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</si>
  <si>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</si>
  <si>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</si>
  <si>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</si>
  <si>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</si>
  <si>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</si>
  <si>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</si>
  <si>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</si>
  <si>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</si>
  <si>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</si>
  <si>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</si>
  <si>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</si>
  <si>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</si>
  <si>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</si>
  <si>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</si>
  <si>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</si>
  <si>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</si>
  <si>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</si>
  <si>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</si>
  <si>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</si>
  <si>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</si>
  <si>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</si>
  <si>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</si>
  <si>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</si>
  <si>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</si>
  <si>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</si>
  <si>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</si>
  <si>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</si>
  <si>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</si>
  <si>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</si>
  <si>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</si>
  <si>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</si>
  <si>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</si>
  <si>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</si>
  <si>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</si>
  <si>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</si>
  <si>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</si>
  <si>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</si>
  <si>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</si>
  <si>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</si>
  <si>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</si>
  <si>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</si>
  <si>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</si>
  <si>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</si>
  <si>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</si>
  <si>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</si>
  <si>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</si>
  <si>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</si>
  <si>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</si>
  <si>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</si>
  <si>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</si>
  <si>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</si>
  <si>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</si>
  <si>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</si>
  <si>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</si>
  <si>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</si>
  <si>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</si>
  <si>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</si>
  <si>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</si>
  <si>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</si>
  <si>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</si>
  <si>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</si>
  <si>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</si>
  <si>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</si>
  <si>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</si>
  <si>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</si>
  <si>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</si>
  <si>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</si>
  <si>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</si>
  <si>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</si>
  <si>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</si>
  <si>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</si>
  <si>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</si>
  <si>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</si>
  <si>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</si>
  <si>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</si>
  <si>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</si>
  <si>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</si>
  <si>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</si>
  <si>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</si>
  <si>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</si>
  <si>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</si>
  <si>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</si>
  <si>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</si>
  <si>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</si>
  <si>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</si>
  <si>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</si>
  <si>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</si>
  <si>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</si>
  <si>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</si>
  <si>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</si>
  <si>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</si>
  <si>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</si>
  <si>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</si>
  <si>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</si>
  <si>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</si>
  <si>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</si>
  <si>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</si>
  <si>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</si>
  <si>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</si>
  <si>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</si>
  <si>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</si>
  <si>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</si>
  <si>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</si>
  <si>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</si>
  <si>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</si>
  <si>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</si>
  <si>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</si>
  <si>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</si>
  <si>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</si>
  <si>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</si>
  <si>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</si>
  <si>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</si>
  <si>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</si>
  <si>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</si>
  <si>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</si>
  <si>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</si>
  <si>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</si>
  <si>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</si>
  <si>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</si>
  <si>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</si>
  <si>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</si>
  <si>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</si>
  <si>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</si>
  <si>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</si>
  <si>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</si>
  <si>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</si>
  <si>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</si>
  <si>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</si>
  <si>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</si>
  <si>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</si>
  <si>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</si>
  <si>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</si>
  <si>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</si>
  <si>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</si>
  <si>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</si>
  <si>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</si>
  <si>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</si>
  <si>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</si>
  <si>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</si>
  <si>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</si>
  <si>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</si>
  <si>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</si>
  <si>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</si>
  <si>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</si>
  <si>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</si>
  <si>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</si>
  <si>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</si>
  <si>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</si>
  <si>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</si>
  <si>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</si>
  <si>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</si>
  <si>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</si>
  <si>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</si>
  <si>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</si>
  <si>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</si>
  <si>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</si>
  <si>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</si>
  <si>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</si>
  <si>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</si>
  <si>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</si>
  <si>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</si>
  <si>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</si>
  <si>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</si>
  <si>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</si>
  <si>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</si>
  <si>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</si>
  <si>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</si>
  <si>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</si>
  <si>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</si>
  <si>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</si>
  <si>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</si>
  <si>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</si>
  <si>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</si>
  <si>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</si>
  <si>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</si>
  <si>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</si>
  <si>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</si>
  <si>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</si>
  <si>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</si>
  <si>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</si>
  <si>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</si>
  <si>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</si>
  <si>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</si>
  <si>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</si>
  <si>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</si>
  <si>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</si>
  <si>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</si>
  <si>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</si>
  <si>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</si>
  <si>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</si>
  <si>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</si>
  <si>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</si>
  <si>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</si>
  <si>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</si>
  <si>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</si>
  <si>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</si>
  <si>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</si>
  <si>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</si>
  <si>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</si>
  <si>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</si>
  <si>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</si>
  <si>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</si>
  <si>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</si>
  <si>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</si>
  <si>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</si>
  <si>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</si>
  <si>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</si>
  <si>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</si>
  <si>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</si>
  <si>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</si>
  <si>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</si>
  <si>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</si>
  <si>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</si>
  <si>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</si>
  <si>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</si>
  <si>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</si>
  <si>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</si>
  <si>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</si>
  <si>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</si>
  <si>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</si>
  <si>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</si>
  <si>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</si>
  <si>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</si>
  <si>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</si>
  <si>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</si>
  <si>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</si>
  <si>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</si>
  <si>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</si>
  <si>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</si>
  <si>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</si>
  <si>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</si>
  <si>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</si>
  <si>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</si>
  <si>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</si>
  <si>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</si>
  <si>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</si>
  <si>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</si>
  <si>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</si>
  <si>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</si>
  <si>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</si>
  <si>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</si>
  <si>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</si>
  <si>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</si>
  <si>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</si>
  <si>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</si>
  <si>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</si>
  <si>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</si>
  <si>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</si>
  <si>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</si>
  <si>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</si>
  <si>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</si>
  <si>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</si>
  <si>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</si>
  <si>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</si>
  <si>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</si>
  <si>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</si>
  <si>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</si>
  <si>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</si>
  <si>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</si>
  <si>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</si>
  <si>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</si>
  <si>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</si>
  <si>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</si>
  <si>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</si>
  <si>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</si>
  <si>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</si>
  <si>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</si>
  <si>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</si>
  <si>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</si>
  <si>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</si>
  <si>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</si>
  <si>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</si>
  <si>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</si>
  <si>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</si>
  <si>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</si>
  <si>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</si>
  <si>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</si>
  <si>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</si>
  <si>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</si>
  <si>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</si>
  <si>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</si>
  <si>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</si>
  <si>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</si>
  <si>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</si>
  <si>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</si>
  <si>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</si>
  <si>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</si>
  <si>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</si>
  <si>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</si>
  <si>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</si>
  <si>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</si>
  <si>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</si>
  <si>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</si>
  <si>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</si>
  <si>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</si>
  <si>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</si>
  <si>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</si>
  <si>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</si>
  <si>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</si>
  <si>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</si>
  <si>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</si>
  <si>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</si>
  <si>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</si>
  <si>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</si>
  <si>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</si>
  <si>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</si>
  <si>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</si>
  <si>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</si>
  <si>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</si>
  <si>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</si>
  <si>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</si>
  <si>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</si>
  <si>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</si>
  <si>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</si>
  <si>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</si>
  <si>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</si>
  <si>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</si>
  <si>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</si>
  <si>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</si>
  <si>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</si>
  <si>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</si>
  <si>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</si>
  <si>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</si>
  <si>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</si>
  <si>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</si>
  <si>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</si>
  <si>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</si>
  <si>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</si>
  <si>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</si>
  <si>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</si>
  <si>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</si>
  <si>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</si>
  <si>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</si>
  <si>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</si>
  <si>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</si>
  <si>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</si>
  <si>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</si>
  <si>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</si>
  <si>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</si>
  <si>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</si>
  <si>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</si>
  <si>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</si>
  <si>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</si>
  <si>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</si>
  <si>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</si>
  <si>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</si>
  <si>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</si>
  <si>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</si>
  <si>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</si>
  <si>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</si>
  <si>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</si>
  <si>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</si>
  <si>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</si>
  <si>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</si>
  <si>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</si>
  <si>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</si>
  <si>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</si>
  <si>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</si>
  <si>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</si>
  <si>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</si>
  <si>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</si>
  <si>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</si>
  <si>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</si>
  <si>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</si>
  <si>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</si>
  <si>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</si>
  <si>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</si>
  <si>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</si>
  <si>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</si>
  <si>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</si>
  <si>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</si>
  <si>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</si>
  <si>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</si>
  <si>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</si>
  <si>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</si>
  <si>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</si>
  <si>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</si>
  <si>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</si>
  <si>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</si>
  <si>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</si>
  <si>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</si>
  <si>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</si>
  <si>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</si>
  <si>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</si>
  <si>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</si>
  <si>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</si>
  <si>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</si>
  <si>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</si>
  <si>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</si>
  <si>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</si>
  <si>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</si>
  <si>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</si>
  <si>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</si>
  <si>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</si>
  <si>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</si>
  <si>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</si>
  <si>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</si>
  <si>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</si>
  <si>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</si>
  <si>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</si>
  <si>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</si>
  <si>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</si>
  <si>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</si>
  <si>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</si>
  <si>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</si>
  <si>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</si>
  <si>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</si>
  <si>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</si>
  <si>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</si>
  <si>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</si>
  <si>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</si>
  <si>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</si>
  <si>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</si>
  <si>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</si>
  <si>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</si>
  <si>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</si>
  <si>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</si>
  <si>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</si>
  <si>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</si>
  <si>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</si>
  <si>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</si>
  <si>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</si>
  <si>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</si>
  <si>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</si>
  <si>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</si>
  <si>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</si>
  <si>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</si>
  <si>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</si>
  <si>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</si>
  <si>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</si>
  <si>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</si>
  <si>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</si>
  <si>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</si>
  <si>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</si>
  <si>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</si>
  <si>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</si>
  <si>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</si>
  <si>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</si>
  <si>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</si>
  <si>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</si>
  <si>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</si>
  <si>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</si>
  <si>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</si>
  <si>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</si>
  <si>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</si>
  <si>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</si>
  <si>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</si>
  <si>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</si>
  <si>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</si>
  <si>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</si>
  <si>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</si>
  <si>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</si>
  <si>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</si>
  <si>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</si>
  <si>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</si>
  <si>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</si>
  <si>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</si>
  <si>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</si>
  <si>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</si>
  <si>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</si>
  <si>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</si>
  <si>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</si>
  <si>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</si>
  <si>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</si>
  <si>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</si>
  <si>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</si>
  <si>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</si>
  <si>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</si>
  <si>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</si>
  <si>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</si>
  <si>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</si>
  <si>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</si>
  <si>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</si>
  <si>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</si>
  <si>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</si>
  <si>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</si>
  <si>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</si>
  <si>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</si>
  <si>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</si>
  <si>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</si>
  <si>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</si>
  <si>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</si>
  <si>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</si>
  <si>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</si>
  <si>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</si>
  <si>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</si>
  <si>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</si>
  <si>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</si>
  <si>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</si>
  <si>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</si>
  <si>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</si>
  <si>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</si>
  <si>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</si>
  <si>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</si>
  <si>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</si>
  <si>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</si>
  <si>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</si>
  <si>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</si>
  <si>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</si>
  <si>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</si>
  <si>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</si>
  <si>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</si>
  <si>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</si>
  <si>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</si>
  <si>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</si>
  <si>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</si>
  <si>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</si>
  <si>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</si>
  <si>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</si>
  <si>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</si>
  <si>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</si>
  <si>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</si>
  <si>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</si>
  <si>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</si>
  <si>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</si>
  <si>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</si>
  <si>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</si>
  <si>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</si>
  <si>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</si>
  <si>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</si>
  <si>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</si>
  <si>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</si>
  <si>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</si>
  <si>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</si>
  <si>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</si>
  <si>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</si>
  <si>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</si>
  <si>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</si>
  <si>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</si>
  <si>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</si>
  <si>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</si>
  <si>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</si>
  <si>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</si>
  <si>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</si>
  <si>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</si>
  <si>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</si>
  <si>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</si>
  <si>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</si>
  <si>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</si>
  <si>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</si>
  <si>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</si>
  <si>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</si>
  <si>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</si>
  <si>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</si>
  <si>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</si>
  <si>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</si>
  <si>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</si>
  <si>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</si>
  <si>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</si>
  <si>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</si>
  <si>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</si>
  <si>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</si>
  <si>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</si>
  <si>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</si>
  <si>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</si>
  <si>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</si>
  <si>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</si>
  <si>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</si>
  <si>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</si>
  <si>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</si>
  <si>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</si>
  <si>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</si>
  <si>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</si>
  <si>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</si>
  <si>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</si>
  <si>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</si>
  <si>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</si>
  <si>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</si>
  <si>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</si>
  <si>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</si>
  <si>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</si>
  <si>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</si>
  <si>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</si>
  <si>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</si>
  <si>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</si>
  <si>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</si>
  <si>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</si>
  <si>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</si>
  <si>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</si>
  <si>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</si>
  <si>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</si>
  <si>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</si>
  <si>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</si>
  <si>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</si>
  <si>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</si>
  <si>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</si>
  <si>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</si>
  <si>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</si>
  <si>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</si>
  <si>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</si>
  <si>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</si>
  <si>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</si>
  <si>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</si>
  <si>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</si>
  <si>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</si>
  <si>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</si>
  <si>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</si>
  <si>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</si>
  <si>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</si>
  <si>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</si>
  <si>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</si>
  <si>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</si>
  <si>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</si>
  <si>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</si>
  <si>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</si>
  <si>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</si>
  <si>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</si>
  <si>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</si>
  <si>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</si>
  <si>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</si>
  <si>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</si>
  <si>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</si>
  <si>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</si>
  <si>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</si>
  <si>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</si>
  <si>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</si>
  <si>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</si>
  <si>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</si>
  <si>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</si>
  <si>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</si>
  <si>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</si>
  <si>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</si>
  <si>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</si>
  <si>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</si>
  <si>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</si>
  <si>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</si>
  <si>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</si>
  <si>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</si>
  <si>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</si>
  <si>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</si>
  <si>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</si>
  <si>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</si>
  <si>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</si>
  <si>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</si>
  <si>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</si>
  <si>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</si>
  <si>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</si>
  <si>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</si>
  <si>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</si>
  <si>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</si>
  <si>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</si>
  <si>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</si>
  <si>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</si>
  <si>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</si>
  <si>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</si>
  <si>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</si>
  <si>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</si>
  <si>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</si>
  <si>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</si>
  <si>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</si>
  <si>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</si>
  <si>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</si>
  <si>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</si>
  <si>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</si>
  <si>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</si>
  <si>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</si>
  <si>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</si>
  <si>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</si>
  <si>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</si>
  <si>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</si>
  <si>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</si>
  <si>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</si>
  <si>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</si>
  <si>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</si>
  <si>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</si>
  <si>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</si>
  <si>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</si>
  <si>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</si>
  <si>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</si>
  <si>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</si>
  <si>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</si>
  <si>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</si>
  <si>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</si>
  <si>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</si>
  <si>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</si>
  <si>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</si>
  <si>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</si>
  <si>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</si>
  <si>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</si>
  <si>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</si>
  <si>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</si>
  <si>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</si>
  <si>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</si>
  <si>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</si>
  <si>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</si>
  <si>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</si>
  <si>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</si>
  <si>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</si>
  <si>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</si>
  <si>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</si>
  <si>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</si>
  <si>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</si>
  <si>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</si>
  <si>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</si>
  <si>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</si>
  <si>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</si>
  <si>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</si>
  <si>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</si>
  <si>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</si>
  <si>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</si>
  <si>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</si>
  <si>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</si>
  <si>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</si>
  <si>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</si>
  <si>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</si>
  <si>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</si>
  <si>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</si>
  <si>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</si>
  <si>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</si>
  <si>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</si>
  <si>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</si>
  <si>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</si>
  <si>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</si>
  <si>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</si>
  <si>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</si>
  <si>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</si>
  <si>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</si>
  <si>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</si>
  <si>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</si>
  <si>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</si>
  <si>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</si>
  <si>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</si>
  <si>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</si>
  <si>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</si>
  <si>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</si>
  <si>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</si>
  <si>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</si>
  <si>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</si>
  <si>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</si>
  <si>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</si>
  <si>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</si>
  <si>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</si>
  <si>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</si>
  <si>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</si>
  <si>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</si>
  <si>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</si>
  <si>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</si>
  <si>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</si>
  <si>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</si>
  <si>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</si>
  <si>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</si>
  <si>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</si>
  <si>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</si>
  <si>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</si>
  <si>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</si>
  <si>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</si>
  <si>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</si>
  <si>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</si>
  <si>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</si>
  <si>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</si>
  <si>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</si>
  <si>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</si>
  <si>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</si>
  <si>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</si>
  <si>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</si>
  <si>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</si>
  <si>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</si>
  <si>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</si>
  <si>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</si>
  <si>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</si>
  <si>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</si>
  <si>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</si>
  <si>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</si>
  <si>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</si>
  <si>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</si>
  <si>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</si>
  <si>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</si>
  <si>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</si>
  <si>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</si>
  <si>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</si>
  <si>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</si>
  <si>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</si>
  <si>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</si>
  <si>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</si>
  <si>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</si>
  <si>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</si>
  <si>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</si>
  <si>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</si>
  <si>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</si>
  <si>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</si>
  <si>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</si>
  <si>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</si>
  <si>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</si>
  <si>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</si>
  <si>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</si>
  <si>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</si>
  <si>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</si>
  <si>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</si>
  <si>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</si>
  <si>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</si>
  <si>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</si>
  <si>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</si>
  <si>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</si>
  <si>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</si>
  <si>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</si>
  <si>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</si>
  <si>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</si>
  <si>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</si>
  <si>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</si>
  <si>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</si>
  <si>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</si>
  <si>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</si>
  <si>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</si>
  <si>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</si>
  <si>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</si>
  <si>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</si>
  <si>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</si>
  <si>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</si>
  <si>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</si>
  <si>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</si>
  <si>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</si>
  <si>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</si>
  <si>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</si>
  <si>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</si>
  <si>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</si>
  <si>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</si>
  <si>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</si>
  <si>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</si>
  <si>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</si>
  <si>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</si>
  <si>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</si>
  <si>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</si>
  <si>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</si>
  <si>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</si>
  <si>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</si>
  <si>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</si>
  <si>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</si>
  <si>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</si>
  <si>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</si>
  <si>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</si>
  <si>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</si>
  <si>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</si>
  <si>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</si>
  <si>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</si>
  <si>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</si>
  <si>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</si>
  <si>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</si>
  <si>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</si>
  <si>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</si>
  <si>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</si>
  <si>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</si>
  <si>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</si>
  <si>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</si>
  <si>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</si>
  <si>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</si>
  <si>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</si>
  <si>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</si>
  <si>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</si>
  <si>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</si>
  <si>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</si>
  <si>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</si>
  <si>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</si>
  <si>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</si>
  <si>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</si>
  <si>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</si>
  <si>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</si>
  <si>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</si>
  <si>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</si>
  <si>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</si>
  <si>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</si>
  <si>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</si>
  <si>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</si>
  <si>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</si>
  <si>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</si>
  <si>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</si>
  <si>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</si>
  <si>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</si>
  <si>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</si>
  <si>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</si>
  <si>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</si>
  <si>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</si>
  <si>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</si>
  <si>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</si>
  <si>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</si>
  <si>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</si>
  <si>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</si>
  <si>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</si>
  <si>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</si>
  <si>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</si>
  <si>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</si>
  <si>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</si>
  <si>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</si>
  <si>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</si>
  <si>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</si>
  <si>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</si>
  <si>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</si>
  <si>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</si>
  <si>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</si>
  <si>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</si>
  <si>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</si>
  <si>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</si>
  <si>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</si>
  <si>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</si>
  <si>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</si>
  <si>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</si>
  <si>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</si>
  <si>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</si>
  <si>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</si>
  <si>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</si>
  <si>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</si>
  <si>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</si>
  <si>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</si>
  <si>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</si>
  <si>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</si>
  <si>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</si>
  <si>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</si>
  <si>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</si>
  <si>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</si>
  <si>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</si>
  <si>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</si>
  <si>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</si>
  <si>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</si>
  <si>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</si>
  <si>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</si>
  <si>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</si>
  <si>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</si>
  <si>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</si>
  <si>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</si>
  <si>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</si>
  <si>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</si>
  <si>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</si>
  <si>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</si>
  <si>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</si>
  <si>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</si>
  <si>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</si>
  <si>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</si>
  <si>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</si>
  <si>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</si>
  <si>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</si>
  <si>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</si>
  <si>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</si>
  <si>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</si>
  <si>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</si>
  <si>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</si>
  <si>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</si>
  <si>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</si>
  <si>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</si>
  <si>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</si>
  <si>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</si>
  <si>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</si>
  <si>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</si>
  <si>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</si>
  <si>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</si>
  <si>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</si>
  <si>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</si>
  <si>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</si>
  <si>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</si>
  <si>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</si>
  <si>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</si>
  <si>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</si>
  <si>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</si>
  <si>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</si>
  <si>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</si>
  <si>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</si>
  <si>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</si>
  <si>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</si>
  <si>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</si>
  <si>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</si>
  <si>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</si>
  <si>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</si>
  <si>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</si>
  <si>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</si>
  <si>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</si>
  <si>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</si>
  <si>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</si>
  <si>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</si>
  <si>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</si>
  <si>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</si>
  <si>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</si>
  <si>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</si>
  <si>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</si>
  <si>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</si>
  <si>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</si>
  <si>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</si>
  <si>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</si>
  <si>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</si>
  <si>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</si>
  <si>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</si>
  <si>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</si>
  <si>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</si>
  <si>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</si>
  <si>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</si>
  <si>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</si>
  <si>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</si>
  <si>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</si>
  <si>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</si>
  <si>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</si>
  <si>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</si>
  <si>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</si>
  <si>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</si>
  <si>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</si>
  <si>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</si>
  <si>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</si>
  <si>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</si>
  <si>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</si>
  <si>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</si>
  <si>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</si>
  <si>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</si>
  <si>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</si>
  <si>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</si>
  <si>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</si>
  <si>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</si>
  <si>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</si>
  <si>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</si>
  <si>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</si>
  <si>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</si>
  <si>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</si>
  <si>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</si>
  <si>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</si>
  <si>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</si>
  <si>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</si>
  <si>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</si>
  <si>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</si>
  <si>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</si>
  <si>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</si>
  <si>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</si>
  <si>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</si>
  <si>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</si>
  <si>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</si>
  <si>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</si>
  <si>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</si>
  <si>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</si>
  <si>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</si>
  <si>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</si>
  <si>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</si>
  <si>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</si>
  <si>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</si>
  <si>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</si>
  <si>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</si>
  <si>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</si>
  <si>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</si>
  <si>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</si>
  <si>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</si>
  <si>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</si>
  <si>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</si>
  <si>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</si>
  <si>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</si>
  <si>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</si>
  <si>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</si>
  <si>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</si>
  <si>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</si>
  <si>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</si>
  <si>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</si>
  <si>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</si>
  <si>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</si>
  <si>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</si>
  <si>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</si>
  <si>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</si>
  <si>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</si>
  <si>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</si>
  <si>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</si>
  <si>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</si>
  <si>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</si>
  <si>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</si>
  <si>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</si>
  <si>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</si>
  <si>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</si>
  <si>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</si>
  <si>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</si>
  <si>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</si>
  <si>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</si>
  <si>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</si>
  <si>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</si>
  <si>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</si>
  <si>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</si>
  <si>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</si>
  <si>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</si>
  <si>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</si>
  <si>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</si>
  <si>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</si>
  <si>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</si>
  <si>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</si>
  <si>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</si>
  <si>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</si>
  <si>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</si>
  <si>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</si>
  <si>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</si>
  <si>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</si>
  <si>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</si>
  <si>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</si>
  <si>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</si>
  <si>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</si>
  <si>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</si>
  <si>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</si>
  <si>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</si>
  <si>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</si>
  <si>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</si>
  <si>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</si>
  <si>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</si>
  <si>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</si>
  <si>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</si>
  <si>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</si>
  <si>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</si>
  <si>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</si>
  <si>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</si>
  <si>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</si>
  <si>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</si>
  <si>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</si>
  <si>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</si>
  <si>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</si>
  <si>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</si>
  <si>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</si>
  <si>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</si>
  <si>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</si>
  <si>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</si>
  <si>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</si>
  <si>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</si>
  <si>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</si>
  <si>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</si>
  <si>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</si>
  <si>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</si>
  <si>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</si>
  <si>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</si>
  <si>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</si>
  <si>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</si>
  <si>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</si>
  <si>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</si>
  <si>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</si>
  <si>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</si>
  <si>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</si>
  <si>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</si>
  <si>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</si>
  <si>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</si>
  <si>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</si>
  <si>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</si>
  <si>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</si>
  <si>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</si>
  <si>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</si>
  <si>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</si>
  <si>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</si>
  <si>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</si>
  <si>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</si>
  <si>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</si>
  <si>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</si>
  <si>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</si>
  <si>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</si>
  <si>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</si>
  <si>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</si>
  <si>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</si>
  <si>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</si>
  <si>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</si>
  <si>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</si>
  <si>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</si>
  <si>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</si>
  <si>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</si>
  <si>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</si>
  <si>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</si>
  <si>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</si>
  <si>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</si>
  <si>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</si>
  <si>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</si>
  <si>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</si>
  <si>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</si>
  <si>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</si>
  <si>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</si>
  <si>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</si>
  <si>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</si>
  <si>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</si>
  <si>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</si>
  <si>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</si>
  <si>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</si>
  <si>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</si>
  <si>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</si>
  <si>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</si>
  <si>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</si>
  <si>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</si>
  <si>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</si>
  <si>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</si>
  <si>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</si>
  <si>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</si>
  <si>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</si>
  <si>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</si>
  <si>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</si>
  <si>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</si>
  <si>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</si>
  <si>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</si>
  <si>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</si>
  <si>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</si>
  <si>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</si>
  <si>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</si>
  <si>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</si>
  <si>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</si>
  <si>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</si>
  <si>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</si>
  <si>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</si>
  <si>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</si>
  <si>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</si>
  <si>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</si>
  <si>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</si>
  <si>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</si>
  <si>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</si>
  <si>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</si>
  <si>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</si>
  <si>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</si>
  <si>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</si>
  <si>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</si>
  <si>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</si>
  <si>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</si>
  <si>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</si>
  <si>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</si>
  <si>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</si>
  <si>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</si>
  <si>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</si>
  <si>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</si>
  <si>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</si>
  <si>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</si>
  <si>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</si>
  <si>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</si>
  <si>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</si>
  <si>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</si>
  <si>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</si>
  <si>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</si>
  <si>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</si>
  <si>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</si>
  <si>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</si>
  <si>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</si>
  <si>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</si>
  <si>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</si>
  <si>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</si>
  <si>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</si>
  <si>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</si>
  <si>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</si>
  <si>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</si>
  <si>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</si>
  <si>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</si>
  <si>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</si>
  <si>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</si>
  <si>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</si>
  <si>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FR7608837</t>
  </si>
  <si>
    <t>D00130000000000 BOE-OLED-Mobile-NT3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</si>
  <si>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</si>
  <si>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</si>
  <si>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</si>
  <si>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</si>
  <si>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</si>
  <si>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</si>
  <si>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</si>
  <si>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</si>
  <si>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</si>
  <si>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PLEAN_X310281CN5015008 PI COM PROM OTH MR on TGCT</t>
  </si>
  <si>
    <t>PLEAN_X310282CN5020305 PI MED MED EDU DSA to HCP: Medical educa</t>
  </si>
  <si>
    <t>PLEAN_X310282CN5023303 PI MED MED OTH Data Generation: Publicat</t>
  </si>
  <si>
    <t>PLEAN_X310282CN5023302 PIMI MED MED OTH ASCO campaign</t>
  </si>
  <si>
    <t>PLEAN_X310282CN5023304 PI MED MED OTH Medical Strategy Readines</t>
  </si>
  <si>
    <t>PLEAN_X310101CN5013356 ERB COM C&amp;E ONC H&amp;N-Case Sharing</t>
  </si>
  <si>
    <t>PLEAN_X310101CN5013357 ERB COM C&amp;E ONC H&amp;N-Roadshow</t>
  </si>
  <si>
    <t>PLEAN_X310101CN5013358 ERB COM C&amp;E AI Chatbot upgrade &amp; promoti</t>
  </si>
  <si>
    <t>PLEAN_X310101CN5013362 ERB COM C&amp;E Data purchasing</t>
  </si>
  <si>
    <t>H000001422</t>
  </si>
  <si>
    <t>FR7615323</t>
  </si>
  <si>
    <t>CSCALA_1820$A100_AM5</t>
  </si>
  <si>
    <t>CNOW_ROW$$$$0000091869 Health care Field force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</si>
  <si>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</si>
  <si>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</si>
  <si>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</si>
  <si>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</si>
  <si>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</si>
  <si>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</si>
  <si>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</si>
  <si>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</si>
  <si>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 xml:space="preserve">ITEMPEU_001500001762 </t>
  </si>
  <si>
    <t xml:space="preserve">ITEMPEU_001500001763 </t>
  </si>
  <si>
    <t>FR7615420</t>
  </si>
  <si>
    <t>CLFF_VMCA$$$TW91GPO013</t>
  </si>
  <si>
    <t xml:space="preserve">CSCALA_1248$PSDO </t>
  </si>
  <si>
    <t>FR7619559</t>
  </si>
  <si>
    <t>PLEAN_X310101CN5013353</t>
  </si>
  <si>
    <t>PLEAN_X310101CN5013361</t>
  </si>
  <si>
    <t>PLEAN_X310101CN5013364</t>
  </si>
  <si>
    <t>FR7626038</t>
  </si>
  <si>
    <t>CNOW_7210$$$0000021316 Applied Solutions BRM Patent Fees</t>
  </si>
  <si>
    <t>CORAERP_MMOR1975.6122 AS - BRM Patent Fees</t>
  </si>
  <si>
    <t>IPHOENX_000001500022 Patent Costs BRM Immunoassays</t>
  </si>
  <si>
    <t>CNOW_7210$$$0000020548 PS-GENM Patent Fees</t>
  </si>
  <si>
    <t>CORAERP_MMOR1975.6123 PS-GENM Patent Fees</t>
  </si>
  <si>
    <t>IPHOENX_000001500003 Patent Costs Bioscience; KGaA</t>
  </si>
  <si>
    <t>IPHOENX_000001500014 Patent Cost/AA-Inorganic Reagents</t>
  </si>
  <si>
    <t>CNOW_7210$$$0000021315 Research Solution Patent Fees</t>
  </si>
  <si>
    <t>CORAERP_MMOR1975.9072 RS - RS Patent Fees</t>
  </si>
  <si>
    <t>CORAERP_MMOR1099.6730 PS - FDS PATENT FEES</t>
  </si>
  <si>
    <t>CORAERP_MMOR1975.6730 PS - FDS PATENT FEES</t>
  </si>
  <si>
    <t>CORAERP_MMOR1975.6534 AS - LabW Patent Fees</t>
  </si>
  <si>
    <t>CORAERP_MMOR1945.6534 AS - LabW Patent Fees</t>
  </si>
  <si>
    <t>CFLTFLE_13060000000063 R&amp;D Merck</t>
  </si>
  <si>
    <t>CLFF_1000$$$DE73R00021 Patent Costs SomaLogic In</t>
  </si>
  <si>
    <t>IPHOENX_000001500017 Patent Cost/BioM-Microbiology</t>
  </si>
  <si>
    <t>CLFF_1000$$$DE73R00013 Patent Costs (external)/D</t>
  </si>
  <si>
    <t>CORAERP_MMOR1975.9207 AS - BioM Patent Fees</t>
  </si>
  <si>
    <t>CLFF_VMCA$$$BE10DB3600 BE10 Customs/Duties</t>
  </si>
  <si>
    <t>CLFF_VMCA$$$FR10DB3600 FR10 Customs/Duties</t>
  </si>
  <si>
    <t>CLFF_VMCA$$$GB10DB3600 GB10 Customs/Duties</t>
  </si>
  <si>
    <t>CLFF_VMCA$$$IE10DB3600 IE10 Customs/Duties</t>
  </si>
  <si>
    <t>CLFF_VMCA$$$IL10DB3600 IL10 Customs/Duties</t>
  </si>
  <si>
    <t>CLFF_VMCA$$$IT07DB3600 IT07 Customs/Duties</t>
  </si>
  <si>
    <t>CLFF_VMCA$$$NL10DB3600 NL10 Customs/Duties</t>
  </si>
  <si>
    <t>CLFF_1000$$$DE01OF0303 Customer Service MPM Wiesbaden</t>
  </si>
  <si>
    <t>CLFF_1000$$$DE04OFHQ02 CF Semi Customer Service Europe</t>
  </si>
  <si>
    <t>CLFF_1000$$$DE04TP5000 CF Semiconductor Customer Service</t>
  </si>
  <si>
    <t>P000001331</t>
  </si>
  <si>
    <t>P000001332</t>
  </si>
  <si>
    <t>FR7620211</t>
  </si>
  <si>
    <t>No REAL</t>
  </si>
  <si>
    <t>FR7636902</t>
  </si>
  <si>
    <t>CNOW_7210$$$0000040190 Global Tech and R&amp;D in Sheboygan</t>
  </si>
  <si>
    <t>CNOW_7210$$$0000040500 MWK Packaging Admin</t>
  </si>
  <si>
    <t>CNOW_7210$$$0000040339 MWK RS WASTE WATER TREATMENT SHEBOYGEN</t>
  </si>
  <si>
    <t>CNOW_7210$$$0000040963 MWK RS SHEBOYGAN BUILDING SECURITY</t>
  </si>
  <si>
    <t>CNOW_7210$$$0000040681 MWK RS SAFETY &amp; HEALTH</t>
  </si>
  <si>
    <t>CNOW_7210$$$0000056007 Mobius Warehouse-Distri</t>
  </si>
  <si>
    <t>CNOW_7210$$$0000056057 Mobius Warehouse-Dist</t>
  </si>
  <si>
    <t>CNOW_7210$$$0000059933 WUXI DISTRIBUTION for FG OUTPUT</t>
  </si>
  <si>
    <t>CNOW_7210$$$0000059983 WUXI DISTRIBUTION for FG OUTPUT</t>
  </si>
  <si>
    <t>CORAERP_MMOR1975.6622 6622 WAU Technology Funded Project</t>
  </si>
  <si>
    <t>CNOW_7210$$$0000270009 CTO Strategy &amp; Execution</t>
  </si>
  <si>
    <t>CPHOENX_01010000697782 LS Technology Office</t>
  </si>
  <si>
    <t>CNOW_7210$$$0000022108 PS R&amp;D Tax/IP Entries</t>
  </si>
  <si>
    <t>CEMERAL_70006203601203 BIOP IC Royalty 1975</t>
  </si>
  <si>
    <t>CORAERP_MMOR1945.P3SW BL P3 Systems Hardware - SW</t>
  </si>
  <si>
    <t>CORAERP_MMOR1975.P3IN BL P3 Systems Hardware - IN</t>
  </si>
  <si>
    <t>CORAERP_MMOR1945.P1US BL P1 Aseptic - US</t>
  </si>
  <si>
    <t>CORAERP_MMOR1975.P1FR BL P1 Aseptic - FR</t>
  </si>
  <si>
    <t>CORAERP_MMOR1975.5287 Marketing - Franchise Mgmt</t>
  </si>
  <si>
    <t>CORAERP_MMOR1975.6589 Placeholder Erbi Employees</t>
  </si>
  <si>
    <t>CORAERP_MMOR1975.P3KO BL P3 Systems Hardware - KO</t>
  </si>
  <si>
    <t>CPHOENX_01010000063666 Single Use Growth Segments</t>
  </si>
  <si>
    <t>CPHOENX_01010000686300 MM Process Solutions Global Pricing</t>
  </si>
  <si>
    <t>CTEMPLA_1000BR10500149 BEX Operational Excellence Brazil</t>
  </si>
  <si>
    <t>CEMERAL_70007001581214 MESI REG PS-DIGITAL ENHANCE SG</t>
  </si>
  <si>
    <t>CORAERP_MMOR1975.9531 SFDC PMO</t>
  </si>
  <si>
    <t>CLFF_1000$$$DE10OF0007 LS ERP other - T&amp;E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</si>
  <si>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</si>
  <si>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</si>
  <si>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</si>
  <si>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</si>
  <si>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</si>
  <si>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</si>
  <si>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</si>
  <si>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</si>
  <si>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</si>
  <si>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</si>
  <si>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</si>
  <si>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</si>
  <si>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</si>
  <si>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</si>
  <si>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CLFF_7210$$$2123C00057 LW E-Business</t>
  </si>
  <si>
    <t>CORAERP_MMOR1945.5304 LW Strategy Execution</t>
  </si>
  <si>
    <t>CORAERP_MMOR1945.5405 LW Training</t>
  </si>
  <si>
    <t>CEMERAL_70006502108610 MarCom A&amp;P LW South Korea</t>
  </si>
  <si>
    <t>CEMERAL_70006203200904 LW - Marcom India</t>
  </si>
  <si>
    <t>CEMERAL_70006203201003 MarCom A&amp;P LW India</t>
  </si>
  <si>
    <t>CTEMPLA_1000AR10P09014 MarCom LW A&amp;P AR</t>
  </si>
  <si>
    <t>CTEMPLA_1000CO10100387 MarCom LabW A&amp;P</t>
  </si>
  <si>
    <t>CTEMPLA_1000MX10316683 MarCom LabW A&amp;P MX</t>
  </si>
  <si>
    <t>CEMERAL_64010010860931 LW Japan Marcom</t>
  </si>
  <si>
    <t>CEMERAL_70006101MS1310 MarCom A&amp;P LW China+</t>
  </si>
  <si>
    <t>CEMERAL_70006101MS3207 Internal sales service expenses</t>
  </si>
  <si>
    <t>CEMERAL_70007102993226 MarCom A&amp;P LW Taiwan</t>
  </si>
  <si>
    <t>CNOW_7210$$$0000020479 US Campaigns - Lab Water</t>
  </si>
  <si>
    <t>CNOW_7210$$$0000051641 AS MarCom LW</t>
  </si>
  <si>
    <t>CORAERP_MMOR1945.5126 LW EEMEA A&amp;P</t>
  </si>
  <si>
    <t>CORAERP_MMOR1945.5127 LW WE A&amp;P</t>
  </si>
  <si>
    <t>CORAERP_MMOR1975.5128 LW NA A&amp;P</t>
  </si>
  <si>
    <t>CNOW_AUS0$$$0000091703 R&amp;A Marcom Commercial Services</t>
  </si>
  <si>
    <t>CORAERP_MMOR1945.5918 MarCom LabW</t>
  </si>
  <si>
    <t>CORAERP_MMOR1945.5919 MarCom Print</t>
  </si>
  <si>
    <t>CEMERAL_64010010860932 LW Marketing</t>
  </si>
  <si>
    <t>CEMERAL_70007001586012 MESI REG SLS MarCom Singapore</t>
  </si>
  <si>
    <t>CLFF_7210$$$2025C03513 1810 AS MarCom MQ</t>
  </si>
  <si>
    <t>CNOW_7210$$$0000020586 AS MarCom BioM</t>
  </si>
  <si>
    <t>CORAERP_MMOR1975.5122 Marcom Americas</t>
  </si>
  <si>
    <t>CEMERAL_7000710299322A MarCom A&amp;P LW Taiwan</t>
  </si>
  <si>
    <t>CSCALA_1042$LWSP MarCom A&amp;P LW Malaysia</t>
  </si>
  <si>
    <t>CORAERP_MMOR1945.6586 Product Application Mktg &amp; Strat</t>
  </si>
  <si>
    <t>CEMERAL_70006203201004 MarCom A&amp;P LW India</t>
  </si>
  <si>
    <t>CORAERP_MMOR1945.5905 LW Commercial Support</t>
  </si>
  <si>
    <t>CEMERAL_70006203200903 Marketing Operational Pricing &amp; Data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</si>
  <si>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</si>
  <si>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</si>
  <si>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</si>
  <si>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</si>
  <si>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</si>
  <si>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</si>
  <si>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</si>
  <si>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</si>
  <si>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</si>
  <si>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</si>
  <si>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</si>
  <si>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PLEAN_X310181DK5010201 Bavencio Commercial DK50 Promo Material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</si>
  <si>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</si>
  <si>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</si>
  <si>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</si>
  <si>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</si>
  <si>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</si>
  <si>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</si>
  <si>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</si>
  <si>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</si>
  <si>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</si>
  <si>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</si>
  <si>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</si>
  <si>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</si>
  <si>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</si>
  <si>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CSCALA_1759$G539 1671106323969</t>
  </si>
  <si>
    <t>PLEAN_X310201DK5010201 Fertility Commercial DK50 Promo Material</t>
  </si>
  <si>
    <t>PLEAN_X310201DK5013201 Fertility Commercial DK50 Congress &amp; Eve</t>
  </si>
  <si>
    <t>PLEAN_X310201DK5015201 Fertility Commercial DK50 Other Promo an</t>
  </si>
  <si>
    <t>PLEAN_X310201EE5015201 Fertility Commercial EE50 Other Promo an</t>
  </si>
  <si>
    <t>PLEAN_X310201FI5010201 Fertility Commercial FI50 Promo Material</t>
  </si>
  <si>
    <t>PLEAN_X310201FI5013201 Fertility Commercial FI50 Congress &amp; Eve</t>
  </si>
  <si>
    <t>PLEAN_X310201LT5013201 Fertility Commercial LT50 Congress &amp; Eve</t>
  </si>
  <si>
    <t>PLEAN_X310201LT5015201 Fertility Commercial LT50 Other Promo an</t>
  </si>
  <si>
    <t>PLEAN_X310201LT5030201 Fertility Commercial LT50 Other M&amp;S Regi</t>
  </si>
  <si>
    <t>PLEAN_X310201LV5030201 Fertility Commercial LV50 Other M&amp;S Regi</t>
  </si>
  <si>
    <t>PLEAN_X310201SE5015201 Fertility Commercial SE50 Other Promo an</t>
  </si>
  <si>
    <t>PLEAN_X310301LV5010201 Gluco Commercial LV50 Promo Material Gen</t>
  </si>
  <si>
    <t>PLEAN_X310351LT5015201 GM KGAA Commercial LT50 Other Promo and</t>
  </si>
  <si>
    <t>PLEAN_X310401FI5010201 Saizen Commercial FI50 Promo Material Ge</t>
  </si>
  <si>
    <t>PLEAN_X310401NO5030201 Saizen Commercial NO50 Other M&amp;S Registr</t>
  </si>
  <si>
    <t>PLEAN_X310401SE5010201 Saizen Commercial SE50 Promo Material Ge</t>
  </si>
  <si>
    <t>PLEAN_X310511DK5010201 Mavenclad Commercial DK50 Promo Material</t>
  </si>
  <si>
    <t>PLEAN_X310511DK5015201 Mavenclad Commercial DK50 Other Promo an</t>
  </si>
  <si>
    <t>PLEAN_X310511EE5013201 Mavenclad Commercial EE50 Congress &amp; Eve</t>
  </si>
  <si>
    <t>PLEAN_X310511LT5013201 Mavenclad Commercial LT50 Congress &amp; Eve</t>
  </si>
  <si>
    <t>PLEAN_X310511LT5015201 Mavenclad Commercial LT50 Other Promo an</t>
  </si>
  <si>
    <t>PLEAN_X310511LT5030201 Mavenclad Commercial LT50 Other M&amp;S Regi</t>
  </si>
  <si>
    <t>PLEAN_X310511LV5015201 Mavenclad Commercial LV50 Other Promo an</t>
  </si>
  <si>
    <t>PLEAN_X310511NO5010201 Mavenclad Commercial NO50 Promo Material</t>
  </si>
  <si>
    <t>PLEAN_X310511NO5011201 Mavenclad Commercial NO50 Advertising Ge</t>
  </si>
  <si>
    <t>PLEAN_X310511SE5010201 Mavenclad Commercial SE50 Promo Material</t>
  </si>
  <si>
    <t>PLEAN_X310282CH7622200 PIMI MED Consultancy</t>
  </si>
  <si>
    <t>PLEAN_X310132AT5023200 Tepmetko Medical activities</t>
  </si>
  <si>
    <t>PLEAN_X310152AT5020200 Bavencio Medical education</t>
  </si>
  <si>
    <t>PLEAN_X310152AT5021200 Bavencio Medical donations</t>
  </si>
  <si>
    <t>PLEAN_X310152AT5023201 Bavencio Medical congresses</t>
  </si>
  <si>
    <t>PLEAN_X310201AT5013200 Fertility Congresses &amp; events</t>
  </si>
  <si>
    <t>PLEAN_X310201CZ5011201 Fertility Commercial CZ50 Advertising Ge</t>
  </si>
  <si>
    <t>PLEAN_X310201CZ5013203 Fertility Commercial CZ50 Congress &amp; Eve</t>
  </si>
  <si>
    <t>PLEAN_X310201CZ5013205 Fertility Commercial CZ50 Congress &amp; Eve</t>
  </si>
  <si>
    <t>PLEAN_X310301CZ5011201 Gluco Commercial CZ50 Advertising Genera</t>
  </si>
  <si>
    <t>PLEAN_X310301CZ5013201 Gluco Commercial CZ50 Congress &amp; Events</t>
  </si>
  <si>
    <t>PLEAN_X310301CZ5013202 Gluco Commercial CZ50 Congress &amp; Events</t>
  </si>
  <si>
    <t>PLEAN_X310301CZ5015201 Gluco Commercial CZ50 Other Promo and Ad</t>
  </si>
  <si>
    <t>PLEAN_X310401AT5013200 Endo Congresses &amp; events</t>
  </si>
  <si>
    <t>PLEAN_X310401CZ5013203 Saizen Commercial CZ50 Congress &amp; Events</t>
  </si>
  <si>
    <t>PLEAN_X310511CZ5010201 Mavenclad Commercial CZ50 Promo Material</t>
  </si>
  <si>
    <t>PLEAN_X310511CZ5013204 Mavenclad Commercial CZ50 Congress &amp; Eve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</si>
  <si>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</si>
  <si>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</si>
  <si>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</si>
  <si>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</si>
  <si>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</si>
  <si>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</si>
  <si>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</si>
  <si>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</si>
  <si>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</si>
  <si>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</si>
  <si>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</si>
  <si>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</si>
  <si>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</si>
  <si>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</si>
  <si>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</si>
  <si>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</si>
  <si>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</si>
  <si>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</si>
  <si>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</si>
  <si>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</si>
  <si>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</si>
  <si>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</si>
  <si>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</si>
  <si>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</si>
  <si>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</si>
  <si>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</si>
  <si>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</si>
  <si>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</si>
  <si>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</si>
  <si>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</si>
  <si>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</si>
  <si>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</si>
  <si>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</si>
  <si>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</si>
  <si>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</si>
  <si>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</si>
  <si>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</si>
  <si>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</si>
  <si>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</si>
  <si>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</si>
  <si>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</si>
  <si>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</si>
  <si>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</si>
  <si>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</si>
  <si>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</si>
  <si>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</si>
  <si>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</si>
  <si>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</si>
  <si>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</si>
  <si>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</si>
  <si>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</si>
  <si>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</si>
  <si>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</si>
  <si>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</si>
  <si>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</si>
  <si>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</si>
  <si>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</si>
  <si>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</si>
  <si>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</si>
  <si>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</si>
  <si>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</si>
  <si>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</si>
  <si>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</si>
  <si>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</si>
  <si>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</si>
  <si>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</si>
  <si>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</si>
  <si>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</si>
  <si>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</si>
  <si>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</si>
  <si>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</si>
  <si>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</si>
  <si>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</si>
  <si>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</si>
  <si>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</si>
  <si>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</si>
  <si>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</si>
  <si>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</si>
  <si>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</si>
  <si>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</si>
  <si>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</si>
  <si>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</si>
  <si>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</si>
  <si>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</si>
  <si>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</si>
  <si>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</si>
  <si>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</si>
  <si>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</si>
  <si>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</si>
  <si>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</si>
  <si>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</si>
  <si>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</si>
  <si>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</si>
  <si>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</si>
  <si>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</si>
  <si>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</si>
  <si>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</si>
  <si>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</si>
  <si>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</si>
  <si>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</si>
  <si>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</si>
  <si>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</si>
  <si>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</si>
  <si>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</si>
  <si>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</si>
  <si>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</si>
  <si>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</si>
  <si>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</si>
  <si>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</si>
  <si>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</si>
  <si>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</si>
  <si>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</si>
  <si>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</si>
  <si>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</si>
  <si>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</si>
  <si>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</si>
  <si>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</si>
  <si>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</si>
  <si>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</si>
  <si>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</si>
  <si>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</si>
  <si>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</si>
  <si>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</si>
  <si>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</si>
  <si>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</si>
  <si>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</si>
  <si>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</si>
  <si>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</si>
  <si>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</si>
  <si>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</si>
  <si>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</si>
  <si>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</si>
  <si>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</si>
  <si>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</si>
  <si>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</si>
  <si>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</si>
  <si>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</si>
  <si>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</si>
  <si>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</si>
  <si>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</si>
  <si>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</si>
  <si>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</si>
  <si>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</si>
  <si>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</si>
  <si>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</si>
  <si>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</si>
  <si>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</si>
  <si>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</si>
  <si>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</si>
  <si>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</si>
  <si>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</si>
  <si>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</si>
  <si>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</si>
  <si>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</si>
  <si>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</si>
  <si>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</si>
  <si>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</si>
  <si>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</si>
  <si>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</si>
  <si>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</si>
  <si>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</si>
  <si>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</si>
  <si>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</si>
  <si>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</si>
  <si>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</si>
  <si>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</si>
  <si>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</si>
  <si>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</si>
  <si>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</si>
  <si>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</si>
  <si>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</si>
  <si>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</si>
  <si>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</si>
  <si>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 xml:space="preserve">CLFF_1000$$$DE10GM8401 </t>
  </si>
  <si>
    <t xml:space="preserve">CNOW_7210$$$0000057021 </t>
  </si>
  <si>
    <t xml:space="preserve">CNOW_7210$$$0024069015 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</si>
  <si>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</si>
  <si>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</si>
  <si>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</si>
  <si>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</si>
  <si>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</si>
  <si>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</si>
  <si>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</si>
  <si>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</si>
  <si>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</si>
  <si>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</si>
  <si>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</si>
  <si>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</si>
  <si>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</si>
  <si>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</si>
  <si>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PLEAN_X310181TN5010200 bavencio promotionnel materiel</t>
  </si>
  <si>
    <t>PLEAN_X310181TN5013201 BAVENCIO 25</t>
  </si>
  <si>
    <t>PLEAN_X310201MA5013217 Impression tissu stand parapluie</t>
  </si>
  <si>
    <t>PLEAN_X310201TN5030200 Submission fees Algeria</t>
  </si>
  <si>
    <t>PLEAN_X310301MA5010200 Matériel promotionnel Diabetes</t>
  </si>
  <si>
    <t>PLEAN_X310301TN5010211 Material Promotionnel DZ (Fees submissio</t>
  </si>
  <si>
    <t>PLEAN_X310301TN5013217 Diabet Congres et journées scientifiques</t>
  </si>
  <si>
    <t>PLEAN_X310511MA5013212 Congrès SMASEP</t>
  </si>
  <si>
    <t>PLEAN_X310201AE5015201 SP GAP OTHER-AE-FERT</t>
  </si>
  <si>
    <t>PLEAN_X310201MA5013210 Amicale Meknes (MA50)</t>
  </si>
  <si>
    <t>PLEAN_X310201MA5015201 MA Local regulatory  fertility</t>
  </si>
  <si>
    <t>PLEAN_X310201TN5010214 promotional material fertility morocco</t>
  </si>
  <si>
    <t>PLEAN_X310201TN5010215 Promortional material fertility Algeria</t>
  </si>
  <si>
    <t>PLEAN_X310201TN5010216 Promotional material TN</t>
  </si>
  <si>
    <t>PLEAN_X310201TN6013219 Journée Scientifique clinique les Jasmin</t>
  </si>
  <si>
    <t>PLEAN_X310201TN6015202 Projet khrouf conversion stylos</t>
  </si>
  <si>
    <t>PLEAN_X310301AE5015205 SP GAP OTHER-BH-DIAB</t>
  </si>
  <si>
    <t>PLEAN_X310301AE5015220 SP PROM OTHERS-EGM-Diab Promo</t>
  </si>
  <si>
    <t>PLEAN_X310301AE5030514 SP REG-FS-DIAB</t>
  </si>
  <si>
    <t>PLEAN_X310301MA5013202 Sponsoring Journées scientifiques diabet</t>
  </si>
  <si>
    <t>PLEAN_X310301MA5015201 MA Local regulatory  Diabetes</t>
  </si>
  <si>
    <t>PLEAN_X310301TN5010209 Promotional Material MO</t>
  </si>
  <si>
    <t>PLEAN_X310301TN5010210 Material Promotionnel TN</t>
  </si>
  <si>
    <t>PLEAN_X310301TN5010212 Material Promotionnel DZ</t>
  </si>
  <si>
    <t>PLEAN_X310401AE5011201 SP ADVT-AE-ENDO</t>
  </si>
  <si>
    <t>PLEAN_X310401AE5030501 SP REG-FS-ENDO</t>
  </si>
  <si>
    <t>PLEAN_X310401MA5013201 Congrès Table ronde Staff Saizen</t>
  </si>
  <si>
    <t>PLEAN_X310401MA5015201 MA Local regulatory endocrinology</t>
  </si>
  <si>
    <t>PLEAN_X310401TN5013201 Congres &amp; events</t>
  </si>
  <si>
    <t>PLEAN_X310401TN5013202 Congres &amp; journées Endocrinolgie</t>
  </si>
  <si>
    <t>PLEAN_X310401TN5013203 Congrès Saizen MA50</t>
  </si>
  <si>
    <t>PLEAN_X310511AE5010205 SP PROM MAT-QA-MAVEN</t>
  </si>
  <si>
    <t>PLEAN_X310511AE5015201 SP PROM OTHERS-AE-MAVEN</t>
  </si>
  <si>
    <t>PLEAN_X310511MA5013200 MS Master Forum Mavenclad (MA50)</t>
  </si>
  <si>
    <t>PLEAN_X310511MA5013219 PanArab speaker fees</t>
  </si>
  <si>
    <t>PLEAN_X310511MA5013220 Sponsoring Merck Event Maroc</t>
  </si>
  <si>
    <t>PLEAN_X310511MA5015203 MA Local regulatory  N&amp;I</t>
  </si>
  <si>
    <t>PLEAN_X310511TN5013229 PAN arab expenses</t>
  </si>
  <si>
    <t>PLEAN_X310511TN6013206 Maven expert Tunisia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</si>
  <si>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</si>
  <si>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</si>
  <si>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</si>
  <si>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</si>
  <si>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</si>
  <si>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</si>
  <si>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</si>
  <si>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</si>
  <si>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</si>
  <si>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</si>
  <si>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</si>
  <si>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</si>
  <si>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</si>
  <si>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</si>
  <si>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</si>
  <si>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</si>
  <si>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</si>
  <si>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</si>
  <si>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</si>
  <si>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</si>
  <si>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</si>
  <si>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</si>
  <si>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</si>
  <si>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</si>
  <si>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</si>
  <si>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</si>
  <si>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</si>
  <si>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</si>
  <si>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</si>
  <si>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</si>
  <si>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</si>
  <si>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</si>
  <si>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</si>
  <si>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</si>
  <si>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</si>
  <si>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</si>
  <si>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</si>
  <si>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</si>
  <si>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</si>
  <si>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</si>
  <si>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</si>
  <si>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</si>
  <si>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</si>
  <si>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</si>
  <si>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</si>
  <si>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</si>
  <si>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</si>
  <si>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</si>
  <si>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</si>
  <si>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</si>
  <si>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</si>
  <si>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</si>
  <si>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</si>
  <si>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</si>
  <si>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</si>
  <si>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</si>
  <si>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</si>
  <si>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</si>
  <si>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</si>
  <si>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</si>
  <si>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</si>
  <si>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</si>
  <si>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</si>
  <si>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</si>
  <si>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</si>
  <si>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</si>
  <si>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</si>
  <si>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</si>
  <si>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</si>
  <si>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</si>
  <si>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</si>
  <si>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FR7697758</t>
  </si>
  <si>
    <t>CTEMPEU_1000PL80GMK003</t>
  </si>
  <si>
    <t>CEMERAL_70006302992006 Compliance</t>
  </si>
  <si>
    <t>CEMERAL_70007001993015 MESI REG MGF-CORPORATE COMPLIANCE</t>
  </si>
  <si>
    <t>CFLTFLE_1787HQ50GLECF0 MGF_Compliance_NORTH WEST</t>
  </si>
  <si>
    <t>CLFF_1000$$$BE50GLE300 LE - Group Legal &amp; Compliance BE50</t>
  </si>
  <si>
    <t>CLFF_1000$$$JP01GLE302 Compliance</t>
  </si>
  <si>
    <t>CLFF_1000$$$JP02GLE302 Compliance</t>
  </si>
  <si>
    <t>CLFF_1000$$$KR02GLE005 LE-C Group Compliance</t>
  </si>
  <si>
    <t>CLFF_1000$$$TW02GLE006 Group Compliance</t>
  </si>
  <si>
    <t>CLFF_1000$$$TW03GLE006 Group Compliance</t>
  </si>
  <si>
    <t>CLFF_7210$$$2057GLE006 Compliance at 2057</t>
  </si>
  <si>
    <t>CLFF_KR00$$$KR03GLE005 LE-C Group Compliance</t>
  </si>
  <si>
    <t>CLFF_VMCA$$$TW10GLE106 MGF-Group Compliance</t>
  </si>
  <si>
    <t>CLFF_VMCA$$$TW91GLE106 MGF-Group Compliance</t>
  </si>
  <si>
    <t>CNOW_ROW$$$$0000008820 JP Compliance</t>
  </si>
  <si>
    <t>CSCALA_1820$A806</t>
  </si>
  <si>
    <t>CTEMPLA_1000CO10100025 REGIONAL COMPLIANCE OFFICER</t>
  </si>
  <si>
    <t>CTEMPLA_1000MX31170000 Compliance</t>
  </si>
  <si>
    <t>FR7700603</t>
  </si>
  <si>
    <t>G000001105</t>
  </si>
  <si>
    <t>G000000432</t>
  </si>
  <si>
    <t>FR7700650</t>
  </si>
  <si>
    <t>FR7701239</t>
  </si>
  <si>
    <t>FR7702114</t>
  </si>
  <si>
    <t>GNMI000720</t>
  </si>
  <si>
    <t>CLFF_1000$$$DE10620801</t>
  </si>
  <si>
    <t>CSCALA_1022$ITX</t>
  </si>
  <si>
    <t>H000004403</t>
  </si>
  <si>
    <t>FR7705866</t>
  </si>
  <si>
    <t>Julistair Malto</t>
  </si>
  <si>
    <t>P000001323</t>
  </si>
  <si>
    <t>P000001322</t>
  </si>
  <si>
    <t>FR7705980</t>
  </si>
  <si>
    <t>CLFF_VMCA$$$US10O05003</t>
  </si>
  <si>
    <t>CLFF_VMCA$$$KR07O05003</t>
  </si>
  <si>
    <t>CLFF_VMCA$$$CN10O05003</t>
  </si>
  <si>
    <t>N128315000000000000 ICON 1283 VS 1500</t>
  </si>
  <si>
    <t xml:space="preserve">CLFF_VMCA$$$TW91PD1010 KAO containers assm (RT) </t>
  </si>
  <si>
    <t xml:space="preserve">CLFF_VMCA$$$US10C05025 CLOSE-Thin Film Marketing and GPM </t>
  </si>
  <si>
    <t xml:space="preserve">CLFF_VMCA$$$KR15C01027 TF Project Costs </t>
  </si>
  <si>
    <t xml:space="preserve">CLFF_VMCA$$$KR16C01027 TF Project Costs </t>
  </si>
  <si>
    <t xml:space="preserve">CLFF_VMCA$$$CN09C05003 AM Selling </t>
  </si>
  <si>
    <t>CLFF_VMCA$$$NL10C05001 AM Selling</t>
  </si>
  <si>
    <t>CLFF_VMCA$$$MY10C05000 AM Selling</t>
  </si>
  <si>
    <t>CLFF_1000$$$TW02C00311 Sales PM-A</t>
  </si>
  <si>
    <t>P000001205</t>
  </si>
  <si>
    <t>P000000801</t>
  </si>
  <si>
    <t>P000000533</t>
  </si>
  <si>
    <t>P000000802</t>
  </si>
  <si>
    <t>P000000829</t>
  </si>
  <si>
    <t>P000000534</t>
  </si>
  <si>
    <t>P000000954</t>
  </si>
  <si>
    <t>FR7721947</t>
  </si>
  <si>
    <t>CLFF_1000$$$CN60TANA01</t>
  </si>
  <si>
    <t>H000000572</t>
  </si>
  <si>
    <t>Yanhua Sha</t>
  </si>
  <si>
    <t>FR7735014</t>
  </si>
  <si>
    <t>P000000472</t>
  </si>
  <si>
    <t>CEMERAL_70007001058600</t>
  </si>
  <si>
    <t>PNEXT_CPRJ-98202500093</t>
  </si>
  <si>
    <t>PNEXT_CON_00012896TTO</t>
  </si>
  <si>
    <t>CNOW_7210$$$P139595865</t>
  </si>
  <si>
    <t>CFLTFLE_22450000002765</t>
  </si>
  <si>
    <t>PQUATRO_T000346DE0412000</t>
  </si>
  <si>
    <t>CORAERP_MMOR1975.6981</t>
  </si>
  <si>
    <t>L000012522</t>
  </si>
  <si>
    <t>L000013823</t>
  </si>
  <si>
    <t>CPRJ-9820250005 PFIZER SG6</t>
  </si>
  <si>
    <t>CPRJ-9820250006 AMGEN P65</t>
  </si>
  <si>
    <t>FR7742424</t>
  </si>
  <si>
    <t>T00034600000</t>
  </si>
  <si>
    <t>PLEAN_X310174NL5130208 BAV FRA M&amp;S OTH Bavencio Maintenance</t>
  </si>
  <si>
    <t>PLEAN_X310504NL5130201 REB FRA M&amp;S OTH Annual Registration Fees</t>
  </si>
  <si>
    <t>PLEAN_X310514NL5130207 MAV FRA M&amp;S OTH Mavenclad Maintenance</t>
  </si>
  <si>
    <t>ILEAN_006010000769 CH65IC1954AO3610405000</t>
  </si>
  <si>
    <t>ILEAN_006010001160 CH65IC1277AO3610405000</t>
  </si>
  <si>
    <t>ILEAN_001050000802 CH60IC_1685_3121050000_FB2_variousBF</t>
  </si>
  <si>
    <t>ILEAN_006010000765 CH65IC1261OX3610607800</t>
  </si>
  <si>
    <t>ILEAN_006010000766 CH65IC1401OX3610607800</t>
  </si>
  <si>
    <t>ILEAN_006010000768 CH65IC1881OX3610607800</t>
  </si>
  <si>
    <t>ITEMPLA_001520000288 CO10 - I/O for 99  Recovery Depreciation</t>
  </si>
  <si>
    <t>ILEAN_006010001440 CH50IC1401OX3610607800</t>
  </si>
  <si>
    <t>ITEMPEU_001500002380 Capital losses tangilble</t>
  </si>
  <si>
    <t>ITEMPLA_001520000132 MX10 Asset retirement losses</t>
  </si>
  <si>
    <t>ITEMPLA_001520000111 Asset retirement Losses</t>
  </si>
  <si>
    <t>FR7743836</t>
  </si>
  <si>
    <t>FR7743953</t>
  </si>
  <si>
    <t>Michelle Xu</t>
  </si>
  <si>
    <t>I am unable to map these for some reason</t>
  </si>
  <si>
    <t>Someone is locking MDGF currently</t>
  </si>
  <si>
    <t>CLFF_1000$$$CH50L95005</t>
  </si>
  <si>
    <t>CLFF_1000$$$CH50L95009</t>
  </si>
  <si>
    <t>CLFF_1000$$$DE50OF0124</t>
  </si>
  <si>
    <t>FR7754101</t>
  </si>
  <si>
    <t>CLFF_1000$$$DE10O05003</t>
  </si>
  <si>
    <t>CNOW_7210$$$0000010272</t>
  </si>
  <si>
    <t>T00028600000</t>
  </si>
  <si>
    <t>CLFF_1000$$$CN01O05001</t>
  </si>
  <si>
    <t>PFLTFLE_EMDPNMCP02</t>
  </si>
  <si>
    <t>PFLTFLE_EMDPLWFM01</t>
  </si>
  <si>
    <t>PQUATRO_D001245DE0401000000</t>
  </si>
  <si>
    <t>PQUATRO_D001251DE0401000000</t>
  </si>
  <si>
    <t>PQUATRO_D001253DE0401000000</t>
  </si>
  <si>
    <t>CFLTFLE_11030000000310</t>
  </si>
  <si>
    <t>CFLTFLE_11030000000320</t>
  </si>
  <si>
    <t>P000001321</t>
  </si>
  <si>
    <t>P000000677</t>
  </si>
  <si>
    <t>P000001161</t>
  </si>
  <si>
    <t>P000000676</t>
  </si>
  <si>
    <t>P000000678</t>
  </si>
  <si>
    <t>P000000679</t>
  </si>
  <si>
    <t>P000000673</t>
  </si>
  <si>
    <t>D00124500000000</t>
  </si>
  <si>
    <t>D00125100000000</t>
  </si>
  <si>
    <t>D00125300000000</t>
  </si>
  <si>
    <t>CLFF_1000$$$DE10Z01000 Automatic account assignm</t>
  </si>
  <si>
    <t>CLFF_1000$$$CN90Z01000 Finance technical cost center</t>
  </si>
  <si>
    <t>CLFF_1000$$$ES50Z01000 Automatic account assignment via OKB9</t>
  </si>
  <si>
    <t>CLFF_1000$$$CN03Z01000 OKB9 Cost Center and accounting CC</t>
  </si>
  <si>
    <t>CLFF_1000$$$IN01Z01000 OKB9 Cost Center</t>
  </si>
  <si>
    <t>CLFF_1000$$$SG09Z01000 OKB9 Cost Center</t>
  </si>
  <si>
    <t>CLFF_1000$$$CN01Z01000 OKB9 Cost Center</t>
  </si>
  <si>
    <t>CLFF_1000$$$DE04Z01000 Automatic account assignment via OKB9</t>
  </si>
  <si>
    <t>CLFF_KR00$$$KR03Z01000 OKB9 Cost Center</t>
  </si>
  <si>
    <t>CLFF_1000$$$US01Z01000 OKB9 Cost Center</t>
  </si>
  <si>
    <t>CLFF_1000$$$TW02Z01000 OKB9 Cost Center</t>
  </si>
  <si>
    <t>FR7761858</t>
  </si>
  <si>
    <t>G000000242</t>
  </si>
  <si>
    <t>G000000759</t>
  </si>
  <si>
    <t>H000000887</t>
  </si>
  <si>
    <t>P000000665</t>
  </si>
  <si>
    <t>k300</t>
  </si>
  <si>
    <t>CEMERAL_70007001581585</t>
  </si>
  <si>
    <t>Unable to get mapped/ticket locked</t>
  </si>
  <si>
    <t>FR7774847</t>
  </si>
  <si>
    <t xml:space="preserve">CORAERP_MMOR1975.3541 </t>
  </si>
  <si>
    <t>L000006987</t>
  </si>
  <si>
    <t>D30013500000000</t>
  </si>
  <si>
    <t>FR7775027</t>
  </si>
  <si>
    <t>CEMERAL_70007001011GPA GPA Function Singapore</t>
  </si>
  <si>
    <t>CLFF_1000$$$BE50C00901 Global Policy &amp; External Affairs</t>
  </si>
  <si>
    <t>CLFF_1000$$$BE50C00912 Global GPA EU External Investments</t>
  </si>
  <si>
    <t>CLFF_1000$$$BE50C00921 Patient Insights &amp; Advocacy, EU Oncology</t>
  </si>
  <si>
    <t>CLFF_1000$$$CN50GCA002 CA-Healthcare</t>
  </si>
  <si>
    <t>CLFF_1000$$$CN50GCA004 Global GPA CM&amp;E</t>
  </si>
  <si>
    <t>CLFF_1000$$$CN50GCA005 Global GPA Fertility</t>
  </si>
  <si>
    <t>CLFF_1000$$$CN50GCA012 CA-Global Patient Advocacy team</t>
  </si>
  <si>
    <t>CLFF_1000$$$CN90GCA002 CA-Healthcare</t>
  </si>
  <si>
    <t>CLFF_1000$$$CN90GCA004 CA-PM</t>
  </si>
  <si>
    <t>CLFF_1000$$$CN90GCA005 Global GPA Fertility 1100</t>
  </si>
  <si>
    <t>CLFF_1000$$$CN90GCA012 CA-Global Patient Advocacy team</t>
  </si>
  <si>
    <t>CLFF_1000$$$CN90GCA022 CA-global Innovative medicines</t>
  </si>
  <si>
    <t>CLFF_1000$$$CN90GCA032 CA-global core medicines</t>
  </si>
  <si>
    <t>CLFF_1000$$$DE10694000 CA Healthcare</t>
  </si>
  <si>
    <t>CLFF_1000$$$DE50C00011 Membership fees</t>
  </si>
  <si>
    <t>CLFF_1000$$$DE50C06595 Memberships</t>
  </si>
  <si>
    <t>CLFF_1000$$$DE50C06886 Business Operations</t>
  </si>
  <si>
    <t>CLFF_1000$$$ES50L40182 Klinnert Isabel(1100)</t>
  </si>
  <si>
    <t>CLFF_1000$$$VN50C00024 Global External Investment-Fertility</t>
  </si>
  <si>
    <t>CPHOENX_01010000536110 MS - Membership fees</t>
  </si>
  <si>
    <t>CPHOENX_01010000659500 Merck Serono - Memberships</t>
  </si>
  <si>
    <t>CPHOENX_01010000694000 XXXNEO-CA Healthcare</t>
  </si>
  <si>
    <t>CTEMPEU_1000FR40399015 GPA France</t>
  </si>
  <si>
    <t>CTEMPEU_1000GB10005888 Internal Sales Services</t>
  </si>
  <si>
    <t>CTEMPNA_1000US20GAPEXT GA&amp;P - CMSO - External</t>
  </si>
  <si>
    <t>CTEMPNA_1000US20GPA001 GPA Head Office</t>
  </si>
  <si>
    <t>CTEMPNA_1000US20GPA002 GPA Oncology</t>
  </si>
  <si>
    <t>CTEMPNA_1000US20GPA003 GPA N&amp;I</t>
  </si>
  <si>
    <t>CTEMPNA_1000US20GPA005 GPA Strategy</t>
  </si>
  <si>
    <t>CTEMPNA_1000US20GPAFED GPA Federal Lobbying</t>
  </si>
  <si>
    <t>FH000000164_OO GP-Government &amp; Public Affairs- Dummy Ob</t>
  </si>
  <si>
    <t>FX31090400000 Divisional CO Franchise</t>
  </si>
  <si>
    <t>H000000164_OO GP-Government &amp; Public Affairs- Dummy Ob</t>
  </si>
  <si>
    <t>OH000000164_I GP-Government &amp; Public Affairs (direct input)</t>
  </si>
  <si>
    <t>PLEAN_X310184DE5002540 GPA Oncology</t>
  </si>
  <si>
    <t>PLEAN_X310201CH6802037 ESHRE global F55 costs-1500 Germany ISS</t>
  </si>
  <si>
    <t>PLEAN_X310204DE5002535 FD FRA IM Corp Healthcare</t>
  </si>
  <si>
    <t>PLEAN_X310204DE5002541 GPA Fertility</t>
  </si>
  <si>
    <t>PLEAN_X310511CH6802062 AAN Global Costs ISS F55</t>
  </si>
  <si>
    <t>PLEAN_X310904DE5002535 EU GPA</t>
  </si>
  <si>
    <t>PLEAN_X310904DE5002536 GPEA</t>
  </si>
  <si>
    <t>PLEAN_X310904DE5002537 GSP</t>
  </si>
  <si>
    <t>PLEAN_X310909DE5002024 Patient Advocacy</t>
  </si>
  <si>
    <t>X31090400000 Divisional CO Franchise</t>
  </si>
  <si>
    <t>FR7778538</t>
  </si>
  <si>
    <t>H000004404</t>
  </si>
  <si>
    <t>H000004406</t>
  </si>
  <si>
    <t>H000004405</t>
  </si>
  <si>
    <t>CTEMPNA_1000US20GPA004 Patient Insights &amp; Advocacy</t>
  </si>
  <si>
    <t>CNOW_7210$$$0000040506 AA CIA</t>
  </si>
  <si>
    <t>CNOW_7210$$$0000056226 AA Instrumental Analysis - CH</t>
  </si>
  <si>
    <t>FR7781427</t>
  </si>
  <si>
    <t>L000005228</t>
  </si>
  <si>
    <t>L000005227</t>
  </si>
  <si>
    <t>PQUATRO_D001298DE0401000000 AMI dense low-k</t>
  </si>
  <si>
    <t>PQUATRO_D001307DE0413000000 SN-560 and SN-952 Substance Supply</t>
  </si>
  <si>
    <t>PVRSM_DP000021USA1000000 ZrCl4</t>
  </si>
  <si>
    <t>PFLTFLE_EMDPTFOM17 CDP215-Ni Metallization Devpt</t>
  </si>
  <si>
    <t>PFLTFLE_EMDPTFOS08 CDP 217 Low Stress High Quality SiO2</t>
  </si>
  <si>
    <t>PFLTFLE_EMDPTWPK01 Twin Peaks Vendor Services - Timesheet</t>
  </si>
  <si>
    <t>CNOW_7210$$$0000040181 R&amp;D Electronics Reporting - Opal</t>
  </si>
  <si>
    <t>PQUATRO_D001294DE0404000000 Genesis Expense PAT</t>
  </si>
  <si>
    <t>PQUATRO_D001296DE0413000000 TPS-3000</t>
  </si>
  <si>
    <t>PQUATRO_D001299JP0201000000 XXXHigh thermal and thick film SOC</t>
  </si>
  <si>
    <t>PQUATRO_D001299JP0296000000 XXXHigh thermal and thick film SOC</t>
  </si>
  <si>
    <t>PQUATRO_D001304JP0201000000 PFAS-Free TARC PAT</t>
  </si>
  <si>
    <t>PQUATRO_D001305US0101000000 Low Defect on Low-K for CuB</t>
  </si>
  <si>
    <t>PQUATRO_D001294DE0403000000 Genesis Expense SG</t>
  </si>
  <si>
    <t>FR7785982</t>
  </si>
  <si>
    <t>FR7804042</t>
  </si>
  <si>
    <t>CNOW_7210$$$0000056338</t>
  </si>
  <si>
    <t>G000000704</t>
  </si>
  <si>
    <t>FR7811994</t>
  </si>
  <si>
    <t>CLFF_VMCA$$$KR07O05003 EL IT/OT 2331</t>
  </si>
  <si>
    <t>CLFF_VMCA$$$CN10O05003 EL IT/OT 2240</t>
  </si>
  <si>
    <t>CNOW_7210$$$0000051733 IT-PR Research &amp; Dev'l</t>
  </si>
  <si>
    <t>FR7812109</t>
  </si>
  <si>
    <t>f0</t>
  </si>
  <si>
    <t>FR7823194</t>
  </si>
  <si>
    <t>CFLTFLE_1075IT107503</t>
  </si>
  <si>
    <t>CLFF_1000$$$DE10695300</t>
  </si>
  <si>
    <t>CLFF_7210$$$1937OF0002</t>
  </si>
  <si>
    <t>CNOW_7210$$$0000052357</t>
  </si>
  <si>
    <t>CLFF_VMCA$$$US10GIT050</t>
  </si>
  <si>
    <t>CORAERP_MMOR1975.9083</t>
  </si>
  <si>
    <t>CNOW_7210$$$0000010482</t>
  </si>
  <si>
    <t>CNOW_7210$$$0000052358</t>
  </si>
  <si>
    <t>G000001441</t>
  </si>
  <si>
    <t>G000001444</t>
  </si>
  <si>
    <t>G000001442</t>
  </si>
  <si>
    <t>L000013395</t>
  </si>
  <si>
    <t>G000001443</t>
  </si>
  <si>
    <t>G000001234</t>
  </si>
  <si>
    <t>FR7823548</t>
  </si>
  <si>
    <t>CTEMPLA_1000BR10500200 EHS Alphaville</t>
  </si>
  <si>
    <t>CORAERP_MMOR1945.9120 EU Facilities 3</t>
  </si>
  <si>
    <t>CLFF_7210$$$2034L81000 ES40 LF ADM</t>
  </si>
  <si>
    <t>CNOW_7210$$$0000058615 EHS Sigma Aldrich São Paulo</t>
  </si>
  <si>
    <t>CNOW_7210$$$0000056343 AEM Strategy &amp;Transformation Projects</t>
  </si>
  <si>
    <t>CORAERP_MMOR1945.2539 Strategy</t>
  </si>
  <si>
    <t>CORAERP_MMOR1945.2239 Proj &amp; Eng - Central Europe</t>
  </si>
  <si>
    <t>CPHOENX_01010000604453 LS-SC-EC Proj &amp; Eng-CentralEur</t>
  </si>
  <si>
    <t>CLFF_1000$$$DE10B04453 LS-SC-EC Proj&amp;Eng-CE</t>
  </si>
  <si>
    <t>CLFF_1000$$$DE10B14453 LS-SC-EC Proj&amp;Eng-CE</t>
  </si>
  <si>
    <t>CNOW_7210$$$0000057019 Project Control</t>
  </si>
  <si>
    <t>CORAERP_MMOR1945.5169 Molsheim E&amp;T</t>
  </si>
  <si>
    <t>CPHOENX_01010000664454 LS-SC-EAAC SME Global Automation CE</t>
  </si>
  <si>
    <t>CEMERAL_70006101TM0100 E&amp;T Proj &amp; Eng - Central Europe</t>
  </si>
  <si>
    <t>CNOW_7210$$$0000040193 Proj &amp; Eng - USA</t>
  </si>
  <si>
    <t>CLFF_7210$$$2102TMCZ90 CHK - Cherokee TechOps Cluster Personnel</t>
  </si>
  <si>
    <t>L000008037</t>
  </si>
  <si>
    <t>L000005965</t>
  </si>
  <si>
    <t>L000012735</t>
  </si>
  <si>
    <t>L000013454</t>
  </si>
  <si>
    <t>L000013866</t>
  </si>
  <si>
    <t>L000013867</t>
  </si>
  <si>
    <t>FR7823579</t>
  </si>
  <si>
    <t>CLFF_7210$$$1937TMCZ95 LS-OOS S&amp;I Strat &amp; Transf.</t>
  </si>
  <si>
    <t>L000013453</t>
  </si>
  <si>
    <t>P000000760</t>
  </si>
  <si>
    <t>CNOW_7210$$$0000056428</t>
  </si>
  <si>
    <t>FR7825748</t>
  </si>
  <si>
    <t>CTEMPEU_1000GB10003254 M157883</t>
  </si>
  <si>
    <t>FR7831957</t>
  </si>
  <si>
    <t>CORAERP_MMOR1945.2450 2450 LS-SC - EW Global Eng and SMEs</t>
  </si>
  <si>
    <t>CNOW_7210$$$0000057021 LS-SC-EW 2047_Global Engineering &amp;SMEs</t>
  </si>
  <si>
    <t>FR7837035</t>
  </si>
  <si>
    <t>FR7837365</t>
  </si>
  <si>
    <t>CNOW_7210$$$0000040062</t>
  </si>
  <si>
    <t>CNOW_7210$$$0000040063</t>
  </si>
  <si>
    <t>CNOW_7210$$$0000040064</t>
  </si>
  <si>
    <t>CNOW_7210$$$0000040065</t>
  </si>
  <si>
    <t>CNOW_7210$$$0000040055</t>
  </si>
  <si>
    <t>CNOW_7210$$$0000052361</t>
  </si>
  <si>
    <t>CNOW_7210$$$0024050028</t>
  </si>
  <si>
    <t>CNOW_7210$$$0000040056</t>
  </si>
  <si>
    <t>CNOW_7210$$$0000057293</t>
  </si>
  <si>
    <t>CNOW_7210$$$0000040057</t>
  </si>
  <si>
    <t>CNOW_7210$$$0000000314</t>
  </si>
  <si>
    <t>CNOW_7210$$$0000059970</t>
  </si>
  <si>
    <t>L000008415</t>
  </si>
  <si>
    <t>L000007219</t>
  </si>
  <si>
    <t>L000009814</t>
  </si>
  <si>
    <t>P000000427</t>
  </si>
  <si>
    <t>CSCALA_1022$ITN_T03</t>
  </si>
  <si>
    <t>CSCALA_1826$832_SBC</t>
  </si>
  <si>
    <t>FR7849069</t>
  </si>
  <si>
    <t>L000009278</t>
  </si>
  <si>
    <t>CLFF_1000$$$AE50R0GR12</t>
  </si>
  <si>
    <t>CEMERAL_70007001581191</t>
  </si>
  <si>
    <t>L000008464</t>
  </si>
  <si>
    <t>FR7872002</t>
  </si>
  <si>
    <t>CLFF_1000$$$FI50R00004 Regulatory Head</t>
  </si>
  <si>
    <t>CLFF_1000$$$FI50R00009 Nordic Drug safety</t>
  </si>
  <si>
    <t>H000000803</t>
  </si>
  <si>
    <t>FR7869671</t>
  </si>
  <si>
    <t>FR7873614</t>
  </si>
  <si>
    <t>CNOW_7210$$$0000056965</t>
  </si>
  <si>
    <t>FR7873509</t>
  </si>
  <si>
    <t>CPHOENX_01010000111111</t>
  </si>
  <si>
    <t>RD230009 HPD8301 (Abrasive) for GF SoN Slurry</t>
  </si>
  <si>
    <t>DP000024000000 DP1316 Cu bulk slurry for Micron</t>
  </si>
  <si>
    <t>D00130900000000 Selective SiGe etching for GAA</t>
  </si>
  <si>
    <t>D00131100000000 DSA LS Rectification</t>
  </si>
  <si>
    <t>D00131200000000 KrF Positive-tone Patterning</t>
  </si>
  <si>
    <t>D00131400000000 AP-SCR(R) 804 (Roswell)</t>
  </si>
  <si>
    <t>D00131500000000 SOD Productivity Project Cost Collector</t>
  </si>
  <si>
    <t>D00131600000000 SOD Siloxane and Adv. Pack. Incubator</t>
  </si>
  <si>
    <t>D00131700000000 Polysilazane SOD Incubator</t>
  </si>
  <si>
    <t>D00131800000000 Polar Bear iLine PD 2025 PAG 7</t>
  </si>
  <si>
    <t>D00133200000000 Poly(methyl)phenylsilane feasibility</t>
  </si>
  <si>
    <t>D00133300000000 MoOBUT</t>
  </si>
  <si>
    <t>FR7876275</t>
  </si>
  <si>
    <t>L000011379</t>
  </si>
  <si>
    <t>on track</t>
  </si>
  <si>
    <t>FR7886476</t>
  </si>
  <si>
    <t>CLFF_7210$$$2053R00001 HPLC AA R&amp;D</t>
  </si>
  <si>
    <t>CLFF_7210$$$2123R00004 LSC R&amp;D Development</t>
  </si>
  <si>
    <t>CTEMPEU_1000AT40RD0001 Workflows R&amp;D</t>
  </si>
  <si>
    <t>CNOW_7210$$$0000006025 R&amp;D Cerilliant Workflow Team</t>
  </si>
  <si>
    <t>L000009171</t>
  </si>
  <si>
    <t>FR7886442</t>
  </si>
  <si>
    <t>CNOW_7210$$$0000040057 Taunton Closure Exceptional 1 Time Costs</t>
  </si>
  <si>
    <t>FR7884815</t>
  </si>
  <si>
    <t>P000000240</t>
  </si>
  <si>
    <t>CLFF_1000$$$DE01TAWA03</t>
  </si>
  <si>
    <t>CLFF_1000$$$DE01TAWA04</t>
  </si>
  <si>
    <t>CLFF_1000$$$DE01TAWA10</t>
  </si>
  <si>
    <t>CLFF_1000$$$DE01TAWA20</t>
  </si>
  <si>
    <t>CLFF_1000$$$DE01TAWA31</t>
  </si>
  <si>
    <t>CLFF_1000$$$DE01TAWA32</t>
  </si>
  <si>
    <t>CLFF_1000$$$DE01TAWA40</t>
  </si>
  <si>
    <t>CLFF_1000$$$DE01TAWA50</t>
  </si>
  <si>
    <t>CLFF_1000$$$DE01TAWA53</t>
  </si>
  <si>
    <t>CLFF_1000$$$DE01TAWA61</t>
  </si>
  <si>
    <t>CLFF_1000$$$DE01TAWA62</t>
  </si>
  <si>
    <t>CLFF_1000$$$DE01TAWA63</t>
  </si>
  <si>
    <t>CLFF_1000$$$DE01TAWA64</t>
  </si>
  <si>
    <t>CLFF_1000$$$DE01TAWA70</t>
  </si>
  <si>
    <t>CLFF_1000$$$DE01TAWA73</t>
  </si>
  <si>
    <t>CLFF_1000$$$DE01TAWA74</t>
  </si>
  <si>
    <t>CLFF_1000$$$DE01TAWA80</t>
  </si>
  <si>
    <t>CLFF_1000$$$DE01TAWA84</t>
  </si>
  <si>
    <t>CLFF_1000$$$DE01TAWA90</t>
  </si>
  <si>
    <t>CLFF_1000$$$DE01TAWA93</t>
  </si>
  <si>
    <t>Paulina Ciepluch</t>
  </si>
  <si>
    <t>FR7881587</t>
  </si>
  <si>
    <t>H000004594</t>
  </si>
  <si>
    <t>H000004593</t>
  </si>
  <si>
    <t>H000004605</t>
  </si>
  <si>
    <t>CTEMPEU_1000PL10K01000</t>
  </si>
  <si>
    <t>CTEMPEU_1000PL10K02000</t>
  </si>
  <si>
    <t>CTEMPEU_1000PL10K03000</t>
  </si>
  <si>
    <t>CLFF_1000$$$JP03L3M303</t>
  </si>
  <si>
    <t>FR7891441</t>
  </si>
  <si>
    <t>Michiko Nakatani</t>
  </si>
  <si>
    <t>FR7896046</t>
  </si>
  <si>
    <t>CLFF_1000$$$DE01TQWI03 Freight Wiesbaden</t>
  </si>
  <si>
    <t>CLFF_1000$$$DE04TQHQ15 Outbound Freight 3rd Party Optronics</t>
  </si>
  <si>
    <t>CLFF_1000$$$DE04TQHQ16 Outbound Freight Interco Optronics</t>
  </si>
  <si>
    <t>CLFF_VMCA$$$DE10TM2000 DE10 Frt RelatedCost</t>
  </si>
  <si>
    <t>CLFF_VMCA$$$IL10TM2000 IL10 Frt RelatedCost1</t>
  </si>
  <si>
    <t>CLFF_VMCA$$$IT07TM2000 IT07 Freight Related Costs1</t>
  </si>
  <si>
    <t>CLFF_VMCA$$$NL10TM2000 NL10 Freight Related Costs1</t>
  </si>
  <si>
    <t>CPHOENX_01010000618200 Ausgangsfrachten PM (manuell)</t>
  </si>
  <si>
    <t>CPHOENX_01010000618210 Frachtnebenkosten PM (inkl. Rückholung)</t>
  </si>
  <si>
    <t>CPHOENX_01010000874100 Ausgangsfrachten HOH</t>
  </si>
  <si>
    <t>CLFF_VMCA$$$DE10TM4000 DE10 Customs/Duties</t>
  </si>
  <si>
    <t>CLFF_1000$$$DE01TKWI01 Incoming Goods Warehouse</t>
  </si>
  <si>
    <t>CLFF_1000$$$DE01TQWIGH Frankfurt 3P Warehouse</t>
  </si>
  <si>
    <t>CLFF_VMCA$$$DE10DB3600 Hamburg 3P Warehouse</t>
  </si>
  <si>
    <t>CLFF_VMCA$$$DE10TQ1001 Gernsheim Warehouse</t>
  </si>
  <si>
    <t>CLFF_VMCA$$$DE10TQ1002 ISO Containe Storage</t>
  </si>
  <si>
    <t>CLFF_VMCA$$$DE10TQ1003 Consignment Warehouses</t>
  </si>
  <si>
    <t>CLFF_VMCA$$$GB10TQ1000 Middlewich 3P Warehouse1</t>
  </si>
  <si>
    <t>CLFF_VMCA$$$IT07TQ1001 San Giuliano 3P Warehouse1</t>
  </si>
  <si>
    <t>CLFF_VMCA$$$IT07TQ1002 IT07 Other 3P Warehouses1</t>
  </si>
  <si>
    <t>CLFF_VMCA$$$NL10TQ1000 Zwindrecht Warehouse Costs1</t>
  </si>
  <si>
    <t>CLFF_1000$$$DE04TQHQ19 Transportation Management Darmstadt</t>
  </si>
  <si>
    <t>CLFF_1000$$$DE04TQHQ23 Europe Customer Fulfillment</t>
  </si>
  <si>
    <t>CLFF_VMCA$$$NL10TM3000 NL10 Transportation Team1</t>
  </si>
  <si>
    <t>FR7896681</t>
  </si>
  <si>
    <t>CFLTFLE_22760000891078</t>
  </si>
  <si>
    <t>P000001329</t>
  </si>
  <si>
    <t>P000001333</t>
  </si>
  <si>
    <t>P000001334</t>
  </si>
  <si>
    <t>G000001378</t>
  </si>
  <si>
    <t>L000005366</t>
  </si>
  <si>
    <t>FR7902593</t>
  </si>
  <si>
    <t>CFLTFLE_2152IMIPARVR01</t>
  </si>
  <si>
    <t>FR7902814</t>
  </si>
  <si>
    <t>H000003319</t>
  </si>
  <si>
    <t>CLFF_1000$$$IT50YIT001</t>
  </si>
  <si>
    <t>CTEMPEU_1000FR40701604</t>
  </si>
  <si>
    <t>CLFF_1000$$$DE10638210</t>
  </si>
  <si>
    <t>CLFF_1000$$$DE10GIT101</t>
  </si>
  <si>
    <t>CLFF_1000$$$DE10GIT02K</t>
  </si>
  <si>
    <t>CLFF_1000$$$CH65GIT20H</t>
  </si>
  <si>
    <t>CNOW_7210$$$0000010260</t>
  </si>
  <si>
    <t>CLFF_7210$$$2123GIT134</t>
  </si>
  <si>
    <t>CLFF_1000$$$DE10YIT016</t>
  </si>
  <si>
    <t>CLFF_7210$$$2123YIT008</t>
  </si>
  <si>
    <t>CTEMPEU_1000PL80GIT004</t>
  </si>
  <si>
    <t>CLFF_7210$$$2123YIT009</t>
  </si>
  <si>
    <t>CTEMPEU_1000PL80YIT002</t>
  </si>
  <si>
    <t>G000001445</t>
  </si>
  <si>
    <t>G000001447</t>
  </si>
  <si>
    <t>G000001449</t>
  </si>
  <si>
    <t>G000001446</t>
  </si>
  <si>
    <t>G000001448</t>
  </si>
  <si>
    <t>FR7905416</t>
  </si>
  <si>
    <t>FR7905527</t>
  </si>
  <si>
    <t>CORAERP_MMOR1975.5919 MarCom Print</t>
  </si>
  <si>
    <t>CNOW_7210$$$0000020564 US Campaigns - Strat &amp; Seg Marketing</t>
  </si>
  <si>
    <t>CNOW_7210$$$0000021400 Pharma Analysis &amp; QC</t>
  </si>
  <si>
    <t>CNOW_7210$$$0000015308 DE RE Inbound-Schnelldorf</t>
  </si>
  <si>
    <t>CFLTFLE_17710000508010</t>
  </si>
  <si>
    <t>CFLTFLE_17710000113000</t>
  </si>
  <si>
    <t>FR7907863</t>
  </si>
  <si>
    <t xml:space="preserve">ITEMPEU_003200004221 </t>
  </si>
  <si>
    <t>Have to be mapped based on parent</t>
  </si>
  <si>
    <t>FR7897475</t>
  </si>
  <si>
    <t>H000004596</t>
  </si>
  <si>
    <t>H000004597</t>
  </si>
  <si>
    <t>FR7916831</t>
  </si>
  <si>
    <t>PLEAN_X310801AE5013201 SP CONG/EVENTS-AE-SHARED</t>
  </si>
  <si>
    <t>PLEAN_X310801AE5030201 SP-REG-OTHER M&amp;S-ePIL Gulf</t>
  </si>
  <si>
    <t>PLEAN_X310801ZA5010501 SP PROM MAT-ZA-NDD</t>
  </si>
  <si>
    <t>PLEAN_X310801ZA5015505 SP PROM OTHERS-ZA-SHARED</t>
  </si>
  <si>
    <t>PLEAN_X310802ZA5022505 MED  NON R&amp;D-ZA-CME-CONSULTANT</t>
  </si>
  <si>
    <t>PLEAN_X310201AE5015502 SP PROM OTHERS-EA-FERT</t>
  </si>
  <si>
    <t>PLEAN_X310201ZA5010501 SP PROM MAT-ZA-FERT</t>
  </si>
  <si>
    <t>PLEAN_X310201ZA5013501 SP COZA/EVENTS-ZA-FERT</t>
  </si>
  <si>
    <t>PLEAN_X310301ZA5010501 SP PROM MAT-ZA-DIAB</t>
  </si>
  <si>
    <t>PLEAN_X310301ZA5013502 SP COZA/EVENTS-ZA-DIAB</t>
  </si>
  <si>
    <t>PLEAN_X310301ZA5015505 SP PROM OTHERS-ZA-DIAB</t>
  </si>
  <si>
    <t>PLEAN_X310201ZA5015505 SP PROM OTHERS-ZA-FERT</t>
  </si>
  <si>
    <t>PLEAN_X310172EG5023255 V8 Med Non R&amp;D-EG- Registration</t>
  </si>
  <si>
    <t>PLEAN_X310201EG5010224 A4 Commercial-EG-Pro. material-Digital M</t>
  </si>
  <si>
    <t>PLEAN_X310201EG5015222 A4 Commercial-EG-Other pro&amp;Adv-CRM &amp; IMS</t>
  </si>
  <si>
    <t>PLEAN_X310301EG5015222 B4 Commercial-EG-Other pro&amp;Adv-CRM &amp; IMS</t>
  </si>
  <si>
    <t>PLEAN_X310401EG5015222 A5 Commercial-EG-Other pro&amp;Adv-CRM &amp; IMS</t>
  </si>
  <si>
    <t>PLEAN_X310511EG5015222 B3 Commercial-EG-Other pro&amp;Adv-CRM &amp; IMS</t>
  </si>
  <si>
    <t>PLEAN_X310112EG5020205 59 Other Oncology Medical Non R&amp;D-Egypt-</t>
  </si>
  <si>
    <t>PLEAN_X310201EG5010230 A4 Commercial-EG-Pro. material-Brand R</t>
  </si>
  <si>
    <t>H000000263</t>
  </si>
  <si>
    <t>H000002948</t>
  </si>
  <si>
    <t>Niel Esto</t>
  </si>
  <si>
    <t>FR7916819</t>
  </si>
  <si>
    <t>PLEAN_X310181DK5030201 Bavencio Commercial DK50 Other M&amp;S Regis</t>
  </si>
  <si>
    <t>PLEAN_X310182NO5022201 Bavencio Medical Non R&amp;D NO50 Medical Co</t>
  </si>
  <si>
    <t>PLEAN_X310941DK5030201 Tepmetko Commercial DK50 Other M&amp;S Regis</t>
  </si>
  <si>
    <t>PLEAN_X310941FI5013201 Tepmetko Commercial FI50 Congress &amp; Even</t>
  </si>
  <si>
    <t>PLEAN_X310941FI5015201 Tepmetko Commercial FI50 Other Promo and</t>
  </si>
  <si>
    <t>CSCALA_1872$100_C05</t>
  </si>
  <si>
    <t>CSCALA_1872$70_C56</t>
  </si>
  <si>
    <t>PLEAN_X310201DK5030201 Fertility Commercial DK50 Other M&amp;S Regi</t>
  </si>
  <si>
    <t>PLEAN_X310201NO5010201 Fertility Commercial NO50 Promo Material</t>
  </si>
  <si>
    <t>PLEAN_X310511DK5030201 Mavenclad Commercial DK50 Other M&amp;S Regi</t>
  </si>
  <si>
    <t>PLEAN_X310511EE5010201 Mavenclad Commercial EE50 Promo Material</t>
  </si>
  <si>
    <t>PLEAN_X310181CZ5011201 Bavencio Commercial CZ50 Advertising Gen</t>
  </si>
  <si>
    <t>PLEAN_X310941CZ5015205 Tepmetko Commercial CZ50 Other Promo and</t>
  </si>
  <si>
    <t>PLEAN_X310942CZ5020202 Tepmetko Medical Non R&amp;D CZ50 Medical Ed</t>
  </si>
  <si>
    <t>PLEAN_X370132AT5023200 RG Ezmekly Medical activities</t>
  </si>
  <si>
    <t>CSCALA_1759$GHTE</t>
  </si>
  <si>
    <t>CSCALA_1759$E352</t>
  </si>
  <si>
    <t>CSCALA_1759$E353</t>
  </si>
  <si>
    <t>CSCALA_1759$E354</t>
  </si>
  <si>
    <t>CSCALA_1759$E355</t>
  </si>
  <si>
    <t>CSCALA_1759$E356</t>
  </si>
  <si>
    <t>CSCALA_1759$E357</t>
  </si>
  <si>
    <t>CSCALA_1759$E358</t>
  </si>
  <si>
    <t>CSCALA_1759$E359</t>
  </si>
  <si>
    <t>CSCALA_1759$E360</t>
  </si>
  <si>
    <t>CSCALA_1759$E361</t>
  </si>
  <si>
    <t>CSCALA_1759$E362</t>
  </si>
  <si>
    <t>CSCALA_1759$E363</t>
  </si>
  <si>
    <t>CSCALA_1759$E364</t>
  </si>
  <si>
    <t>CSCALA_1759$E365</t>
  </si>
  <si>
    <t>CSCALA_1759$E366</t>
  </si>
  <si>
    <t>CSCALA_1759$O454</t>
  </si>
  <si>
    <t>CSCALA_1759$O633</t>
  </si>
  <si>
    <t>CSCALA_1759$R111</t>
  </si>
  <si>
    <t>CSCALA_1759$R112</t>
  </si>
  <si>
    <t>CSCALA_1759$R113</t>
  </si>
  <si>
    <t>CSCALA_1759$E351</t>
  </si>
  <si>
    <t>CSCALA_1759$F916</t>
  </si>
  <si>
    <t>CSCALA_1759$C218</t>
  </si>
  <si>
    <t>CSCALA_1759$HACH</t>
  </si>
  <si>
    <t>CSCALA_1759$RADI</t>
  </si>
  <si>
    <t>CSCALA_1759$R109</t>
  </si>
  <si>
    <t>CSCALA_1759$R110</t>
  </si>
  <si>
    <t>PLEAN_X310201CH7613200 FER COM Consultancy (inkl. Adboards)</t>
  </si>
  <si>
    <t>PLEAN_X310401CZ5015205 Saizen Commercial CZ50 Other Promo and A</t>
  </si>
  <si>
    <t>PLEAN_X310511CZ5015205 Mavenclad Commercial CZ50 Other Promo an</t>
  </si>
  <si>
    <t>H000004524</t>
  </si>
  <si>
    <t>H000001998</t>
  </si>
  <si>
    <t>FR7916805</t>
  </si>
  <si>
    <t>CLFF_1000$$$CH01GFO001</t>
  </si>
  <si>
    <t>CLFF_1000$$$CH50GIT040</t>
  </si>
  <si>
    <t>CLFF_1000$$$CH50GM2100</t>
  </si>
  <si>
    <t>CLFF_1000$$$CH50GM2200</t>
  </si>
  <si>
    <t>CLFF_1000$$$CH50GM2201</t>
  </si>
  <si>
    <t>CLFF_1000$$$CH50L98043</t>
  </si>
  <si>
    <t>CLFF_1000$$$CH65GIT022</t>
  </si>
  <si>
    <t>CLFF_1000$$$CH65GM2100</t>
  </si>
  <si>
    <t>CLFF_1000$$$CH65GM2201</t>
  </si>
  <si>
    <t>CLFF_1000$$$CH65GM4100</t>
  </si>
  <si>
    <t>CLFF_1000$$$CH75GIT040</t>
  </si>
  <si>
    <t>CLFF_1000$$$CH75GM2100</t>
  </si>
  <si>
    <t>CLFF_1000$$$CH75GM2200</t>
  </si>
  <si>
    <t>CLFF_1000$$$CH81GM2100</t>
  </si>
  <si>
    <t>CLFF_1000$$$CH82GM2100</t>
  </si>
  <si>
    <t>CLFF_1000$$$CH82GM2200</t>
  </si>
  <si>
    <t>CNOW_7210$$$0000051902</t>
  </si>
  <si>
    <t>CNOW_7210$$$0000056400</t>
  </si>
  <si>
    <t>CNOW_7210$$$0000056407</t>
  </si>
  <si>
    <t>CNOW_7210$$$0000056440</t>
  </si>
  <si>
    <t>CNOW_7210$$$0000056480</t>
  </si>
  <si>
    <t>CNOW_7210$$$0000056971</t>
  </si>
  <si>
    <t>CTEMPEU_1000CH70AD1L90</t>
  </si>
  <si>
    <t>CTEMPEU_1000CH70ADF100</t>
  </si>
  <si>
    <t>CLFF_1000$$$CH01GFO000 FO-CFO</t>
  </si>
  <si>
    <t>CLFF_1000$$$CH65GM2200 Finance Reporting,Compliance&amp;Controlling</t>
  </si>
  <si>
    <t>ITEMPEU_001700006137</t>
  </si>
  <si>
    <t>ITEMPEU_001700006138</t>
  </si>
  <si>
    <t>H000002956</t>
  </si>
  <si>
    <t>H000002954</t>
  </si>
  <si>
    <t>DFLTPGCOH_T-01_001777</t>
  </si>
  <si>
    <t>CLFF_1000$$$EG50Z01000</t>
  </si>
  <si>
    <t>FR7930721</t>
  </si>
  <si>
    <t>CITR_1000$$$1022APPL</t>
  </si>
  <si>
    <t>FR7929886</t>
  </si>
  <si>
    <t>CLFF_1000$$$CN01TPAZ08</t>
  </si>
  <si>
    <t>CLFF_1000$$$CN01OF0161</t>
  </si>
  <si>
    <t>CLFF_1000$$$CN01TPAZ06</t>
  </si>
  <si>
    <t>CLFF_1000$$$CN02TPZZ05</t>
  </si>
  <si>
    <t>CLFF_1000$$$CN02TPZZ08</t>
  </si>
  <si>
    <t>CLFF_1000$$$CN03TPZZ01</t>
  </si>
  <si>
    <t>CLFF_1000$$$CN03TPZZ03</t>
  </si>
  <si>
    <t>CLFF_1000$$$CN02TPZZ02</t>
  </si>
  <si>
    <t>CLFF_1000$$$CN02TQ1001</t>
  </si>
  <si>
    <t>CLFF_1000$$$CN02TQ1002</t>
  </si>
  <si>
    <t>CLFF_1000$$$CN02TQ1003</t>
  </si>
  <si>
    <t>CLFF_1000$$$CN03TPZZ02</t>
  </si>
  <si>
    <t>CLFF_VMCA$$$CN10DB1001</t>
  </si>
  <si>
    <t>CLFF_VMCA$$$CN10DB1002</t>
  </si>
  <si>
    <t>CLFF_VMCA$$$CN10DB1004</t>
  </si>
  <si>
    <t>CLFF_VMCA$$$CN09DB3303</t>
  </si>
  <si>
    <t>CLFF_VMCA$$$CN09DB3305</t>
  </si>
  <si>
    <t>CLFF_VMCA$$$CN09TQ1001</t>
  </si>
  <si>
    <t>CLFF_VMCA$$$CN09TQ1002</t>
  </si>
  <si>
    <t>CLFF_VMCA$$$CN09TQ1003</t>
  </si>
  <si>
    <t>CLFF_VMCA$$$CN09DB3309</t>
  </si>
  <si>
    <t>CLFF_VMCA$$$CN09DB3300</t>
  </si>
  <si>
    <t>CLFF_VMCA$$$CN09TM3000</t>
  </si>
  <si>
    <t>CLFF_VMCA$$$CN09DB3301</t>
  </si>
  <si>
    <t>CLFF_VMCA$$$CN09DB3307</t>
  </si>
  <si>
    <t>P000000571</t>
  </si>
  <si>
    <t>FR7933262</t>
  </si>
  <si>
    <t>PLEAN_X310281DE6514800</t>
  </si>
  <si>
    <t>H000001786</t>
  </si>
  <si>
    <t>Won't be mapped til there are actuals</t>
  </si>
  <si>
    <t>FR7941951</t>
  </si>
  <si>
    <t xml:space="preserve">CSCALA_1022$SQR </t>
  </si>
  <si>
    <t>CSCALA_1022$ITR</t>
  </si>
  <si>
    <t>FR7943141</t>
  </si>
  <si>
    <t>FR7944249</t>
  </si>
  <si>
    <t>CTEMPEU_1000GB10005256 SRO Costs</t>
  </si>
  <si>
    <t>H000000947</t>
  </si>
  <si>
    <t>FR7955415</t>
  </si>
  <si>
    <t>CLFF_1000$$$DE07Z02182 Prem./Contrib./Fees M&amp;S</t>
  </si>
  <si>
    <t>CLFF_1000$$$HK01Z02181 XX_Prem/con/fees CoS</t>
  </si>
  <si>
    <t>CLFF_1000$$$HK01Z02182 XX_Prem/con/fees M&amp;S</t>
  </si>
  <si>
    <t>CLFF_1000$$$HK01Z02183 XX_Prem/con/fees Admin</t>
  </si>
  <si>
    <t>CLFF_1000$$$HK01Z02184 XX_Prem/con/fees R&amp;D</t>
  </si>
  <si>
    <t>CLFF_1000$$$HK01Z02185 XX_Prem/con/fees Oth</t>
  </si>
  <si>
    <t>CLFF_1000$$$IN01Z02181 XX_Prem/con/fees CoS</t>
  </si>
  <si>
    <t>CLFF_1000$$$IN01Z02182 XX_Prem/con/fees M&amp;S</t>
  </si>
  <si>
    <t>CLFF_1000$$$IN01Z02183 XX_Prem/con/fees Admin</t>
  </si>
  <si>
    <t>CLFF_1000$$$IN01Z02184 XX_Prem/con/fees R&amp;D</t>
  </si>
  <si>
    <t>CLFF_1000$$$JP01Z02181 XX_Prem/con/fees CoS</t>
  </si>
  <si>
    <t>CLFF_1000$$$JP01Z02184 XX_Prem/con/fees R&amp;D</t>
  </si>
  <si>
    <t>CLFF_1000$$$JP01Z02185 XX_Prem/con/fees Oth</t>
  </si>
  <si>
    <t>CLFF_1000$$$JP02Z02181 XX_Prem/con/fees CoS</t>
  </si>
  <si>
    <t>CLFF_1000$$$JP02Z02182 XX_Prem/con/fees M&amp;S</t>
  </si>
  <si>
    <t>CLFF_1000$$$JP02Z02183 Prem/con/fees Admin</t>
  </si>
  <si>
    <t>CLFF_1000$$$JP02Z02184 XX_Prem/con/fees R&amp;D</t>
  </si>
  <si>
    <t>CLFF_1000$$$JP02Z02185 XX_Prem/con/fees Oth</t>
  </si>
  <si>
    <t>CLFF_1000$$$KR02Z02181 XX_Prem/con/fees CoS</t>
  </si>
  <si>
    <t>CLFF_1000$$$KR02Z02182 XX_Prem/con/fees M&amp;S</t>
  </si>
  <si>
    <t>CLFF_1000$$$KR02Z02183 XX_Prem/con/fees Admin</t>
  </si>
  <si>
    <t>CLFF_1000$$$KR02Z02184 XX_Prem/con/fees R&amp;D</t>
  </si>
  <si>
    <t>CLFF_1000$$$SG09Z02181 XX_Prem/con/fees CoS</t>
  </si>
  <si>
    <t>CLFF_1000$$$SG09Z02182 Prem/con/fees M&amp;S</t>
  </si>
  <si>
    <t>CLFF_1000$$$SG09Z02183 XX_Prem/con/fees Admin</t>
  </si>
  <si>
    <t>CLFF_1000$$$SG09Z02184 XX_Prem/con/fees Oth</t>
  </si>
  <si>
    <t>CLFF_1000$$$TW02Z02183 XX_Prem/con/fees Admin</t>
  </si>
  <si>
    <t>CLFF_1000$$$TW02Z02184 XX_Prem/con/fees R&amp;D</t>
  </si>
  <si>
    <t>CLFF_1000$$$TW03Z02184 XX_Prem/con/fees R&amp;D</t>
  </si>
  <si>
    <t>CLFF_KR00$$$KR03Z02181 XX_Prem/con/fees CoS</t>
  </si>
  <si>
    <t>CLFF_KR00$$$KR03Z02182 XX_Prem/con/fees M&amp;S</t>
  </si>
  <si>
    <t>CLFF_KR00$$$KR03Z02183 XX_Prem/con/fees Admin</t>
  </si>
  <si>
    <t>CLFF_KR00$$$KR03Z02184 XX_Prem/con/fees R&amp;D</t>
  </si>
  <si>
    <t>CLFF_1000$$$CN01OF0083 PM GoGlobal Trainee</t>
  </si>
  <si>
    <t>CLFF_1000$$$US01OF0103 GOglobal Trainee PM-USA</t>
  </si>
  <si>
    <t>CLFF_KR00$$$KR03L80000 GoGlobal Korea</t>
  </si>
  <si>
    <t>CLFF_VMCA$$$TW10OF6016 GOglobal Trainee Program</t>
  </si>
  <si>
    <t>CLFF_VMCA$$$US10OF6070 GOglobal Trainee Program</t>
  </si>
  <si>
    <t>P000001335</t>
  </si>
  <si>
    <t>P000001336</t>
  </si>
  <si>
    <t>CNOW_7210$$$0000052362</t>
  </si>
  <si>
    <t>CNOW_7210$$$0000015217</t>
  </si>
  <si>
    <t>CNOW_7210$$$0000015218</t>
  </si>
  <si>
    <t>CNOW_7210$$$0000015219</t>
  </si>
  <si>
    <t>CNOW_7210$$$0000015222</t>
  </si>
  <si>
    <t>CNOW_7210$$$0000015223</t>
  </si>
  <si>
    <t>CNOW_7210$$$0000222106</t>
  </si>
  <si>
    <t>CNOW_7210$$$0000222107</t>
  </si>
  <si>
    <t>CNOW_7210$$$0000222108</t>
  </si>
  <si>
    <t>CNOW_7210$$$0000222109</t>
  </si>
  <si>
    <t>CNOW_7210$$$0000250045</t>
  </si>
  <si>
    <t>CNOW_7210$$$0000010275</t>
  </si>
  <si>
    <t>CNOW_7210$$$0000040960</t>
  </si>
  <si>
    <t>CNOW_7210$$$0000265323</t>
  </si>
  <si>
    <t>CNOW_7210$$$0000031534</t>
  </si>
  <si>
    <t>ITEMPEU_003200004220</t>
  </si>
  <si>
    <t>CORAERP_MMOR1945.ZXQD</t>
  </si>
  <si>
    <t>CFLTFLE_13060000000030</t>
  </si>
  <si>
    <t>ITEMPEU_AT40AA0014</t>
  </si>
  <si>
    <t>L000013900</t>
  </si>
  <si>
    <t>L000012329</t>
  </si>
  <si>
    <t>L000013758</t>
  </si>
  <si>
    <t>L000010274</t>
  </si>
  <si>
    <t>L000009832</t>
  </si>
  <si>
    <t>FR7953877</t>
  </si>
  <si>
    <t>FR7958459</t>
  </si>
  <si>
    <t>PLEAN_X310324CH6815011 Cardio GBF Digital</t>
  </si>
  <si>
    <t>PLEAN_X310304DE5015404 DIA FRA PROM OTH GBF GSI</t>
  </si>
  <si>
    <t>PLEAN_X310324DE5015403 CAR FRA PROM OTH GBF GCD</t>
  </si>
  <si>
    <t>PLEAN_X310324DE5015404 CAR FRA PROM OTH GBF GSI</t>
  </si>
  <si>
    <t>PLEAN_X310334CH6815011 Thyroids GBF Digital</t>
  </si>
  <si>
    <t>PLEAN_X310404CH6815011 Endo GBF Digital</t>
  </si>
  <si>
    <t>ITEMPLA_001520001165 Cardio Summit 2025</t>
  </si>
  <si>
    <t>Estela Belda Menendez</t>
  </si>
  <si>
    <t xml:space="preserve">CNOW_7210$$$0000498035 </t>
  </si>
  <si>
    <t>FR7967809</t>
  </si>
  <si>
    <t>PLEAN_X310201VN5011200 FD COM Advertising</t>
  </si>
  <si>
    <t>FR7968675</t>
  </si>
  <si>
    <t>CFLTFLE_1044BPOE BP - Others  ISS</t>
  </si>
  <si>
    <t>FR7968701</t>
  </si>
  <si>
    <t>PLEAN_X310301DE6215305 1401_LK_B4_DIA_PROMO OTH</t>
  </si>
  <si>
    <t>FR7968788</t>
  </si>
  <si>
    <t>H000000417</t>
  </si>
  <si>
    <t>H000001318</t>
  </si>
  <si>
    <t>PLEAN_X310113CN5043301 O59 R&amp;D R&amp;D OTH TGCT Trials or RWS proje</t>
  </si>
  <si>
    <t>PLEAN_X310282CN5020301 PIMI MED MED EDU DSA to HCP: Medical edu</t>
  </si>
  <si>
    <t>PLEAN_X310282CN5020303 PIMI MED MED EDU DSA to HCP: Medical edu</t>
  </si>
  <si>
    <t>PLEAN_X310282CN5020304 PIMI MED MED EDU DSA to HCP: Medical edu</t>
  </si>
  <si>
    <t>PLEAN_X310282CN5023305 PIMI MED MED OTH ESMO Campaign</t>
  </si>
  <si>
    <t>PLEAN_X310282CN5023306 PIMI MED MED OTH ESMO Campaign</t>
  </si>
  <si>
    <t>PLEAN_X310282CN5023309 PIMI MED MED OTH Content development</t>
  </si>
  <si>
    <t>PLEAN_X310431CN5015212 THYB COM PROM OTH Zebra</t>
  </si>
  <si>
    <t>PLEAN_X310432CN5020104 Thy MED CN50 MED EDU Thyrotropin</t>
  </si>
  <si>
    <t>PLEAN_X310101CN5013354 ERB COM C&amp;E ONC H&amp;N MOD</t>
  </si>
  <si>
    <t>PLEAN_X310201DE5015018 Project for Cross Charge</t>
  </si>
  <si>
    <t>FR7969110</t>
  </si>
  <si>
    <t>FR7970870</t>
  </si>
  <si>
    <t>CTEMPLA_1000BR10200572 [MED] - Med Consultants - Tepmetko</t>
  </si>
  <si>
    <t>H000002595</t>
  </si>
  <si>
    <t>FR7973160</t>
  </si>
  <si>
    <t>CTEMPLA_1000PA10PA3E25 Medical non R&amp;D Thyroids</t>
  </si>
  <si>
    <t>CTEMPLA_1000PA10PA3B25 Medical non R&amp;D Fertility</t>
  </si>
  <si>
    <t>PSCALA_X54 Tepmetko Launch</t>
  </si>
  <si>
    <t>FR7973237</t>
  </si>
  <si>
    <t>FR7973245</t>
  </si>
  <si>
    <t>CSCALA_1042$ONPM_O28</t>
  </si>
  <si>
    <t>CSCALA_1042$ONPM_X51</t>
  </si>
  <si>
    <t>FR7973246</t>
  </si>
  <si>
    <t>CSCALA_1042$ONPM_X54</t>
  </si>
  <si>
    <t>FR7973251</t>
  </si>
  <si>
    <t>FR7973258</t>
  </si>
  <si>
    <t>CSCALA_1042$MSMS_E09</t>
  </si>
  <si>
    <t>CSCALA_1042$MSPM_E81</t>
  </si>
  <si>
    <t>FR7973269</t>
  </si>
  <si>
    <t>CSCALA_1042$MSMS_D19</t>
  </si>
  <si>
    <t>FR7973273</t>
  </si>
  <si>
    <t>FR7973277</t>
  </si>
  <si>
    <t>CSCALA_1042$MSMS_O12</t>
  </si>
  <si>
    <t>CSCALA_1042$ONPM_X65</t>
  </si>
  <si>
    <t>FR7973286</t>
  </si>
  <si>
    <t>CFLTFLE_10548-191A ISS - OTHER</t>
  </si>
  <si>
    <t>FR7973453</t>
  </si>
  <si>
    <t>H000000429</t>
  </si>
  <si>
    <t>FR7978263</t>
  </si>
  <si>
    <t>G000001272</t>
  </si>
  <si>
    <t>H000002265</t>
  </si>
  <si>
    <t>H000002264</t>
  </si>
  <si>
    <t>H000002266</t>
  </si>
  <si>
    <t>H000002267</t>
  </si>
  <si>
    <t>H000004199</t>
  </si>
  <si>
    <t>check</t>
  </si>
  <si>
    <t>H000001115</t>
  </si>
  <si>
    <t>CORAERP_MMOR1945.9032</t>
  </si>
  <si>
    <t>CTEMPEU_1000PL80GFO011</t>
  </si>
  <si>
    <t>CTEMPEU_1000PL80GFO013</t>
  </si>
  <si>
    <t>CTEMPEU_1000PL80GFO015</t>
  </si>
  <si>
    <t>CTEMPEU_1000PL80GFO018</t>
  </si>
  <si>
    <t>G000001176</t>
  </si>
  <si>
    <t>G000001263</t>
  </si>
  <si>
    <t>FR7983976</t>
  </si>
  <si>
    <t>FR7989462</t>
  </si>
  <si>
    <t>CTEMPLA_1000GT10ZZ0Q18</t>
  </si>
  <si>
    <t>CORAERP_MMOR1945.6306</t>
  </si>
  <si>
    <t>L000011403</t>
  </si>
  <si>
    <t>L000012347</t>
  </si>
  <si>
    <t>FR7989325</t>
  </si>
  <si>
    <t>CORAERP_MMOR1945.3541 Quality PS Field Service</t>
  </si>
  <si>
    <t>CORAERP_MMOR1975.5776 US Strategy and Execution DSP</t>
  </si>
  <si>
    <t>CPHOENX_01010000699404 DE DSP Strategy and Execution</t>
  </si>
  <si>
    <t>CTEMPEU_1000CH70404040 Strategy and Execution CH DSP</t>
  </si>
  <si>
    <t>IPHOENX_000400763813 CCV PFM Other Arevi Thyrosin</t>
  </si>
  <si>
    <t>CEMERAL_70006101P13201 PS Market Intelligence China</t>
  </si>
  <si>
    <t>ITEMPEU_003200001428 CH70 Freight Outbound 3110410000 SH</t>
  </si>
  <si>
    <t>ITEMPEU_CH70AA0011 Freight Outbound 3110410000</t>
  </si>
  <si>
    <t>CNOW_7210$$$0000051972 Buchs Outbound Freight</t>
  </si>
  <si>
    <t>CNOW_7210$$$0000051924 SP General COS Steinheim</t>
  </si>
  <si>
    <t>CFLTFLE_1106T41000 Sales</t>
  </si>
  <si>
    <t>CFLTFLE_1106T62100 Logistic</t>
  </si>
  <si>
    <t>CLFF_7210$$$2125C03326 IL inbound freight</t>
  </si>
  <si>
    <t>CLFF_7210$$$2022TQAZ93 IE Arklow freight</t>
  </si>
  <si>
    <t>CORAERP_MMOR1917.4165 Outbound IC Freight UK</t>
  </si>
  <si>
    <t>CORAERP_MMOR1917.4167 Outbound 3rd Party Freight UK</t>
  </si>
  <si>
    <t>CLFF_7210$$$1937TQCZ91 EI outbound freight</t>
  </si>
  <si>
    <t>CNOW_7210$$$0000040056 Distribution Advancement &amp; Systems</t>
  </si>
  <si>
    <t>CLFF_7210$$$1937TMCZ9J Global Engineering and SME's</t>
  </si>
  <si>
    <t>L000013846</t>
  </si>
  <si>
    <t>L000006552</t>
  </si>
  <si>
    <t>L000013915</t>
  </si>
  <si>
    <t>L000013563</t>
  </si>
  <si>
    <t>L000013845</t>
  </si>
  <si>
    <t>L000013514</t>
  </si>
  <si>
    <t>L000009539</t>
  </si>
  <si>
    <t>L000009413</t>
  </si>
  <si>
    <t>L000010212</t>
  </si>
  <si>
    <t>L000009437</t>
  </si>
  <si>
    <t>L000009657</t>
  </si>
  <si>
    <t>L000009485</t>
  </si>
  <si>
    <t>L000009556</t>
  </si>
  <si>
    <t>D30013700000000</t>
  </si>
  <si>
    <t>FR7992012</t>
  </si>
  <si>
    <t>CSCALA_1826$302_ST</t>
  </si>
  <si>
    <t>CSCALA_1826$301_MV</t>
  </si>
  <si>
    <t>CSCALA_1826$350_MV</t>
  </si>
  <si>
    <t>G000000765</t>
  </si>
  <si>
    <t>G000000152</t>
  </si>
  <si>
    <t>FR7992225</t>
  </si>
  <si>
    <t>FR7993071</t>
  </si>
  <si>
    <t>PLEAN_X310511TN5013218 SMASEP MAVENCLAD</t>
  </si>
  <si>
    <t>PLEAN_X310002TN5013200 FERT-NA-ESHRE</t>
  </si>
  <si>
    <t>PLEAN_X310201MA5013200 Morocco Local congresses (MA50)</t>
  </si>
  <si>
    <t>PLEAN_X310301MA5015200 Projet Maroc : Sobrus</t>
  </si>
  <si>
    <t>PLEAN_X310511MA5013221 Merck event Neuro MA&amp;SA-fees</t>
  </si>
  <si>
    <t>PLEAN_X310201TN6013221 SMART XXI Regional Standalone</t>
  </si>
  <si>
    <t>Daniella Sasa</t>
  </si>
  <si>
    <t>P000001380</t>
  </si>
  <si>
    <t>FR7997264</t>
  </si>
  <si>
    <t>PLEAN_X310802ZA5020505 MED  NON R&amp;D-ZA-CME-EDUCATION</t>
  </si>
  <si>
    <t>PLEAN_X310801AE5015209 SP DIGITAL-Shared-AE</t>
  </si>
  <si>
    <t>PLEAN_X310171DE6230104 1891_BY_V9_BAV_M&amp;S OTH</t>
  </si>
  <si>
    <t>PLEAN_X310201AE5011203 SP ADVT-KW-FERT</t>
  </si>
  <si>
    <t>H000000254</t>
  </si>
  <si>
    <t>Kristel Joyce Manalese</t>
  </si>
  <si>
    <t>FR7996906</t>
  </si>
  <si>
    <t>CLFF_1000$$$ES50Y54321 GES BGL L&amp;D PDP</t>
  </si>
  <si>
    <t>CLFF_1000$$$IT50Y54321 GES BGL L&amp;D PDP</t>
  </si>
  <si>
    <t>CLFF_7210$$$2123Y54321 GES BGL L&amp;D PDP</t>
  </si>
  <si>
    <t>CEMERAL_70006502GM4020 MBS FS ES L&amp;D PDP activities</t>
  </si>
  <si>
    <t>CEMERAL_64016401GM4021 MBS FS ES L&amp;D PDP activities</t>
  </si>
  <si>
    <t>G000001450</t>
  </si>
  <si>
    <t>LS?</t>
  </si>
  <si>
    <t>FR7998841</t>
  </si>
  <si>
    <t>CNOW_7210$$$0000040055 DxRM - R&amp;D Chemical Synthesis Lab SK</t>
  </si>
  <si>
    <t>FR8003528</t>
  </si>
  <si>
    <t>G000000847</t>
  </si>
  <si>
    <t>G000000431</t>
  </si>
  <si>
    <t>G000000848</t>
  </si>
  <si>
    <t>CLFF_1000$$$DE10F27300</t>
  </si>
  <si>
    <t>CLFF_1000$$$DE10566115</t>
  </si>
  <si>
    <t>CLFF_1000$$$DE10566116</t>
  </si>
  <si>
    <t>CLFF_1000$$$DE10566118</t>
  </si>
  <si>
    <t>CLFF_1000$$$DE10566120</t>
  </si>
  <si>
    <t>CLFF_1000$$$DE10566121</t>
  </si>
  <si>
    <t>CLFF_1000$$$DE10566122</t>
  </si>
  <si>
    <t>CLFF_1000$$$DE10566125</t>
  </si>
  <si>
    <t>CLFF_1000$$$DE10566127</t>
  </si>
  <si>
    <t>CLFF_1000$$$DE10E16300</t>
  </si>
  <si>
    <t>CLFF_1000$$$DE10E16600</t>
  </si>
  <si>
    <t>CLFF_1000$$$DE10E38020</t>
  </si>
  <si>
    <t>CLFF_1000$$$DE10E38800</t>
  </si>
  <si>
    <t>CLFF_1000$$$DE10E38810</t>
  </si>
  <si>
    <t>CLFF_1000$$$DE10E61000</t>
  </si>
  <si>
    <t>CLFF_1000$$$DE10E61100</t>
  </si>
  <si>
    <t>CLFF_1000$$$DE10E61200</t>
  </si>
  <si>
    <t>CLFF_1000$$$DE10E61900</t>
  </si>
  <si>
    <t>CLFF_1000$$$DE10F11900</t>
  </si>
  <si>
    <t>CLFF_1000$$$DE10F16000</t>
  </si>
  <si>
    <t>CLFF_1000$$$DE10F16010</t>
  </si>
  <si>
    <t>CLFF_1000$$$DE10F16100</t>
  </si>
  <si>
    <t>CLFF_1000$$$DE10F16200</t>
  </si>
  <si>
    <t>CLFF_1000$$$DE10F16300</t>
  </si>
  <si>
    <t>CLFF_1000$$$DE10F16500</t>
  </si>
  <si>
    <t>CLFF_1000$$$DE10F16600</t>
  </si>
  <si>
    <t>CLFF_1000$$$DE10F16700</t>
  </si>
  <si>
    <t>CLFF_1000$$$DE10F27301</t>
  </si>
  <si>
    <t>CLFF_1000$$$DE10E09200</t>
  </si>
  <si>
    <t>CLFF_1000$$$DE10E47200</t>
  </si>
  <si>
    <t>CLFF_1000$$$DE10F10600</t>
  </si>
  <si>
    <t>CLFF_1000$$$DE10F10900</t>
  </si>
  <si>
    <t>CLFF_1000$$$DE10F15400</t>
  </si>
  <si>
    <t>CLFF_1000$$$DE10F15410</t>
  </si>
  <si>
    <t>FR8006226</t>
  </si>
  <si>
    <t>CLFF_1000$$$SG09OF0504 Customer Service &amp; Material Planning</t>
  </si>
  <si>
    <t>CLFF_1000$$$TW02OF0321 Customer Services</t>
  </si>
  <si>
    <t>CLFF_1000$$$TW02OF0322 Customer Service_Semiconductor</t>
  </si>
  <si>
    <t>CLFF_VMCA$$$SG10DB3305 Singapore Customer Service</t>
  </si>
  <si>
    <t>CLFF_VMCA$$$TW10DB3308 Taiwan Customer Service</t>
  </si>
  <si>
    <t>CLFF_1000$$$SG09TPX001 ACW 3PL Warehouse</t>
  </si>
  <si>
    <t>CLFF_VMCA$$$MY10DB3301 MY10 3PL Cylinder Storage</t>
  </si>
  <si>
    <t>CLFF_VMCA$$$SG10DB3300 Tuas Warehouse</t>
  </si>
  <si>
    <t>CLFF_VMCA$$$SG10DB3301 SG10 PTC 3PL Warehouse</t>
  </si>
  <si>
    <t>CLFF_VMCA$$$SG10DB3302 SG10 Asia Industrial Gases 3PL Warehouse</t>
  </si>
  <si>
    <t>CLFF_VMCA$$$TW10DB3303 Taichung Warehouse</t>
  </si>
  <si>
    <t>CLFF_VMCA$$$TW10DB3307 CTW Qionglin 3PL Warehouse</t>
  </si>
  <si>
    <t>CLFF_VMCA$$$TW10TQ1001 Tainan Rinchem 3PL Warehouse</t>
  </si>
  <si>
    <t>CLFF_VMCA$$$TW10TQ1002 Hsinchu Leemark Logistics 3PL WH</t>
  </si>
  <si>
    <t>CLFF_VMCA$$$TW91DB3301 TW91 Tainan Warehouse</t>
  </si>
  <si>
    <t>CLFF_VMCA$$$TW91TQ1001 CTW Qionglin Warehouse</t>
  </si>
  <si>
    <t>CLFF_VMCA$$$TW91TQ1002 Sanfu Chemical Warehouse</t>
  </si>
  <si>
    <t>CLFF_VMCA$$$MY10TQ1000</t>
  </si>
  <si>
    <t>CLFF_VMCA$$$SG10TQ1001</t>
  </si>
  <si>
    <t>CLFF_VMCA$$$SG10TQ1002</t>
  </si>
  <si>
    <t>CLFF_VMCA$$$SG10TQ1003</t>
  </si>
  <si>
    <t>CLFF_1000$$$TW02TPHZ06</t>
  </si>
  <si>
    <t>CLFF_VMCA$$$TW10TQ1004</t>
  </si>
  <si>
    <t>CLFF_VMCA$$$TW10TQ1005</t>
  </si>
  <si>
    <t>CLFF_VMCA$$$TW10TQ1006</t>
  </si>
  <si>
    <t>CLFF_1000$$$SG09TPX003 Outbound Freight</t>
  </si>
  <si>
    <t>CLFF_1000$$$TW02TPHZ21 Outbound freight_PMD_Hsinchu</t>
  </si>
  <si>
    <t>CLFF_1000$$$TW02TPHZ22 Outbound freight_PMI_Hsinchu</t>
  </si>
  <si>
    <t>CLFF_1000$$$TW02TPHZ23 Outbound freight_Asia Hub</t>
  </si>
  <si>
    <t>CLFF_1000$$$TW02TPTA21 Outbound freight_PMD_Taoyuan</t>
  </si>
  <si>
    <t>CLFF_1000$$$TW02TPTA22 Outbound freight_PMA_Taoyuan</t>
  </si>
  <si>
    <t>CLFF_1000$$$TW03TQKZ22 Outbound freight_PMI_Kaohsiung</t>
  </si>
  <si>
    <t>CLFF_1000$$$SG09TPX004 SG09 Customer Fulfillment Admin Mgmt</t>
  </si>
  <si>
    <t>CLFF_1000$$$TW02TQMZ02 Transportation Management</t>
  </si>
  <si>
    <t>CLFF_1000$$$TW03TQKZ12 Transportation Management</t>
  </si>
  <si>
    <t>CLFF_VMCA$$$MY10DB3300 Malaysia DIstribution</t>
  </si>
  <si>
    <t>CLFF_VMCA$$$SG10TM3000 SG10 Customer Fulfillment Admin Mgmt</t>
  </si>
  <si>
    <t>CLFF_VMCA$$$TW10DB3300 TW Transportation Management</t>
  </si>
  <si>
    <t>CLFF_VMCA$$$TW10DB3301 TW10 Customs/Duties Spec Gas</t>
  </si>
  <si>
    <t>CLFF_VMCA$$$TW10DB3305 AM Transportation</t>
  </si>
  <si>
    <t>CLFF_VMCA$$$MY10TM4000</t>
  </si>
  <si>
    <t>CLFF_VMCA$$$SG10TM4000</t>
  </si>
  <si>
    <t>CLFF_VMCA$$$TW10TM4001</t>
  </si>
  <si>
    <t>CLFF_VMCA$$$TW10TM4002</t>
  </si>
  <si>
    <t>CLFF_VMCA$$$TW91TM4000</t>
  </si>
  <si>
    <t>CLFF_VMCA$$$TW91TM4001</t>
  </si>
  <si>
    <t>CLFF_VMCA$$$TW91TM4002</t>
  </si>
  <si>
    <t>CLFF_VMCA$$$SG10TM2000</t>
  </si>
  <si>
    <t>CLFF_1000$$$JP02C0M111 Customer Service Display and Semi</t>
  </si>
  <si>
    <t>CLFF_KR00$$$KR03OF0303 Customer Service</t>
  </si>
  <si>
    <t>CLFF_VMCA$$$KR07DB3310 Korea Customer Service</t>
  </si>
  <si>
    <t>CLFF_1000$$$JP02TQAZ01 Atsugi DC</t>
  </si>
  <si>
    <t>CLFF_1000$$$JP02TQSZ01 Shizuoka DC</t>
  </si>
  <si>
    <t>CLFF_KR00$$$KR03TPPZ14 W/H Expense from MEM</t>
  </si>
  <si>
    <t>CLFF_VMCA$$$KR07DB3306 AM Warehouse/3PL</t>
  </si>
  <si>
    <t>CLFF_VMCA$$$KR07DB3308 PM 3PL Warehouse</t>
  </si>
  <si>
    <t>CLFF_VMCA$$$KR15DB3301 Ulsan NH3 Distribution</t>
  </si>
  <si>
    <t>CLFF_1000$$$JP02TQ1001</t>
  </si>
  <si>
    <t>CLFF_1000$$$JP02TQ1002</t>
  </si>
  <si>
    <t>CLFF_1000$$$JP02TQ1003</t>
  </si>
  <si>
    <t>CLFF_1000$$$JP02TQ1004</t>
  </si>
  <si>
    <t>CLFF_1000$$$JP02TQ1005</t>
  </si>
  <si>
    <t>CLFF_1000$$$JP02TQ1006</t>
  </si>
  <si>
    <t>CLFF_1000$$$JP02TQ1007</t>
  </si>
  <si>
    <t>CLFF_1000$$$JP02TQ1008</t>
  </si>
  <si>
    <t>CLFF_1000$$$JP02TQ1009</t>
  </si>
  <si>
    <t>CLFF_1000$$$JP02TQ1010</t>
  </si>
  <si>
    <t>CLFF_1000$$$JP02TQ1011</t>
  </si>
  <si>
    <t>CLFF_1000$$$JP02TQ1012</t>
  </si>
  <si>
    <t>CLFF_1000$$$JP02TQ1013</t>
  </si>
  <si>
    <t>CLFF_1000$$$JP02TQ1014</t>
  </si>
  <si>
    <t>CLFF_1000$$$KR02TQ1000</t>
  </si>
  <si>
    <t>CLFF_KR00$$$KR03TQ1011</t>
  </si>
  <si>
    <t>CLFF_KR00$$$KR03TQ1012</t>
  </si>
  <si>
    <t>CLFF_VMCA$$$KR07TQ1001</t>
  </si>
  <si>
    <t>CLFF_VMCA$$$KR07TQ1002</t>
  </si>
  <si>
    <t>CLFF_VMCA$$$KR07TQ1003</t>
  </si>
  <si>
    <t>CLFF_VMCA$$$KR07TQ1004</t>
  </si>
  <si>
    <t>CLFF_VMCA$$$KR07TQ1005</t>
  </si>
  <si>
    <t>CLFF_VMCA$$$KR07TQ1006</t>
  </si>
  <si>
    <t>CLFF_VMCA$$$KR11TQ1001</t>
  </si>
  <si>
    <t>CLFF_VMCA$$$KR11TQ1002</t>
  </si>
  <si>
    <t>CLFF_VMCA$$$KR11TQ1003</t>
  </si>
  <si>
    <t>CLFF_VMCA$$$KR11TQ1004</t>
  </si>
  <si>
    <t>CLFF_VMCA$$$KR15TQ1001</t>
  </si>
  <si>
    <t>CLFF_VMCA$$$KR16TQ1001</t>
  </si>
  <si>
    <t>CLFF_VMCA$$$KR16TQ1002</t>
  </si>
  <si>
    <t>CLFF_1000$$$JP02TQMZ01 PM Logistics</t>
  </si>
  <si>
    <t>CLFF_KR00$$$KR03TPPZ04 SD - Logistics PM</t>
  </si>
  <si>
    <t>CLFF_VMCA$$$KR07DB3300 Transportation Management</t>
  </si>
  <si>
    <t>CLFF_VMCA$$$KR15TM3000</t>
  </si>
  <si>
    <t>CLFF_1000$$$KR02TPAZ02 SD - Warehousing/distribution Asia/Pacif</t>
  </si>
  <si>
    <t>CLFF_VMCA$$$KR07DB3301 PM Distribution</t>
  </si>
  <si>
    <t>CLFF_VMCA$$$KR07DB3302 AM Distribution</t>
  </si>
  <si>
    <t>CLFF_VMCA$$$KR11DB2111 Surf, Prep &amp; Clean Distribution</t>
  </si>
  <si>
    <t>CLFF_VMCA$$$KR11DB2112 Planarization Distribution</t>
  </si>
  <si>
    <t>CLFF_VMCA$$$KR15DB3303 Ulsan NF3 Distribution</t>
  </si>
  <si>
    <t>CLFF_VMCA$$$KR16DB3300 KR16 Transportation</t>
  </si>
  <si>
    <t>CLFF_1000$$$US01C01305 Customer Service US</t>
  </si>
  <si>
    <t>CLFF_VMCA$$$US10DB3021 US Customer Service</t>
  </si>
  <si>
    <t>CLFF_1000$$$US01TPBZ03 FG Warehouse - (BRB)</t>
  </si>
  <si>
    <t>CLFF_VMCA$$$US10DB3004 Tualatin ELE Warehouse</t>
  </si>
  <si>
    <t>CLFF_VMCA$$$US10DB3005 Austin Warehouse</t>
  </si>
  <si>
    <t>CLFF_VMCA$$$US10DB3006 Phoenix Warehouse</t>
  </si>
  <si>
    <t>CLFF_VMCA$$$US10DB3011 3rd Party AM Whse</t>
  </si>
  <si>
    <t>CLFF_1000$$$US01TQ1001</t>
  </si>
  <si>
    <t>CLFF_1000$$$US01TQ1002</t>
  </si>
  <si>
    <t>CLFF_1000$$$US01TQ1003</t>
  </si>
  <si>
    <t>CLFF_1000$$$US01TQ1004</t>
  </si>
  <si>
    <t>CLFF_1000$$$US01TQ1005</t>
  </si>
  <si>
    <t>CLFF_1000$$$US01TQ1006</t>
  </si>
  <si>
    <t>CLFF_1000$$$US01TQ1007</t>
  </si>
  <si>
    <t>CLFF_1000$$$US01TQ1008</t>
  </si>
  <si>
    <t>CLFF_1000$$$US01TQ1009</t>
  </si>
  <si>
    <t>CLFF_VMCA$$$US10TQ1001</t>
  </si>
  <si>
    <t>CLFF_VMCA$$$US10TQ1002</t>
  </si>
  <si>
    <t>CLFF_VMCA$$$US10TQ1003</t>
  </si>
  <si>
    <t>CLFF_VMCA$$$US10TQ1004</t>
  </si>
  <si>
    <t>CLFF_VMCA$$$US10TQ1005</t>
  </si>
  <si>
    <t>CLFF_VMCA$$$US10TQ1006</t>
  </si>
  <si>
    <t>CLFF_VMCA$$$US10TQ1007</t>
  </si>
  <si>
    <t>CLFF_VMCA$$$US10TQ1008</t>
  </si>
  <si>
    <t>CLFF_VMCA$$$US10TQ1009</t>
  </si>
  <si>
    <t>CLFF_VMCA$$$US10TQ1010</t>
  </si>
  <si>
    <t>CLFF_VMCA$$$US10TQ1011</t>
  </si>
  <si>
    <t>CLFF_VMCA$$$US10TQ1012</t>
  </si>
  <si>
    <t>CLFF_VMCA$$$US10TQ1013</t>
  </si>
  <si>
    <t>CLFF_1000$$$US01TPBZ01 Freight Collector - Inbound (BRB)</t>
  </si>
  <si>
    <t>CLFF_1000$$$US01TPBZ02 Freight Collector - Outbound (BRB)</t>
  </si>
  <si>
    <t>CLFF_1000$$$US01TQBZ01 BRB IC Outbound Freight Expense</t>
  </si>
  <si>
    <t>CLFF_1000$$$US01TQHZ01 Sheboygan Outbound Freight</t>
  </si>
  <si>
    <t>CLFF_1000$$$US01TQHZ03 Sheboygan IC Outbound Freight Expense</t>
  </si>
  <si>
    <t>CLFF_VMCA$$$US10DB3000 Catoosa Shipping</t>
  </si>
  <si>
    <t>CLFF_VMCA$$$US10DB3012 Carlsbad Shipping</t>
  </si>
  <si>
    <t>CLFF_VMCA$$$US10DB3013 Hometown PM Shipping</t>
  </si>
  <si>
    <t>CLFF_VMCA$$$US10DB3016 Tempe AM Shipping</t>
  </si>
  <si>
    <t>CLFF_VMCA$$$US10DB3017 Dallas AM Shipping</t>
  </si>
  <si>
    <t>CLFF_1000$$$US01TM2001</t>
  </si>
  <si>
    <t>CLFF_VMCA$$$US10TM2010</t>
  </si>
  <si>
    <t>CLFF_1000$$$US01TPPZ04 PM-US Logistics Organization</t>
  </si>
  <si>
    <t>CLFF_VMCA$$$US10DB3003 US Customer Fulfillment</t>
  </si>
  <si>
    <t>CLFF_VMCA$$$US10TM3001</t>
  </si>
  <si>
    <t>CLFF_VMCA$$$US10TM3002</t>
  </si>
  <si>
    <t>CLFF_VMCA$$$US10DB3014 3PL Customs &amp; Duties</t>
  </si>
  <si>
    <t>CLFF_1000$$$DE10B08450</t>
  </si>
  <si>
    <t>CLFF_1000$$$DE10A48610</t>
  </si>
  <si>
    <t>CLFF_1000$$$DE10A48607</t>
  </si>
  <si>
    <t>CLFF_1000$$$DE10538392</t>
  </si>
  <si>
    <t>CLFF_1000$$$DE20700060</t>
  </si>
  <si>
    <t>L000013429</t>
  </si>
  <si>
    <t>G000000877</t>
  </si>
  <si>
    <t>G000000544</t>
  </si>
  <si>
    <t>FR8012274</t>
  </si>
  <si>
    <t>Analyn Ayson</t>
  </si>
  <si>
    <t>???</t>
  </si>
  <si>
    <t>FR8015451</t>
  </si>
  <si>
    <t>PLEAN_X370121DE6514800 RT Ogsiveo Oth.Prom. MAP HTA</t>
  </si>
  <si>
    <t>PLEAN_X370131DE6514800 RT Ezmekly Oth.Prom. MAP HTA</t>
  </si>
  <si>
    <t>PLEAN_X310181DK5015201 Bavencio Commercial DK50 Other Promo and</t>
  </si>
  <si>
    <t>PLEAN_X370231CH7610201 RT Ezmekly COM Promo</t>
  </si>
  <si>
    <t>PLEAN_X370232AT5023200 RG Ezmekly Medical activities</t>
  </si>
  <si>
    <t>CSCALA_1759$E375</t>
  </si>
  <si>
    <t>CSCALA_1759$E376</t>
  </si>
  <si>
    <t>CSCALA_1759$O209</t>
  </si>
  <si>
    <t>CSCALA_1759$C229</t>
  </si>
  <si>
    <t>CSCALA_1759$C219</t>
  </si>
  <si>
    <t>CSCALA_1759$C220</t>
  </si>
  <si>
    <t>CSCALA_1759$C221</t>
  </si>
  <si>
    <t>CSCALA_1759$C222</t>
  </si>
  <si>
    <t>CSCALA_1759$C223</t>
  </si>
  <si>
    <t>CSCALA_1759$C224</t>
  </si>
  <si>
    <t>CSCALA_1759$C225</t>
  </si>
  <si>
    <t>CSCALA_1759$C226</t>
  </si>
  <si>
    <t>CSCALA_1759$C227</t>
  </si>
  <si>
    <t>CSCALA_1759$C228</t>
  </si>
  <si>
    <t>CSCALA_1759$C231</t>
  </si>
  <si>
    <t>CSCALA_1759$G233</t>
  </si>
  <si>
    <t>H000004527</t>
  </si>
  <si>
    <t>H000004517</t>
  </si>
  <si>
    <t>H000004515</t>
  </si>
  <si>
    <t>H000004528</t>
  </si>
  <si>
    <t>FR8017544</t>
  </si>
  <si>
    <t>CNOW_7210$$$0000021361</t>
  </si>
  <si>
    <t>G000001457</t>
  </si>
  <si>
    <t>G000001458</t>
  </si>
  <si>
    <t>G000001459</t>
  </si>
  <si>
    <t>G000001460</t>
  </si>
  <si>
    <t>G000000736</t>
  </si>
  <si>
    <t>P000001349</t>
  </si>
  <si>
    <t>P000001346</t>
  </si>
  <si>
    <t>P000001344</t>
  </si>
  <si>
    <t>P000001347</t>
  </si>
  <si>
    <t>P000001348</t>
  </si>
  <si>
    <t>P000001355</t>
  </si>
  <si>
    <t>P000001352</t>
  </si>
  <si>
    <t>P000001353</t>
  </si>
  <si>
    <t>P000001354</t>
  </si>
  <si>
    <t>P000001361</t>
  </si>
  <si>
    <t>P000001358</t>
  </si>
  <si>
    <t>P000001356</t>
  </si>
  <si>
    <t>P000001359</t>
  </si>
  <si>
    <t>P000001360</t>
  </si>
  <si>
    <t>H000004415</t>
  </si>
  <si>
    <t>H000004416</t>
  </si>
  <si>
    <t>PLEAN_X370131AT5015200</t>
  </si>
  <si>
    <t>PLEAN_X370122AT5023200</t>
  </si>
  <si>
    <t>CLFF_VMCA$$$TW10TQ1003</t>
  </si>
  <si>
    <t>FR8025328</t>
  </si>
  <si>
    <t>CSCALA_1248$VR00_L36</t>
  </si>
  <si>
    <t>CSCALA_1248$VR00_L37</t>
  </si>
  <si>
    <t>CSCALA_1248$VR00_L38</t>
  </si>
  <si>
    <t>CSCALA_1248$A350_L40</t>
  </si>
  <si>
    <t>FR8025270</t>
  </si>
  <si>
    <t>CSCALA_1248$A350</t>
  </si>
  <si>
    <t>CSCALA_1248$A350_L05</t>
  </si>
  <si>
    <t>CSCALA_1248$A350_L09</t>
  </si>
  <si>
    <t>CSCALA_1248$A350_L11</t>
  </si>
  <si>
    <t>CSCALA_1248$A350_L33</t>
  </si>
  <si>
    <t>FR8022798</t>
  </si>
  <si>
    <t>CSCALA_1022$RDG_L39</t>
  </si>
  <si>
    <t>CSCALA_1022$RDG_L38</t>
  </si>
  <si>
    <t>CSCALA_1022$RDG_L35</t>
  </si>
  <si>
    <t>CSCALA_1022$RDG_L36</t>
  </si>
  <si>
    <t>CSCALA_1022$RDG_L37</t>
  </si>
  <si>
    <t>CSCALA_1022$PVS_L40</t>
  </si>
  <si>
    <t>CSCALA_1248$6528_L40</t>
  </si>
  <si>
    <t>CSCALA_1248$6528_L39</t>
  </si>
  <si>
    <t>CSCALA_1248$VR00_V03</t>
  </si>
  <si>
    <t>CSCALA_1872$195_GCQ</t>
  </si>
  <si>
    <t>RDC0000993 Others</t>
  </si>
  <si>
    <t>H000001088</t>
  </si>
  <si>
    <t>H000001086</t>
  </si>
  <si>
    <t>H000000923</t>
  </si>
  <si>
    <t>FR8026215</t>
  </si>
  <si>
    <t>CSCALA_1248$A351</t>
  </si>
  <si>
    <t>CSCALA_1248$A351_L05</t>
  </si>
  <si>
    <t>CSCALA_1248$A351_L12</t>
  </si>
  <si>
    <t>CSCALA_1248$A351_L33</t>
  </si>
  <si>
    <t>CSCALA_1248$A351_L34</t>
  </si>
  <si>
    <t>FR8031573</t>
  </si>
  <si>
    <t>CFLTFLE_10548-151-RA REGULATORY AFFAIRS</t>
  </si>
  <si>
    <t>H000000719</t>
  </si>
  <si>
    <t>H000000725</t>
  </si>
  <si>
    <t>FR8032594</t>
  </si>
  <si>
    <t>CSCALA_1022$ITS_T02</t>
  </si>
  <si>
    <t>FR8035473</t>
  </si>
  <si>
    <t>CSCALA_1820$Q319_AQ2</t>
  </si>
  <si>
    <t>CSCALA_1025$25DS_B01</t>
  </si>
  <si>
    <t>CSCALA_1025$25RA_B05</t>
  </si>
  <si>
    <t>CSCALA_1042$MSRG_P19</t>
  </si>
  <si>
    <t>CSCALA_1042$MSRG_P48</t>
  </si>
  <si>
    <t>CSCALA_1248$A353_L33</t>
  </si>
  <si>
    <t>CSCALA_1248$A353_L12</t>
  </si>
  <si>
    <t>CSCALA_1248$A353_L05</t>
  </si>
  <si>
    <t>CSCALA_1248$A353_L34</t>
  </si>
  <si>
    <t>CSCALA_1248$A353 LPSO GPS</t>
  </si>
  <si>
    <t>H000001085</t>
  </si>
  <si>
    <t>H000001074</t>
  </si>
  <si>
    <t>H000000723</t>
  </si>
  <si>
    <t>H000000802</t>
  </si>
  <si>
    <t>H000000726</t>
  </si>
  <si>
    <t>FR8035432</t>
  </si>
  <si>
    <t>DFLTPGCOH_000000</t>
  </si>
  <si>
    <t>FR8039212</t>
  </si>
  <si>
    <t>FR8041482</t>
  </si>
  <si>
    <t xml:space="preserve">CPHOENX_01010000648924 </t>
  </si>
  <si>
    <t>CNOW_7210$$$0000008099</t>
  </si>
  <si>
    <t>CNOW_7210$$$0000010313</t>
  </si>
  <si>
    <t>CNOW_7210$$$0000015417</t>
  </si>
  <si>
    <t>CNOW_7210$$$0000057267</t>
  </si>
  <si>
    <t>CNOW_7210$$$0000020734</t>
  </si>
  <si>
    <t>CNOW_7210$$$0000020735</t>
  </si>
  <si>
    <t>CNOW_7210$$$0000040066</t>
  </si>
  <si>
    <t>CNOW_7210$$$0000020741</t>
  </si>
  <si>
    <t>CNOW_7210$$$0000020736</t>
  </si>
  <si>
    <t>CNOW_7210$$$0000020737</t>
  </si>
  <si>
    <t>CNOW_7210$$$0000020738</t>
  </si>
  <si>
    <t>CNOW_7210$$$0000020739</t>
  </si>
  <si>
    <t>CNOW_7210$$$0000025508</t>
  </si>
  <si>
    <t>CNOW_7210$$$0000057566</t>
  </si>
  <si>
    <t>CNOW_7210$$$0000269903</t>
  </si>
  <si>
    <t>CNOW_7210$$$0000009003</t>
  </si>
  <si>
    <t>CNOW_7210$$$0000025537</t>
  </si>
  <si>
    <t>CNOW_7210$$$0000020428</t>
  </si>
  <si>
    <t>CNOW_7210$$$0000020429</t>
  </si>
  <si>
    <t>CNOW_7210$$$0000040593</t>
  </si>
  <si>
    <t>CNOW_7210$$$0000020750</t>
  </si>
  <si>
    <t>CNOW_7210$$$0000497199</t>
  </si>
  <si>
    <t>CNOW_7210$$$0000008063</t>
  </si>
  <si>
    <t>CNOW_7210$$$0000008064</t>
  </si>
  <si>
    <t xml:space="preserve">D30012000000000 </t>
  </si>
  <si>
    <t>L000009635</t>
  </si>
  <si>
    <t>L000005341</t>
  </si>
  <si>
    <t>L000007080</t>
  </si>
  <si>
    <t>L000013317</t>
  </si>
  <si>
    <t>L000013227</t>
  </si>
  <si>
    <t>L000011186</t>
  </si>
  <si>
    <t>L000011185</t>
  </si>
  <si>
    <t>L000009119</t>
  </si>
  <si>
    <t>L000005269</t>
  </si>
  <si>
    <t>L000011184</t>
  </si>
  <si>
    <t>L000011188</t>
  </si>
  <si>
    <t>RDC0000095</t>
  </si>
  <si>
    <t>FR8025258</t>
  </si>
  <si>
    <t>CEMERAL_70006101LSCORE LS China Core and Capabilities</t>
  </si>
  <si>
    <t>CLFF_1000$$$DE10Z0319A LS Project Eagle</t>
  </si>
  <si>
    <t>CORAERP_MMOR1975.9114 LS Project Eagle</t>
  </si>
  <si>
    <t>CPHOENX_01010000697001 Project Eagle</t>
  </si>
  <si>
    <t>CNOW_7210$$$0000021307 Applied Solutions Mgmt</t>
  </si>
  <si>
    <t>L000013903</t>
  </si>
  <si>
    <t>L000013905</t>
  </si>
  <si>
    <t>L000005321</t>
  </si>
  <si>
    <t>FR8041722</t>
  </si>
  <si>
    <t>DFLTPGCOH_BF-C4_001190</t>
  </si>
  <si>
    <t>DFLTPGCOH_BF-J8_002075</t>
  </si>
  <si>
    <t>DFLTPGCOH_002098</t>
  </si>
  <si>
    <t>DFLTPGCOH_BS-02_002002</t>
  </si>
  <si>
    <t>DFLTPGCOH_BS-02_002047</t>
  </si>
  <si>
    <t>DFLTPGCOH_BF-BA_002097</t>
  </si>
  <si>
    <t>DFLTPGCOH_SDV-LR4_002097</t>
  </si>
  <si>
    <t>DFLTPGCOH_BF-LD_002097</t>
  </si>
  <si>
    <t>DFLTPGCOH_BS-02_002106</t>
  </si>
  <si>
    <t>DFLTPGCOH_BF-LY_002097</t>
  </si>
  <si>
    <t>DFLTPGCOH_BF-LL_002097</t>
  </si>
  <si>
    <t>DFLTPGCOH_002085</t>
  </si>
  <si>
    <t>DFLTPGCOH_002047</t>
  </si>
  <si>
    <t>DFLTPGCOH_002072</t>
  </si>
  <si>
    <t>DFLTPGCOH_002075</t>
  </si>
  <si>
    <t>DFLTPGCOH_002097</t>
  </si>
  <si>
    <t>DFLTPGCOH_002106</t>
  </si>
  <si>
    <t>DFLTPGCOH_002108</t>
  </si>
  <si>
    <t>DFLTPGCOH_002104</t>
  </si>
  <si>
    <t>DFLTPGCOH_MISSING_NODES</t>
  </si>
  <si>
    <t>L000013623</t>
  </si>
  <si>
    <t>L000011321</t>
  </si>
  <si>
    <t>L000005312</t>
  </si>
  <si>
    <t>X</t>
  </si>
  <si>
    <t>STANDARD</t>
  </si>
  <si>
    <t>Standard</t>
  </si>
  <si>
    <t>FR8049358</t>
  </si>
  <si>
    <t>D00134300000000 EUV Rinse G5 – Samsung SF1.4</t>
  </si>
  <si>
    <t>D00134400000000 EUV Rinse G5 – Intel A14</t>
  </si>
  <si>
    <t>D00134000000000 PFAS-free KrF Resist</t>
  </si>
  <si>
    <t>D00134100000000 EUV Rinse G5 – Micron 180s</t>
  </si>
  <si>
    <t>D00133900000000 PFAS-free i-line Resists</t>
  </si>
  <si>
    <t>D00134700000000 FZero Sensitizer tBuDHN</t>
  </si>
  <si>
    <t>D00134200000000 EUV Rinse G5 – SK Hynix D1d</t>
  </si>
  <si>
    <t>H000004863</t>
  </si>
  <si>
    <t>H000004864</t>
  </si>
  <si>
    <t>H000004865</t>
  </si>
  <si>
    <t>CLFF_1000$$$DE04OF1000 R&amp;D Europe GoGlobal Trainee</t>
  </si>
  <si>
    <t>CLFF_1000$$$DE01OF0304 PM-OES Supply Chain 4.0</t>
  </si>
  <si>
    <t>CLFF_1000$$$TW02TPTA14 PM-OES Supply Chain 4.0</t>
  </si>
  <si>
    <t>FR8056007</t>
  </si>
  <si>
    <t>P000000411</t>
  </si>
  <si>
    <t>CFLTFLE_2152IMIPEVOL01</t>
  </si>
  <si>
    <t>CFLTFLE_2152IMIPPCRD01</t>
  </si>
  <si>
    <t>DE04OF1000</t>
  </si>
  <si>
    <t>DE01OF0304</t>
  </si>
  <si>
    <t>TW02TPTA14</t>
  </si>
  <si>
    <t>to be done for 2026 as well</t>
  </si>
  <si>
    <t>CORAERP_MMOR1975.6201 GENM - CELL THERAPY BIOP. R&amp;D</t>
  </si>
  <si>
    <t>CTEMPLA_1000BR10000003 Downstream Marketing Brazil</t>
  </si>
  <si>
    <t>CTEMPEU_1000AT40MS0012 PS Downstream Aseptic for personell cost</t>
  </si>
  <si>
    <t>FR8060405</t>
  </si>
  <si>
    <t>L000013511</t>
  </si>
  <si>
    <t>L000013912</t>
  </si>
  <si>
    <t>L000013914</t>
  </si>
  <si>
    <t>L000013913</t>
  </si>
  <si>
    <t>L000006647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</si>
</sst>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164" formatCode="_(&quot;$&quot;* #,##0_);_(&quot;$&quot;* \(#,##0\);_(&quot;$&quot;* &quot;-&quot;_);_(@_)"/>
    <numFmt numFmtId="165" formatCode="_(* #,##0_);_(* \(#,##0\);_(* &quot;-&quot;_);_(@_)"/>
    <numFmt numFmtId="166" formatCode="_(&quot;$&quot;* #,##0.00_);_(&quot;$&quot;* \(#,##0.00\);_(&quot;$&quot;* &quot;-&quot;??_);_(@_)"/>
    <numFmt numFmtId="167" formatCode="_(* #,##0.00_);_(* \(#,##0.00\);_(* &quot;-&quot;??_);_(@_)"/>
    <numFmt numFmtId="168" formatCode="_(&quot;₱&quot;* #,##0_);_(&quot;₱&quot;* \(#,##0\);_(&quot;₱&quot;* &quot;-&quot;_);_(@_)"/>
    <numFmt numFmtId="169" formatCode="_(&quot;₱&quot;* #,##0.00_);_(&quot;₱&quot;* \(#,##0.00\);_(&quot;₱&quot;* &quot;-&quot;??_);_(@_)"/>
    <numFmt numFmtId="170" formatCode="_ * #,##0.00_ ;_ * \-#,##0.00_ ;_ * &quot;-&quot;??_ ;_ @_ "/>
    <numFmt numFmtId="171" formatCode="[$-F400]h:mm:ss\ AM/PM"/>
    <numFmt numFmtId="172" formatCode="m/d/yyyy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</fills>
  <borders count="17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08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71" fontId="16" fillId="0" borderId="0">
      <alignment vertical="center"/>
    </xf>
    <xf numFmtId="170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9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9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167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166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</cellStyleXfs>
  <cellXfs count="179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24" fillId="0" borderId="0" xfId="0" applyFo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Alignme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vertical="center" wrapTex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7" borderId="16" xfId="0" applyFont="1" applyFill="1" applyBorder="1"/>
    <xf numFmtId="14" fontId="0" fillId="0" borderId="0" xfId="0" applyNumberFormat="1"/>
    <xf numFmtId="172" fontId="0" fillId="0" borderId="0" xfId="0" applyNumberFormat="1"/>
  </cellXfs>
  <cellStyles count="108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1">
    <dxf>
      <numFmt numFmtId="0" formatCode="General"/>
    </dxf>
    <dxf>
      <numFmt numFmtId="172" formatCode="m/d/yyyy"/>
    </dxf>
    <dxf>
      <numFmt numFmtId="2" formatCode="0.00"/>
    </dxf>
    <dxf>
      <numFmt numFmtId="172" formatCode="m/d/yyyy"/>
    </dxf>
    <dxf>
      <numFmt numFmtId="172" formatCode="m/d/yyyy"/>
    </dxf>
    <dxf>
      <numFmt numFmtId="172" formatCode="m/d/yyyy"/>
    </dxf>
    <dxf>
      <numFmt numFmtId="172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1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6003.839486574077" createdVersion="7" refreshedVersion="7" minRefreshableVersion="3" recordCount="5107" xr:uid="{11839AE3-6158-4318-87AD-2C711D0BF451}">
  <cacheSource type="worksheet">
    <worksheetSource name="Proc"/>
  </cacheSource>
  <cacheFields count="19">
    <cacheField name="App" numFmtId="0">
      <sharedItems containsBlank="1" count="1648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s v="FR7705866"/>
        <s v="FR7705980"/>
        <s v="FR7721947"/>
        <s v="FR7735014"/>
        <s v="FR7742424"/>
        <s v="FR7743836"/>
        <s v="FR7743953"/>
        <s v="FR7754101"/>
        <s v="FR7761858"/>
        <s v="FR7774847"/>
        <s v="FR7775027"/>
        <s v="FR7778538"/>
        <s v="FR7781427"/>
        <s v="FR7785982"/>
        <s v="FR7804042"/>
        <s v="FR7811994"/>
        <s v="FR7812109"/>
        <s v="FR7823194"/>
        <s v="FR7823548"/>
        <s v="FR7823579"/>
        <s v="FR7825748"/>
        <s v="FR7831957"/>
        <s v="FR7837035"/>
        <s v="FR7837365"/>
        <s v="FR7849069"/>
        <s v="FR7872002"/>
        <s v="FR7869671"/>
        <s v="FR7873614"/>
        <s v="FR7873509"/>
        <s v="FR7876275"/>
        <s v="FR7886476"/>
        <s v="FR7886442"/>
        <s v="FR7884815"/>
        <s v="FR7881587"/>
        <s v="FR7891441"/>
        <s v="FR7896046"/>
        <s v="FR7896681"/>
        <s v="FR7902593"/>
        <s v="FR7902814"/>
        <s v="FR7905416"/>
        <s v="FR7905527"/>
        <s v="FR7907863"/>
        <s v="FR7897475"/>
        <s v="FR7916831"/>
        <s v="FR7916819"/>
        <s v="FR7916805"/>
        <s v="FR7930721"/>
        <s v="FR7929886"/>
        <s v="FR7933262"/>
        <s v="FR7941951"/>
        <s v="FR7943141"/>
        <s v="FR7944249"/>
        <s v="FR7955415"/>
        <s v="FR7953877"/>
        <s v="FR7958459"/>
        <s v="FR7967809"/>
        <s v="FR7968675"/>
        <s v="FR7968701"/>
        <s v="FR7968788"/>
        <s v="FR7969110"/>
        <s v="FR7970870"/>
        <s v="FR7973160"/>
        <s v="FR7973237"/>
        <s v="FR7973245"/>
        <s v="FR7973246"/>
        <s v="FR7973251"/>
        <s v="FR7973258"/>
        <s v="FR7973269"/>
        <s v="FR7973273"/>
        <s v="FR7973277"/>
        <s v="FR7973286"/>
        <s v="FR7973453"/>
        <s v="FR7978263"/>
        <s v="FR7983976"/>
        <s v="FR7989462"/>
        <s v="FR7989325"/>
        <s v="FR7992012"/>
        <s v="FR7992225"/>
        <s v="FR7993071"/>
        <s v="FR7997264"/>
        <s v="FR7996906"/>
        <s v="FR7998841"/>
        <s v="FR8003528"/>
        <s v="FR8006226"/>
        <s v="FR8012274"/>
        <s v="FR8015451"/>
        <s v="FR8017544"/>
        <s v="FR8025328"/>
        <s v="FR8025270"/>
        <s v="FR8022798"/>
        <s v="FR8026215"/>
        <s v="FR8031573"/>
        <s v="FR8032594"/>
        <s v="FR8035473"/>
        <s v="FR8035432"/>
        <s v="FR8039212"/>
        <s v="FR8041482"/>
        <s v="FR8025258"/>
        <s v="FR8041722"/>
        <s v="FR8049358"/>
        <s v="FR8056007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11">
        <s v="MGF"/>
        <s v="HC"/>
        <s v="LS"/>
        <s v="EL"/>
        <s v="LS?"/>
        <s v="???"/>
        <s v="Healthcare" u="1"/>
        <s v="Life Science" u="1"/>
        <s v="Electronics" u="1"/>
        <e v="#N/A" u="1"/>
        <s v="No known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14">
      <sharedItems containsSemiMixedTypes="0" containsNonDate="0" containsDate="1" containsString="0" minDate="2023-09-01T00:00:00" maxDate="2025-12-13T00:00:00"/>
    </cacheField>
    <cacheField name="DateMapped" numFmtId="14">
      <sharedItems containsNonDate="0" containsDate="1" containsString="0" containsBlank="1" minDate="2023-09-01T00:00:00" maxDate="2025-07-04T00:00:00"/>
    </cacheField>
    <cacheField name="DateClosed" numFmtId="14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255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107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255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230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230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230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230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230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230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230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230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230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230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230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226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223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223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223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223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223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223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223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223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223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223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223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223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223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223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223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223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223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223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223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223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223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223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223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223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223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223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223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223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223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223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223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223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223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223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223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223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223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223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223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223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223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222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222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222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222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222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222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222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222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222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222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222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222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222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222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222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222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222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222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222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222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222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222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222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222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222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222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222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222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222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222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222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222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222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222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222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222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222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222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222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222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222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222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222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222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222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222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222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222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222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222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222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222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222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222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222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222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222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222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222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221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221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221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221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221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220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220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218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218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217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214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214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214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214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214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214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214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214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214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214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214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214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214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214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214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214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214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214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214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214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214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213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213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213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213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213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208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208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208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203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203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203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203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203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203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203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203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203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203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203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203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203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203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203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203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203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203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199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199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199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194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193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193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193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193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193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193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193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193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193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193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193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193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179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179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178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178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178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168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153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153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153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153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153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153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153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153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153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153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153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153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153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153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153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153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153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153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153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153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150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150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150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150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149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149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149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149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149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149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149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149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149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149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149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149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149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149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149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149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149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149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149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149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149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149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149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149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149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149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149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149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149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149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148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148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148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148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148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148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148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148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148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148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148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148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148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148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148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148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148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148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144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144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144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144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144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144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144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144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144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144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144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144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144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144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144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144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144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144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144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144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144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144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144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144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144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144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144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144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144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144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144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144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144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144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144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144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144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144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144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144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144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144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144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144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144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144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144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144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144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144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144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144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144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144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144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144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144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144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144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144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144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144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144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144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144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144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144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144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144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144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144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144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144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144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144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144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144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144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144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144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144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144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144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144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144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144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144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144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144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144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144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144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138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138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133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133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128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128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128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128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128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128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128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128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128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128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128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128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128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128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128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128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128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128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128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128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128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128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128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128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128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128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128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128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128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128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128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128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128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128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128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128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128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128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128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128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128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128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128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128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128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128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128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128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128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128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128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128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128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128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128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128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128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128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128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128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128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128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128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128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128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128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128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128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128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128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128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128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128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128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128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128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128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128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128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128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128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128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128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128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128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128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128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128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128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128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128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128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128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128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128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128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128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128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128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128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128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128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128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128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128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125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125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125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125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126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123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123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0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118"/>
    <s v="Jay-R Lizardo"/>
    <m/>
  </r>
  <r>
    <x v="272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118"/>
    <s v="Jay-R Lizardo"/>
    <m/>
  </r>
  <r>
    <x v="272"/>
    <x v="0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118"/>
    <s v="Jay-R Lizardo"/>
    <m/>
  </r>
  <r>
    <x v="272"/>
    <x v="0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118"/>
    <s v="Jay-R Lizardo"/>
    <m/>
  </r>
  <r>
    <x v="272"/>
    <x v="0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118"/>
    <s v="Jay-R Lizardo"/>
    <m/>
  </r>
  <r>
    <x v="272"/>
    <x v="0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118"/>
    <s v="Jay-R Lizardo"/>
    <m/>
  </r>
  <r>
    <x v="272"/>
    <x v="0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118"/>
    <s v="Jay-R Lizardo"/>
    <m/>
  </r>
  <r>
    <x v="272"/>
    <x v="0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118"/>
    <s v="Jay-R Lizardo"/>
    <m/>
  </r>
  <r>
    <x v="272"/>
    <x v="0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118"/>
    <s v="Jay-R Lizardo"/>
    <m/>
  </r>
  <r>
    <x v="272"/>
    <x v="0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118"/>
    <s v="Jay-R Lizardo"/>
    <m/>
  </r>
  <r>
    <x v="272"/>
    <x v="0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118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116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116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116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116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116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116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116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116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116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116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116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116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116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116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116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116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116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116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116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116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116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116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116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116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116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114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114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114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114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114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114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114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114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114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114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113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113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113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112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112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112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112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112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112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111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111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109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108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108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108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107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107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107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105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105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105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105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105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105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105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102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102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102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102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102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102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102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102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102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102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102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102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102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102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102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102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102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102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102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102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102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102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102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102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102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102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102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102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102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101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101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99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99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99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99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99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99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99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99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99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99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97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97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97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97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97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97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97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97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96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96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96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96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96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96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96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96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96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96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96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96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96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96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96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96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96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94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93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93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93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93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93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93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93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93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93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93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93"/>
    <s v="Ruby Grace Garcia"/>
    <m/>
  </r>
  <r>
    <x v="315"/>
    <x v="0"/>
    <x v="2"/>
    <s v="CITR_1000$$$HU161025"/>
    <s v="G000000726"/>
    <s v="G000000726"/>
    <s v="Non-LFF"/>
    <s v=""/>
    <m/>
    <b v="1"/>
    <x v="0"/>
    <x v="3"/>
    <d v="2025-08-05T00:00:00"/>
    <m/>
    <m/>
    <x v="1"/>
    <n v="93"/>
    <s v="Jay-R Lizardo"/>
    <m/>
  </r>
  <r>
    <x v="315"/>
    <x v="0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93"/>
    <s v="Jay-R Lizardo"/>
    <m/>
  </r>
  <r>
    <x v="315"/>
    <x v="0"/>
    <x v="2"/>
    <s v="CEMERAL_70007001993006"/>
    <s v="G000000726"/>
    <s v="G000000726"/>
    <s v="Non-LFF"/>
    <s v=""/>
    <m/>
    <b v="1"/>
    <x v="0"/>
    <x v="3"/>
    <d v="2025-08-05T00:00:00"/>
    <m/>
    <m/>
    <x v="1"/>
    <n v="93"/>
    <s v="Jay-R Lizardo"/>
    <m/>
  </r>
  <r>
    <x v="315"/>
    <x v="0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93"/>
    <s v="Jay-R Lizardo"/>
    <m/>
  </r>
  <r>
    <x v="315"/>
    <x v="0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93"/>
    <s v="Jay-R Lizardo"/>
    <m/>
  </r>
  <r>
    <x v="315"/>
    <x v="0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93"/>
    <s v="Jay-R Lizardo"/>
    <m/>
  </r>
  <r>
    <x v="315"/>
    <x v="0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93"/>
    <s v="Jay-R Lizardo"/>
    <m/>
  </r>
  <r>
    <x v="315"/>
    <x v="0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93"/>
    <s v="Jay-R Lizardo"/>
    <m/>
  </r>
  <r>
    <x v="315"/>
    <x v="0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93"/>
    <s v="Jay-R Lizardo"/>
    <m/>
  </r>
  <r>
    <x v="315"/>
    <x v="0"/>
    <x v="2"/>
    <s v="CTEMPEU_1000GB10GMP070"/>
    <s v="G000001381"/>
    <s v="G000001381"/>
    <s v="Non-LFF"/>
    <s v=""/>
    <m/>
    <b v="1"/>
    <x v="0"/>
    <x v="3"/>
    <d v="2025-08-05T00:00:00"/>
    <m/>
    <m/>
    <x v="1"/>
    <n v="93"/>
    <s v="Jay-R Lizardo"/>
    <m/>
  </r>
  <r>
    <x v="315"/>
    <x v="0"/>
    <x v="2"/>
    <s v="CTEMPEU_1000GB10005657"/>
    <s v="G000001400"/>
    <s v="G000001400"/>
    <s v="Non-LFF"/>
    <s v=""/>
    <m/>
    <b v="1"/>
    <x v="0"/>
    <x v="3"/>
    <d v="2025-08-05T00:00:00"/>
    <m/>
    <m/>
    <x v="1"/>
    <n v="93"/>
    <s v="Jay-R Lizardo"/>
    <m/>
  </r>
  <r>
    <x v="315"/>
    <x v="0"/>
    <x v="2"/>
    <s v="CTEMPEU_1000GB10005920"/>
    <s v="G000001118"/>
    <s v="G000001118"/>
    <s v="Non-LFF"/>
    <s v=""/>
    <m/>
    <b v="1"/>
    <x v="0"/>
    <x v="3"/>
    <d v="2025-08-05T00:00:00"/>
    <m/>
    <m/>
    <x v="1"/>
    <n v="93"/>
    <s v="Jay-R Lizardo"/>
    <m/>
  </r>
  <r>
    <x v="315"/>
    <x v="0"/>
    <x v="2"/>
    <s v="CTEMPEU_1000GB10005645"/>
    <s v="G000001398"/>
    <s v="G000001398"/>
    <s v="Non-LFF"/>
    <s v=""/>
    <m/>
    <b v="1"/>
    <x v="0"/>
    <x v="3"/>
    <d v="2025-08-05T00:00:00"/>
    <m/>
    <m/>
    <x v="1"/>
    <n v="93"/>
    <s v="Jay-R Lizardo"/>
    <m/>
  </r>
  <r>
    <x v="315"/>
    <x v="0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93"/>
    <s v="Jay-R Lizardo"/>
    <m/>
  </r>
  <r>
    <x v="315"/>
    <x v="0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93"/>
    <s v="Jay-R Lizardo"/>
    <m/>
  </r>
  <r>
    <x v="315"/>
    <x v="0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93"/>
    <s v="Jay-R Lizardo"/>
    <m/>
  </r>
  <r>
    <x v="315"/>
    <x v="0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93"/>
    <s v="Jay-R Lizardo"/>
    <m/>
  </r>
  <r>
    <x v="315"/>
    <x v="0"/>
    <x v="2"/>
    <s v="CTEMPLA_1000BR10501160"/>
    <s v="L000013393"/>
    <s v="L000013393"/>
    <s v="Non-LFF"/>
    <s v=""/>
    <m/>
    <b v="1"/>
    <x v="0"/>
    <x v="3"/>
    <d v="2025-08-05T00:00:00"/>
    <m/>
    <m/>
    <x v="1"/>
    <n v="93"/>
    <s v="Jay-R Lizardo"/>
    <m/>
  </r>
  <r>
    <x v="315"/>
    <x v="0"/>
    <x v="2"/>
    <s v="CTEMPLA_1000BR10501150"/>
    <s v="L000013393"/>
    <s v="L000013393"/>
    <s v="Non-LFF"/>
    <s v=""/>
    <m/>
    <b v="1"/>
    <x v="0"/>
    <x v="3"/>
    <d v="2025-08-05T00:00:00"/>
    <m/>
    <m/>
    <x v="1"/>
    <n v="93"/>
    <s v="Jay-R Lizardo"/>
    <m/>
  </r>
  <r>
    <x v="315"/>
    <x v="0"/>
    <x v="2"/>
    <s v="CTEMPEU_1000PL80GBTL13"/>
    <s v="G000001398"/>
    <s v="G000001398"/>
    <s v="Non-LFF"/>
    <s v=""/>
    <m/>
    <b v="1"/>
    <x v="0"/>
    <x v="3"/>
    <d v="2025-08-05T00:00:00"/>
    <m/>
    <m/>
    <x v="1"/>
    <n v="93"/>
    <s v="Jay-R Lizardo"/>
    <m/>
  </r>
  <r>
    <x v="315"/>
    <x v="0"/>
    <x v="2"/>
    <s v="CTEMPEU_1000PL80GHR227"/>
    <s v="G000001387"/>
    <s v="G000001387"/>
    <s v="Non-LFF"/>
    <s v=""/>
    <m/>
    <b v="1"/>
    <x v="0"/>
    <x v="3"/>
    <d v="2025-08-05T00:00:00"/>
    <m/>
    <m/>
    <x v="1"/>
    <n v="93"/>
    <s v="Jay-R Lizardo"/>
    <m/>
  </r>
  <r>
    <x v="315"/>
    <x v="0"/>
    <x v="2"/>
    <s v="CTEMPEU_1000PL80GFO045"/>
    <s v="G000001420"/>
    <s v="G000001420"/>
    <s v="Non-LFF"/>
    <s v=""/>
    <m/>
    <b v="1"/>
    <x v="0"/>
    <x v="3"/>
    <d v="2025-08-05T00:00:00"/>
    <m/>
    <m/>
    <x v="1"/>
    <n v="93"/>
    <s v="Jay-R Lizardo"/>
    <m/>
  </r>
  <r>
    <x v="315"/>
    <x v="0"/>
    <x v="2"/>
    <s v="CTEMPEU_1000PL80GFO025"/>
    <s v="G000001387"/>
    <s v="G000001387"/>
    <s v="Non-LFF"/>
    <s v=""/>
    <m/>
    <b v="1"/>
    <x v="0"/>
    <x v="3"/>
    <d v="2025-08-05T00:00:00"/>
    <m/>
    <m/>
    <x v="1"/>
    <n v="93"/>
    <s v="Jay-R Lizardo"/>
    <m/>
  </r>
  <r>
    <x v="315"/>
    <x v="0"/>
    <x v="2"/>
    <s v="CTEMPEU_1000PL80GFO023"/>
    <s v="G000001421"/>
    <s v="G000001421"/>
    <s v="Non-LFF"/>
    <s v=""/>
    <m/>
    <b v="1"/>
    <x v="0"/>
    <x v="3"/>
    <d v="2025-08-05T00:00:00"/>
    <m/>
    <m/>
    <x v="1"/>
    <n v="93"/>
    <s v="Jay-R Lizardo"/>
    <m/>
  </r>
  <r>
    <x v="315"/>
    <x v="0"/>
    <x v="2"/>
    <s v="CTEMPEU_1000PL80GHR221"/>
    <s v="G000001420"/>
    <s v="G000001420"/>
    <s v="Non-LFF"/>
    <s v=""/>
    <m/>
    <b v="1"/>
    <x v="0"/>
    <x v="3"/>
    <d v="2025-08-05T00:00:00"/>
    <m/>
    <m/>
    <x v="1"/>
    <n v="93"/>
    <s v="Jay-R Lizardo"/>
    <m/>
  </r>
  <r>
    <x v="315"/>
    <x v="0"/>
    <x v="2"/>
    <s v="CTEMPEU_1000PL80GBTE05"/>
    <s v="P000000765"/>
    <s v="P000000765"/>
    <s v="Non-LFF"/>
    <s v=""/>
    <m/>
    <b v="1"/>
    <x v="0"/>
    <x v="3"/>
    <d v="2025-08-05T00:00:00"/>
    <m/>
    <m/>
    <x v="1"/>
    <n v="93"/>
    <s v="Jay-R Lizardo"/>
    <m/>
  </r>
  <r>
    <x v="315"/>
    <x v="0"/>
    <x v="2"/>
    <s v="CTEMPEU_1000PL80GMS040"/>
    <s v="G000001420"/>
    <s v="G000001420"/>
    <s v="Non-LFF"/>
    <s v=""/>
    <m/>
    <b v="1"/>
    <x v="0"/>
    <x v="3"/>
    <d v="2025-08-05T00:00:00"/>
    <m/>
    <m/>
    <x v="1"/>
    <n v="93"/>
    <s v="Jay-R Lizardo"/>
    <m/>
  </r>
  <r>
    <x v="315"/>
    <x v="0"/>
    <x v="2"/>
    <s v="CTEMPEU_1000PL80GHR233"/>
    <s v="G000001388"/>
    <s v="G000001388"/>
    <s v="Non-LFF"/>
    <s v=""/>
    <m/>
    <b v="1"/>
    <x v="0"/>
    <x v="3"/>
    <d v="2025-08-05T00:00:00"/>
    <m/>
    <m/>
    <x v="1"/>
    <n v="93"/>
    <s v="Jay-R Lizardo"/>
    <m/>
  </r>
  <r>
    <x v="315"/>
    <x v="0"/>
    <x v="2"/>
    <s v="CTEMPEU_1000PL80GHR232"/>
    <s v="G000001395"/>
    <s v="G000001395"/>
    <s v="Non-LFF"/>
    <s v=""/>
    <m/>
    <b v="1"/>
    <x v="0"/>
    <x v="3"/>
    <d v="2025-08-05T00:00:00"/>
    <m/>
    <m/>
    <x v="1"/>
    <n v="93"/>
    <s v="Jay-R Lizardo"/>
    <m/>
  </r>
  <r>
    <x v="315"/>
    <x v="0"/>
    <x v="2"/>
    <s v="CTEMPNA_1000PH80GFO12A"/>
    <s v="G000001393"/>
    <s v="G000001393"/>
    <s v="Non-LFF"/>
    <s v=""/>
    <m/>
    <b v="1"/>
    <x v="0"/>
    <x v="3"/>
    <d v="2025-08-05T00:00:00"/>
    <m/>
    <m/>
    <x v="1"/>
    <n v="93"/>
    <s v="Jay-R Lizardo"/>
    <m/>
  </r>
  <r>
    <x v="315"/>
    <x v="0"/>
    <x v="2"/>
    <s v="CTEMPNA_1000PH80GFO047"/>
    <s v="G000001421"/>
    <s v="G000001421"/>
    <s v="Non-LFF"/>
    <s v=""/>
    <m/>
    <b v="1"/>
    <x v="0"/>
    <x v="3"/>
    <d v="2025-08-05T00:00:00"/>
    <m/>
    <m/>
    <x v="1"/>
    <n v="93"/>
    <s v="Jay-R Lizardo"/>
    <m/>
  </r>
  <r>
    <x v="315"/>
    <x v="0"/>
    <x v="2"/>
    <s v="CTEMPNA_1000PH80YIT002"/>
    <s v="G000001395"/>
    <s v="G000001395"/>
    <s v="Non-LFF"/>
    <s v=""/>
    <m/>
    <b v="1"/>
    <x v="0"/>
    <x v="3"/>
    <d v="2025-08-05T00:00:00"/>
    <m/>
    <m/>
    <x v="1"/>
    <n v="93"/>
    <s v="Jay-R Lizardo"/>
    <m/>
  </r>
  <r>
    <x v="315"/>
    <x v="0"/>
    <x v="2"/>
    <s v="CTEMPNA_1000PH80GFO025"/>
    <s v="G000001420"/>
    <s v="G000001420"/>
    <s v="Non-LFF"/>
    <s v=""/>
    <m/>
    <b v="1"/>
    <x v="0"/>
    <x v="3"/>
    <d v="2025-08-05T00:00:00"/>
    <m/>
    <m/>
    <x v="1"/>
    <n v="93"/>
    <s v="Jay-R Lizardo"/>
    <m/>
  </r>
  <r>
    <x v="315"/>
    <x v="0"/>
    <x v="2"/>
    <s v="CTEMPNA_1000PH80PH80YI"/>
    <s v="G000001394"/>
    <s v="G000001394"/>
    <s v="Non-LFF"/>
    <s v=""/>
    <m/>
    <b v="1"/>
    <x v="0"/>
    <x v="3"/>
    <d v="2025-08-05T00:00:00"/>
    <m/>
    <m/>
    <x v="1"/>
    <n v="93"/>
    <s v="Jay-R Lizardo"/>
    <m/>
  </r>
  <r>
    <x v="315"/>
    <x v="0"/>
    <x v="2"/>
    <s v="CTEMPNA_1000PH80GBTL55"/>
    <s v="G000000243"/>
    <s v="G000000243"/>
    <s v="Non-LFF"/>
    <s v=""/>
    <m/>
    <b v="1"/>
    <x v="0"/>
    <x v="3"/>
    <d v="2025-08-05T00:00:00"/>
    <m/>
    <m/>
    <x v="1"/>
    <n v="93"/>
    <s v="Jay-R Lizardo"/>
    <m/>
  </r>
  <r>
    <x v="315"/>
    <x v="0"/>
    <x v="2"/>
    <s v="CTEMPNA_1000PH80GFO120"/>
    <s v="G000001420"/>
    <s v="G000001420"/>
    <s v="Non-LFF"/>
    <s v=""/>
    <m/>
    <b v="1"/>
    <x v="0"/>
    <x v="3"/>
    <d v="2025-08-05T00:00:00"/>
    <m/>
    <m/>
    <x v="1"/>
    <n v="93"/>
    <s v="Jay-R Lizardo"/>
    <m/>
  </r>
  <r>
    <x v="315"/>
    <x v="0"/>
    <x v="2"/>
    <s v="CTEMPNA_1000PH80GFO043"/>
    <s v="G000001387"/>
    <s v="G000001387"/>
    <s v="Non-LFF"/>
    <s v=""/>
    <m/>
    <b v="1"/>
    <x v="0"/>
    <x v="3"/>
    <d v="2025-08-05T00:00:00"/>
    <m/>
    <m/>
    <x v="1"/>
    <n v="93"/>
    <s v="Jay-R Lizardo"/>
    <m/>
  </r>
  <r>
    <x v="315"/>
    <x v="0"/>
    <x v="2"/>
    <s v="CTEMPNA_1000PH80GFO123"/>
    <s v="G000001387"/>
    <s v="G000001387"/>
    <s v="Non-LFF"/>
    <s v=""/>
    <m/>
    <b v="1"/>
    <x v="0"/>
    <x v="3"/>
    <d v="2025-08-05T00:00:00"/>
    <m/>
    <m/>
    <x v="1"/>
    <n v="93"/>
    <s v="Jay-R Lizardo"/>
    <m/>
  </r>
  <r>
    <x v="315"/>
    <x v="0"/>
    <x v="2"/>
    <s v="CTEMPLA_1000CO10100136"/>
    <s v="G000001410"/>
    <s v="G000001410"/>
    <s v="Non-LFF"/>
    <s v=""/>
    <m/>
    <b v="1"/>
    <x v="0"/>
    <x v="3"/>
    <d v="2025-08-05T00:00:00"/>
    <m/>
    <m/>
    <x v="1"/>
    <n v="93"/>
    <s v="Jay-R Lizardo"/>
    <m/>
  </r>
  <r>
    <x v="315"/>
    <x v="0"/>
    <x v="2"/>
    <s v="CTEMPLA_1000CO10100187"/>
    <s v="G000001395"/>
    <s v="G000001395"/>
    <s v="Non-LFF"/>
    <s v=""/>
    <m/>
    <b v="1"/>
    <x v="0"/>
    <x v="3"/>
    <d v="2025-08-05T00:00:00"/>
    <m/>
    <m/>
    <x v="1"/>
    <n v="93"/>
    <s v="Jay-R Lizardo"/>
    <m/>
  </r>
  <r>
    <x v="315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93"/>
    <s v="Jay-R Lizardo"/>
    <m/>
  </r>
  <r>
    <x v="315"/>
    <x v="0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93"/>
    <s v="Jay-R Lizardo"/>
    <m/>
  </r>
  <r>
    <x v="315"/>
    <x v="0"/>
    <x v="2"/>
    <s v="CEMERAL_70006502ID6502"/>
    <s v="G000001387"/>
    <s v="G000001387"/>
    <s v="Non-LFF"/>
    <s v=""/>
    <m/>
    <b v="1"/>
    <x v="0"/>
    <x v="3"/>
    <d v="2025-08-05T00:00:00"/>
    <m/>
    <m/>
    <x v="1"/>
    <n v="93"/>
    <s v="Jay-R Lizardo"/>
    <m/>
  </r>
  <r>
    <x v="315"/>
    <x v="0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93"/>
    <s v="Jay-R Lizardo"/>
    <m/>
  </r>
  <r>
    <x v="315"/>
    <x v="0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93"/>
    <s v="Jay-R Lizardo"/>
    <m/>
  </r>
  <r>
    <x v="315"/>
    <x v="0"/>
    <x v="2"/>
    <s v="CEMERAL_70007102318366"/>
    <s v="G000001398"/>
    <s v="G000001398"/>
    <s v="Non-LFF"/>
    <s v=""/>
    <m/>
    <b v="1"/>
    <x v="0"/>
    <x v="3"/>
    <d v="2025-08-05T00:00:00"/>
    <m/>
    <m/>
    <x v="1"/>
    <n v="93"/>
    <s v="Jay-R Lizardo"/>
    <m/>
  </r>
  <r>
    <x v="315"/>
    <x v="0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93"/>
    <s v="Jay-R Lizardo"/>
    <m/>
  </r>
  <r>
    <x v="315"/>
    <x v="0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93"/>
    <s v="Jay-R Lizardo"/>
    <m/>
  </r>
  <r>
    <x v="315"/>
    <x v="0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93"/>
    <s v="Jay-R Lizardo"/>
    <m/>
  </r>
  <r>
    <x v="315"/>
    <x v="0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93"/>
    <s v="Jay-R Lizardo"/>
    <m/>
  </r>
  <r>
    <x v="315"/>
    <x v="0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93"/>
    <s v="Jay-R Lizardo"/>
    <m/>
  </r>
  <r>
    <x v="315"/>
    <x v="0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93"/>
    <s v="Jay-R Lizardo"/>
    <m/>
  </r>
  <r>
    <x v="315"/>
    <x v="0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93"/>
    <s v="Jay-R Lizardo"/>
    <m/>
  </r>
  <r>
    <x v="315"/>
    <x v="0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93"/>
    <s v="Jay-R Lizardo"/>
    <m/>
  </r>
  <r>
    <x v="315"/>
    <x v="0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93"/>
    <s v="Jay-R Lizardo"/>
    <m/>
  </r>
  <r>
    <x v="315"/>
    <x v="0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93"/>
    <s v="Jay-R Lizardo"/>
    <m/>
  </r>
  <r>
    <x v="315"/>
    <x v="0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93"/>
    <s v="Jay-R Lizardo"/>
    <m/>
  </r>
  <r>
    <x v="315"/>
    <x v="0"/>
    <x v="2"/>
    <s v="CLFF_1000$$$DE10685700"/>
    <s v="P000000765"/>
    <s v="P000000765"/>
    <s v="LFF (MDG-F)"/>
    <s v="DE10685700"/>
    <s v="Unavailable; to do later"/>
    <b v="1"/>
    <x v="0"/>
    <x v="3"/>
    <d v="2025-08-05T00:00:00"/>
    <m/>
    <m/>
    <x v="1"/>
    <n v="93"/>
    <s v="Jay-R Lizardo"/>
    <m/>
  </r>
  <r>
    <x v="315"/>
    <x v="0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93"/>
    <s v="Jay-R Lizardo"/>
    <m/>
  </r>
  <r>
    <x v="315"/>
    <x v="0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93"/>
    <s v="Jay-R Lizardo"/>
    <m/>
  </r>
  <r>
    <x v="315"/>
    <x v="0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93"/>
    <s v="Jay-R Lizardo"/>
    <m/>
  </r>
  <r>
    <x v="315"/>
    <x v="0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93"/>
    <s v="Jay-R Lizardo"/>
    <m/>
  </r>
  <r>
    <x v="315"/>
    <x v="0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93"/>
    <s v="Jay-R Lizardo"/>
    <m/>
  </r>
  <r>
    <x v="315"/>
    <x v="0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93"/>
    <s v="Jay-R Lizardo"/>
    <m/>
  </r>
  <r>
    <x v="315"/>
    <x v="0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93"/>
    <s v="Jay-R Lizardo"/>
    <m/>
  </r>
  <r>
    <x v="315"/>
    <x v="0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93"/>
    <s v="Jay-R Lizardo"/>
    <m/>
  </r>
  <r>
    <x v="315"/>
    <x v="0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93"/>
    <s v="Jay-R Lizardo"/>
    <m/>
  </r>
  <r>
    <x v="315"/>
    <x v="0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93"/>
    <s v="Jay-R Lizardo"/>
    <m/>
  </r>
  <r>
    <x v="315"/>
    <x v="0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93"/>
    <s v="Jay-R Lizardo"/>
    <m/>
  </r>
  <r>
    <x v="315"/>
    <x v="0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93"/>
    <s v="Jay-R Lizardo"/>
    <m/>
  </r>
  <r>
    <x v="315"/>
    <x v="0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93"/>
    <s v="Jay-R Lizardo"/>
    <m/>
  </r>
  <r>
    <x v="315"/>
    <x v="0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93"/>
    <s v="Jay-R Lizardo"/>
    <m/>
  </r>
  <r>
    <x v="315"/>
    <x v="0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93"/>
    <s v="Jay-R Lizardo"/>
    <m/>
  </r>
  <r>
    <x v="315"/>
    <x v="0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93"/>
    <s v="Jay-R Lizardo"/>
    <m/>
  </r>
  <r>
    <x v="315"/>
    <x v="0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93"/>
    <s v="Jay-R Lizardo"/>
    <m/>
  </r>
  <r>
    <x v="315"/>
    <x v="0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93"/>
    <s v="Jay-R Lizardo"/>
    <m/>
  </r>
  <r>
    <x v="315"/>
    <x v="0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93"/>
    <s v="Jay-R Lizardo"/>
    <m/>
  </r>
  <r>
    <x v="315"/>
    <x v="0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93"/>
    <s v="Jay-R Lizardo"/>
    <m/>
  </r>
  <r>
    <x v="315"/>
    <x v="0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93"/>
    <s v="Jay-R Lizardo"/>
    <m/>
  </r>
  <r>
    <x v="315"/>
    <x v="0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93"/>
    <s v="Jay-R Lizardo"/>
    <m/>
  </r>
  <r>
    <x v="315"/>
    <x v="0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93"/>
    <s v="Jay-R Lizardo"/>
    <m/>
  </r>
  <r>
    <x v="315"/>
    <x v="0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93"/>
    <s v="Jay-R Lizardo"/>
    <m/>
  </r>
  <r>
    <x v="315"/>
    <x v="0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93"/>
    <s v="Jay-R Lizardo"/>
    <m/>
  </r>
  <r>
    <x v="315"/>
    <x v="0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93"/>
    <s v="Jay-R Lizardo"/>
    <m/>
  </r>
  <r>
    <x v="315"/>
    <x v="0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93"/>
    <s v="Jay-R Lizardo"/>
    <m/>
  </r>
  <r>
    <x v="315"/>
    <x v="0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93"/>
    <s v="Jay-R Lizardo"/>
    <m/>
  </r>
  <r>
    <x v="315"/>
    <x v="0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93"/>
    <s v="Jay-R Lizardo"/>
    <m/>
  </r>
  <r>
    <x v="315"/>
    <x v="0"/>
    <x v="2"/>
    <s v="CEMERAL_70006101AD1L16"/>
    <s v="G000000253"/>
    <s v="G000000253"/>
    <s v="Non-LFF"/>
    <s v=""/>
    <m/>
    <b v="1"/>
    <x v="0"/>
    <x v="3"/>
    <d v="2025-08-05T00:00:00"/>
    <m/>
    <m/>
    <x v="1"/>
    <n v="93"/>
    <s v="Jay-R Lizardo"/>
    <m/>
  </r>
  <r>
    <x v="315"/>
    <x v="0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93"/>
    <s v="Jay-R Lizardo"/>
    <m/>
  </r>
  <r>
    <x v="315"/>
    <x v="0"/>
    <x v="2"/>
    <s v="CITR_1000$$$IT17711152"/>
    <s v="G000001118"/>
    <s v="G000001118"/>
    <s v="Non-LFF"/>
    <s v=""/>
    <m/>
    <b v="1"/>
    <x v="0"/>
    <x v="3"/>
    <d v="2025-08-05T00:00:00"/>
    <m/>
    <m/>
    <x v="1"/>
    <n v="93"/>
    <s v="Jay-R Lizardo"/>
    <m/>
  </r>
  <r>
    <x v="315"/>
    <x v="0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93"/>
    <s v="Jay-R Lizardo"/>
    <m/>
  </r>
  <r>
    <x v="315"/>
    <x v="0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93"/>
    <s v="Jay-R Lizardo"/>
    <m/>
  </r>
  <r>
    <x v="315"/>
    <x v="0"/>
    <x v="2"/>
    <s v="CTEMPLA_1000UY10120022"/>
    <s v="L000013397"/>
    <s v="L000013397"/>
    <s v="Non-LFF"/>
    <s v=""/>
    <m/>
    <b v="1"/>
    <x v="0"/>
    <x v="3"/>
    <d v="2025-08-05T00:00:00"/>
    <m/>
    <m/>
    <x v="1"/>
    <n v="93"/>
    <s v="Jay-R Lizardo"/>
    <m/>
  </r>
  <r>
    <x v="315"/>
    <x v="0"/>
    <x v="2"/>
    <s v="CTEMPLA_1000UY10100040"/>
    <s v="G000001420"/>
    <s v="G000001420"/>
    <s v="Non-LFF"/>
    <s v=""/>
    <m/>
    <b v="1"/>
    <x v="0"/>
    <x v="3"/>
    <d v="2025-08-05T00:00:00"/>
    <m/>
    <m/>
    <x v="1"/>
    <n v="93"/>
    <s v="Jay-R Lizardo"/>
    <m/>
  </r>
  <r>
    <x v="315"/>
    <x v="0"/>
    <x v="2"/>
    <s v="CTEMPLA_1000UY10100037"/>
    <s v="G000001420"/>
    <s v="G000001420"/>
    <s v="Non-LFF"/>
    <s v=""/>
    <m/>
    <b v="1"/>
    <x v="0"/>
    <x v="3"/>
    <d v="2025-08-05T00:00:00"/>
    <m/>
    <m/>
    <x v="1"/>
    <n v="93"/>
    <s v="Jay-R Lizardo"/>
    <m/>
  </r>
  <r>
    <x v="315"/>
    <x v="0"/>
    <x v="2"/>
    <s v="CTEMPLA_1000UY10100021"/>
    <s v="G000001421"/>
    <s v="G000001421"/>
    <s v="Non-LFF"/>
    <s v=""/>
    <m/>
    <b v="1"/>
    <x v="0"/>
    <x v="3"/>
    <d v="2025-08-05T00:00:00"/>
    <m/>
    <m/>
    <x v="1"/>
    <n v="93"/>
    <s v="Jay-R Lizardo"/>
    <m/>
  </r>
  <r>
    <x v="315"/>
    <x v="0"/>
    <x v="2"/>
    <s v="CTEMPNA_1000US20CA8325"/>
    <s v="G000000253"/>
    <s v="G000000253"/>
    <s v="Non-LFF"/>
    <s v=""/>
    <m/>
    <b v="1"/>
    <x v="0"/>
    <x v="3"/>
    <d v="2025-08-05T00:00:00"/>
    <m/>
    <m/>
    <x v="1"/>
    <n v="93"/>
    <s v="Jay-R Lizardo"/>
    <m/>
  </r>
  <r>
    <x v="315"/>
    <x v="0"/>
    <x v="2"/>
    <s v="CTEMPNA_1000US20CA8340"/>
    <s v="G000001397"/>
    <s v="G000001397"/>
    <s v="Non-LFF"/>
    <s v=""/>
    <m/>
    <b v="1"/>
    <x v="0"/>
    <x v="3"/>
    <d v="2025-08-05T00:00:00"/>
    <m/>
    <m/>
    <x v="1"/>
    <n v="93"/>
    <s v="Jay-R Lizardo"/>
    <m/>
  </r>
  <r>
    <x v="315"/>
    <x v="0"/>
    <x v="2"/>
    <s v="CTEMPNA_1000US20CA8407"/>
    <s v="G000001387"/>
    <s v="G000001387"/>
    <s v="Non-LFF"/>
    <s v=""/>
    <m/>
    <b v="1"/>
    <x v="0"/>
    <x v="3"/>
    <d v="2025-08-05T00:00:00"/>
    <m/>
    <m/>
    <x v="1"/>
    <n v="93"/>
    <s v="Jay-R Lizardo"/>
    <m/>
  </r>
  <r>
    <x v="315"/>
    <x v="0"/>
    <x v="2"/>
    <s v="CTEMPNA_1000US20F87G7C"/>
    <s v="G000001118"/>
    <s v="G000001118"/>
    <s v="Non-LFF"/>
    <s v=""/>
    <m/>
    <b v="1"/>
    <x v="0"/>
    <x v="3"/>
    <d v="2025-08-05T00:00:00"/>
    <m/>
    <m/>
    <x v="1"/>
    <n v="93"/>
    <s v="Jay-R Lizardo"/>
    <m/>
  </r>
  <r>
    <x v="315"/>
    <x v="0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93"/>
    <s v="Jay-R Lizardo"/>
    <m/>
  </r>
  <r>
    <x v="315"/>
    <x v="0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93"/>
    <s v="Jay-R Lizardo"/>
    <m/>
  </r>
  <r>
    <x v="315"/>
    <x v="0"/>
    <x v="2"/>
    <s v="CTEMPEU_1000NL40AD0095"/>
    <s v="L000013397"/>
    <s v="L000013397"/>
    <s v="Non-LFF"/>
    <s v=""/>
    <m/>
    <b v="1"/>
    <x v="0"/>
    <x v="3"/>
    <d v="2025-08-05T00:00:00"/>
    <m/>
    <m/>
    <x v="1"/>
    <n v="93"/>
    <s v="Jay-R Lizardo"/>
    <m/>
  </r>
  <r>
    <x v="315"/>
    <x v="0"/>
    <x v="2"/>
    <s v="CORAERP_MMOR1945.9571"/>
    <s v="G000000253"/>
    <s v="G000000253"/>
    <s v="Non-LFF"/>
    <s v=""/>
    <m/>
    <b v="1"/>
    <x v="0"/>
    <x v="3"/>
    <d v="2025-08-05T00:00:00"/>
    <m/>
    <m/>
    <x v="1"/>
    <n v="93"/>
    <s v="Jay-R Lizardo"/>
    <m/>
  </r>
  <r>
    <x v="315"/>
    <x v="0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93"/>
    <s v="Jay-R Lizardo"/>
    <m/>
  </r>
  <r>
    <x v="315"/>
    <x v="0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93"/>
    <s v="Jay-R Lizardo"/>
    <m/>
  </r>
  <r>
    <x v="315"/>
    <x v="0"/>
    <x v="2"/>
    <s v="CORAERP_MMOR1975.9579"/>
    <s v="G000000253"/>
    <s v="G000000253"/>
    <s v="Non-LFF"/>
    <s v=""/>
    <m/>
    <b v="1"/>
    <x v="0"/>
    <x v="3"/>
    <d v="2025-08-05T00:00:00"/>
    <m/>
    <m/>
    <x v="1"/>
    <n v="93"/>
    <s v="Jay-R Lizardo"/>
    <m/>
  </r>
  <r>
    <x v="315"/>
    <x v="0"/>
    <x v="2"/>
    <s v="CORAERP_MMOR1975.9855"/>
    <s v="L000013397"/>
    <s v="L000013397"/>
    <s v="Non-LFF"/>
    <s v=""/>
    <m/>
    <b v="1"/>
    <x v="0"/>
    <x v="3"/>
    <d v="2025-08-05T00:00:00"/>
    <m/>
    <m/>
    <x v="1"/>
    <n v="93"/>
    <s v="Jay-R Lizardo"/>
    <m/>
  </r>
  <r>
    <x v="315"/>
    <x v="0"/>
    <x v="2"/>
    <s v="CORAERP_MMOR1975.9810"/>
    <s v="G000001405"/>
    <s v="G000001405"/>
    <s v="Non-LFF"/>
    <s v=""/>
    <m/>
    <b v="1"/>
    <x v="0"/>
    <x v="3"/>
    <d v="2025-08-05T00:00:00"/>
    <m/>
    <m/>
    <x v="1"/>
    <n v="93"/>
    <s v="Jay-R Lizardo"/>
    <m/>
  </r>
  <r>
    <x v="315"/>
    <x v="0"/>
    <x v="2"/>
    <s v="CORAERP_MMOR1975.9833"/>
    <s v="G000000726"/>
    <s v="G000000726"/>
    <s v="Non-LFF"/>
    <s v=""/>
    <m/>
    <b v="1"/>
    <x v="0"/>
    <x v="3"/>
    <d v="2025-08-05T00:00:00"/>
    <m/>
    <m/>
    <x v="1"/>
    <n v="93"/>
    <s v="Jay-R Lizardo"/>
    <m/>
  </r>
  <r>
    <x v="315"/>
    <x v="0"/>
    <x v="2"/>
    <s v="CORAERP_MMOR1975.9852"/>
    <s v="G000001396"/>
    <s v="G000001396"/>
    <s v="Non-LFF"/>
    <s v=""/>
    <m/>
    <b v="1"/>
    <x v="0"/>
    <x v="3"/>
    <d v="2025-08-05T00:00:00"/>
    <m/>
    <m/>
    <x v="1"/>
    <n v="93"/>
    <s v="Jay-R Lizardo"/>
    <m/>
  </r>
  <r>
    <x v="315"/>
    <x v="0"/>
    <x v="2"/>
    <s v="CORAERP_MMOR1975.9491"/>
    <s v="G000000253"/>
    <s v="G000000253"/>
    <s v="Non-LFF"/>
    <s v=""/>
    <m/>
    <b v="1"/>
    <x v="0"/>
    <x v="3"/>
    <d v="2025-08-05T00:00:00"/>
    <m/>
    <m/>
    <x v="1"/>
    <n v="93"/>
    <s v="Jay-R Lizardo"/>
    <m/>
  </r>
  <r>
    <x v="315"/>
    <x v="0"/>
    <x v="2"/>
    <s v="CNOW_7210$$$0000015061"/>
    <s v="L000013393"/>
    <s v="L000013393"/>
    <s v="Non-LFF"/>
    <s v=""/>
    <m/>
    <b v="1"/>
    <x v="0"/>
    <x v="3"/>
    <d v="2025-08-05T00:00:00"/>
    <m/>
    <m/>
    <x v="1"/>
    <n v="93"/>
    <s v="Jay-R Lizardo"/>
    <m/>
  </r>
  <r>
    <x v="315"/>
    <x v="0"/>
    <x v="2"/>
    <s v="CNOW_7210$$$0000051763"/>
    <s v="L000013397"/>
    <s v="L000013397"/>
    <s v="Non-LFF"/>
    <s v=""/>
    <m/>
    <b v="1"/>
    <x v="0"/>
    <x v="3"/>
    <d v="2025-08-05T00:00:00"/>
    <m/>
    <m/>
    <x v="1"/>
    <n v="93"/>
    <s v="Jay-R Lizardo"/>
    <m/>
  </r>
  <r>
    <x v="315"/>
    <x v="0"/>
    <x v="2"/>
    <s v="CNOW_7210$$$0000051757"/>
    <s v="G000001398"/>
    <s v="G000001398"/>
    <s v="Non-LFF"/>
    <s v=""/>
    <m/>
    <b v="1"/>
    <x v="0"/>
    <x v="3"/>
    <d v="2025-08-05T00:00:00"/>
    <m/>
    <m/>
    <x v="1"/>
    <n v="93"/>
    <s v="Jay-R Lizardo"/>
    <m/>
  </r>
  <r>
    <x v="315"/>
    <x v="0"/>
    <x v="2"/>
    <s v="CNOW_7210$$$0000051793"/>
    <s v="L000013389"/>
    <s v="L000013389"/>
    <s v="Non-LFF"/>
    <s v=""/>
    <m/>
    <b v="1"/>
    <x v="0"/>
    <x v="3"/>
    <d v="2025-08-05T00:00:00"/>
    <m/>
    <m/>
    <x v="1"/>
    <n v="93"/>
    <s v="Jay-R Lizardo"/>
    <m/>
  </r>
  <r>
    <x v="315"/>
    <x v="0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93"/>
    <s v="Jay-R Lizardo"/>
    <m/>
  </r>
  <r>
    <x v="315"/>
    <x v="0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93"/>
    <s v="Jay-R Lizardo"/>
    <m/>
  </r>
  <r>
    <x v="315"/>
    <x v="0"/>
    <x v="2"/>
    <s v="CNOW_7210$$$0000057801"/>
    <s v="G000001235"/>
    <s v="G000001235"/>
    <s v="Non-LFF"/>
    <s v=""/>
    <m/>
    <b v="1"/>
    <x v="0"/>
    <x v="3"/>
    <d v="2025-08-05T00:00:00"/>
    <m/>
    <m/>
    <x v="1"/>
    <n v="93"/>
    <s v="Jay-R Lizardo"/>
    <m/>
  </r>
  <r>
    <x v="315"/>
    <x v="0"/>
    <x v="2"/>
    <s v="CNOW_7210$$$0000057184"/>
    <s v="L000013397"/>
    <s v="L000013397"/>
    <s v="Non-LFF"/>
    <s v=""/>
    <m/>
    <b v="1"/>
    <x v="0"/>
    <x v="3"/>
    <d v="2025-08-05T00:00:00"/>
    <m/>
    <m/>
    <x v="1"/>
    <n v="93"/>
    <s v="Jay-R Lizardo"/>
    <m/>
  </r>
  <r>
    <x v="315"/>
    <x v="0"/>
    <x v="2"/>
    <s v="CNOW_7210$$$0000056669"/>
    <s v="G000001409"/>
    <s v="G000001409"/>
    <s v="Non-LFF"/>
    <s v=""/>
    <m/>
    <b v="1"/>
    <x v="0"/>
    <x v="3"/>
    <d v="2025-08-05T00:00:00"/>
    <m/>
    <m/>
    <x v="1"/>
    <n v="93"/>
    <s v="Jay-R Lizardo"/>
    <m/>
  </r>
  <r>
    <x v="315"/>
    <x v="0"/>
    <x v="2"/>
    <s v="CNOW_7210$$$0000052182"/>
    <s v="G000001407"/>
    <s v="G000001407"/>
    <s v="Non-LFF"/>
    <s v=""/>
    <m/>
    <b v="1"/>
    <x v="0"/>
    <x v="3"/>
    <d v="2025-08-05T00:00:00"/>
    <m/>
    <m/>
    <x v="1"/>
    <n v="93"/>
    <s v="Jay-R Lizardo"/>
    <m/>
  </r>
  <r>
    <x v="315"/>
    <x v="0"/>
    <x v="2"/>
    <s v="CNOW_7210$$$0000265219"/>
    <s v="G000001398"/>
    <s v="G000001398"/>
    <s v="Non-LFF"/>
    <s v=""/>
    <m/>
    <b v="1"/>
    <x v="0"/>
    <x v="3"/>
    <d v="2025-08-05T00:00:00"/>
    <m/>
    <m/>
    <x v="1"/>
    <n v="93"/>
    <s v="Jay-R Lizardo"/>
    <m/>
  </r>
  <r>
    <x v="315"/>
    <x v="0"/>
    <x v="2"/>
    <s v="CNOW_7210$$$0000265223"/>
    <s v="G000000253"/>
    <s v="G000000253"/>
    <s v="Non-LFF"/>
    <s v=""/>
    <m/>
    <b v="1"/>
    <x v="0"/>
    <x v="3"/>
    <d v="2025-08-05T00:00:00"/>
    <m/>
    <m/>
    <x v="1"/>
    <n v="93"/>
    <s v="Jay-R Lizardo"/>
    <m/>
  </r>
  <r>
    <x v="315"/>
    <x v="0"/>
    <x v="2"/>
    <s v="CNOW_7210$$$0000265222"/>
    <s v="L000013393"/>
    <s v="L000013393"/>
    <s v="Non-LFF"/>
    <s v=""/>
    <m/>
    <b v="1"/>
    <x v="0"/>
    <x v="3"/>
    <d v="2025-08-05T00:00:00"/>
    <m/>
    <m/>
    <x v="1"/>
    <n v="93"/>
    <s v="Jay-R Lizardo"/>
    <m/>
  </r>
  <r>
    <x v="315"/>
    <x v="0"/>
    <x v="2"/>
    <s v="CNOW_7210$$$0000010249"/>
    <s v="G000001398"/>
    <s v="G000001398"/>
    <s v="Non-LFF"/>
    <s v=""/>
    <m/>
    <b v="1"/>
    <x v="0"/>
    <x v="3"/>
    <d v="2025-08-05T00:00:00"/>
    <m/>
    <m/>
    <x v="1"/>
    <n v="93"/>
    <s v="Jay-R Lizardo"/>
    <m/>
  </r>
  <r>
    <x v="315"/>
    <x v="0"/>
    <x v="2"/>
    <s v="CNOW_7210$$$0000010268"/>
    <s v="L000013397"/>
    <s v="L000013397"/>
    <s v="Non-LFF"/>
    <s v=""/>
    <m/>
    <b v="1"/>
    <x v="0"/>
    <x v="3"/>
    <d v="2025-08-05T00:00:00"/>
    <m/>
    <m/>
    <x v="1"/>
    <n v="93"/>
    <s v="Jay-R Lizardo"/>
    <m/>
  </r>
  <r>
    <x v="315"/>
    <x v="0"/>
    <x v="2"/>
    <s v="CNOW_7210$$$0000010266"/>
    <s v="G000001118"/>
    <s v="G000001118"/>
    <s v="Non-LFF"/>
    <s v=""/>
    <m/>
    <b v="1"/>
    <x v="0"/>
    <x v="3"/>
    <d v="2025-08-05T00:00:00"/>
    <m/>
    <m/>
    <x v="1"/>
    <n v="93"/>
    <s v="Jay-R Lizardo"/>
    <m/>
  </r>
  <r>
    <x v="315"/>
    <x v="0"/>
    <x v="2"/>
    <s v="CNOW_7210$$$0000010251"/>
    <s v="G000000253"/>
    <s v="G000000253"/>
    <s v="Non-LFF"/>
    <s v=""/>
    <m/>
    <b v="1"/>
    <x v="0"/>
    <x v="3"/>
    <d v="2025-08-05T00:00:00"/>
    <m/>
    <m/>
    <x v="1"/>
    <n v="93"/>
    <s v="Jay-R Lizardo"/>
    <m/>
  </r>
  <r>
    <x v="315"/>
    <x v="0"/>
    <x v="2"/>
    <s v="CNOW_7210$$$0000010212"/>
    <s v="L000013397"/>
    <s v="L000013397"/>
    <s v="Non-LFF"/>
    <s v=""/>
    <m/>
    <b v="1"/>
    <x v="0"/>
    <x v="3"/>
    <d v="2025-08-05T00:00:00"/>
    <m/>
    <m/>
    <x v="1"/>
    <n v="93"/>
    <s v="Jay-R Lizardo"/>
    <m/>
  </r>
  <r>
    <x v="315"/>
    <x v="0"/>
    <x v="2"/>
    <s v="CNOW_7210$$$0000010209"/>
    <s v="L000013397"/>
    <s v="L000013397"/>
    <s v="Non-LFF"/>
    <s v=""/>
    <m/>
    <b v="1"/>
    <x v="0"/>
    <x v="3"/>
    <d v="2025-08-05T00:00:00"/>
    <m/>
    <m/>
    <x v="1"/>
    <n v="93"/>
    <s v="Jay-R Lizardo"/>
    <m/>
  </r>
  <r>
    <x v="315"/>
    <x v="0"/>
    <x v="2"/>
    <s v="CNOW_7210$$$0000010172"/>
    <s v="L000013389"/>
    <s v="L000013389"/>
    <s v="Non-LFF"/>
    <s v=""/>
    <m/>
    <b v="1"/>
    <x v="0"/>
    <x v="3"/>
    <d v="2025-08-05T00:00:00"/>
    <m/>
    <m/>
    <x v="1"/>
    <n v="93"/>
    <s v="Jay-R Lizardo"/>
    <m/>
  </r>
  <r>
    <x v="315"/>
    <x v="0"/>
    <x v="2"/>
    <s v="CNOW_7210$$$0000031698"/>
    <s v="L000013389"/>
    <s v="L000013389"/>
    <s v="Non-LFF"/>
    <s v=""/>
    <m/>
    <b v="1"/>
    <x v="0"/>
    <x v="3"/>
    <d v="2025-08-05T00:00:00"/>
    <m/>
    <m/>
    <x v="1"/>
    <n v="93"/>
    <s v="Jay-R Lizardo"/>
    <m/>
  </r>
  <r>
    <x v="315"/>
    <x v="0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93"/>
    <s v="Jay-R Lizardo"/>
    <m/>
  </r>
  <r>
    <x v="315"/>
    <x v="0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93"/>
    <s v="Jay-R Lizardo"/>
    <m/>
  </r>
  <r>
    <x v="315"/>
    <x v="0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93"/>
    <s v="Jay-R Lizardo"/>
    <m/>
  </r>
  <r>
    <x v="315"/>
    <x v="0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93"/>
    <s v="Jay-R Lizardo"/>
    <m/>
  </r>
  <r>
    <x v="315"/>
    <x v="0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93"/>
    <s v="Jay-R Lizardo"/>
    <m/>
  </r>
  <r>
    <x v="315"/>
    <x v="0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93"/>
    <s v="Jay-R Lizardo"/>
    <m/>
  </r>
  <r>
    <x v="315"/>
    <x v="0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93"/>
    <s v="Jay-R Lizardo"/>
    <m/>
  </r>
  <r>
    <x v="315"/>
    <x v="0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93"/>
    <s v="Jay-R Lizardo"/>
    <m/>
  </r>
  <r>
    <x v="315"/>
    <x v="0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93"/>
    <s v="Jay-R Lizardo"/>
    <m/>
  </r>
  <r>
    <x v="315"/>
    <x v="0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93"/>
    <s v="Jay-R Lizardo"/>
    <m/>
  </r>
  <r>
    <x v="315"/>
    <x v="0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93"/>
    <s v="Jay-R Lizardo"/>
    <m/>
  </r>
  <r>
    <x v="315"/>
    <x v="0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93"/>
    <s v="Jay-R Lizardo"/>
    <m/>
  </r>
  <r>
    <x v="315"/>
    <x v="0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93"/>
    <s v="Jay-R Lizardo"/>
    <m/>
  </r>
  <r>
    <x v="315"/>
    <x v="0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93"/>
    <s v="Jay-R Lizardo"/>
    <m/>
  </r>
  <r>
    <x v="315"/>
    <x v="0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93"/>
    <s v="Jay-R Lizardo"/>
    <m/>
  </r>
  <r>
    <x v="315"/>
    <x v="0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93"/>
    <s v="Jay-R Lizardo"/>
    <m/>
  </r>
  <r>
    <x v="315"/>
    <x v="0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93"/>
    <s v="Jay-R Lizardo"/>
    <m/>
  </r>
  <r>
    <x v="315"/>
    <x v="0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93"/>
    <s v="Jay-R Lizardo"/>
    <m/>
  </r>
  <r>
    <x v="315"/>
    <x v="0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93"/>
    <s v="Jay-R Lizardo"/>
    <m/>
  </r>
  <r>
    <x v="315"/>
    <x v="0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93"/>
    <s v="Jay-R Lizardo"/>
    <m/>
  </r>
  <r>
    <x v="315"/>
    <x v="0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93"/>
    <s v="Jay-R Lizardo"/>
    <m/>
  </r>
  <r>
    <x v="315"/>
    <x v="0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93"/>
    <s v="Jay-R Lizardo"/>
    <m/>
  </r>
  <r>
    <x v="315"/>
    <x v="0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93"/>
    <s v="Jay-R Lizardo"/>
    <m/>
  </r>
  <r>
    <x v="315"/>
    <x v="0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93"/>
    <s v="Jay-R Lizardo"/>
    <m/>
  </r>
  <r>
    <x v="315"/>
    <x v="0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93"/>
    <s v="Jay-R Lizardo"/>
    <m/>
  </r>
  <r>
    <x v="315"/>
    <x v="0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93"/>
    <s v="Jay-R Lizardo"/>
    <m/>
  </r>
  <r>
    <x v="315"/>
    <x v="0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93"/>
    <s v="Jay-R Lizardo"/>
    <m/>
  </r>
  <r>
    <x v="315"/>
    <x v="0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93"/>
    <s v="Jay-R Lizardo"/>
    <m/>
  </r>
  <r>
    <x v="315"/>
    <x v="0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93"/>
    <s v="Jay-R Lizardo"/>
    <m/>
  </r>
  <r>
    <x v="315"/>
    <x v="0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93"/>
    <s v="Jay-R Lizardo"/>
    <m/>
  </r>
  <r>
    <x v="315"/>
    <x v="0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93"/>
    <s v="Jay-R Lizardo"/>
    <m/>
  </r>
  <r>
    <x v="315"/>
    <x v="0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93"/>
    <s v="Jay-R Lizardo"/>
    <m/>
  </r>
  <r>
    <x v="315"/>
    <x v="0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93"/>
    <s v="Jay-R Lizardo"/>
    <m/>
  </r>
  <r>
    <x v="315"/>
    <x v="0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93"/>
    <s v="Jay-R Lizardo"/>
    <m/>
  </r>
  <r>
    <x v="315"/>
    <x v="0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93"/>
    <s v="Jay-R Lizardo"/>
    <m/>
  </r>
  <r>
    <x v="315"/>
    <x v="0"/>
    <x v="2"/>
    <s v="CNOW_AUS0$$$0000092051"/>
    <s v="G000000279"/>
    <s v="G000000279"/>
    <s v="Non-LFF"/>
    <s v=""/>
    <m/>
    <b v="1"/>
    <x v="0"/>
    <x v="3"/>
    <d v="2025-08-05T00:00:00"/>
    <m/>
    <m/>
    <x v="1"/>
    <n v="93"/>
    <s v="Jay-R Lizardo"/>
    <m/>
  </r>
  <r>
    <x v="315"/>
    <x v="0"/>
    <x v="2"/>
    <s v="CFLTFLE_22450000002721"/>
    <s v="G000000253"/>
    <s v="G000000253"/>
    <s v="Non-LFF"/>
    <s v=""/>
    <m/>
    <b v="1"/>
    <x v="0"/>
    <x v="3"/>
    <d v="2025-08-05T00:00:00"/>
    <m/>
    <m/>
    <x v="1"/>
    <n v="93"/>
    <s v="Jay-R Lizardo"/>
    <m/>
  </r>
  <r>
    <x v="315"/>
    <x v="0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93"/>
    <s v="Jay-R Lizardo"/>
    <m/>
  </r>
  <r>
    <x v="315"/>
    <x v="0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93"/>
    <s v="Jay-R Lizardo"/>
    <m/>
  </r>
  <r>
    <x v="315"/>
    <x v="0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93"/>
    <s v="Jay-R Lizardo"/>
    <m/>
  </r>
  <r>
    <x v="315"/>
    <x v="0"/>
    <x v="2"/>
    <s v="CTEMPNA_1000PH80GFO003"/>
    <s v="G000001416"/>
    <s v="G000001416"/>
    <s v="Non-LFF"/>
    <s v=""/>
    <m/>
    <b v="1"/>
    <x v="0"/>
    <x v="3"/>
    <d v="2025-08-05T00:00:00"/>
    <m/>
    <m/>
    <x v="1"/>
    <n v="93"/>
    <s v="Jay-R Lizardo"/>
    <m/>
  </r>
  <r>
    <x v="315"/>
    <x v="0"/>
    <x v="2"/>
    <s v="CTEMPNA_1000PH80GFO026"/>
    <s v="G000001416"/>
    <s v="G000001416"/>
    <s v="Non-LFF"/>
    <s v=""/>
    <m/>
    <b v="1"/>
    <x v="0"/>
    <x v="3"/>
    <d v="2025-08-05T00:00:00"/>
    <m/>
    <m/>
    <x v="1"/>
    <n v="93"/>
    <s v="Jay-R Lizardo"/>
    <m/>
  </r>
  <r>
    <x v="315"/>
    <x v="0"/>
    <x v="2"/>
    <s v="CTEMPEU_1000PL80GFO016"/>
    <s v="G000001416"/>
    <s v="G000001416"/>
    <s v="Non-LFF"/>
    <s v=""/>
    <m/>
    <b v="1"/>
    <x v="0"/>
    <x v="3"/>
    <d v="2025-08-05T00:00:00"/>
    <m/>
    <m/>
    <x v="1"/>
    <n v="93"/>
    <s v="Jay-R Lizardo"/>
    <m/>
  </r>
  <r>
    <x v="315"/>
    <x v="0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93"/>
    <s v="Jay-R Lizardo"/>
    <m/>
  </r>
  <r>
    <x v="315"/>
    <x v="0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93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93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93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93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93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93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93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93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93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93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93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93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93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93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90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90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1"/>
    <n v="90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1"/>
    <n v="90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1"/>
    <n v="90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1"/>
    <n v="90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1"/>
    <n v="90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1"/>
    <n v="90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1"/>
    <n v="90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1"/>
    <n v="90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1"/>
    <n v="90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1"/>
    <n v="90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1"/>
    <n v="90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1"/>
    <n v="90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1"/>
    <n v="90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1"/>
    <n v="90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1"/>
    <n v="90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1"/>
    <n v="90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1"/>
    <n v="90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1"/>
    <n v="90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1"/>
    <n v="90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90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1"/>
    <n v="90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1"/>
    <n v="90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90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90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90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90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90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90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90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90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90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90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90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90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90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90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90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90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90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90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90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89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89"/>
    <s v="Jojeff Tagnong"/>
    <m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88"/>
    <s v="Henry Ifurung Jr."/>
    <m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88"/>
    <s v="Henry Ifurung Jr."/>
    <m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88"/>
    <s v="Henry Ifurung Jr."/>
    <m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88"/>
    <s v="Henry Ifurung Jr."/>
    <m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88"/>
    <s v="Henry Ifurung Jr."/>
    <m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88"/>
    <s v="Henry Ifurung Jr."/>
    <m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88"/>
    <s v="Henry Ifurung Jr."/>
    <m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87"/>
    <s v="Lakshmi Shree"/>
    <m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87"/>
    <s v="Jojeff Tagnong"/>
    <m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87"/>
    <s v="Jojeff Tagnong"/>
    <m/>
  </r>
  <r>
    <x v="329"/>
    <x v="0"/>
    <x v="2"/>
    <s v="CEMERAL_64010010991390 Admin/Sourcing APAC"/>
    <s v="G000001130"/>
    <s v="G000001130"/>
    <s v="Non-LFF"/>
    <s v=""/>
    <m/>
    <b v="1"/>
    <x v="0"/>
    <x v="3"/>
    <d v="2025-08-14T00:00:00"/>
    <m/>
    <m/>
    <x v="1"/>
    <n v="86"/>
    <s v="Jojeff Tagnong"/>
    <m/>
  </r>
  <r>
    <x v="329"/>
    <x v="0"/>
    <x v="2"/>
    <s v="CEMERAL_70006203990110 Procurement APAC"/>
    <s v="G000001130"/>
    <s v="G000001130"/>
    <s v="Non-LFF"/>
    <s v=""/>
    <m/>
    <b v="1"/>
    <x v="0"/>
    <x v="3"/>
    <d v="2025-08-14T00:00:00"/>
    <m/>
    <m/>
    <x v="1"/>
    <n v="86"/>
    <s v="Jojeff Tagnong"/>
    <m/>
  </r>
  <r>
    <x v="329"/>
    <x v="0"/>
    <x v="2"/>
    <s v="CEMERAL_70006203990116 PO - Src. Corporate Services"/>
    <s v="G000001130"/>
    <s v="G000001130"/>
    <s v="Non-LFF"/>
    <s v=""/>
    <m/>
    <b v="1"/>
    <x v="0"/>
    <x v="3"/>
    <d v="2025-08-14T00:00:00"/>
    <m/>
    <m/>
    <x v="1"/>
    <n v="86"/>
    <s v="Jojeff Tagnong"/>
    <m/>
  </r>
  <r>
    <x v="329"/>
    <x v="0"/>
    <x v="2"/>
    <s v="CEMERAL_70006301995401 XXXPO-APAC"/>
    <s v="G000001130"/>
    <s v="G000001130"/>
    <s v="Non-LFF"/>
    <s v=""/>
    <m/>
    <b v="1"/>
    <x v="0"/>
    <x v="3"/>
    <d v="2025-08-14T00:00:00"/>
    <m/>
    <m/>
    <x v="1"/>
    <n v="86"/>
    <s v="Jojeff Tagnong"/>
    <m/>
  </r>
  <r>
    <x v="329"/>
    <x v="0"/>
    <x v="2"/>
    <s v="CEMERAL_70006302995401 XXXGroup Procurement-Purchasing"/>
    <s v="G000001130"/>
    <s v="G000001130"/>
    <s v="Non-LFF"/>
    <s v=""/>
    <m/>
    <b v="1"/>
    <x v="0"/>
    <x v="3"/>
    <d v="2025-08-14T00:00:00"/>
    <m/>
    <m/>
    <x v="1"/>
    <n v="86"/>
    <s v="Jojeff Tagnong"/>
    <m/>
  </r>
  <r>
    <x v="329"/>
    <x v="0"/>
    <x v="2"/>
    <s v="CEMERAL_7000640399GA65 Procurement APAC"/>
    <s v="G000001130"/>
    <s v="G000001130"/>
    <s v="Non-LFF"/>
    <s v=""/>
    <m/>
    <b v="1"/>
    <x v="0"/>
    <x v="3"/>
    <d v="2025-08-14T00:00:00"/>
    <m/>
    <m/>
    <x v="1"/>
    <n v="86"/>
    <s v="Jojeff Tagnong"/>
    <m/>
  </r>
  <r>
    <x v="329"/>
    <x v="0"/>
    <x v="2"/>
    <s v="CEMERAL_70007001993007 XXXMESI MGF-PROCUREMENT"/>
    <s v="G000001130"/>
    <s v="G000001130"/>
    <s v="Non-LFF"/>
    <s v=""/>
    <m/>
    <b v="1"/>
    <x v="0"/>
    <x v="3"/>
    <d v="2025-08-14T00:00:00"/>
    <m/>
    <m/>
    <x v="1"/>
    <n v="86"/>
    <s v="Jojeff Tagnong"/>
    <m/>
  </r>
  <r>
    <x v="329"/>
    <x v="0"/>
    <x v="2"/>
    <s v="CEMERAL_70007102308299 Jade Park expense cross charge"/>
    <s v="G000001130"/>
    <s v="G000001130"/>
    <s v="Non-LFF"/>
    <s v=""/>
    <m/>
    <b v="1"/>
    <x v="0"/>
    <x v="3"/>
    <d v="2025-08-14T00:00:00"/>
    <m/>
    <m/>
    <x v="1"/>
    <n v="86"/>
    <s v="Jojeff Tagnong"/>
    <m/>
  </r>
  <r>
    <x v="329"/>
    <x v="0"/>
    <x v="2"/>
    <s v="CFLTFLE_10550000003914 MGF Procurement"/>
    <s v="G000001130"/>
    <s v="G000001130"/>
    <s v="Non-LFF"/>
    <s v=""/>
    <m/>
    <b v="1"/>
    <x v="0"/>
    <x v="3"/>
    <d v="2025-08-14T00:00:00"/>
    <m/>
    <m/>
    <x v="1"/>
    <n v="86"/>
    <s v="Jojeff Tagnong"/>
    <m/>
  </r>
  <r>
    <x v="329"/>
    <x v="0"/>
    <x v="2"/>
    <s v="CFLTFLE_12350000005017 MGF Procurement"/>
    <s v="G000001130"/>
    <s v="G000001130"/>
    <s v="Non-LFF"/>
    <s v=""/>
    <m/>
    <b v="1"/>
    <x v="0"/>
    <x v="3"/>
    <d v="2025-08-14T00:00:00"/>
    <m/>
    <m/>
    <x v="1"/>
    <n v="86"/>
    <s v="Jojeff Tagnong"/>
    <m/>
  </r>
  <r>
    <x v="329"/>
    <x v="0"/>
    <x v="2"/>
    <s v="CFLTFLE_17710000170000 XXXProcurement"/>
    <s v="G000001130"/>
    <s v="G000001130"/>
    <s v="Non-LFF"/>
    <s v=""/>
    <m/>
    <b v="1"/>
    <x v="0"/>
    <x v="3"/>
    <d v="2025-08-14T00:00:00"/>
    <m/>
    <m/>
    <x v="1"/>
    <n v="86"/>
    <s v="Jojeff Tagnong"/>
    <m/>
  </r>
  <r>
    <x v="329"/>
    <x v="0"/>
    <x v="2"/>
    <s v="CFLTFLE_17710000170020 XXXProcurement restructuring"/>
    <s v="G000001130"/>
    <s v="G000001130"/>
    <s v="Non-LFF"/>
    <s v=""/>
    <m/>
    <b v="1"/>
    <x v="0"/>
    <x v="3"/>
    <d v="2025-08-14T00:00:00"/>
    <m/>
    <m/>
    <x v="1"/>
    <n v="86"/>
    <s v="Jojeff Tagnong"/>
    <m/>
  </r>
  <r>
    <x v="329"/>
    <x v="0"/>
    <x v="2"/>
    <s v="CFLTFLE_1787HQ50GPO1F0 MGF_Procurement NWA_NORTH WEST"/>
    <s v="G000001130"/>
    <s v="G000001130"/>
    <s v="Non-LFF"/>
    <s v=""/>
    <m/>
    <b v="1"/>
    <x v="0"/>
    <x v="3"/>
    <d v="2025-08-14T00:00:00"/>
    <m/>
    <m/>
    <x v="1"/>
    <n v="86"/>
    <s v="Jojeff Tagnong"/>
    <m/>
  </r>
  <r>
    <x v="329"/>
    <x v="0"/>
    <x v="2"/>
    <s v="CFLTFLE_1798A08 Procurement"/>
    <s v="G000001130"/>
    <s v="G000001130"/>
    <s v="Non-LFF"/>
    <s v=""/>
    <m/>
    <b v="1"/>
    <x v="0"/>
    <x v="3"/>
    <d v="2025-08-14T00:00:00"/>
    <m/>
    <m/>
    <x v="1"/>
    <n v="86"/>
    <s v="Jojeff Tagnong"/>
    <m/>
  </r>
  <r>
    <x v="329"/>
    <x v="0"/>
    <x v="2"/>
    <s v="CLFF_1000$$$CH50GPO004 PO Americas - MRO FR &amp; French-Speak. CH"/>
    <s v="G000001130"/>
    <s v="G000001130"/>
    <s v="LFF (MDG-F)"/>
    <s v="CH50GPO004"/>
    <m/>
    <b v="1"/>
    <x v="0"/>
    <x v="3"/>
    <d v="2025-08-14T00:00:00"/>
    <m/>
    <m/>
    <x v="1"/>
    <n v="86"/>
    <s v="Jojeff Tagnong"/>
    <m/>
  </r>
  <r>
    <x v="329"/>
    <x v="0"/>
    <x v="2"/>
    <s v="CLFF_1000$$$CH50GPO101 Sourcing Healthcare 2"/>
    <s v="G000001130"/>
    <s v="G000001130"/>
    <s v="LFF (MDG-F)"/>
    <s v="CH50GPO101"/>
    <m/>
    <b v="1"/>
    <x v="0"/>
    <x v="3"/>
    <d v="2025-08-14T00:00:00"/>
    <m/>
    <m/>
    <x v="1"/>
    <n v="86"/>
    <s v="Jojeff Tagnong"/>
    <m/>
  </r>
  <r>
    <x v="329"/>
    <x v="0"/>
    <x v="2"/>
    <s v="CLFF_1000$$$CH50GPO204 Sourcing BT"/>
    <s v="G000001130"/>
    <s v="G000001130"/>
    <s v="LFF (MDG-F)"/>
    <s v="CH50GPO204"/>
    <m/>
    <b v="1"/>
    <x v="0"/>
    <x v="3"/>
    <d v="2025-08-14T00:00:00"/>
    <m/>
    <m/>
    <x v="1"/>
    <n v="86"/>
    <s v="Jojeff Tagnong"/>
    <m/>
  </r>
  <r>
    <x v="329"/>
    <x v="0"/>
    <x v="2"/>
    <s v="CLFF_1000$$$CH65GPO001 MRO Sourcing"/>
    <s v="G000001130"/>
    <s v="G000001130"/>
    <s v="LFF (MDG-F)"/>
    <s v="CH65GPO001"/>
    <m/>
    <b v="1"/>
    <x v="0"/>
    <x v="3"/>
    <d v="2025-08-14T00:00:00"/>
    <m/>
    <m/>
    <x v="1"/>
    <n v="86"/>
    <s v="Jojeff Tagnong"/>
    <m/>
  </r>
  <r>
    <x v="329"/>
    <x v="0"/>
    <x v="2"/>
    <s v="CLFF_1000$$$CN90GPO005 Procurement APAC"/>
    <s v="G000001130"/>
    <s v="G000001130"/>
    <s v="LFF (MDG-F)"/>
    <s v="CN90GPO005"/>
    <m/>
    <b v="1"/>
    <x v="0"/>
    <x v="3"/>
    <d v="2025-08-14T00:00:00"/>
    <m/>
    <m/>
    <x v="1"/>
    <n v="86"/>
    <s v="Jojeff Tagnong"/>
    <m/>
  </r>
  <r>
    <x v="329"/>
    <x v="0"/>
    <x v="2"/>
    <s v="CLFF_1000$$$DE10560000 Sourcing Office Intercomp"/>
    <s v="G000001130"/>
    <s v="G000001130"/>
    <s v="LFF (MDG-F)"/>
    <s v="DE10560000"/>
    <m/>
    <b v="1"/>
    <x v="0"/>
    <x v="3"/>
    <d v="2025-08-14T00:00:00"/>
    <m/>
    <m/>
    <x v="1"/>
    <n v="86"/>
    <s v="Jojeff Tagnong"/>
    <m/>
  </r>
  <r>
    <x v="329"/>
    <x v="0"/>
    <x v="2"/>
    <s v="CLFF_1000$$$DE10661200 PO Src. Plant Serv."/>
    <s v="G000001130"/>
    <s v="G000001130"/>
    <s v="LFF (MDG-F)"/>
    <s v="DE10661200"/>
    <m/>
    <b v="1"/>
    <x v="0"/>
    <x v="3"/>
    <d v="2025-08-14T00:00:00"/>
    <m/>
    <m/>
    <x v="1"/>
    <n v="86"/>
    <s v="Jojeff Tagnong"/>
    <m/>
  </r>
  <r>
    <x v="329"/>
    <x v="0"/>
    <x v="2"/>
    <s v="CLFF_1000$$$DE10667900 PO - Src. Corp. Services"/>
    <s v="G000001130"/>
    <s v="G000001130"/>
    <s v="LFF (MDG-F)"/>
    <s v="DE10667900"/>
    <m/>
    <b v="1"/>
    <x v="0"/>
    <x v="3"/>
    <d v="2025-08-14T00:00:00"/>
    <m/>
    <m/>
    <x v="1"/>
    <n v="86"/>
    <s v="Jojeff Tagnong"/>
    <m/>
  </r>
  <r>
    <x v="329"/>
    <x v="0"/>
    <x v="2"/>
    <s v="CLFF_1000$$$DE10672010 PO IT Sourcing"/>
    <s v="G000001130"/>
    <s v="G000001130"/>
    <s v="LFF (MDG-F)"/>
    <s v="DE10672010"/>
    <m/>
    <b v="1"/>
    <x v="0"/>
    <x v="3"/>
    <d v="2025-08-14T00:00:00"/>
    <m/>
    <m/>
    <x v="1"/>
    <n v="86"/>
    <s v="Jojeff Tagnong"/>
    <m/>
  </r>
  <r>
    <x v="329"/>
    <x v="0"/>
    <x v="2"/>
    <s v="CLFF_1000$$$DE65GPO001 Sourcing Corp. Serv. &amp; Region EMEA"/>
    <s v="G000001130"/>
    <s v="G000001130"/>
    <s v="LFF (MDG-F)"/>
    <s v="DE65GPO001"/>
    <m/>
    <b v="1"/>
    <x v="0"/>
    <x v="3"/>
    <d v="2025-08-14T00:00:00"/>
    <m/>
    <m/>
    <x v="1"/>
    <n v="86"/>
    <s v="Jojeff Tagnong"/>
    <m/>
  </r>
  <r>
    <x v="329"/>
    <x v="0"/>
    <x v="2"/>
    <s v="CLFF_1000$$$DK50GPO004 Group Procurement - Real Estate F81"/>
    <s v="G000001130"/>
    <s v="G000001130"/>
    <s v="LFF (MDG-F)"/>
    <s v="DK50GPO004"/>
    <m/>
    <b v="1"/>
    <x v="0"/>
    <x v="3"/>
    <d v="2025-08-14T00:00:00"/>
    <m/>
    <m/>
    <x v="1"/>
    <n v="86"/>
    <s v="Jojeff Tagnong"/>
    <m/>
  </r>
  <r>
    <x v="329"/>
    <x v="0"/>
    <x v="2"/>
    <s v="CLFF_1000$$$ES50GPO792 PO Global &amp; Local Sourcing EMEA"/>
    <s v="G000001130"/>
    <s v="G000001130"/>
    <s v="LFF (MDG-F)"/>
    <s v="ES50GPO792"/>
    <m/>
    <b v="1"/>
    <x v="0"/>
    <x v="3"/>
    <d v="2025-08-14T00:00:00"/>
    <m/>
    <m/>
    <x v="1"/>
    <n v="86"/>
    <s v="Jojeff Tagnong"/>
    <m/>
  </r>
  <r>
    <x v="329"/>
    <x v="0"/>
    <x v="2"/>
    <s v="CLFF_1000$$$FR01GPO004 France Procurement"/>
    <s v="G000001130"/>
    <s v="G000001130"/>
    <s v="LFF (MDG-F)"/>
    <s v="FR01GPO004"/>
    <m/>
    <b v="1"/>
    <x v="0"/>
    <x v="3"/>
    <d v="2025-08-14T00:00:00"/>
    <m/>
    <m/>
    <x v="1"/>
    <n v="86"/>
    <s v="Jojeff Tagnong"/>
    <m/>
  </r>
  <r>
    <x v="329"/>
    <x v="0"/>
    <x v="2"/>
    <s v="CLFF_1000$$$IT50GPO004 Procurement IT"/>
    <s v="G000001130"/>
    <s v="G000001130"/>
    <s v="LFF (MDG-F)"/>
    <s v="IT50GPO004"/>
    <m/>
    <b v="1"/>
    <x v="0"/>
    <x v="3"/>
    <d v="2025-08-14T00:00:00"/>
    <m/>
    <m/>
    <x v="1"/>
    <n v="86"/>
    <s v="Jojeff Tagnong"/>
    <m/>
  </r>
  <r>
    <x v="329"/>
    <x v="0"/>
    <x v="2"/>
    <s v="CLFF_1000$$$IT50GPO0C3 G1F PO-Sourcing Plant Serv &amp; Region Amer"/>
    <s v="G000001130"/>
    <s v="G000001130"/>
    <s v="LFF (MDG-F)"/>
    <s v="IT50GPO0C3"/>
    <m/>
    <b v="1"/>
    <x v="0"/>
    <x v="3"/>
    <d v="2025-08-14T00:00:00"/>
    <m/>
    <m/>
    <x v="1"/>
    <n v="86"/>
    <s v="Jojeff Tagnong"/>
    <m/>
  </r>
  <r>
    <x v="329"/>
    <x v="0"/>
    <x v="2"/>
    <s v="CLFF_1000$$$JP01GPO302 PO APAC"/>
    <s v="G000001130"/>
    <s v="G000001130"/>
    <s v="LFF (MDG-F)"/>
    <s v="JP01GPO302"/>
    <m/>
    <b v="1"/>
    <x v="0"/>
    <x v="3"/>
    <d v="2025-08-14T00:00:00"/>
    <m/>
    <m/>
    <x v="1"/>
    <n v="86"/>
    <s v="Jojeff Tagnong"/>
    <m/>
  </r>
  <r>
    <x v="329"/>
    <x v="0"/>
    <x v="2"/>
    <s v="CLFF_1000$$$JP02GPO302 PO APAC"/>
    <s v="G000001130"/>
    <s v="G000001130"/>
    <s v="LFF (MDG-F)"/>
    <s v="JP02GPO302"/>
    <m/>
    <b v="1"/>
    <x v="0"/>
    <x v="3"/>
    <d v="2025-08-14T00:00:00"/>
    <m/>
    <m/>
    <x v="1"/>
    <n v="86"/>
    <s v="Jojeff Tagnong"/>
    <m/>
  </r>
  <r>
    <x v="329"/>
    <x v="0"/>
    <x v="2"/>
    <s v="CLFF_1000$$$KE50GPO004 MGF Procurement"/>
    <s v="G000001130"/>
    <s v="G000001130"/>
    <s v="LFF (MDG-F)"/>
    <s v="KE50GPO004"/>
    <m/>
    <b v="1"/>
    <x v="0"/>
    <x v="3"/>
    <d v="2025-08-14T00:00:00"/>
    <m/>
    <m/>
    <x v="1"/>
    <n v="86"/>
    <s v="Jojeff Tagnong"/>
    <m/>
  </r>
  <r>
    <x v="329"/>
    <x v="0"/>
    <x v="2"/>
    <s v="CLFF_1000$$$KR02GPO001 Procurement APAC"/>
    <s v="G000001130"/>
    <s v="G000001130"/>
    <s v="LFF (MDG-F)"/>
    <s v="KR02GPO001"/>
    <m/>
    <b v="1"/>
    <x v="0"/>
    <x v="3"/>
    <d v="2025-08-14T00:00:00"/>
    <m/>
    <m/>
    <x v="1"/>
    <n v="86"/>
    <s v="Jojeff Tagnong"/>
    <m/>
  </r>
  <r>
    <x v="329"/>
    <x v="0"/>
    <x v="2"/>
    <s v="CLFF_1000$$$TW02GPO004 PO-Purchasing APAC"/>
    <s v="G000001130"/>
    <s v="G000001130"/>
    <s v="LFF (MDG-F)"/>
    <s v="TW02GPO004"/>
    <m/>
    <b v="1"/>
    <x v="0"/>
    <x v="3"/>
    <d v="2025-08-14T00:00:00"/>
    <m/>
    <m/>
    <x v="1"/>
    <n v="86"/>
    <s v="Jojeff Tagnong"/>
    <m/>
  </r>
  <r>
    <x v="329"/>
    <x v="0"/>
    <x v="2"/>
    <s v="CLFF_1000$$$TW03GPO005 PO-Purchasing APAC"/>
    <s v="G000001130"/>
    <s v="G000001130"/>
    <s v="LFF (MDG-F)"/>
    <s v="TW03GPO005"/>
    <m/>
    <b v="1"/>
    <x v="0"/>
    <x v="3"/>
    <d v="2025-08-14T00:00:00"/>
    <m/>
    <m/>
    <x v="1"/>
    <n v="86"/>
    <s v="Jojeff Tagnong"/>
    <m/>
  </r>
  <r>
    <x v="329"/>
    <x v="0"/>
    <x v="2"/>
    <s v="CLFF_1000$$$US01GPO004 Procurement EMEA"/>
    <s v="G000001130"/>
    <s v="G000001130"/>
    <s v="LFF (MDG-F)"/>
    <s v="US01GPO004"/>
    <m/>
    <b v="1"/>
    <x v="0"/>
    <x v="3"/>
    <d v="2025-08-14T00:00:00"/>
    <m/>
    <m/>
    <x v="1"/>
    <n v="86"/>
    <s v="Jojeff Tagnong"/>
    <m/>
  </r>
  <r>
    <x v="329"/>
    <x v="0"/>
    <x v="2"/>
    <s v="CLFF_1000$$$US01GPO101 MPM MRO Region America"/>
    <s v="G000001130"/>
    <s v="G000001130"/>
    <s v="LFF (MDG-F)"/>
    <s v="US01GPO101"/>
    <m/>
    <b v="1"/>
    <x v="0"/>
    <x v="3"/>
    <d v="2025-08-14T00:00:00"/>
    <m/>
    <m/>
    <x v="1"/>
    <n v="86"/>
    <s v="Jojeff Tagnong"/>
    <m/>
  </r>
  <r>
    <x v="329"/>
    <x v="0"/>
    <x v="2"/>
    <s v="CLFF_1000$$$US01GPO401 XXXGroup Procurement"/>
    <s v="G000001130"/>
    <s v="G000001130"/>
    <s v="LFF (MDG-F)"/>
    <s v="US01GPO401"/>
    <m/>
    <b v="1"/>
    <x v="0"/>
    <x v="3"/>
    <d v="2025-08-14T00:00:00"/>
    <m/>
    <m/>
    <x v="1"/>
    <n v="86"/>
    <s v="Jojeff Tagnong"/>
    <m/>
  </r>
  <r>
    <x v="329"/>
    <x v="0"/>
    <x v="2"/>
    <s v="CLFF_1000$$$VN50GPO005 XX_Procurement - Service"/>
    <s v="G000001130"/>
    <s v="G000001130"/>
    <s v="LFF (MDG-F)"/>
    <s v="VN50GPO005"/>
    <m/>
    <b v="1"/>
    <x v="0"/>
    <x v="3"/>
    <d v="2025-08-14T00:00:00"/>
    <m/>
    <m/>
    <x v="1"/>
    <n v="86"/>
    <s v="Jojeff Tagnong"/>
    <m/>
  </r>
  <r>
    <x v="329"/>
    <x v="0"/>
    <x v="2"/>
    <s v="CLFF_1000$$$ZA50GPO004 MGF Procurement"/>
    <s v="G000001130"/>
    <s v="G000001130"/>
    <s v="LFF (MDG-F)"/>
    <s v="ZA50GPO004"/>
    <m/>
    <b v="1"/>
    <x v="0"/>
    <x v="3"/>
    <d v="2025-08-14T00:00:00"/>
    <m/>
    <m/>
    <x v="1"/>
    <n v="86"/>
    <s v="Jojeff Tagnong"/>
    <m/>
  </r>
  <r>
    <x v="329"/>
    <x v="0"/>
    <x v="2"/>
    <s v="CLFF_7210$$$2031GPO004 Purchasing"/>
    <s v="G000001130"/>
    <s v="G000001130"/>
    <s v="LFF (MDG-F)"/>
    <s v="2031GPO004"/>
    <m/>
    <b v="1"/>
    <x v="0"/>
    <x v="3"/>
    <d v="2025-08-14T00:00:00"/>
    <m/>
    <m/>
    <x v="1"/>
    <n v="86"/>
    <s v="Jojeff Tagnong"/>
    <m/>
  </r>
  <r>
    <x v="329"/>
    <x v="0"/>
    <x v="2"/>
    <s v="CLFF_7210$$$2057GPO008 XX_Procurement CS&amp;EMEA"/>
    <s v="G000001130"/>
    <s v="G000001130"/>
    <s v="LFF (MDG-F)"/>
    <s v="2057GPO008"/>
    <m/>
    <b v="1"/>
    <x v="0"/>
    <x v="3"/>
    <d v="2025-08-14T00:00:00"/>
    <m/>
    <m/>
    <x v="1"/>
    <n v="86"/>
    <s v="Jojeff Tagnong"/>
    <m/>
  </r>
  <r>
    <x v="329"/>
    <x v="0"/>
    <x v="2"/>
    <s v="CLFF_7210$$$2102GPO003 PO-Americas"/>
    <s v="G000001130"/>
    <s v="G000001130"/>
    <s v="LFF (MDG-F)"/>
    <s v="2102GPO003"/>
    <m/>
    <b v="1"/>
    <x v="0"/>
    <x v="3"/>
    <d v="2025-08-14T00:00:00"/>
    <m/>
    <m/>
    <x v="1"/>
    <n v="86"/>
    <s v="Jojeff Tagnong"/>
    <m/>
  </r>
  <r>
    <x v="329"/>
    <x v="0"/>
    <x v="2"/>
    <s v="CLFF_7210$$$2123GPO001 PO Sourcing IT"/>
    <s v="G000001130"/>
    <s v="G000001130"/>
    <s v="LFF (MDG-F)"/>
    <s v="2123GPO001"/>
    <m/>
    <b v="1"/>
    <x v="0"/>
    <x v="3"/>
    <d v="2025-08-14T00:00:00"/>
    <m/>
    <m/>
    <x v="1"/>
    <n v="86"/>
    <s v="Jojeff Tagnong"/>
    <m/>
  </r>
  <r>
    <x v="329"/>
    <x v="0"/>
    <x v="2"/>
    <s v="CLFF_7210$$$2128L40014 2128 General Expenses"/>
    <s v="G000001130"/>
    <s v="G000001130"/>
    <s v="LFF (MDG-F)"/>
    <s v="2128L40014"/>
    <m/>
    <b v="1"/>
    <x v="0"/>
    <x v="3"/>
    <d v="2025-08-14T00:00:00"/>
    <m/>
    <m/>
    <x v="1"/>
    <n v="86"/>
    <s v="Jojeff Tagnong"/>
    <m/>
  </r>
  <r>
    <x v="329"/>
    <x v="0"/>
    <x v="2"/>
    <s v="CLFF_7210$$$2131GPO821 Procurement APAC"/>
    <s v="G000001130"/>
    <s v="G000001130"/>
    <s v="LFF (MDG-F)"/>
    <s v="2131GPO821"/>
    <m/>
    <b v="1"/>
    <x v="0"/>
    <x v="3"/>
    <d v="2025-08-14T00:00:00"/>
    <m/>
    <m/>
    <x v="1"/>
    <n v="86"/>
    <s v="Jojeff Tagnong"/>
    <m/>
  </r>
  <r>
    <x v="329"/>
    <x v="0"/>
    <x v="2"/>
    <s v="CLFF_KR00$$$KR03GPO001 Procurement APAC"/>
    <s v="G000001130"/>
    <s v="G000001130"/>
    <s v="LFF (MDG-F)"/>
    <s v="KR03GPO001"/>
    <m/>
    <b v="1"/>
    <x v="0"/>
    <x v="3"/>
    <d v="2025-08-14T00:00:00"/>
    <m/>
    <m/>
    <x v="1"/>
    <n v="86"/>
    <s v="Jojeff Tagnong"/>
    <m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86"/>
    <s v="Jojeff Tagnong"/>
    <m/>
  </r>
  <r>
    <x v="329"/>
    <x v="0"/>
    <x v="2"/>
    <s v="CLFF_VMCA$$$US10GPO022 Procurement Plant Serv. Amer."/>
    <s v="G000001130"/>
    <s v="G000001130"/>
    <s v="LFF (MDG-F)"/>
    <s v="US10GPO022"/>
    <m/>
    <b v="1"/>
    <x v="0"/>
    <x v="3"/>
    <d v="2025-08-14T00:00:00"/>
    <m/>
    <m/>
    <x v="1"/>
    <n v="86"/>
    <s v="Jojeff Tagnong"/>
    <m/>
  </r>
  <r>
    <x v="329"/>
    <x v="0"/>
    <x v="2"/>
    <s v="CLFF_VMCA$$$US10GPO024 Procurement Corp Serv. Amer."/>
    <s v="G000001130"/>
    <s v="G000001130"/>
    <s v="LFF (MDG-F)"/>
    <s v="US10GPO024"/>
    <m/>
    <b v="1"/>
    <x v="0"/>
    <x v="3"/>
    <d v="2025-08-14T00:00:00"/>
    <m/>
    <m/>
    <x v="1"/>
    <n v="86"/>
    <s v="Jojeff Tagnong"/>
    <m/>
  </r>
  <r>
    <x v="329"/>
    <x v="0"/>
    <x v="2"/>
    <s v="CNOW_7210$$$0000010415 PO - EMEA"/>
    <s v="G000001130"/>
    <s v="G000001130"/>
    <s v="Non-LFF"/>
    <s v=""/>
    <m/>
    <b v="1"/>
    <x v="0"/>
    <x v="3"/>
    <d v="2025-08-14T00:00:00"/>
    <m/>
    <m/>
    <x v="1"/>
    <n v="86"/>
    <s v="Jojeff Tagnong"/>
    <m/>
  </r>
  <r>
    <x v="329"/>
    <x v="0"/>
    <x v="2"/>
    <s v="CNOW_7210$$$0000010428 PO-IT Sourcing"/>
    <s v="G000001130"/>
    <s v="G000001130"/>
    <s v="Non-LFF"/>
    <s v=""/>
    <m/>
    <b v="1"/>
    <x v="0"/>
    <x v="3"/>
    <d v="2025-08-14T00:00:00"/>
    <m/>
    <m/>
    <x v="1"/>
    <n v="86"/>
    <s v="Jojeff Tagnong"/>
    <m/>
  </r>
  <r>
    <x v="329"/>
    <x v="0"/>
    <x v="2"/>
    <s v="CNOW_7210$$$0000021133 PO-Procurement-Americas"/>
    <s v="G000001130"/>
    <s v="G000001130"/>
    <s v="Non-LFF"/>
    <s v=""/>
    <m/>
    <b v="1"/>
    <x v="0"/>
    <x v="3"/>
    <d v="2025-08-14T00:00:00"/>
    <m/>
    <m/>
    <x v="1"/>
    <n v="86"/>
    <s v="Jojeff Tagnong"/>
    <m/>
  </r>
  <r>
    <x v="329"/>
    <x v="0"/>
    <x v="2"/>
    <s v="CNOW_7210$$$0000051807 PO-Plant Srv&amp;America"/>
    <s v="G000001130"/>
    <s v="G000001130"/>
    <s v="Non-LFF"/>
    <s v=""/>
    <m/>
    <b v="1"/>
    <x v="0"/>
    <x v="3"/>
    <d v="2025-08-14T00:00:00"/>
    <m/>
    <m/>
    <x v="1"/>
    <n v="86"/>
    <s v="Jojeff Tagnong"/>
    <m/>
  </r>
  <r>
    <x v="329"/>
    <x v="0"/>
    <x v="2"/>
    <s v="CNOW_7210$$$0000057192 PO Sourcing Corporate Services"/>
    <s v="G000001130"/>
    <s v="G000001130"/>
    <s v="Non-LFF"/>
    <s v=""/>
    <m/>
    <b v="1"/>
    <x v="0"/>
    <x v="3"/>
    <d v="2025-08-14T00:00:00"/>
    <m/>
    <m/>
    <x v="1"/>
    <n v="86"/>
    <s v="Jojeff Tagnong"/>
    <m/>
  </r>
  <r>
    <x v="329"/>
    <x v="0"/>
    <x v="2"/>
    <s v="CNOW_7210$$$0000057211 PO - Src. Plant Services"/>
    <s v="G000001130"/>
    <s v="G000001130"/>
    <s v="Non-LFF"/>
    <s v=""/>
    <m/>
    <b v="1"/>
    <x v="0"/>
    <x v="3"/>
    <d v="2025-08-14T00:00:00"/>
    <m/>
    <m/>
    <x v="1"/>
    <n v="86"/>
    <s v="Jojeff Tagnong"/>
    <m/>
  </r>
  <r>
    <x v="329"/>
    <x v="0"/>
    <x v="2"/>
    <s v="CNOW_ROW$$$$0000006106 Sourcing"/>
    <s v="G000001130"/>
    <s v="G000001130"/>
    <s v="Non-LFF"/>
    <s v=""/>
    <m/>
    <b v="1"/>
    <x v="0"/>
    <x v="3"/>
    <d v="2025-08-14T00:00:00"/>
    <m/>
    <m/>
    <x v="1"/>
    <n v="86"/>
    <s v="Jojeff Tagnong"/>
    <m/>
  </r>
  <r>
    <x v="329"/>
    <x v="0"/>
    <x v="2"/>
    <s v="CORAERP_MMOR1945.9866 Procurement Americas FR"/>
    <s v="G000001130"/>
    <s v="G000001130"/>
    <s v="Non-LFF"/>
    <s v=""/>
    <m/>
    <b v="1"/>
    <x v="0"/>
    <x v="3"/>
    <d v="2025-08-14T00:00:00"/>
    <m/>
    <m/>
    <x v="1"/>
    <n v="86"/>
    <s v="Jojeff Tagnong"/>
    <m/>
  </r>
  <r>
    <x v="329"/>
    <x v="0"/>
    <x v="2"/>
    <s v="CORAERP_MMOR1945.9868 Procurement EMEA"/>
    <s v="G000001130"/>
    <s v="G000001130"/>
    <s v="Non-LFF"/>
    <s v=""/>
    <m/>
    <b v="1"/>
    <x v="0"/>
    <x v="3"/>
    <d v="2025-08-14T00:00:00"/>
    <m/>
    <m/>
    <x v="1"/>
    <n v="86"/>
    <s v="Jojeff Tagnong"/>
    <m/>
  </r>
  <r>
    <x v="329"/>
    <x v="0"/>
    <x v="2"/>
    <s v="CORAERP_MMOR1975.2654 PO-P Site Services &amp; Utilities Sourcing"/>
    <s v="G000001130"/>
    <s v="G000001130"/>
    <s v="Non-LFF"/>
    <s v=""/>
    <m/>
    <b v="1"/>
    <x v="0"/>
    <x v="3"/>
    <d v="2025-08-14T00:00:00"/>
    <m/>
    <m/>
    <x v="1"/>
    <n v="86"/>
    <s v="Jojeff Tagnong"/>
    <m/>
  </r>
  <r>
    <x v="329"/>
    <x v="0"/>
    <x v="2"/>
    <s v="CORAERP_MMOR1975.2707 PO-MLF-M Flexible Sourcing"/>
    <s v="G000001130"/>
    <s v="G000001130"/>
    <s v="Non-LFF"/>
    <s v=""/>
    <m/>
    <b v="1"/>
    <x v="0"/>
    <x v="3"/>
    <d v="2025-08-14T00:00:00"/>
    <m/>
    <m/>
    <x v="1"/>
    <n v="86"/>
    <s v="Jojeff Tagnong"/>
    <m/>
  </r>
  <r>
    <x v="329"/>
    <x v="0"/>
    <x v="2"/>
    <s v="CORAERP_MMOR1975.2708 PO-C Sourcing Travel, Fleet &amp; Events"/>
    <s v="G000001130"/>
    <s v="G000001130"/>
    <s v="Non-LFF"/>
    <s v=""/>
    <m/>
    <b v="1"/>
    <x v="0"/>
    <x v="3"/>
    <d v="2025-08-14T00:00:00"/>
    <m/>
    <m/>
    <x v="1"/>
    <n v="86"/>
    <s v="Jojeff Tagnong"/>
    <m/>
  </r>
  <r>
    <x v="329"/>
    <x v="0"/>
    <x v="2"/>
    <s v="CORAERP_MMOR1975.2712 PO-E Global IT Procurement"/>
    <s v="G000001130"/>
    <s v="G000001130"/>
    <s v="Non-LFF"/>
    <s v=""/>
    <m/>
    <b v="1"/>
    <x v="0"/>
    <x v="3"/>
    <d v="2025-08-14T00:00:00"/>
    <m/>
    <m/>
    <x v="1"/>
    <n v="86"/>
    <s v="Jojeff Tagnong"/>
    <m/>
  </r>
  <r>
    <x v="329"/>
    <x v="0"/>
    <x v="2"/>
    <s v="CORAERP_MMOR1975.2720 PO EGM Glbl IT Transformation"/>
    <s v="G000001130"/>
    <s v="G000001130"/>
    <s v="Non-LFF"/>
    <s v=""/>
    <m/>
    <b v="1"/>
    <x v="0"/>
    <x v="3"/>
    <d v="2025-08-14T00:00:00"/>
    <m/>
    <m/>
    <x v="1"/>
    <n v="86"/>
    <s v="Jojeff Tagnong"/>
    <m/>
  </r>
  <r>
    <x v="329"/>
    <x v="0"/>
    <x v="2"/>
    <s v="CORAERP_MMOR1975.2983 PO Americas - Cross Charge"/>
    <s v="G000001130"/>
    <s v="G000001130"/>
    <s v="Non-LFF"/>
    <s v=""/>
    <m/>
    <b v="1"/>
    <x v="0"/>
    <x v="3"/>
    <d v="2025-08-14T00:00:00"/>
    <m/>
    <m/>
    <x v="1"/>
    <n v="86"/>
    <s v="Jojeff Tagnong"/>
    <m/>
  </r>
  <r>
    <x v="329"/>
    <x v="0"/>
    <x v="2"/>
    <s v="CORAERP_MMOR1975.2990 PO-P MRO Sourcing US"/>
    <s v="G000001130"/>
    <s v="G000001130"/>
    <s v="Non-LFF"/>
    <s v=""/>
    <m/>
    <b v="1"/>
    <x v="0"/>
    <x v="3"/>
    <d v="2025-08-14T00:00:00"/>
    <m/>
    <m/>
    <x v="1"/>
    <n v="86"/>
    <s v="Jojeff Tagnong"/>
    <m/>
  </r>
  <r>
    <x v="329"/>
    <x v="0"/>
    <x v="2"/>
    <s v="CSCALA_1042$PURC Procurement"/>
    <s v="G000001130"/>
    <s v="G000001130"/>
    <s v="Non-LFF"/>
    <s v=""/>
    <m/>
    <b v="1"/>
    <x v="0"/>
    <x v="3"/>
    <d v="2025-08-14T00:00:00"/>
    <m/>
    <m/>
    <x v="1"/>
    <n v="86"/>
    <s v="Jojeff Tagnong"/>
    <m/>
  </r>
  <r>
    <x v="329"/>
    <x v="0"/>
    <x v="2"/>
    <s v="CSCALA_1050$B33 Procurement Src. APAC"/>
    <s v="G000001130"/>
    <s v="G000001130"/>
    <s v="Non-LFF"/>
    <s v=""/>
    <m/>
    <b v="1"/>
    <x v="0"/>
    <x v="3"/>
    <d v="2025-08-14T00:00:00"/>
    <m/>
    <m/>
    <x v="1"/>
    <n v="86"/>
    <s v="Jojeff Tagnong"/>
    <m/>
  </r>
  <r>
    <x v="329"/>
    <x v="0"/>
    <x v="2"/>
    <s v="CSCALA_1923$B33 Procurement Src. APAC"/>
    <s v="G000001130"/>
    <s v="G000001130"/>
    <s v="Non-LFF"/>
    <s v=""/>
    <m/>
    <b v="1"/>
    <x v="0"/>
    <x v="3"/>
    <d v="2025-08-14T00:00:00"/>
    <m/>
    <m/>
    <x v="1"/>
    <n v="86"/>
    <s v="Jojeff Tagnong"/>
    <m/>
  </r>
  <r>
    <x v="329"/>
    <x v="0"/>
    <x v="2"/>
    <s v="CTEMPEU_1000FR10700800 PO-Plant Srv&amp;America"/>
    <s v="G000001130"/>
    <s v="G000001130"/>
    <s v="Non-LFF"/>
    <s v=""/>
    <m/>
    <b v="1"/>
    <x v="0"/>
    <x v="3"/>
    <d v="2025-08-14T00:00:00"/>
    <m/>
    <m/>
    <x v="1"/>
    <n v="86"/>
    <s v="Jojeff Tagnong"/>
    <m/>
  </r>
  <r>
    <x v="329"/>
    <x v="0"/>
    <x v="2"/>
    <s v="CTEMPEU_1000FR40700803 PO-Plant Srv&amp;America"/>
    <s v="G000001130"/>
    <s v="G000001130"/>
    <s v="Non-LFF"/>
    <s v=""/>
    <m/>
    <b v="1"/>
    <x v="0"/>
    <x v="3"/>
    <d v="2025-08-14T00:00:00"/>
    <m/>
    <m/>
    <x v="1"/>
    <n v="86"/>
    <s v="Jojeff Tagnong"/>
    <m/>
  </r>
  <r>
    <x v="329"/>
    <x v="0"/>
    <x v="2"/>
    <s v="CTEMPEU_1000FR40700839 PO-PlantSrv&amp;Ame Refa"/>
    <s v="G000001130"/>
    <s v="G000001130"/>
    <s v="Non-LFF"/>
    <s v=""/>
    <m/>
    <b v="1"/>
    <x v="0"/>
    <x v="3"/>
    <d v="2025-08-14T00:00:00"/>
    <m/>
    <m/>
    <x v="1"/>
    <n v="86"/>
    <s v="Jojeff Tagnong"/>
    <m/>
  </r>
  <r>
    <x v="329"/>
    <x v="0"/>
    <x v="2"/>
    <s v="CTEMPEU_1000FR60715000 PO-Plant Srv&amp;America"/>
    <s v="G000001130"/>
    <s v="G000001130"/>
    <s v="Non-LFF"/>
    <s v=""/>
    <m/>
    <b v="1"/>
    <x v="0"/>
    <x v="3"/>
    <d v="2025-08-14T00:00:00"/>
    <m/>
    <m/>
    <x v="1"/>
    <n v="86"/>
    <s v="Jojeff Tagnong"/>
    <m/>
  </r>
  <r>
    <x v="329"/>
    <x v="0"/>
    <x v="2"/>
    <s v="CTEMPEU_1000FR90700803 PO-Plant Srv&amp;America"/>
    <s v="G000001130"/>
    <s v="G000001130"/>
    <s v="Non-LFF"/>
    <s v=""/>
    <m/>
    <b v="1"/>
    <x v="0"/>
    <x v="3"/>
    <d v="2025-08-14T00:00:00"/>
    <m/>
    <m/>
    <x v="1"/>
    <n v="86"/>
    <s v="Jojeff Tagnong"/>
    <m/>
  </r>
  <r>
    <x v="329"/>
    <x v="0"/>
    <x v="2"/>
    <s v="CTEMPEU_1000NL40AD0079 XXXProcurement"/>
    <s v="G000001130"/>
    <s v="G000001130"/>
    <s v="Non-LFF"/>
    <s v=""/>
    <m/>
    <b v="1"/>
    <x v="0"/>
    <x v="3"/>
    <d v="2025-08-14T00:00:00"/>
    <m/>
    <m/>
    <x v="1"/>
    <n v="86"/>
    <s v="Jojeff Tagnong"/>
    <m/>
  </r>
  <r>
    <x v="329"/>
    <x v="0"/>
    <x v="2"/>
    <s v="CTEMPEU_1000PL10C04000 Purchasing"/>
    <s v="G000001130"/>
    <s v="G000001130"/>
    <s v="Non-LFF"/>
    <s v=""/>
    <m/>
    <b v="1"/>
    <x v="0"/>
    <x v="3"/>
    <d v="2025-08-14T00:00:00"/>
    <m/>
    <m/>
    <x v="1"/>
    <n v="86"/>
    <s v="Jojeff Tagnong"/>
    <m/>
  </r>
  <r>
    <x v="329"/>
    <x v="0"/>
    <x v="2"/>
    <s v="CTEMPEU_1000PL10C04500 Procurement"/>
    <s v="G000001130"/>
    <s v="G000001130"/>
    <s v="Non-LFF"/>
    <s v=""/>
    <m/>
    <b v="1"/>
    <x v="0"/>
    <x v="3"/>
    <d v="2025-08-14T00:00:00"/>
    <m/>
    <m/>
    <x v="1"/>
    <n v="86"/>
    <s v="Jojeff Tagnong"/>
    <m/>
  </r>
  <r>
    <x v="329"/>
    <x v="0"/>
    <x v="2"/>
    <s v="CTEMPEU_1000PL80000020 PO Digital IT Sourcing"/>
    <s v="G000001130"/>
    <s v="G000001130"/>
    <s v="Non-LFF"/>
    <s v=""/>
    <m/>
    <b v="1"/>
    <x v="0"/>
    <x v="3"/>
    <d v="2025-08-14T00:00:00"/>
    <m/>
    <m/>
    <x v="1"/>
    <n v="86"/>
    <s v="Jojeff Tagnong"/>
    <m/>
  </r>
  <r>
    <x v="329"/>
    <x v="0"/>
    <x v="2"/>
    <s v="CTEMPEU_1000TR10ADP200 XXXPO - Corp. Serv. / EMEA - Tier 2"/>
    <s v="G000001130"/>
    <s v="G000001130"/>
    <s v="Non-LFF"/>
    <s v=""/>
    <m/>
    <b v="1"/>
    <x v="0"/>
    <x v="3"/>
    <d v="2025-08-14T00:00:00"/>
    <m/>
    <m/>
    <x v="1"/>
    <n v="86"/>
    <s v="Jojeff Tagnong"/>
    <m/>
  </r>
  <r>
    <x v="329"/>
    <x v="0"/>
    <x v="2"/>
    <s v="CTEMPLA_1000AR10310006 XXXProcurement"/>
    <s v="G000001130"/>
    <s v="G000001130"/>
    <s v="Non-LFF"/>
    <s v=""/>
    <m/>
    <b v="1"/>
    <x v="0"/>
    <x v="3"/>
    <d v="2025-08-14T00:00:00"/>
    <m/>
    <m/>
    <x v="1"/>
    <n v="86"/>
    <s v="Jojeff Tagnong"/>
    <m/>
  </r>
  <r>
    <x v="329"/>
    <x v="0"/>
    <x v="2"/>
    <s v="CTEMPLA_1000BR10302210 Procurement Americas"/>
    <s v="G000001130"/>
    <s v="G000001130"/>
    <s v="Non-LFF"/>
    <s v=""/>
    <m/>
    <b v="1"/>
    <x v="0"/>
    <x v="3"/>
    <d v="2025-08-14T00:00:00"/>
    <m/>
    <m/>
    <x v="1"/>
    <n v="86"/>
    <s v="Jojeff Tagnong"/>
    <m/>
  </r>
  <r>
    <x v="329"/>
    <x v="0"/>
    <x v="2"/>
    <s v="CTEMPLA_1000CO10100510 XXXPROCUREMENT"/>
    <s v="G000001130"/>
    <s v="G000001130"/>
    <s v="Non-LFF"/>
    <s v=""/>
    <m/>
    <b v="1"/>
    <x v="0"/>
    <x v="3"/>
    <d v="2025-08-14T00:00:00"/>
    <m/>
    <m/>
    <x v="1"/>
    <n v="86"/>
    <s v="Jojeff Tagnong"/>
    <m/>
  </r>
  <r>
    <x v="329"/>
    <x v="0"/>
    <x v="2"/>
    <s v="CTEMPLA_1000GT10ZZ0A30 XXXADM - CP- Sourcing"/>
    <s v="G000001130"/>
    <s v="G000001130"/>
    <s v="Non-LFF"/>
    <s v=""/>
    <m/>
    <b v="1"/>
    <x v="0"/>
    <x v="3"/>
    <d v="2025-08-14T00:00:00"/>
    <m/>
    <m/>
    <x v="1"/>
    <n v="86"/>
    <s v="Jojeff Tagnong"/>
    <m/>
  </r>
  <r>
    <x v="329"/>
    <x v="0"/>
    <x v="2"/>
    <s v="CTEMPLA_1000GT10ZZ1A30 ADM - PO - Procurement EMEA"/>
    <s v="G000001130"/>
    <s v="G000001130"/>
    <s v="Non-LFF"/>
    <s v=""/>
    <m/>
    <b v="1"/>
    <x v="0"/>
    <x v="3"/>
    <d v="2025-08-14T00:00:00"/>
    <m/>
    <m/>
    <x v="1"/>
    <n v="86"/>
    <s v="Jojeff Tagnong"/>
    <m/>
  </r>
  <r>
    <x v="329"/>
    <x v="0"/>
    <x v="2"/>
    <s v="CTEMPLA_1000MX10501006 PO-Procurement-Americas"/>
    <s v="G000001130"/>
    <s v="G000001130"/>
    <s v="Non-LFF"/>
    <s v=""/>
    <m/>
    <b v="1"/>
    <x v="0"/>
    <x v="3"/>
    <d v="2025-08-14T00:00:00"/>
    <m/>
    <m/>
    <x v="1"/>
    <n v="86"/>
    <s v="Jojeff Tagnong"/>
    <m/>
  </r>
  <r>
    <x v="329"/>
    <x v="0"/>
    <x v="2"/>
    <s v="CTEMPLA_1000PE10760000 XXXXXXPROCUREMENT"/>
    <s v="G000001130"/>
    <s v="G000001130"/>
    <s v="Non-LFF"/>
    <s v=""/>
    <m/>
    <b v="1"/>
    <x v="0"/>
    <x v="3"/>
    <d v="2025-08-14T00:00:00"/>
    <m/>
    <m/>
    <x v="1"/>
    <n v="86"/>
    <s v="Jojeff Tagnong"/>
    <m/>
  </r>
  <r>
    <x v="329"/>
    <x v="0"/>
    <x v="2"/>
    <s v="CTEMPLA_1000UY10050029 XXXPO Src Plant Srvc-Am"/>
    <s v="G000001130"/>
    <s v="G000001130"/>
    <s v="Non-LFF"/>
    <s v=""/>
    <m/>
    <b v="1"/>
    <x v="0"/>
    <x v="3"/>
    <d v="2025-08-14T00:00:00"/>
    <m/>
    <m/>
    <x v="1"/>
    <n v="86"/>
    <s v="Jojeff Tagnong"/>
    <m/>
  </r>
  <r>
    <x v="329"/>
    <x v="0"/>
    <x v="2"/>
    <s v="CTEMPLA_1000UY10GPO004 Site Operations Sourcing Americas"/>
    <s v="G000001130"/>
    <s v="G000001130"/>
    <s v="Non-LFF"/>
    <s v=""/>
    <m/>
    <b v="1"/>
    <x v="0"/>
    <x v="3"/>
    <d v="2025-08-14T00:00:00"/>
    <m/>
    <m/>
    <x v="1"/>
    <n v="86"/>
    <s v="Jojeff Tagnong"/>
    <m/>
  </r>
  <r>
    <x v="329"/>
    <x v="0"/>
    <x v="2"/>
    <s v="CTEMPNA_1000US20CA8801 PO Americas"/>
    <s v="G000001130"/>
    <s v="G000001130"/>
    <s v="Non-LFF"/>
    <s v=""/>
    <m/>
    <b v="1"/>
    <x v="0"/>
    <x v="3"/>
    <d v="2025-08-14T00:00:00"/>
    <m/>
    <m/>
    <x v="1"/>
    <n v="86"/>
    <s v="Jojeff Tagnong"/>
    <m/>
  </r>
  <r>
    <x v="329"/>
    <x v="0"/>
    <x v="2"/>
    <s v="CTEMPNA_1000US20CA8804 PO EMEA"/>
    <s v="G000001130"/>
    <s v="G000001130"/>
    <s v="Non-LFF"/>
    <s v=""/>
    <m/>
    <b v="1"/>
    <x v="0"/>
    <x v="3"/>
    <d v="2025-08-14T00:00:00"/>
    <m/>
    <m/>
    <x v="1"/>
    <n v="86"/>
    <s v="Jojeff Tagnong"/>
    <m/>
  </r>
  <r>
    <x v="329"/>
    <x v="0"/>
    <x v="2"/>
    <s v="CTEMPNA_1000US30CA8800 PO America"/>
    <s v="G000001130"/>
    <s v="G000001130"/>
    <s v="Non-LFF"/>
    <s v=""/>
    <m/>
    <b v="1"/>
    <x v="0"/>
    <x v="3"/>
    <d v="2025-08-14T00:00:00"/>
    <m/>
    <m/>
    <x v="1"/>
    <n v="86"/>
    <s v="Jojeff Tagnong"/>
    <m/>
  </r>
  <r>
    <x v="329"/>
    <x v="0"/>
    <x v="2"/>
    <s v="CTEMPNA_1000US30CA8804 PO EMEA"/>
    <s v="G000001130"/>
    <s v="G000001130"/>
    <s v="Non-LFF"/>
    <s v=""/>
    <m/>
    <b v="1"/>
    <x v="0"/>
    <x v="3"/>
    <d v="2025-08-14T00:00:00"/>
    <m/>
    <m/>
    <x v="1"/>
    <n v="86"/>
    <s v="Jojeff Tagnong"/>
    <m/>
  </r>
  <r>
    <x v="329"/>
    <x v="0"/>
    <x v="2"/>
    <s v="CTEMPNA_1000US30CA8805 PO IT"/>
    <s v="G000001130"/>
    <s v="G000001130"/>
    <s v="Non-LFF"/>
    <s v=""/>
    <m/>
    <b v="1"/>
    <x v="0"/>
    <x v="3"/>
    <d v="2025-08-14T00:00:00"/>
    <m/>
    <m/>
    <x v="1"/>
    <n v="86"/>
    <s v="Jojeff Tagnong"/>
    <m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86"/>
    <s v="Lakshmi Shree"/>
    <m/>
  </r>
  <r>
    <x v="331"/>
    <x v="0"/>
    <x v="2"/>
    <s v="PLEAN_X310511VN5015200 MAV COM Other promotion"/>
    <s v="H000001323"/>
    <s v="H000001323"/>
    <s v="Non-LFF"/>
    <s v=""/>
    <m/>
    <b v="1"/>
    <x v="1"/>
    <x v="3"/>
    <d v="2025-08-15T00:00:00"/>
    <m/>
    <m/>
    <x v="1"/>
    <n v="85"/>
    <s v="Maria Rosario Go"/>
    <m/>
  </r>
  <r>
    <x v="331"/>
    <x v="0"/>
    <x v="2"/>
    <s v="PLEAN_X310172VN5020300 BAV MED Education"/>
    <s v="H000001331"/>
    <s v="H000001331"/>
    <s v="Non-LFF"/>
    <s v=""/>
    <m/>
    <b v="1"/>
    <x v="1"/>
    <x v="3"/>
    <d v="2025-08-15T00:00:00"/>
    <m/>
    <m/>
    <x v="1"/>
    <n v="85"/>
    <s v="Maria Rosario Go"/>
    <m/>
  </r>
  <r>
    <x v="331"/>
    <x v="0"/>
    <x v="2"/>
    <s v="PLEAN_X310172VN5022300 BAV MED Consultants"/>
    <s v="H000001331"/>
    <s v="H000001331"/>
    <s v="Non-LFF"/>
    <s v=""/>
    <m/>
    <b v="1"/>
    <x v="1"/>
    <x v="3"/>
    <d v="2025-08-15T00:00:00"/>
    <m/>
    <m/>
    <x v="1"/>
    <n v="85"/>
    <s v="Maria Rosario Go"/>
    <m/>
  </r>
  <r>
    <x v="331"/>
    <x v="0"/>
    <x v="2"/>
    <s v="PLEAN_X310172VN5023300 BAV MED Other activities (non-R&amp;D)"/>
    <s v="H000001333"/>
    <s v="H000001333"/>
    <s v="Non-LFF"/>
    <s v=""/>
    <m/>
    <b v="1"/>
    <x v="1"/>
    <x v="3"/>
    <d v="2025-08-15T00:00:00"/>
    <m/>
    <m/>
    <x v="1"/>
    <n v="85"/>
    <s v="Maria Rosario Go"/>
    <m/>
  </r>
  <r>
    <x v="331"/>
    <x v="0"/>
    <x v="2"/>
    <s v="PLEAN_X310511VN5010200 MAV COM Promotion material"/>
    <s v="H000001323"/>
    <s v="H000001323"/>
    <s v="Non-LFF"/>
    <s v=""/>
    <m/>
    <b v="1"/>
    <x v="1"/>
    <x v="3"/>
    <d v="2025-08-15T00:00:00"/>
    <m/>
    <m/>
    <x v="1"/>
    <n v="85"/>
    <s v="Maria Rosario Go"/>
    <m/>
  </r>
  <r>
    <x v="331"/>
    <x v="0"/>
    <x v="2"/>
    <s v="PLEAN_X310171VN5013200 BAV COM Congresses and events"/>
    <s v="H000001323"/>
    <s v="H000001323"/>
    <s v="Non-LFF"/>
    <s v=""/>
    <m/>
    <b v="1"/>
    <x v="1"/>
    <x v="3"/>
    <d v="2025-08-15T00:00:00"/>
    <m/>
    <m/>
    <x v="1"/>
    <n v="85"/>
    <s v="Maria Rosario Go"/>
    <m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85"/>
    <s v="Maria Rosario Go"/>
    <m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85"/>
    <s v="Maria Rosario Go"/>
    <m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85"/>
    <s v="Maria Rosario Go"/>
    <m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85"/>
    <s v="Maria Rosario Go"/>
    <m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85"/>
    <s v="Maria Rosario Go"/>
    <m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85"/>
    <s v="Maria Rosario Go"/>
    <m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85"/>
    <s v="Maria Rosario Go"/>
    <m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85"/>
    <s v="Maria Rosario Go"/>
    <m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85"/>
    <s v="Maria Rosario Go"/>
    <m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85"/>
    <s v="Maria Rosario Go"/>
    <m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85"/>
    <s v="Maria Rosario Go"/>
    <m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85"/>
    <s v="Maria Rosario Go"/>
    <m/>
  </r>
  <r>
    <x v="333"/>
    <x v="0"/>
    <x v="2"/>
    <s v="CEMERAL_70006502522500 Erbitux _Risk Sharing Program_NHIS"/>
    <s v="H000001225"/>
    <s v="H000001225"/>
    <s v="Non-LFF"/>
    <s v=""/>
    <m/>
    <b v="1"/>
    <x v="1"/>
    <x v="3"/>
    <d v="2025-08-15T00:00:00"/>
    <m/>
    <m/>
    <x v="1"/>
    <n v="85"/>
    <s v="Maria Rosario Go"/>
    <m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84"/>
    <s v="Roselle Delos Angeles"/>
    <m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84"/>
    <s v="Roselle Delos Angeles"/>
    <m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84"/>
    <s v="Roselle Delos Angeles"/>
    <m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84"/>
    <s v="Roselle Delos Angeles"/>
    <m/>
  </r>
  <r>
    <x v="334"/>
    <x v="0"/>
    <x v="2"/>
    <s v="D00130000000000 BOE-OLED-Mobile-NT3"/>
    <s v="P000001228"/>
    <s v="P000001228"/>
    <s v="Non-LFF"/>
    <s v=""/>
    <m/>
    <b v="1"/>
    <x v="3"/>
    <x v="3"/>
    <d v="2025-08-18T00:00:00"/>
    <m/>
    <m/>
    <x v="1"/>
    <n v="84"/>
    <s v="Roselle Delos Angeles"/>
    <m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84"/>
    <s v="John Rowie Del Rosario"/>
    <m/>
  </r>
  <r>
    <x v="336"/>
    <x v="0"/>
    <x v="2"/>
    <s v="PLEAN_X310281CN5015008 PI COM PROM OTH MR on TGCT"/>
    <s v="H000004390"/>
    <s v="H000004390"/>
    <s v="Non-LFF"/>
    <s v=""/>
    <m/>
    <b v="1"/>
    <x v="1"/>
    <x v="3"/>
    <d v="2025-08-18T00:00:00"/>
    <m/>
    <m/>
    <x v="1"/>
    <n v="84"/>
    <s v="John Poulie Borromeo"/>
    <m/>
  </r>
  <r>
    <x v="336"/>
    <x v="0"/>
    <x v="2"/>
    <s v="PLEAN_X310282CN5020305 PI MED MED EDU DSA to HCP: Medical educa"/>
    <s v="H000004392"/>
    <s v="H000004392"/>
    <s v="Non-LFF"/>
    <s v=""/>
    <m/>
    <b v="1"/>
    <x v="1"/>
    <x v="3"/>
    <d v="2025-08-18T00:00:00"/>
    <m/>
    <m/>
    <x v="1"/>
    <n v="84"/>
    <s v="John Poulie Borromeo"/>
    <m/>
  </r>
  <r>
    <x v="336"/>
    <x v="0"/>
    <x v="2"/>
    <s v="PLEAN_X310282CN5023303 PI MED MED OTH Data Generation: Publicat"/>
    <s v="H000004392"/>
    <s v="H000004392"/>
    <s v="Non-LFF"/>
    <s v=""/>
    <m/>
    <b v="1"/>
    <x v="1"/>
    <x v="3"/>
    <d v="2025-08-18T00:00:00"/>
    <m/>
    <m/>
    <x v="1"/>
    <n v="84"/>
    <s v="John Poulie Borromeo"/>
    <m/>
  </r>
  <r>
    <x v="336"/>
    <x v="0"/>
    <x v="2"/>
    <s v="PLEAN_X310282CN5023302 PIMI MED MED OTH ASCO campaign"/>
    <s v="H000004392"/>
    <s v="H000004392"/>
    <s v="Non-LFF"/>
    <s v=""/>
    <m/>
    <b v="1"/>
    <x v="1"/>
    <x v="3"/>
    <d v="2025-08-18T00:00:00"/>
    <m/>
    <m/>
    <x v="1"/>
    <n v="84"/>
    <s v="John Poulie Borromeo"/>
    <m/>
  </r>
  <r>
    <x v="336"/>
    <x v="0"/>
    <x v="2"/>
    <s v="PLEAN_X310282CN5023304 PI MED MED OTH Medical Strategy Readines"/>
    <s v="H000004392"/>
    <s v="H000004392"/>
    <s v="Non-LFF"/>
    <s v=""/>
    <m/>
    <b v="1"/>
    <x v="1"/>
    <x v="3"/>
    <d v="2025-08-18T00:00:00"/>
    <m/>
    <m/>
    <x v="1"/>
    <n v="84"/>
    <s v="John Poulie Borromeo"/>
    <m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84"/>
    <s v="John Poulie Borromeo"/>
    <m/>
  </r>
  <r>
    <x v="336"/>
    <x v="0"/>
    <x v="2"/>
    <s v="PLEAN_X310101CN5013356 ERB COM C&amp;E ONC H&amp;N-Case Sharing"/>
    <s v="H000001422"/>
    <s v="H000001422"/>
    <s v="Non-LFF"/>
    <s v=""/>
    <m/>
    <b v="1"/>
    <x v="1"/>
    <x v="3"/>
    <d v="2025-08-18T00:00:00"/>
    <m/>
    <m/>
    <x v="1"/>
    <n v="84"/>
    <s v="John Poulie Borromeo"/>
    <m/>
  </r>
  <r>
    <x v="336"/>
    <x v="0"/>
    <x v="2"/>
    <s v="PLEAN_X310101CN5013357 ERB COM C&amp;E ONC H&amp;N-Roadshow"/>
    <s v="H000001422"/>
    <s v="H000001422"/>
    <s v="Non-LFF"/>
    <s v=""/>
    <m/>
    <b v="1"/>
    <x v="1"/>
    <x v="3"/>
    <d v="2025-08-18T00:00:00"/>
    <m/>
    <m/>
    <x v="1"/>
    <n v="84"/>
    <s v="John Poulie Borromeo"/>
    <m/>
  </r>
  <r>
    <x v="336"/>
    <x v="0"/>
    <x v="2"/>
    <s v="PLEAN_X310101CN5013358 ERB COM C&amp;E AI Chatbot upgrade &amp; promoti"/>
    <s v="H000001422"/>
    <s v="H000001422"/>
    <s v="Non-LFF"/>
    <s v=""/>
    <m/>
    <b v="1"/>
    <x v="1"/>
    <x v="3"/>
    <d v="2025-08-18T00:00:00"/>
    <m/>
    <m/>
    <x v="1"/>
    <n v="84"/>
    <s v="John Poulie Borromeo"/>
    <m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84"/>
    <s v="John Poulie Borromeo"/>
    <m/>
  </r>
  <r>
    <x v="336"/>
    <x v="0"/>
    <x v="2"/>
    <s v="PLEAN_X310101CN5013362 ERB COM C&amp;E Data purchasing"/>
    <s v="H000001422"/>
    <s v="H000001422"/>
    <s v="Non-LFF"/>
    <s v=""/>
    <m/>
    <b v="1"/>
    <x v="1"/>
    <x v="3"/>
    <d v="2025-08-18T00:00:00"/>
    <m/>
    <m/>
    <x v="1"/>
    <n v="84"/>
    <s v="John Poulie Borromeo"/>
    <m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84"/>
    <s v="John Poulie Borromeo"/>
    <m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83"/>
    <s v="John Poulie Borromeo"/>
    <m/>
  </r>
  <r>
    <x v="337"/>
    <x v="0"/>
    <x v="2"/>
    <s v="CNOW_ROW$$$$0000091869 Health care Field force"/>
    <s v="H000000396"/>
    <s v="H000000396"/>
    <s v="Non-LFF"/>
    <s v=""/>
    <m/>
    <b v="1"/>
    <x v="1"/>
    <x v="3"/>
    <d v="2025-08-19T00:00:00"/>
    <m/>
    <m/>
    <x v="1"/>
    <n v="83"/>
    <s v="John Poulie Borromeo"/>
    <m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83"/>
    <s v="John Poulie Borromeo"/>
    <m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83"/>
    <s v="John Poulie Borromeo"/>
    <m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83"/>
    <s v="John Poulie Borromeo"/>
    <m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83"/>
    <s v="John Poulie Borromeo"/>
    <m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83"/>
    <s v="John Poulie Borromeo"/>
    <m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83"/>
    <s v="John Poulie Borromeo"/>
    <m/>
  </r>
  <r>
    <x v="338"/>
    <x v="0"/>
    <x v="2"/>
    <s v="ITEMPEU_001500001762 "/>
    <s v="L000013461"/>
    <s v="L000013461"/>
    <s v="Non-LFF"/>
    <s v=""/>
    <m/>
    <b v="1"/>
    <x v="2"/>
    <x v="3"/>
    <d v="2025-08-19T00:00:00"/>
    <m/>
    <m/>
    <x v="1"/>
    <n v="83"/>
    <s v="Ruby Grace Garcia"/>
    <m/>
  </r>
  <r>
    <x v="338"/>
    <x v="0"/>
    <x v="2"/>
    <s v="ITEMPEU_001500001763 "/>
    <s v="L000013461"/>
    <s v="L000013461"/>
    <s v="Non-LFF"/>
    <s v=""/>
    <m/>
    <b v="1"/>
    <x v="2"/>
    <x v="3"/>
    <d v="2025-08-19T00:00:00"/>
    <m/>
    <m/>
    <x v="1"/>
    <n v="83"/>
    <s v="Ruby Grace Garcia"/>
    <m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83"/>
    <s v="Lakshmi Shree"/>
    <m/>
  </r>
  <r>
    <x v="340"/>
    <x v="0"/>
    <x v="2"/>
    <s v="CSCALA_1248$PSDO "/>
    <s v="L000013858"/>
    <s v="L000013858"/>
    <s v="Non-LFF"/>
    <s v=""/>
    <m/>
    <b v="1"/>
    <x v="2"/>
    <x v="3"/>
    <d v="2025-08-19T00:00:00"/>
    <m/>
    <m/>
    <x v="1"/>
    <n v="83"/>
    <s v="Joan Rose Pena"/>
    <m/>
  </r>
  <r>
    <x v="341"/>
    <x v="0"/>
    <x v="2"/>
    <s v="CNOW_7210$$$0000021316 Applied Solutions BRM Patent Fees"/>
    <s v="G000001283"/>
    <s v="G000001283"/>
    <s v="Non-LFF"/>
    <s v=""/>
    <m/>
    <b v="1"/>
    <x v="2"/>
    <x v="3"/>
    <d v="2025-08-22T00:00:00"/>
    <m/>
    <m/>
    <x v="1"/>
    <n v="80"/>
    <s v="Ruby Grace Garcia"/>
    <m/>
  </r>
  <r>
    <x v="341"/>
    <x v="0"/>
    <x v="2"/>
    <s v="CORAERP_MMOR1975.6122 AS - BRM Patent Fees"/>
    <s v="G000001283"/>
    <s v="G000001283"/>
    <s v="Non-LFF"/>
    <s v=""/>
    <m/>
    <b v="1"/>
    <x v="2"/>
    <x v="3"/>
    <d v="2025-08-22T00:00:00"/>
    <m/>
    <m/>
    <x v="1"/>
    <n v="80"/>
    <s v="Ruby Grace Garcia"/>
    <m/>
  </r>
  <r>
    <x v="341"/>
    <x v="0"/>
    <x v="2"/>
    <s v="IPHOENX_000001500022 Patent Costs BRM Immunoassays"/>
    <s v="G000001283"/>
    <s v="G000001283"/>
    <s v="Non-LFF"/>
    <s v=""/>
    <m/>
    <b v="1"/>
    <x v="2"/>
    <x v="3"/>
    <d v="2025-08-22T00:00:00"/>
    <m/>
    <m/>
    <x v="1"/>
    <n v="80"/>
    <s v="Ruby Grace Garcia"/>
    <m/>
  </r>
  <r>
    <x v="341"/>
    <x v="0"/>
    <x v="2"/>
    <s v="CNOW_7210$$$0000020548 PS-GENM Patent Fees"/>
    <s v="G000001283"/>
    <s v="G000001283"/>
    <s v="Non-LFF"/>
    <s v=""/>
    <m/>
    <b v="1"/>
    <x v="2"/>
    <x v="3"/>
    <d v="2025-08-22T00:00:00"/>
    <m/>
    <m/>
    <x v="1"/>
    <n v="80"/>
    <s v="Ruby Grace Garcia"/>
    <m/>
  </r>
  <r>
    <x v="341"/>
    <x v="0"/>
    <x v="2"/>
    <s v="CORAERP_MMOR1975.6123 PS-GENM Patent Fees"/>
    <s v="G000001283"/>
    <s v="G000001283"/>
    <s v="Non-LFF"/>
    <s v=""/>
    <m/>
    <b v="1"/>
    <x v="2"/>
    <x v="3"/>
    <d v="2025-08-22T00:00:00"/>
    <m/>
    <m/>
    <x v="1"/>
    <n v="80"/>
    <s v="Ruby Grace Garcia"/>
    <m/>
  </r>
  <r>
    <x v="341"/>
    <x v="0"/>
    <x v="2"/>
    <s v="IPHOENX_000001500003 Patent Costs Bioscience; KGaA"/>
    <s v="G000001283"/>
    <s v="G000001283"/>
    <s v="Non-LFF"/>
    <s v=""/>
    <m/>
    <b v="1"/>
    <x v="2"/>
    <x v="3"/>
    <d v="2025-08-22T00:00:00"/>
    <m/>
    <m/>
    <x v="1"/>
    <n v="80"/>
    <s v="Ruby Grace Garcia"/>
    <m/>
  </r>
  <r>
    <x v="341"/>
    <x v="0"/>
    <x v="2"/>
    <s v="IPHOENX_000001500014 Patent Cost/AA-Inorganic Reagents"/>
    <s v="G000001283"/>
    <s v="G000001283"/>
    <s v="Non-LFF"/>
    <s v=""/>
    <m/>
    <b v="1"/>
    <x v="2"/>
    <x v="3"/>
    <d v="2025-08-22T00:00:00"/>
    <m/>
    <m/>
    <x v="1"/>
    <n v="80"/>
    <s v="Ruby Grace Garcia"/>
    <m/>
  </r>
  <r>
    <x v="341"/>
    <x v="0"/>
    <x v="2"/>
    <s v="CNOW_7210$$$0000021315 Research Solution Patent Fees"/>
    <s v="G000001283"/>
    <s v="G000001283"/>
    <s v="Non-LFF"/>
    <s v=""/>
    <m/>
    <b v="1"/>
    <x v="2"/>
    <x v="3"/>
    <d v="2025-08-22T00:00:00"/>
    <m/>
    <m/>
    <x v="1"/>
    <n v="80"/>
    <s v="Ruby Grace Garcia"/>
    <m/>
  </r>
  <r>
    <x v="341"/>
    <x v="0"/>
    <x v="2"/>
    <s v="CORAERP_MMOR1975.9072 RS - RS Patent Fees"/>
    <s v="G000001283"/>
    <s v="G000001283"/>
    <s v="Non-LFF"/>
    <s v=""/>
    <m/>
    <b v="1"/>
    <x v="2"/>
    <x v="3"/>
    <d v="2025-08-22T00:00:00"/>
    <m/>
    <m/>
    <x v="1"/>
    <n v="80"/>
    <s v="Ruby Grace Garcia"/>
    <m/>
  </r>
  <r>
    <x v="341"/>
    <x v="0"/>
    <x v="2"/>
    <s v="CORAERP_MMOR1099.6730 PS - FDS PATENT FEES"/>
    <s v="G000001283"/>
    <s v="G000001283"/>
    <s v="Non-LFF"/>
    <s v=""/>
    <m/>
    <b v="1"/>
    <x v="2"/>
    <x v="3"/>
    <d v="2025-08-22T00:00:00"/>
    <m/>
    <m/>
    <x v="1"/>
    <n v="80"/>
    <s v="Ruby Grace Garcia"/>
    <m/>
  </r>
  <r>
    <x v="341"/>
    <x v="0"/>
    <x v="2"/>
    <s v="CORAERP_MMOR1975.6730 PS - FDS PATENT FEES"/>
    <s v="G000001283"/>
    <s v="G000001283"/>
    <s v="Non-LFF"/>
    <s v=""/>
    <m/>
    <b v="1"/>
    <x v="2"/>
    <x v="3"/>
    <d v="2025-08-22T00:00:00"/>
    <m/>
    <m/>
    <x v="1"/>
    <n v="80"/>
    <s v="Ruby Grace Garcia"/>
    <m/>
  </r>
  <r>
    <x v="341"/>
    <x v="0"/>
    <x v="2"/>
    <s v="CORAERP_MMOR1975.6534 AS - LabW Patent Fees"/>
    <s v="G000001283"/>
    <s v="G000001283"/>
    <s v="Non-LFF"/>
    <s v=""/>
    <m/>
    <b v="1"/>
    <x v="2"/>
    <x v="3"/>
    <d v="2025-08-22T00:00:00"/>
    <m/>
    <m/>
    <x v="1"/>
    <n v="80"/>
    <s v="Ruby Grace Garcia"/>
    <m/>
  </r>
  <r>
    <x v="341"/>
    <x v="0"/>
    <x v="2"/>
    <s v="CORAERP_MMOR1945.6534 AS - LabW Patent Fees"/>
    <s v="G000001283"/>
    <s v="G000001283"/>
    <s v="Non-LFF"/>
    <s v=""/>
    <m/>
    <b v="1"/>
    <x v="2"/>
    <x v="3"/>
    <d v="2025-08-22T00:00:00"/>
    <m/>
    <m/>
    <x v="1"/>
    <n v="80"/>
    <s v="Ruby Grace Garcia"/>
    <m/>
  </r>
  <r>
    <x v="341"/>
    <x v="0"/>
    <x v="2"/>
    <s v="CFLTFLE_13060000000063 R&amp;D Merck"/>
    <s v="G000001283"/>
    <s v="G000001283"/>
    <s v="Non-LFF"/>
    <s v=""/>
    <m/>
    <b v="1"/>
    <x v="2"/>
    <x v="3"/>
    <d v="2025-08-22T00:00:00"/>
    <m/>
    <m/>
    <x v="1"/>
    <n v="80"/>
    <s v="Ruby Grace Garcia"/>
    <m/>
  </r>
  <r>
    <x v="341"/>
    <x v="0"/>
    <x v="2"/>
    <s v="CLFF_1000$$$DE73R00021 Patent Costs SomaLogic In"/>
    <s v="G000001283"/>
    <s v="G000001283"/>
    <s v="LFF (MDG-F)"/>
    <s v="DE73R00021"/>
    <m/>
    <b v="1"/>
    <x v="2"/>
    <x v="3"/>
    <d v="2025-08-22T00:00:00"/>
    <m/>
    <m/>
    <x v="1"/>
    <n v="80"/>
    <s v="Ruby Grace Garcia"/>
    <m/>
  </r>
  <r>
    <x v="341"/>
    <x v="0"/>
    <x v="2"/>
    <s v="IPHOENX_000001500017 Patent Cost/BioM-Microbiology"/>
    <s v="G000001283"/>
    <s v="G000001283"/>
    <s v="Non-LFF"/>
    <s v=""/>
    <m/>
    <b v="1"/>
    <x v="2"/>
    <x v="3"/>
    <d v="2025-08-22T00:00:00"/>
    <m/>
    <m/>
    <x v="1"/>
    <n v="80"/>
    <s v="Ruby Grace Garcia"/>
    <m/>
  </r>
  <r>
    <x v="341"/>
    <x v="0"/>
    <x v="2"/>
    <s v="CLFF_1000$$$DE73R00013 Patent Costs (external)/D"/>
    <s v="G000001283"/>
    <s v="G000001283"/>
    <s v="LFF (MDG-F)"/>
    <s v="DE73R00013"/>
    <m/>
    <b v="1"/>
    <x v="2"/>
    <x v="3"/>
    <d v="2025-08-22T00:00:00"/>
    <m/>
    <m/>
    <x v="1"/>
    <n v="80"/>
    <s v="Ruby Grace Garcia"/>
    <m/>
  </r>
  <r>
    <x v="341"/>
    <x v="0"/>
    <x v="2"/>
    <s v="CORAERP_MMOR1975.9207 AS - BioM Patent Fees"/>
    <s v="G000001283"/>
    <s v="G000001283"/>
    <s v="Non-LFF"/>
    <s v=""/>
    <m/>
    <b v="1"/>
    <x v="2"/>
    <x v="3"/>
    <d v="2025-08-22T00:00:00"/>
    <m/>
    <m/>
    <x v="1"/>
    <n v="80"/>
    <s v="Ruby Grace Garcia"/>
    <m/>
  </r>
  <r>
    <x v="342"/>
    <x v="0"/>
    <x v="4"/>
    <s v="CLFF_VMCA$$$DE10TM4000"/>
    <s v="P000001331"/>
    <s v="P000000472"/>
    <s v="LFF (MDG-F)"/>
    <s v="DE10TM4000"/>
    <s v="No REAL"/>
    <b v="0"/>
    <x v="1"/>
    <x v="3"/>
    <d v="2025-08-22T00:00:00"/>
    <m/>
    <m/>
    <x v="1"/>
    <n v="80"/>
    <s v="Lawrence Olsheski"/>
    <m/>
  </r>
  <r>
    <x v="342"/>
    <x v="0"/>
    <x v="2"/>
    <s v="CLFF_VMCA$$$BE10DB3600 BE10 Customs/Duties"/>
    <s v="P000001331"/>
    <s v="P000001331"/>
    <s v="LFF (MDG-F)"/>
    <s v="BE10DB3600"/>
    <m/>
    <b v="1"/>
    <x v="1"/>
    <x v="3"/>
    <d v="2025-08-22T00:00:00"/>
    <m/>
    <m/>
    <x v="1"/>
    <n v="80"/>
    <s v="Lawrence Olsheski"/>
    <m/>
  </r>
  <r>
    <x v="342"/>
    <x v="0"/>
    <x v="2"/>
    <s v="CLFF_VMCA$$$FR10DB3600 FR10 Customs/Duties"/>
    <s v="P000001331"/>
    <s v="P000001331"/>
    <s v="LFF (MDG-F)"/>
    <s v="FR10DB3600"/>
    <m/>
    <b v="1"/>
    <x v="1"/>
    <x v="3"/>
    <d v="2025-08-22T00:00:00"/>
    <m/>
    <m/>
    <x v="1"/>
    <n v="80"/>
    <s v="Lawrence Olsheski"/>
    <m/>
  </r>
  <r>
    <x v="342"/>
    <x v="0"/>
    <x v="2"/>
    <s v="CLFF_VMCA$$$GB10DB3600 GB10 Customs/Duties"/>
    <s v="P000001331"/>
    <s v="P000001331"/>
    <s v="LFF (MDG-F)"/>
    <s v="GB10DB3600"/>
    <m/>
    <b v="1"/>
    <x v="1"/>
    <x v="3"/>
    <d v="2025-08-22T00:00:00"/>
    <m/>
    <m/>
    <x v="1"/>
    <n v="80"/>
    <s v="Lawrence Olsheski"/>
    <m/>
  </r>
  <r>
    <x v="342"/>
    <x v="0"/>
    <x v="2"/>
    <s v="CLFF_VMCA$$$IE10DB3600 IE10 Customs/Duties"/>
    <s v="P000001331"/>
    <s v="P000001331"/>
    <s v="LFF (MDG-F)"/>
    <s v="IE10DB3600"/>
    <m/>
    <b v="1"/>
    <x v="1"/>
    <x v="3"/>
    <d v="2025-08-22T00:00:00"/>
    <m/>
    <m/>
    <x v="1"/>
    <n v="80"/>
    <s v="Lawrence Olsheski"/>
    <m/>
  </r>
  <r>
    <x v="342"/>
    <x v="0"/>
    <x v="2"/>
    <s v="CLFF_VMCA$$$IL10DB3600 IL10 Customs/Duties"/>
    <s v="P000001331"/>
    <s v="P000001331"/>
    <s v="LFF (MDG-F)"/>
    <s v="IL10DB3600"/>
    <m/>
    <b v="1"/>
    <x v="1"/>
    <x v="3"/>
    <d v="2025-08-22T00:00:00"/>
    <m/>
    <m/>
    <x v="1"/>
    <n v="80"/>
    <s v="Lawrence Olsheski"/>
    <m/>
  </r>
  <r>
    <x v="342"/>
    <x v="0"/>
    <x v="2"/>
    <s v="CLFF_VMCA$$$IT07DB3600 IT07 Customs/Duties"/>
    <s v="P000001331"/>
    <s v="P000001331"/>
    <s v="LFF (MDG-F)"/>
    <s v="IT07DB3600"/>
    <m/>
    <b v="1"/>
    <x v="1"/>
    <x v="3"/>
    <d v="2025-08-22T00:00:00"/>
    <m/>
    <m/>
    <x v="1"/>
    <n v="80"/>
    <s v="Lawrence Olsheski"/>
    <m/>
  </r>
  <r>
    <x v="342"/>
    <x v="0"/>
    <x v="2"/>
    <s v="CLFF_VMCA$$$NL10DB3600 NL10 Customs/Duties"/>
    <s v="P000001331"/>
    <s v="P000001331"/>
    <s v="LFF (MDG-F)"/>
    <s v="NL10DB3600"/>
    <m/>
    <b v="1"/>
    <x v="1"/>
    <x v="3"/>
    <d v="2025-08-22T00:00:00"/>
    <m/>
    <m/>
    <x v="1"/>
    <n v="80"/>
    <s v="Lawrence Olsheski"/>
    <m/>
  </r>
  <r>
    <x v="342"/>
    <x v="0"/>
    <x v="2"/>
    <s v="CLFF_1000$$$DE01OF0303 Customer Service MPM Wiesbaden"/>
    <s v="P000001332"/>
    <s v="P000001332"/>
    <s v="LFF (MDG-F)"/>
    <s v="DE01OF0303"/>
    <m/>
    <b v="1"/>
    <x v="1"/>
    <x v="3"/>
    <d v="2025-08-22T00:00:00"/>
    <m/>
    <m/>
    <x v="1"/>
    <n v="80"/>
    <s v="Lawrence Olsheski"/>
    <m/>
  </r>
  <r>
    <x v="342"/>
    <x v="0"/>
    <x v="2"/>
    <s v="CLFF_1000$$$DE04OFHQ02 CF Semi Customer Service Europe"/>
    <s v="P000001332"/>
    <s v="P000001332"/>
    <s v="LFF (MDG-F)"/>
    <s v="DE04OFHQ02"/>
    <m/>
    <b v="1"/>
    <x v="1"/>
    <x v="3"/>
    <d v="2025-08-22T00:00:00"/>
    <m/>
    <m/>
    <x v="1"/>
    <n v="80"/>
    <s v="Lawrence Olsheski"/>
    <m/>
  </r>
  <r>
    <x v="342"/>
    <x v="0"/>
    <x v="2"/>
    <s v="CLFF_1000$$$DE04TP5000 CF Semiconductor Customer Service"/>
    <s v="P000001332"/>
    <s v="P000001332"/>
    <s v="LFF (MDG-F)"/>
    <s v="DE04TP5000"/>
    <m/>
    <b v="1"/>
    <x v="1"/>
    <x v="3"/>
    <d v="2025-08-22T00:00:00"/>
    <m/>
    <m/>
    <x v="1"/>
    <n v="80"/>
    <s v="Lawrence Olsheski"/>
    <m/>
  </r>
  <r>
    <x v="343"/>
    <x v="0"/>
    <x v="2"/>
    <s v="CNOW_7210$$$0000040190 Global Tech and R&amp;D in Sheboygan"/>
    <s v="L000013877"/>
    <s v="L000013877"/>
    <s v="Non-LFF"/>
    <s v=""/>
    <m/>
    <b v="1"/>
    <x v="2"/>
    <x v="3"/>
    <d v="2025-08-25T00:00:00"/>
    <m/>
    <m/>
    <x v="1"/>
    <n v="79"/>
    <s v="Ruby Grace Garcia"/>
    <m/>
  </r>
  <r>
    <x v="343"/>
    <x v="0"/>
    <x v="2"/>
    <s v="CNOW_7210$$$0000040500 MWK Packaging Admin"/>
    <s v="L000010183"/>
    <s v="L000010183"/>
    <s v="Non-LFF"/>
    <s v=""/>
    <m/>
    <b v="1"/>
    <x v="2"/>
    <x v="3"/>
    <d v="2025-08-25T00:00:00"/>
    <m/>
    <m/>
    <x v="1"/>
    <n v="79"/>
    <s v="Ruby Grace Garcia"/>
    <m/>
  </r>
  <r>
    <x v="343"/>
    <x v="0"/>
    <x v="2"/>
    <s v="CNOW_7210$$$0000040339 MWK RS WASTE WATER TREATMENT SHEBOYGEN"/>
    <s v="L000013478"/>
    <s v="L000013478"/>
    <s v="Non-LFF"/>
    <s v=""/>
    <m/>
    <b v="1"/>
    <x v="2"/>
    <x v="3"/>
    <d v="2025-08-25T00:00:00"/>
    <m/>
    <m/>
    <x v="1"/>
    <n v="79"/>
    <s v="Ruby Grace Garcia"/>
    <m/>
  </r>
  <r>
    <x v="343"/>
    <x v="0"/>
    <x v="2"/>
    <s v="CNOW_7210$$$0000040963 MWK RS SHEBOYGAN BUILDING SECURITY"/>
    <s v="L000013478"/>
    <s v="L000013478"/>
    <s v="Non-LFF"/>
    <s v=""/>
    <m/>
    <b v="1"/>
    <x v="2"/>
    <x v="3"/>
    <d v="2025-08-25T00:00:00"/>
    <m/>
    <m/>
    <x v="1"/>
    <n v="79"/>
    <s v="Ruby Grace Garcia"/>
    <m/>
  </r>
  <r>
    <x v="343"/>
    <x v="0"/>
    <x v="2"/>
    <s v="CNOW_7210$$$0000040681 MWK RS SAFETY &amp; HEALTH"/>
    <s v="L000013478"/>
    <s v="L000013478"/>
    <s v="Non-LFF"/>
    <s v=""/>
    <m/>
    <b v="1"/>
    <x v="2"/>
    <x v="3"/>
    <d v="2025-08-25T00:00:00"/>
    <m/>
    <m/>
    <x v="1"/>
    <n v="79"/>
    <s v="Ruby Grace Garcia"/>
    <m/>
  </r>
  <r>
    <x v="343"/>
    <x v="0"/>
    <x v="2"/>
    <s v="CNOW_7210$$$0000056007 Mobius Warehouse-Distri"/>
    <s v="L000012185"/>
    <s v="L000012185"/>
    <s v="Non-LFF"/>
    <s v=""/>
    <m/>
    <b v="1"/>
    <x v="2"/>
    <x v="3"/>
    <d v="2025-08-25T00:00:00"/>
    <m/>
    <m/>
    <x v="1"/>
    <n v="79"/>
    <s v="Ruby Grace Garcia"/>
    <m/>
  </r>
  <r>
    <x v="343"/>
    <x v="0"/>
    <x v="2"/>
    <s v="CNOW_7210$$$0000056057 Mobius Warehouse-Dist"/>
    <s v="L000012185"/>
    <s v="L000012185"/>
    <s v="Non-LFF"/>
    <s v=""/>
    <m/>
    <b v="1"/>
    <x v="2"/>
    <x v="3"/>
    <d v="2025-08-25T00:00:00"/>
    <m/>
    <m/>
    <x v="1"/>
    <n v="79"/>
    <s v="Ruby Grace Garcia"/>
    <m/>
  </r>
  <r>
    <x v="343"/>
    <x v="0"/>
    <x v="2"/>
    <s v="CNOW_7210$$$0000059933 WUXI DISTRIBUTION for FG OUTPUT"/>
    <s v="L000009359"/>
    <s v="L000009359"/>
    <s v="Non-LFF"/>
    <s v=""/>
    <m/>
    <b v="1"/>
    <x v="2"/>
    <x v="3"/>
    <d v="2025-08-25T00:00:00"/>
    <m/>
    <m/>
    <x v="1"/>
    <n v="79"/>
    <s v="Ruby Grace Garcia"/>
    <m/>
  </r>
  <r>
    <x v="343"/>
    <x v="0"/>
    <x v="2"/>
    <s v="CNOW_7210$$$0000059983 WUXI DISTRIBUTION for FG OUTPUT"/>
    <s v="L000009359"/>
    <s v="L000009359"/>
    <s v="Non-LFF"/>
    <s v=""/>
    <m/>
    <b v="1"/>
    <x v="2"/>
    <x v="3"/>
    <d v="2025-08-25T00:00:00"/>
    <m/>
    <m/>
    <x v="1"/>
    <n v="79"/>
    <s v="Ruby Grace Garcia"/>
    <m/>
  </r>
  <r>
    <x v="343"/>
    <x v="0"/>
    <x v="2"/>
    <s v="CORAERP_MMOR1975.6622 6622 WAU Technology Funded Project"/>
    <s v="L000013884"/>
    <s v="L000013884"/>
    <s v="Non-LFF"/>
    <s v=""/>
    <m/>
    <b v="1"/>
    <x v="2"/>
    <x v="3"/>
    <d v="2025-08-25T00:00:00"/>
    <m/>
    <m/>
    <x v="1"/>
    <n v="79"/>
    <s v="Ruby Grace Garcia"/>
    <m/>
  </r>
  <r>
    <x v="343"/>
    <x v="0"/>
    <x v="2"/>
    <s v="CNOW_7210$$$0000270009 CTO Strategy &amp; Execution"/>
    <s v="L000013885"/>
    <s v="L000013885"/>
    <s v="Non-LFF"/>
    <s v=""/>
    <m/>
    <b v="1"/>
    <x v="2"/>
    <x v="3"/>
    <d v="2025-08-25T00:00:00"/>
    <m/>
    <m/>
    <x v="1"/>
    <n v="79"/>
    <s v="Ruby Grace Garcia"/>
    <m/>
  </r>
  <r>
    <x v="343"/>
    <x v="0"/>
    <x v="2"/>
    <s v="CPHOENX_01010000697782 LS Technology Office"/>
    <s v="L000013324"/>
    <s v="L000013324"/>
    <s v="Non-LFF"/>
    <s v=""/>
    <m/>
    <b v="1"/>
    <x v="2"/>
    <x v="3"/>
    <d v="2025-08-25T00:00:00"/>
    <m/>
    <m/>
    <x v="1"/>
    <n v="79"/>
    <s v="Ruby Grace Garcia"/>
    <m/>
  </r>
  <r>
    <x v="343"/>
    <x v="0"/>
    <x v="2"/>
    <s v="CEMERAL_700065020KAIST KAIST - CTO"/>
    <s v="L000013277"/>
    <s v="L000013277"/>
    <s v="Non-LFF"/>
    <s v=""/>
    <m/>
    <b v="1"/>
    <x v="2"/>
    <x v="3"/>
    <d v="2025-08-25T00:00:00"/>
    <m/>
    <m/>
    <x v="1"/>
    <n v="79"/>
    <s v="Ruby Grace Garcia"/>
    <m/>
  </r>
  <r>
    <x v="343"/>
    <x v="0"/>
    <x v="2"/>
    <s v="CNOW_7210$$$0000022108 PS R&amp;D Tax/IP Entries"/>
    <s v="L000006611"/>
    <s v="L000006611"/>
    <s v="Non-LFF"/>
    <s v=""/>
    <m/>
    <b v="1"/>
    <x v="2"/>
    <x v="3"/>
    <d v="2025-08-25T00:00:00"/>
    <m/>
    <m/>
    <x v="1"/>
    <n v="79"/>
    <s v="Ruby Grace Garcia"/>
    <m/>
  </r>
  <r>
    <x v="343"/>
    <x v="0"/>
    <x v="2"/>
    <s v="CEMERAL_70006203601203 BIOP IC Royalty 1975"/>
    <s v="L000013847"/>
    <s v="L000013847"/>
    <s v="Non-LFF"/>
    <s v=""/>
    <m/>
    <b v="1"/>
    <x v="2"/>
    <x v="3"/>
    <d v="2025-08-25T00:00:00"/>
    <m/>
    <m/>
    <x v="1"/>
    <n v="79"/>
    <s v="Ruby Grace Garcia"/>
    <m/>
  </r>
  <r>
    <x v="343"/>
    <x v="0"/>
    <x v="2"/>
    <s v="CORAERP_MMOR1945.P3SW BL P3 Systems Hardware - SW"/>
    <s v="L000013847"/>
    <s v="L000013847"/>
    <s v="Non-LFF"/>
    <s v=""/>
    <m/>
    <b v="1"/>
    <x v="2"/>
    <x v="3"/>
    <d v="2025-08-25T00:00:00"/>
    <m/>
    <m/>
    <x v="1"/>
    <n v="79"/>
    <s v="Ruby Grace Garcia"/>
    <m/>
  </r>
  <r>
    <x v="343"/>
    <x v="0"/>
    <x v="2"/>
    <s v="CORAERP_MMOR1975.P3IN BL P3 Systems Hardware - IN"/>
    <s v="L000013847"/>
    <s v="L000013847"/>
    <s v="Non-LFF"/>
    <s v=""/>
    <m/>
    <b v="1"/>
    <x v="2"/>
    <x v="3"/>
    <d v="2025-08-25T00:00:00"/>
    <m/>
    <m/>
    <x v="1"/>
    <n v="79"/>
    <s v="Ruby Grace Garcia"/>
    <m/>
  </r>
  <r>
    <x v="343"/>
    <x v="0"/>
    <x v="2"/>
    <s v="CORAERP_MMOR1945.P1US BL P1 Aseptic - US"/>
    <s v="L000006568"/>
    <s v="L000006568"/>
    <s v="Non-LFF"/>
    <s v=""/>
    <m/>
    <b v="1"/>
    <x v="2"/>
    <x v="3"/>
    <d v="2025-08-25T00:00:00"/>
    <m/>
    <m/>
    <x v="1"/>
    <n v="79"/>
    <s v="Ruby Grace Garcia"/>
    <m/>
  </r>
  <r>
    <x v="343"/>
    <x v="0"/>
    <x v="2"/>
    <s v="CORAERP_MMOR1975.P1FR BL P1 Aseptic - FR"/>
    <s v="L000006568"/>
    <s v="L000006568"/>
    <s v="Non-LFF"/>
    <s v=""/>
    <m/>
    <b v="1"/>
    <x v="2"/>
    <x v="3"/>
    <d v="2025-08-25T00:00:00"/>
    <m/>
    <m/>
    <x v="1"/>
    <n v="79"/>
    <s v="Ruby Grace Garcia"/>
    <m/>
  </r>
  <r>
    <x v="343"/>
    <x v="0"/>
    <x v="2"/>
    <s v="CORAERP_MMOR1945.9729 Resolution Spectra OOEI"/>
    <s v="L000013847"/>
    <s v="L000013847"/>
    <s v="Non-LFF"/>
    <s v=""/>
    <m/>
    <b v="1"/>
    <x v="2"/>
    <x v="3"/>
    <d v="2025-08-25T00:00:00"/>
    <m/>
    <m/>
    <x v="1"/>
    <n v="79"/>
    <s v="Ruby Grace Garcia"/>
    <m/>
  </r>
  <r>
    <x v="343"/>
    <x v="0"/>
    <x v="2"/>
    <s v="CORAERP_MMOR1975.5202 GENM - Cell &amp; Gene Therapy Franchise"/>
    <s v="L000013850"/>
    <s v="L000013850"/>
    <s v="Non-LFF"/>
    <s v=""/>
    <m/>
    <b v="1"/>
    <x v="2"/>
    <x v="3"/>
    <d v="2025-08-25T00:00:00"/>
    <m/>
    <m/>
    <x v="1"/>
    <n v="79"/>
    <s v="Ruby Grace Garcia"/>
    <m/>
  </r>
  <r>
    <x v="343"/>
    <x v="0"/>
    <x v="2"/>
    <s v="CORAERP_MMOR1975.5287 Marketing - Franchise Mgmt"/>
    <s v="L000013847"/>
    <s v="L000013847"/>
    <s v="Non-LFF"/>
    <s v=""/>
    <m/>
    <b v="1"/>
    <x v="2"/>
    <x v="3"/>
    <d v="2025-08-25T00:00:00"/>
    <m/>
    <m/>
    <x v="1"/>
    <n v="79"/>
    <s v="Ruby Grace Garcia"/>
    <m/>
  </r>
  <r>
    <x v="343"/>
    <x v="0"/>
    <x v="2"/>
    <s v="CORAERP_MMOR1975.6589 Placeholder Erbi Employees"/>
    <s v="L000013850"/>
    <s v="L000013850"/>
    <s v="Non-LFF"/>
    <s v=""/>
    <m/>
    <b v="1"/>
    <x v="2"/>
    <x v="3"/>
    <d v="2025-08-25T00:00:00"/>
    <m/>
    <m/>
    <x v="1"/>
    <n v="79"/>
    <s v="Ruby Grace Garcia"/>
    <m/>
  </r>
  <r>
    <x v="343"/>
    <x v="0"/>
    <x v="2"/>
    <s v="CORAERP_MMOR1975.P3KO BL P3 Systems Hardware - KO"/>
    <s v="L000013850"/>
    <s v="L000013850"/>
    <s v="Non-LFF"/>
    <s v=""/>
    <m/>
    <b v="1"/>
    <x v="2"/>
    <x v="3"/>
    <d v="2025-08-25T00:00:00"/>
    <m/>
    <m/>
    <x v="1"/>
    <n v="79"/>
    <s v="Ruby Grace Garcia"/>
    <m/>
  </r>
  <r>
    <x v="343"/>
    <x v="0"/>
    <x v="2"/>
    <s v="CPHOENX_01010000063666 Single Use Growth Segments"/>
    <s v="L000013849"/>
    <s v="L000013849"/>
    <s v="Non-LFF"/>
    <s v=""/>
    <m/>
    <b v="1"/>
    <x v="2"/>
    <x v="3"/>
    <d v="2025-08-25T00:00:00"/>
    <m/>
    <m/>
    <x v="1"/>
    <n v="79"/>
    <s v="Ruby Grace Garcia"/>
    <m/>
  </r>
  <r>
    <x v="343"/>
    <x v="0"/>
    <x v="2"/>
    <s v="CPHOENX_01010000686300 MM Process Solutions Global Pricing"/>
    <s v="L000013560"/>
    <s v="L000013560"/>
    <s v="Non-LFF"/>
    <s v=""/>
    <m/>
    <b v="1"/>
    <x v="2"/>
    <x v="3"/>
    <d v="2025-08-25T00:00:00"/>
    <m/>
    <m/>
    <x v="1"/>
    <n v="79"/>
    <s v="Ruby Grace Garcia"/>
    <m/>
  </r>
  <r>
    <x v="343"/>
    <x v="0"/>
    <x v="2"/>
    <s v="CTEMPLA_1000BR10500149 BEX Operational Excellence Brazil"/>
    <s v="L000013560"/>
    <s v="L000013560"/>
    <s v="Non-LFF"/>
    <s v=""/>
    <m/>
    <b v="1"/>
    <x v="2"/>
    <x v="3"/>
    <d v="2025-08-25T00:00:00"/>
    <m/>
    <m/>
    <x v="1"/>
    <n v="79"/>
    <s v="Ruby Grace Garcia"/>
    <m/>
  </r>
  <r>
    <x v="343"/>
    <x v="0"/>
    <x v="2"/>
    <s v="CEMERAL_70007001581214 MESI REG PS-DIGITAL ENHANCE SG"/>
    <s v="L000011729"/>
    <s v="L000011729"/>
    <s v="Non-LFF"/>
    <s v=""/>
    <m/>
    <b v="1"/>
    <x v="2"/>
    <x v="3"/>
    <d v="2025-08-25T00:00:00"/>
    <m/>
    <m/>
    <x v="1"/>
    <n v="79"/>
    <s v="Ruby Grace Garcia"/>
    <m/>
  </r>
  <r>
    <x v="343"/>
    <x v="0"/>
    <x v="2"/>
    <s v="CORAERP_MMOR1975.9531 SFDC PMO"/>
    <s v="L000013530"/>
    <s v="L000013530"/>
    <s v="Non-LFF"/>
    <s v=""/>
    <m/>
    <b v="1"/>
    <x v="2"/>
    <x v="3"/>
    <d v="2025-08-25T00:00:00"/>
    <m/>
    <m/>
    <x v="1"/>
    <n v="79"/>
    <s v="Ruby Grace Garcia"/>
    <m/>
  </r>
  <r>
    <x v="343"/>
    <x v="0"/>
    <x v="2"/>
    <s v="CORAERP_MMOR1975.9945 9945 IT T&amp;E - other ERP projects"/>
    <s v="L000013806"/>
    <s v="L000013806"/>
    <s v="Non-LFF"/>
    <s v=""/>
    <m/>
    <b v="1"/>
    <x v="2"/>
    <x v="3"/>
    <d v="2025-08-25T00:00:00"/>
    <m/>
    <m/>
    <x v="1"/>
    <n v="79"/>
    <s v="Ruby Grace Garcia"/>
    <m/>
  </r>
  <r>
    <x v="343"/>
    <x v="0"/>
    <x v="2"/>
    <s v="CLFF_1000$$$DE10OF0005 T&amp;E - ONE LS ERP"/>
    <s v="L000013831"/>
    <s v="L000013831"/>
    <s v="LFF (MDG-F)"/>
    <s v="DE10OF0005"/>
    <m/>
    <b v="1"/>
    <x v="2"/>
    <x v="3"/>
    <d v="2025-08-25T00:00:00"/>
    <m/>
    <m/>
    <x v="1"/>
    <n v="79"/>
    <s v="Ruby Grace Garcia"/>
    <m/>
  </r>
  <r>
    <x v="343"/>
    <x v="0"/>
    <x v="2"/>
    <s v="CLFF_1000$$$DE10OF0007 LS ERP other - T&amp;E"/>
    <s v="L000013831"/>
    <s v="L000013831"/>
    <s v="LFF (MDG-F)"/>
    <s v="DE10OF0007"/>
    <m/>
    <b v="1"/>
    <x v="2"/>
    <x v="3"/>
    <d v="2025-08-25T00:00:00"/>
    <m/>
    <m/>
    <x v="1"/>
    <n v="79"/>
    <s v="Ruby Grace Garcia"/>
    <m/>
  </r>
  <r>
    <x v="343"/>
    <x v="0"/>
    <x v="2"/>
    <s v="CLFF_7210$$$2123OF0029 T&amp;E_IN - other LS ERP"/>
    <s v="L000013831"/>
    <s v="L000013831"/>
    <s v="LFF (MDG-F)"/>
    <s v="2123OF0029"/>
    <m/>
    <b v="1"/>
    <x v="2"/>
    <x v="3"/>
    <d v="2025-08-25T00:00:00"/>
    <m/>
    <m/>
    <x v="1"/>
    <n v="79"/>
    <s v="Ruby Grace Garcia"/>
    <m/>
  </r>
  <r>
    <x v="343"/>
    <x v="0"/>
    <x v="2"/>
    <s v="CNOW_7210$$$0000010584 T&amp;E - other LS ERP"/>
    <s v="L000013831"/>
    <s v="L000013831"/>
    <s v="Non-LFF"/>
    <s v=""/>
    <m/>
    <b v="1"/>
    <x v="2"/>
    <x v="3"/>
    <d v="2025-08-25T00:00:00"/>
    <m/>
    <m/>
    <x v="1"/>
    <n v="79"/>
    <s v="Ruby Grace Garcia"/>
    <m/>
  </r>
  <r>
    <x v="343"/>
    <x v="0"/>
    <x v="2"/>
    <s v="CNOW_7210$$$0000052114 T&amp;E - other LS ERP"/>
    <s v="L000013831"/>
    <s v="L000013831"/>
    <s v="Non-LFF"/>
    <s v=""/>
    <m/>
    <b v="1"/>
    <x v="2"/>
    <x v="3"/>
    <d v="2025-08-25T00:00:00"/>
    <m/>
    <m/>
    <x v="1"/>
    <n v="79"/>
    <s v="Ruby Grace Garcia"/>
    <m/>
  </r>
  <r>
    <x v="344"/>
    <x v="0"/>
    <x v="2"/>
    <s v="CLFF_7210$$$2123C00057 LW E-Business"/>
    <s v="L000013826"/>
    <s v="L000013826"/>
    <s v="LFF (MDG-F)"/>
    <s v="2123C00057"/>
    <m/>
    <b v="1"/>
    <x v="2"/>
    <x v="3"/>
    <d v="2025-08-26T00:00:00"/>
    <m/>
    <m/>
    <x v="1"/>
    <n v="78"/>
    <s v="Ruby Grace Garcia"/>
    <m/>
  </r>
  <r>
    <x v="344"/>
    <x v="0"/>
    <x v="2"/>
    <s v="CORAERP_MMOR1945.5304 LW Strategy Execution"/>
    <s v="L000013826"/>
    <s v="L000013826"/>
    <s v="Non-LFF"/>
    <m/>
    <m/>
    <b v="1"/>
    <x v="2"/>
    <x v="3"/>
    <d v="2025-08-26T00:00:00"/>
    <m/>
    <m/>
    <x v="1"/>
    <n v="78"/>
    <s v="Ruby Grace Garcia"/>
    <m/>
  </r>
  <r>
    <x v="344"/>
    <x v="0"/>
    <x v="2"/>
    <s v="CORAERP_MMOR1945.5405 LW Training"/>
    <s v="L000013198"/>
    <s v="L000013198"/>
    <s v="Non-LFF"/>
    <m/>
    <m/>
    <b v="1"/>
    <x v="2"/>
    <x v="3"/>
    <d v="2025-08-26T00:00:00"/>
    <m/>
    <m/>
    <x v="1"/>
    <n v="78"/>
    <s v="Ruby Grace Garcia"/>
    <m/>
  </r>
  <r>
    <x v="344"/>
    <x v="0"/>
    <x v="2"/>
    <s v="CEMERAL_70006502108610 MarCom A&amp;P LW South Korea"/>
    <s v="L000013829"/>
    <s v="L000013829"/>
    <s v="Non-LFF"/>
    <m/>
    <m/>
    <b v="1"/>
    <x v="2"/>
    <x v="3"/>
    <d v="2025-08-26T00:00:00"/>
    <m/>
    <m/>
    <x v="1"/>
    <n v="78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78"/>
    <s v="Ruby Grace Garcia"/>
    <m/>
  </r>
  <r>
    <x v="344"/>
    <x v="0"/>
    <x v="2"/>
    <s v="CEMERAL_70006203201003 MarCom A&amp;P LW India"/>
    <s v="L000013829"/>
    <s v="L000013829"/>
    <s v="Non-LFF"/>
    <m/>
    <m/>
    <b v="1"/>
    <x v="2"/>
    <x v="3"/>
    <d v="2025-08-26T00:00:00"/>
    <m/>
    <m/>
    <x v="1"/>
    <n v="78"/>
    <s v="Ruby Grace Garcia"/>
    <m/>
  </r>
  <r>
    <x v="344"/>
    <x v="0"/>
    <x v="2"/>
    <s v="CTEMPLA_1000AR10P09014 MarCom LW A&amp;P AR"/>
    <s v="L000013829"/>
    <s v="L000013829"/>
    <s v="Non-LFF"/>
    <m/>
    <m/>
    <b v="1"/>
    <x v="2"/>
    <x v="3"/>
    <d v="2025-08-26T00:00:00"/>
    <m/>
    <m/>
    <x v="1"/>
    <n v="78"/>
    <s v="Ruby Grace Garcia"/>
    <m/>
  </r>
  <r>
    <x v="344"/>
    <x v="0"/>
    <x v="2"/>
    <s v="CTEMPLA_1000CO10100387 MarCom LabW A&amp;P"/>
    <s v="L000013829"/>
    <s v="L000013829"/>
    <s v="Non-LFF"/>
    <m/>
    <m/>
    <b v="1"/>
    <x v="2"/>
    <x v="3"/>
    <d v="2025-08-26T00:00:00"/>
    <m/>
    <m/>
    <x v="1"/>
    <n v="78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78"/>
    <s v="Ruby Grace Garcia"/>
    <m/>
  </r>
  <r>
    <x v="344"/>
    <x v="0"/>
    <x v="2"/>
    <s v="CEMERAL_64010010860931 LW Japan Marcom"/>
    <s v="L000013829"/>
    <s v="L000013829"/>
    <s v="Non-LFF"/>
    <m/>
    <m/>
    <b v="1"/>
    <x v="2"/>
    <x v="3"/>
    <d v="2025-08-26T00:00:00"/>
    <m/>
    <m/>
    <x v="1"/>
    <n v="78"/>
    <s v="Ruby Grace Garcia"/>
    <m/>
  </r>
  <r>
    <x v="344"/>
    <x v="0"/>
    <x v="2"/>
    <s v="CEMERAL_70006101MS1310 MarCom A&amp;P LW China+"/>
    <s v="L000013829"/>
    <s v="L000013829"/>
    <s v="Non-LFF"/>
    <m/>
    <m/>
    <b v="1"/>
    <x v="2"/>
    <x v="3"/>
    <d v="2025-08-26T00:00:00"/>
    <m/>
    <m/>
    <x v="1"/>
    <n v="78"/>
    <s v="Ruby Grace Garcia"/>
    <m/>
  </r>
  <r>
    <x v="344"/>
    <x v="0"/>
    <x v="2"/>
    <s v="CEMERAL_70006101MS3207 Internal sales service expenses"/>
    <s v="L000013829"/>
    <s v="L000013829"/>
    <s v="Non-LFF"/>
    <m/>
    <m/>
    <b v="1"/>
    <x v="2"/>
    <x v="3"/>
    <d v="2025-08-26T00:00:00"/>
    <m/>
    <m/>
    <x v="1"/>
    <n v="78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78"/>
    <s v="Ruby Grace Garcia"/>
    <m/>
  </r>
  <r>
    <x v="344"/>
    <x v="0"/>
    <x v="2"/>
    <s v="CNOW_7210$$$0000020479 US Campaigns - Lab Water"/>
    <s v="L000013829"/>
    <s v="L000013829"/>
    <s v="Non-LFF"/>
    <m/>
    <m/>
    <b v="1"/>
    <x v="2"/>
    <x v="3"/>
    <d v="2025-08-26T00:00:00"/>
    <m/>
    <m/>
    <x v="1"/>
    <n v="78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78"/>
    <s v="Ruby Grace Garcia"/>
    <m/>
  </r>
  <r>
    <x v="344"/>
    <x v="0"/>
    <x v="2"/>
    <s v="CORAERP_MMOR1945.5126 LW EEMEA A&amp;P"/>
    <s v="L000013829"/>
    <s v="L000013829"/>
    <s v="Non-LFF"/>
    <m/>
    <m/>
    <b v="1"/>
    <x v="2"/>
    <x v="3"/>
    <d v="2025-08-26T00:00:00"/>
    <m/>
    <m/>
    <x v="1"/>
    <n v="78"/>
    <s v="Ruby Grace Garcia"/>
    <m/>
  </r>
  <r>
    <x v="344"/>
    <x v="0"/>
    <x v="2"/>
    <s v="CORAERP_MMOR1945.5127 LW WE A&amp;P"/>
    <s v="L000013829"/>
    <s v="L000013829"/>
    <s v="Non-LFF"/>
    <m/>
    <m/>
    <b v="1"/>
    <x v="2"/>
    <x v="3"/>
    <d v="2025-08-26T00:00:00"/>
    <m/>
    <m/>
    <x v="1"/>
    <n v="78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78"/>
    <s v="Ruby Grace Garcia"/>
    <m/>
  </r>
  <r>
    <x v="344"/>
    <x v="0"/>
    <x v="2"/>
    <s v="CORAERP_MMOR1975.5128 LW NA A&amp;P"/>
    <s v="L000013829"/>
    <s v="L000013829"/>
    <s v="Non-LFF"/>
    <m/>
    <m/>
    <b v="1"/>
    <x v="2"/>
    <x v="3"/>
    <d v="2025-08-26T00:00:00"/>
    <m/>
    <m/>
    <x v="1"/>
    <n v="78"/>
    <s v="Ruby Grace Garcia"/>
    <m/>
  </r>
  <r>
    <x v="344"/>
    <x v="0"/>
    <x v="2"/>
    <s v="CNOW_AUS0$$$0000091703 R&amp;A Marcom Commercial Services"/>
    <s v="L000013829"/>
    <s v="L000013829"/>
    <s v="Non-LFF"/>
    <m/>
    <m/>
    <b v="1"/>
    <x v="2"/>
    <x v="3"/>
    <d v="2025-08-26T00:00:00"/>
    <m/>
    <m/>
    <x v="1"/>
    <n v="78"/>
    <s v="Ruby Grace Garcia"/>
    <m/>
  </r>
  <r>
    <x v="344"/>
    <x v="0"/>
    <x v="2"/>
    <s v="CORAERP_MMOR1945.5918 MarCom LabW"/>
    <s v="L000013827"/>
    <s v="L000013827"/>
    <s v="Non-LFF"/>
    <m/>
    <m/>
    <b v="1"/>
    <x v="2"/>
    <x v="3"/>
    <d v="2025-08-26T00:00:00"/>
    <m/>
    <m/>
    <x v="1"/>
    <n v="78"/>
    <s v="Ruby Grace Garcia"/>
    <m/>
  </r>
  <r>
    <x v="344"/>
    <x v="0"/>
    <x v="2"/>
    <s v="CORAERP_MMOR1945.5919 MarCom Print"/>
    <s v="L000013828"/>
    <s v="L000013828"/>
    <s v="Non-LFF"/>
    <m/>
    <m/>
    <b v="1"/>
    <x v="2"/>
    <x v="3"/>
    <d v="2025-08-26T00:00:00"/>
    <m/>
    <m/>
    <x v="1"/>
    <n v="78"/>
    <s v="Ruby Grace Garcia"/>
    <m/>
  </r>
  <r>
    <x v="344"/>
    <x v="0"/>
    <x v="2"/>
    <s v="CEMERAL_64010010860932 LW Marketing"/>
    <s v="L000013829"/>
    <s v="L000013829"/>
    <s v="Non-LFF"/>
    <m/>
    <m/>
    <b v="1"/>
    <x v="2"/>
    <x v="3"/>
    <d v="2025-08-26T00:00:00"/>
    <m/>
    <m/>
    <x v="1"/>
    <n v="78"/>
    <s v="Ruby Grace Garcia"/>
    <m/>
  </r>
  <r>
    <x v="344"/>
    <x v="0"/>
    <x v="2"/>
    <s v="CEMERAL_70007001586012 MESI REG SLS MarCom Singapore"/>
    <s v="L000013829"/>
    <s v="L000013829"/>
    <s v="Non-LFF"/>
    <m/>
    <m/>
    <b v="1"/>
    <x v="2"/>
    <x v="3"/>
    <d v="2025-08-26T00:00:00"/>
    <m/>
    <m/>
    <x v="1"/>
    <n v="78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78"/>
    <s v="Ruby Grace Garcia"/>
    <m/>
  </r>
  <r>
    <x v="344"/>
    <x v="0"/>
    <x v="2"/>
    <s v="CLFF_7210$$$2025C03513 1810 AS MarCom MQ"/>
    <s v="L000013829"/>
    <s v="L000013829"/>
    <s v="LFF (MDG-F)"/>
    <s v="2025C03513"/>
    <m/>
    <b v="1"/>
    <x v="2"/>
    <x v="3"/>
    <d v="2025-08-26T00:00:00"/>
    <m/>
    <m/>
    <x v="1"/>
    <n v="78"/>
    <s v="Ruby Grace Garcia"/>
    <m/>
  </r>
  <r>
    <x v="344"/>
    <x v="0"/>
    <x v="2"/>
    <s v="CNOW_7210$$$0000020586 AS MarCom BioM"/>
    <s v="L000013829"/>
    <s v="L000013829"/>
    <s v="Non-LFF"/>
    <m/>
    <m/>
    <b v="1"/>
    <x v="2"/>
    <x v="3"/>
    <d v="2025-08-26T00:00:00"/>
    <m/>
    <m/>
    <x v="1"/>
    <n v="78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78"/>
    <s v="Ruby Grace Garcia"/>
    <m/>
  </r>
  <r>
    <x v="344"/>
    <x v="0"/>
    <x v="2"/>
    <s v="CORAERP_MMOR1975.5122 Marcom Americas"/>
    <s v="L000013829"/>
    <s v="L000013829"/>
    <s v="Non-LFF"/>
    <m/>
    <m/>
    <b v="1"/>
    <x v="2"/>
    <x v="3"/>
    <d v="2025-08-26T00:00:00"/>
    <m/>
    <m/>
    <x v="1"/>
    <n v="78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78"/>
    <s v="Ruby Grace Garcia"/>
    <m/>
  </r>
  <r>
    <x v="344"/>
    <x v="0"/>
    <x v="2"/>
    <s v="CEMERAL_7000710299322A MarCom A&amp;P LW Taiwan"/>
    <s v="L000013829"/>
    <s v="L000013829"/>
    <s v="Non-LFF"/>
    <m/>
    <m/>
    <b v="1"/>
    <x v="2"/>
    <x v="3"/>
    <d v="2025-08-26T00:00:00"/>
    <m/>
    <m/>
    <x v="1"/>
    <n v="78"/>
    <s v="Ruby Grace Garcia"/>
    <m/>
  </r>
  <r>
    <x v="344"/>
    <x v="0"/>
    <x v="2"/>
    <s v="CSCALA_1042$LWSP MarCom A&amp;P LW Malaysia"/>
    <s v="L000013829"/>
    <s v="L000013829"/>
    <s v="Non-LFF"/>
    <m/>
    <m/>
    <b v="1"/>
    <x v="2"/>
    <x v="3"/>
    <d v="2025-08-26T00:00:00"/>
    <m/>
    <m/>
    <x v="1"/>
    <n v="78"/>
    <s v="Ruby Grace Garcia"/>
    <m/>
  </r>
  <r>
    <x v="344"/>
    <x v="0"/>
    <x v="2"/>
    <s v="CORAERP_MMOR1945.6586 Product Application Mktg &amp; Strat"/>
    <s v="L000006092"/>
    <s v="L000006092"/>
    <s v="Non-LFF"/>
    <m/>
    <m/>
    <b v="1"/>
    <x v="2"/>
    <x v="3"/>
    <d v="2025-08-26T00:00:00"/>
    <m/>
    <m/>
    <x v="1"/>
    <n v="78"/>
    <s v="Ruby Grace Garcia"/>
    <m/>
  </r>
  <r>
    <x v="344"/>
    <x v="0"/>
    <x v="2"/>
    <s v="CEMERAL_70006203201004 MarCom A&amp;P LW India"/>
    <s v="L000013829"/>
    <s v="L000013829"/>
    <s v="Non-LFF"/>
    <m/>
    <m/>
    <b v="1"/>
    <x v="2"/>
    <x v="3"/>
    <d v="2025-08-26T00:00:00"/>
    <m/>
    <m/>
    <x v="1"/>
    <n v="78"/>
    <s v="Ruby Grace Garcia"/>
    <m/>
  </r>
  <r>
    <x v="344"/>
    <x v="0"/>
    <x v="2"/>
    <s v="CORAERP_MMOR1945.5905 LW Commercial Support"/>
    <s v="L000013703"/>
    <s v="L000013703"/>
    <s v="Non-LFF"/>
    <m/>
    <m/>
    <b v="1"/>
    <x v="2"/>
    <x v="3"/>
    <d v="2025-08-26T00:00:00"/>
    <m/>
    <m/>
    <x v="1"/>
    <n v="78"/>
    <s v="Ruby Grace Garcia"/>
    <m/>
  </r>
  <r>
    <x v="344"/>
    <x v="0"/>
    <x v="2"/>
    <s v="CEMERAL_70006203200903 Marketing Operational Pricing &amp; Data"/>
    <s v="L000013703"/>
    <s v="L000013703"/>
    <s v="Non-LFF"/>
    <s v=""/>
    <m/>
    <b v="1"/>
    <x v="2"/>
    <x v="3"/>
    <d v="2025-08-26T00:00:00"/>
    <m/>
    <m/>
    <x v="1"/>
    <n v="78"/>
    <s v="Ruby Grace Garcia"/>
    <m/>
  </r>
  <r>
    <x v="345"/>
    <x v="0"/>
    <x v="2"/>
    <s v="CLFF_1000$$$DE73R00021 Patent Costs SomaLogic In"/>
    <s v="G000001283"/>
    <s v="G000001283"/>
    <s v="LFF (MDG-F)"/>
    <s v="DE73R00021"/>
    <m/>
    <b v="1"/>
    <x v="2"/>
    <x v="3"/>
    <d v="2025-08-26T00:00:00"/>
    <m/>
    <m/>
    <x v="1"/>
    <n v="78"/>
    <s v="Ruby Grace Garcia"/>
    <m/>
  </r>
  <r>
    <x v="345"/>
    <x v="0"/>
    <x v="2"/>
    <s v="CLFF_1000$$$DE73R00013 Patent Costs (external)/D"/>
    <s v="G000001283"/>
    <s v="G000001283"/>
    <s v="LFF (MDG-F)"/>
    <s v="DE73R00013"/>
    <m/>
    <b v="1"/>
    <x v="2"/>
    <x v="3"/>
    <d v="2025-08-26T00:00:00"/>
    <m/>
    <m/>
    <x v="1"/>
    <n v="78"/>
    <s v="Ruby Grace Garcia"/>
    <m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78"/>
    <s v="Rayneil Reas"/>
    <m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78"/>
    <s v="Rayneil Reas"/>
    <m/>
  </r>
  <r>
    <x v="346"/>
    <x v="0"/>
    <x v="2"/>
    <s v="PLEAN_X310181DK5010201 Bavencio Commercial DK50 Promo Material"/>
    <s v="H000000218"/>
    <s v="H000000218"/>
    <s v="Non-LFF"/>
    <s v=""/>
    <m/>
    <b v="1"/>
    <x v="1"/>
    <x v="3"/>
    <d v="2025-08-26T00:00:00"/>
    <m/>
    <m/>
    <x v="1"/>
    <n v="78"/>
    <s v="Rayneil Reas"/>
    <m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78"/>
    <s v="Rayneil Reas"/>
    <m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78"/>
    <s v="Rayneil Reas"/>
    <m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78"/>
    <s v="Rayneil Reas"/>
    <m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78"/>
    <s v="Rayneil Reas"/>
    <m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78"/>
    <s v="Rayneil Reas"/>
    <m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78"/>
    <s v="Rayneil Reas"/>
    <m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78"/>
    <s v="Rayneil Reas"/>
    <m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78"/>
    <s v="Rayneil Reas"/>
    <m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78"/>
    <s v="Rayneil Reas"/>
    <m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78"/>
    <s v="Rayneil Reas"/>
    <m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78"/>
    <s v="Rayneil Reas"/>
    <m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78"/>
    <s v="Rayneil Reas"/>
    <m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78"/>
    <s v="Rayneil Reas"/>
    <m/>
  </r>
  <r>
    <x v="346"/>
    <x v="0"/>
    <x v="2"/>
    <s v="CSCALA_1759$G539 1671106323969"/>
    <s v="H000003613"/>
    <s v="H000003613"/>
    <s v="Non-LFF"/>
    <s v=""/>
    <m/>
    <b v="1"/>
    <x v="1"/>
    <x v="3"/>
    <d v="2025-08-26T00:00:00"/>
    <m/>
    <m/>
    <x v="1"/>
    <n v="78"/>
    <s v="Rayneil Reas"/>
    <m/>
  </r>
  <r>
    <x v="346"/>
    <x v="0"/>
    <x v="2"/>
    <s v="PLEAN_X310201DK5010201 Fertility Commercial DK50 Promo Material"/>
    <s v="H000000218"/>
    <s v="H000000218"/>
    <s v="Non-LFF"/>
    <s v=""/>
    <m/>
    <b v="1"/>
    <x v="1"/>
    <x v="3"/>
    <d v="2025-08-26T00:00:00"/>
    <m/>
    <m/>
    <x v="1"/>
    <n v="78"/>
    <s v="Rayneil Reas"/>
    <m/>
  </r>
  <r>
    <x v="346"/>
    <x v="0"/>
    <x v="2"/>
    <s v="PLEAN_X310201DK5013201 Fertility Commercial DK50 Congress &amp; Eve"/>
    <s v="H000000218"/>
    <s v="H000000218"/>
    <s v="Non-LFF"/>
    <s v=""/>
    <m/>
    <b v="1"/>
    <x v="1"/>
    <x v="3"/>
    <d v="2025-08-26T00:00:00"/>
    <m/>
    <m/>
    <x v="1"/>
    <n v="78"/>
    <s v="Rayneil Reas"/>
    <m/>
  </r>
  <r>
    <x v="346"/>
    <x v="0"/>
    <x v="2"/>
    <s v="PLEAN_X310201DK5015201 Fertility Commercial DK50 Other Promo an"/>
    <s v="H000000218"/>
    <s v="H000000218"/>
    <s v="Non-LFF"/>
    <s v=""/>
    <m/>
    <b v="1"/>
    <x v="1"/>
    <x v="3"/>
    <d v="2025-08-26T00:00:00"/>
    <m/>
    <m/>
    <x v="1"/>
    <n v="78"/>
    <s v="Rayneil Reas"/>
    <m/>
  </r>
  <r>
    <x v="346"/>
    <x v="0"/>
    <x v="2"/>
    <s v="PLEAN_X310201EE5015201 Fertility Commercial EE50 Other Promo an"/>
    <s v="H000000219"/>
    <s v="H000000219"/>
    <s v="Non-LFF"/>
    <s v=""/>
    <m/>
    <b v="1"/>
    <x v="1"/>
    <x v="3"/>
    <d v="2025-08-26T00:00:00"/>
    <m/>
    <m/>
    <x v="1"/>
    <n v="78"/>
    <s v="Rayneil Reas"/>
    <m/>
  </r>
  <r>
    <x v="346"/>
    <x v="0"/>
    <x v="2"/>
    <s v="PLEAN_X310201FI5010201 Fertility Commercial FI50 Promo Material"/>
    <s v="H000000220"/>
    <s v="H000000220"/>
    <s v="Non-LFF"/>
    <s v=""/>
    <m/>
    <b v="1"/>
    <x v="1"/>
    <x v="3"/>
    <d v="2025-08-26T00:00:00"/>
    <m/>
    <m/>
    <x v="1"/>
    <n v="78"/>
    <s v="Rayneil Reas"/>
    <m/>
  </r>
  <r>
    <x v="346"/>
    <x v="0"/>
    <x v="2"/>
    <s v="PLEAN_X310201FI5013201 Fertility Commercial FI50 Congress &amp; Eve"/>
    <s v="H000000220"/>
    <s v="H000000220"/>
    <s v="Non-LFF"/>
    <s v=""/>
    <m/>
    <b v="1"/>
    <x v="1"/>
    <x v="3"/>
    <d v="2025-08-26T00:00:00"/>
    <m/>
    <m/>
    <x v="1"/>
    <n v="78"/>
    <s v="Rayneil Reas"/>
    <m/>
  </r>
  <r>
    <x v="346"/>
    <x v="0"/>
    <x v="2"/>
    <s v="PLEAN_X310201LT5013201 Fertility Commercial LT50 Congress &amp; Eve"/>
    <s v="H000000227"/>
    <s v="H000000227"/>
    <s v="Non-LFF"/>
    <s v=""/>
    <m/>
    <b v="1"/>
    <x v="1"/>
    <x v="3"/>
    <d v="2025-08-26T00:00:00"/>
    <m/>
    <m/>
    <x v="1"/>
    <n v="78"/>
    <s v="Rayneil Reas"/>
    <m/>
  </r>
  <r>
    <x v="346"/>
    <x v="0"/>
    <x v="2"/>
    <s v="PLEAN_X310201LT5015201 Fertility Commercial LT50 Other Promo an"/>
    <s v="H000000227"/>
    <s v="H000000227"/>
    <s v="Non-LFF"/>
    <s v=""/>
    <m/>
    <b v="1"/>
    <x v="1"/>
    <x v="3"/>
    <d v="2025-08-26T00:00:00"/>
    <m/>
    <m/>
    <x v="1"/>
    <n v="78"/>
    <s v="Rayneil Reas"/>
    <m/>
  </r>
  <r>
    <x v="346"/>
    <x v="0"/>
    <x v="2"/>
    <s v="PLEAN_X310201LT5030201 Fertility Commercial LT50 Other M&amp;S Regi"/>
    <s v="H000000227"/>
    <s v="H000000227"/>
    <s v="Non-LFF"/>
    <s v=""/>
    <m/>
    <b v="1"/>
    <x v="1"/>
    <x v="3"/>
    <d v="2025-08-26T00:00:00"/>
    <m/>
    <m/>
    <x v="1"/>
    <n v="78"/>
    <s v="Rayneil Reas"/>
    <m/>
  </r>
  <r>
    <x v="346"/>
    <x v="0"/>
    <x v="2"/>
    <s v="PLEAN_X310201LV5030201 Fertility Commercial LV50 Other M&amp;S Regi"/>
    <s v="H000000229"/>
    <s v="H000000229"/>
    <s v="Non-LFF"/>
    <s v=""/>
    <m/>
    <b v="1"/>
    <x v="1"/>
    <x v="3"/>
    <d v="2025-08-26T00:00:00"/>
    <m/>
    <m/>
    <x v="1"/>
    <n v="78"/>
    <s v="Rayneil Reas"/>
    <m/>
  </r>
  <r>
    <x v="346"/>
    <x v="0"/>
    <x v="2"/>
    <s v="PLEAN_X310201SE5015201 Fertility Commercial SE50 Other Promo an"/>
    <s v="H000000238"/>
    <s v="H000000238"/>
    <s v="Non-LFF"/>
    <s v=""/>
    <m/>
    <b v="1"/>
    <x v="1"/>
    <x v="3"/>
    <d v="2025-08-26T00:00:00"/>
    <m/>
    <m/>
    <x v="1"/>
    <n v="78"/>
    <s v="Rayneil Reas"/>
    <m/>
  </r>
  <r>
    <x v="346"/>
    <x v="0"/>
    <x v="2"/>
    <s v="PLEAN_X310301LV5010201 Gluco Commercial LV50 Promo Material Gen"/>
    <s v="H000000229"/>
    <s v="H000000229"/>
    <s v="Non-LFF"/>
    <s v=""/>
    <m/>
    <b v="1"/>
    <x v="1"/>
    <x v="3"/>
    <d v="2025-08-26T00:00:00"/>
    <m/>
    <m/>
    <x v="1"/>
    <n v="78"/>
    <s v="Rayneil Reas"/>
    <m/>
  </r>
  <r>
    <x v="346"/>
    <x v="0"/>
    <x v="2"/>
    <s v="PLEAN_X310351LT5015201 GM KGAA Commercial LT50 Other Promo and"/>
    <s v="H000000227"/>
    <s v="H000000227"/>
    <s v="Non-LFF"/>
    <s v=""/>
    <m/>
    <b v="1"/>
    <x v="1"/>
    <x v="3"/>
    <d v="2025-08-26T00:00:00"/>
    <m/>
    <m/>
    <x v="1"/>
    <n v="78"/>
    <s v="Rayneil Reas"/>
    <m/>
  </r>
  <r>
    <x v="346"/>
    <x v="0"/>
    <x v="2"/>
    <s v="PLEAN_X310401FI5010201 Saizen Commercial FI50 Promo Material Ge"/>
    <s v="H000000220"/>
    <s v="H000000220"/>
    <s v="Non-LFF"/>
    <s v=""/>
    <m/>
    <b v="1"/>
    <x v="1"/>
    <x v="3"/>
    <d v="2025-08-26T00:00:00"/>
    <m/>
    <m/>
    <x v="1"/>
    <n v="78"/>
    <s v="Rayneil Reas"/>
    <m/>
  </r>
  <r>
    <x v="346"/>
    <x v="0"/>
    <x v="2"/>
    <s v="PLEAN_X310401NO5030201 Saizen Commercial NO50 Other M&amp;S Registr"/>
    <s v="H000000233"/>
    <s v="H000000233"/>
    <s v="Non-LFF"/>
    <s v=""/>
    <m/>
    <b v="1"/>
    <x v="1"/>
    <x v="3"/>
    <d v="2025-08-26T00:00:00"/>
    <m/>
    <m/>
    <x v="1"/>
    <n v="78"/>
    <s v="Rayneil Reas"/>
    <m/>
  </r>
  <r>
    <x v="346"/>
    <x v="0"/>
    <x v="2"/>
    <s v="PLEAN_X310401SE5010201 Saizen Commercial SE50 Promo Material Ge"/>
    <s v="H000000238"/>
    <s v="H000000238"/>
    <s v="Non-LFF"/>
    <s v=""/>
    <m/>
    <b v="1"/>
    <x v="1"/>
    <x v="3"/>
    <d v="2025-08-26T00:00:00"/>
    <m/>
    <m/>
    <x v="1"/>
    <n v="78"/>
    <s v="Rayneil Reas"/>
    <m/>
  </r>
  <r>
    <x v="346"/>
    <x v="0"/>
    <x v="2"/>
    <s v="PLEAN_X310511DK5010201 Mavenclad Commercial DK50 Promo Material"/>
    <s v="H000000218"/>
    <s v="H000000218"/>
    <s v="Non-LFF"/>
    <s v=""/>
    <m/>
    <b v="1"/>
    <x v="1"/>
    <x v="3"/>
    <d v="2025-08-26T00:00:00"/>
    <m/>
    <m/>
    <x v="1"/>
    <n v="78"/>
    <s v="Rayneil Reas"/>
    <m/>
  </r>
  <r>
    <x v="346"/>
    <x v="0"/>
    <x v="2"/>
    <s v="PLEAN_X310511DK5015201 Mavenclad Commercial DK50 Other Promo an"/>
    <s v="H000000218"/>
    <s v="H000000218"/>
    <s v="Non-LFF"/>
    <s v=""/>
    <m/>
    <b v="1"/>
    <x v="1"/>
    <x v="3"/>
    <d v="2025-08-26T00:00:00"/>
    <m/>
    <m/>
    <x v="1"/>
    <n v="78"/>
    <s v="Rayneil Reas"/>
    <m/>
  </r>
  <r>
    <x v="346"/>
    <x v="0"/>
    <x v="2"/>
    <s v="PLEAN_X310511EE5013201 Mavenclad Commercial EE50 Congress &amp; Eve"/>
    <s v="H000000219"/>
    <s v="H000000219"/>
    <s v="Non-LFF"/>
    <s v=""/>
    <m/>
    <b v="1"/>
    <x v="1"/>
    <x v="3"/>
    <d v="2025-08-26T00:00:00"/>
    <m/>
    <m/>
    <x v="1"/>
    <n v="78"/>
    <s v="Rayneil Reas"/>
    <m/>
  </r>
  <r>
    <x v="346"/>
    <x v="0"/>
    <x v="2"/>
    <s v="PLEAN_X310511LT5013201 Mavenclad Commercial LT50 Congress &amp; Eve"/>
    <s v="H000000227"/>
    <s v="H000000227"/>
    <s v="Non-LFF"/>
    <s v=""/>
    <m/>
    <b v="1"/>
    <x v="1"/>
    <x v="3"/>
    <d v="2025-08-26T00:00:00"/>
    <m/>
    <m/>
    <x v="1"/>
    <n v="78"/>
    <s v="Rayneil Reas"/>
    <m/>
  </r>
  <r>
    <x v="346"/>
    <x v="0"/>
    <x v="2"/>
    <s v="PLEAN_X310511LT5015201 Mavenclad Commercial LT50 Other Promo an"/>
    <s v="H000000227"/>
    <s v="H000000227"/>
    <s v="Non-LFF"/>
    <s v=""/>
    <m/>
    <b v="1"/>
    <x v="1"/>
    <x v="3"/>
    <d v="2025-08-26T00:00:00"/>
    <m/>
    <m/>
    <x v="1"/>
    <n v="78"/>
    <s v="Rayneil Reas"/>
    <m/>
  </r>
  <r>
    <x v="346"/>
    <x v="0"/>
    <x v="2"/>
    <s v="PLEAN_X310511LT5030201 Mavenclad Commercial LT50 Other M&amp;S Regi"/>
    <s v="H000000227"/>
    <s v="H000000227"/>
    <s v="Non-LFF"/>
    <s v=""/>
    <m/>
    <b v="1"/>
    <x v="1"/>
    <x v="3"/>
    <d v="2025-08-26T00:00:00"/>
    <m/>
    <m/>
    <x v="1"/>
    <n v="78"/>
    <s v="Rayneil Reas"/>
    <m/>
  </r>
  <r>
    <x v="346"/>
    <x v="0"/>
    <x v="2"/>
    <s v="PLEAN_X310511LV5015201 Mavenclad Commercial LV50 Other Promo an"/>
    <s v="H000000229"/>
    <s v="H000000229"/>
    <s v="Non-LFF"/>
    <s v=""/>
    <m/>
    <b v="1"/>
    <x v="1"/>
    <x v="3"/>
    <d v="2025-08-26T00:00:00"/>
    <m/>
    <m/>
    <x v="1"/>
    <n v="78"/>
    <s v="Rayneil Reas"/>
    <m/>
  </r>
  <r>
    <x v="346"/>
    <x v="0"/>
    <x v="2"/>
    <s v="PLEAN_X310511NO5010201 Mavenclad Commercial NO50 Promo Material"/>
    <s v="H000000233"/>
    <s v="H000000233"/>
    <s v="Non-LFF"/>
    <s v=""/>
    <m/>
    <b v="1"/>
    <x v="1"/>
    <x v="3"/>
    <d v="2025-08-26T00:00:00"/>
    <m/>
    <m/>
    <x v="1"/>
    <n v="78"/>
    <s v="Rayneil Reas"/>
    <m/>
  </r>
  <r>
    <x v="346"/>
    <x v="0"/>
    <x v="2"/>
    <s v="PLEAN_X310511NO5011201 Mavenclad Commercial NO50 Advertising Ge"/>
    <s v="H000000233"/>
    <s v="H000000233"/>
    <s v="Non-LFF"/>
    <s v=""/>
    <m/>
    <b v="1"/>
    <x v="1"/>
    <x v="3"/>
    <d v="2025-08-26T00:00:00"/>
    <m/>
    <m/>
    <x v="1"/>
    <n v="78"/>
    <s v="Rayneil Reas"/>
    <m/>
  </r>
  <r>
    <x v="346"/>
    <x v="0"/>
    <x v="2"/>
    <s v="PLEAN_X310511SE5010201 Mavenclad Commercial SE50 Promo Material"/>
    <s v="H000000238"/>
    <s v="H000000238"/>
    <s v="Non-LFF"/>
    <s v=""/>
    <m/>
    <b v="1"/>
    <x v="1"/>
    <x v="3"/>
    <d v="2025-08-26T00:00:00"/>
    <m/>
    <m/>
    <x v="1"/>
    <n v="78"/>
    <s v="Rayneil Reas"/>
    <m/>
  </r>
  <r>
    <x v="346"/>
    <x v="0"/>
    <x v="2"/>
    <s v="PLEAN_X310282CH7622200 PIMI MED Consultancy"/>
    <s v="H000002013"/>
    <s v="H000002013"/>
    <s v="Non-LFF"/>
    <s v=""/>
    <m/>
    <b v="1"/>
    <x v="1"/>
    <x v="3"/>
    <d v="2025-08-26T00:00:00"/>
    <m/>
    <m/>
    <x v="1"/>
    <n v="78"/>
    <s v="Rayneil Reas"/>
    <m/>
  </r>
  <r>
    <x v="346"/>
    <x v="0"/>
    <x v="2"/>
    <s v="PLEAN_X310132AT5023200 Tepmetko Medical activities"/>
    <s v="H000003631"/>
    <s v="H000003631"/>
    <s v="Non-LFF"/>
    <s v=""/>
    <m/>
    <b v="1"/>
    <x v="1"/>
    <x v="3"/>
    <d v="2025-08-26T00:00:00"/>
    <m/>
    <m/>
    <x v="1"/>
    <n v="78"/>
    <s v="Rayneil Reas"/>
    <m/>
  </r>
  <r>
    <x v="346"/>
    <x v="0"/>
    <x v="2"/>
    <s v="PLEAN_X310152AT5020200 Bavencio Medical education"/>
    <s v="H000003631"/>
    <s v="H000003631"/>
    <s v="Non-LFF"/>
    <s v=""/>
    <m/>
    <b v="1"/>
    <x v="1"/>
    <x v="3"/>
    <d v="2025-08-26T00:00:00"/>
    <m/>
    <m/>
    <x v="1"/>
    <n v="78"/>
    <s v="Rayneil Reas"/>
    <m/>
  </r>
  <r>
    <x v="346"/>
    <x v="0"/>
    <x v="2"/>
    <s v="PLEAN_X310152AT5021200 Bavencio Medical donations"/>
    <s v="H000003631"/>
    <s v="H000003631"/>
    <s v="Non-LFF"/>
    <s v=""/>
    <m/>
    <b v="1"/>
    <x v="1"/>
    <x v="3"/>
    <d v="2025-08-26T00:00:00"/>
    <m/>
    <m/>
    <x v="1"/>
    <n v="78"/>
    <s v="Rayneil Reas"/>
    <m/>
  </r>
  <r>
    <x v="346"/>
    <x v="0"/>
    <x v="2"/>
    <s v="PLEAN_X310152AT5023201 Bavencio Medical congresses"/>
    <s v="H000003631"/>
    <s v="H000003631"/>
    <s v="Non-LFF"/>
    <s v=""/>
    <m/>
    <b v="1"/>
    <x v="1"/>
    <x v="3"/>
    <d v="2025-08-26T00:00:00"/>
    <m/>
    <m/>
    <x v="1"/>
    <n v="78"/>
    <s v="Rayneil Reas"/>
    <m/>
  </r>
  <r>
    <x v="346"/>
    <x v="0"/>
    <x v="2"/>
    <s v="PLEAN_X310201AT5013200 Fertility Congresses &amp; events"/>
    <s v="H000003628"/>
    <s v="H000003628"/>
    <s v="Non-LFF"/>
    <s v=""/>
    <m/>
    <b v="1"/>
    <x v="1"/>
    <x v="3"/>
    <d v="2025-08-26T00:00:00"/>
    <m/>
    <m/>
    <x v="1"/>
    <n v="78"/>
    <s v="Rayneil Reas"/>
    <m/>
  </r>
  <r>
    <x v="346"/>
    <x v="0"/>
    <x v="2"/>
    <s v="PLEAN_X310201CZ5011201 Fertility Commercial CZ50 Advertising Ge"/>
    <s v="H000002141"/>
    <s v="H000002141"/>
    <s v="Non-LFF"/>
    <s v=""/>
    <m/>
    <b v="1"/>
    <x v="1"/>
    <x v="3"/>
    <d v="2025-08-26T00:00:00"/>
    <m/>
    <m/>
    <x v="1"/>
    <n v="78"/>
    <s v="Rayneil Reas"/>
    <m/>
  </r>
  <r>
    <x v="346"/>
    <x v="0"/>
    <x v="2"/>
    <s v="PLEAN_X310201CZ5013203 Fertility Commercial CZ50 Congress &amp; Eve"/>
    <s v="H000002141"/>
    <s v="H000002141"/>
    <s v="Non-LFF"/>
    <s v=""/>
    <m/>
    <b v="1"/>
    <x v="1"/>
    <x v="3"/>
    <d v="2025-08-26T00:00:00"/>
    <m/>
    <m/>
    <x v="1"/>
    <n v="78"/>
    <s v="Rayneil Reas"/>
    <m/>
  </r>
  <r>
    <x v="346"/>
    <x v="0"/>
    <x v="2"/>
    <s v="PLEAN_X310201CZ5013205 Fertility Commercial CZ50 Congress &amp; Eve"/>
    <s v="H000002141"/>
    <s v="H000002141"/>
    <s v="Non-LFF"/>
    <s v=""/>
    <m/>
    <b v="1"/>
    <x v="1"/>
    <x v="3"/>
    <d v="2025-08-26T00:00:00"/>
    <m/>
    <m/>
    <x v="1"/>
    <n v="78"/>
    <s v="Rayneil Reas"/>
    <m/>
  </r>
  <r>
    <x v="346"/>
    <x v="0"/>
    <x v="2"/>
    <s v="PLEAN_X310301CZ5011201 Gluco Commercial CZ50 Advertising Genera"/>
    <s v="H000002141"/>
    <s v="H000002141"/>
    <s v="Non-LFF"/>
    <s v=""/>
    <m/>
    <b v="1"/>
    <x v="1"/>
    <x v="3"/>
    <d v="2025-08-26T00:00:00"/>
    <m/>
    <m/>
    <x v="1"/>
    <n v="78"/>
    <s v="Rayneil Reas"/>
    <m/>
  </r>
  <r>
    <x v="346"/>
    <x v="0"/>
    <x v="2"/>
    <s v="PLEAN_X310301CZ5013201 Gluco Commercial CZ50 Congress &amp; Events"/>
    <s v="H000002141"/>
    <s v="H000002141"/>
    <s v="Non-LFF"/>
    <s v=""/>
    <m/>
    <b v="1"/>
    <x v="1"/>
    <x v="3"/>
    <d v="2025-08-26T00:00:00"/>
    <m/>
    <m/>
    <x v="1"/>
    <n v="78"/>
    <s v="Rayneil Reas"/>
    <m/>
  </r>
  <r>
    <x v="346"/>
    <x v="0"/>
    <x v="2"/>
    <s v="PLEAN_X310301CZ5013202 Gluco Commercial CZ50 Congress &amp; Events"/>
    <s v="H000002141"/>
    <s v="H000002141"/>
    <s v="Non-LFF"/>
    <s v=""/>
    <m/>
    <b v="1"/>
    <x v="1"/>
    <x v="3"/>
    <d v="2025-08-26T00:00:00"/>
    <m/>
    <m/>
    <x v="1"/>
    <n v="78"/>
    <s v="Rayneil Reas"/>
    <m/>
  </r>
  <r>
    <x v="346"/>
    <x v="0"/>
    <x v="2"/>
    <s v="PLEAN_X310301CZ5015201 Gluco Commercial CZ50 Other Promo and Ad"/>
    <s v="H000002141"/>
    <s v="H000002141"/>
    <s v="Non-LFF"/>
    <s v=""/>
    <m/>
    <b v="1"/>
    <x v="1"/>
    <x v="3"/>
    <d v="2025-08-26T00:00:00"/>
    <m/>
    <m/>
    <x v="1"/>
    <n v="78"/>
    <s v="Rayneil Reas"/>
    <m/>
  </r>
  <r>
    <x v="346"/>
    <x v="0"/>
    <x v="2"/>
    <s v="PLEAN_X310401AT5013200 Endo Congresses &amp; events"/>
    <s v="H000003628"/>
    <s v="H000003628"/>
    <s v="Non-LFF"/>
    <s v=""/>
    <m/>
    <b v="1"/>
    <x v="1"/>
    <x v="3"/>
    <d v="2025-08-26T00:00:00"/>
    <m/>
    <m/>
    <x v="1"/>
    <n v="78"/>
    <s v="Rayneil Reas"/>
    <m/>
  </r>
  <r>
    <x v="346"/>
    <x v="0"/>
    <x v="2"/>
    <s v="PLEAN_X310401CZ5013203 Saizen Commercial CZ50 Congress &amp; Events"/>
    <s v="H000002141"/>
    <s v="H000002141"/>
    <s v="Non-LFF"/>
    <s v=""/>
    <m/>
    <b v="1"/>
    <x v="1"/>
    <x v="3"/>
    <d v="2025-08-26T00:00:00"/>
    <m/>
    <m/>
    <x v="1"/>
    <n v="78"/>
    <s v="Rayneil Reas"/>
    <m/>
  </r>
  <r>
    <x v="346"/>
    <x v="0"/>
    <x v="2"/>
    <s v="PLEAN_X310511CZ5010201 Mavenclad Commercial CZ50 Promo Material"/>
    <s v="H000002141"/>
    <s v="H000002141"/>
    <s v="Non-LFF"/>
    <s v=""/>
    <m/>
    <b v="1"/>
    <x v="1"/>
    <x v="3"/>
    <d v="2025-08-26T00:00:00"/>
    <m/>
    <m/>
    <x v="1"/>
    <n v="78"/>
    <s v="Rayneil Reas"/>
    <m/>
  </r>
  <r>
    <x v="346"/>
    <x v="0"/>
    <x v="2"/>
    <s v="PLEAN_X310511CZ5013204 Mavenclad Commercial CZ50 Congress &amp; Eve"/>
    <s v="H000002141"/>
    <s v="H000002141"/>
    <s v="Non-LFF"/>
    <s v=""/>
    <m/>
    <b v="1"/>
    <x v="1"/>
    <x v="3"/>
    <d v="2025-08-26T00:00:00"/>
    <m/>
    <m/>
    <x v="1"/>
    <n v="78"/>
    <s v="Rayneil Reas"/>
    <m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78"/>
    <s v="Marcus Morowski"/>
    <m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78"/>
    <s v="Marcus Morowski"/>
    <m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78"/>
    <s v="Marcus Morowski"/>
    <m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78"/>
    <s v="Marcus Morowski"/>
    <m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78"/>
    <s v="Marcus Morowski"/>
    <m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78"/>
    <s v="Rayneil Reas"/>
    <m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78"/>
    <s v="Rayneil Reas"/>
    <m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78"/>
    <s v="Rayneil Reas"/>
    <m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78"/>
    <s v="Rayneil Reas"/>
    <m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78"/>
    <s v="Rayneil Reas"/>
    <m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78"/>
    <s v="Rayneil Reas"/>
    <m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78"/>
    <s v="Rayneil Reas"/>
    <m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78"/>
    <s v="Rayneil Reas"/>
    <m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78"/>
    <s v="Rayneil Reas"/>
    <m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78"/>
    <s v="Rayneil Reas"/>
    <m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78"/>
    <s v="Rayneil Reas"/>
    <m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78"/>
    <s v="Rayneil Reas"/>
    <m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78"/>
    <s v="Rayneil Reas"/>
    <m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78"/>
    <s v="Rayneil Reas"/>
    <m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78"/>
    <s v="Rayneil Reas"/>
    <m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78"/>
    <s v="Rayneil Reas"/>
    <m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78"/>
    <s v="Rayneil Reas"/>
    <m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78"/>
    <s v="Rayneil Reas"/>
    <m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78"/>
    <s v="Rayneil Reas"/>
    <m/>
  </r>
  <r>
    <x v="349"/>
    <x v="0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78"/>
    <s v="Robert Coman"/>
    <m/>
  </r>
  <r>
    <x v="349"/>
    <x v="0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78"/>
    <s v="Robert Coman"/>
    <m/>
  </r>
  <r>
    <x v="349"/>
    <x v="0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78"/>
    <s v="Robert Coman"/>
    <m/>
  </r>
  <r>
    <x v="349"/>
    <x v="0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78"/>
    <s v="Robert Coman"/>
    <m/>
  </r>
  <r>
    <x v="349"/>
    <x v="0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78"/>
    <s v="Robert Coman"/>
    <m/>
  </r>
  <r>
    <x v="349"/>
    <x v="0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78"/>
    <s v="Robert Coman"/>
    <m/>
  </r>
  <r>
    <x v="349"/>
    <x v="0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78"/>
    <s v="Robert Coman"/>
    <m/>
  </r>
  <r>
    <x v="349"/>
    <x v="0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78"/>
    <s v="Robert Coman"/>
    <m/>
  </r>
  <r>
    <x v="349"/>
    <x v="0"/>
    <x v="2"/>
    <s v="CLFF_1000$$$JP01C0M825"/>
    <s v="GNMI000051"/>
    <s v="GNMI000051"/>
    <s v="LFF (MDG-F)"/>
    <s v="JP01C0M825"/>
    <m/>
    <b v="1"/>
    <x v="3"/>
    <x v="3"/>
    <d v="2025-08-26T00:00:00"/>
    <m/>
    <m/>
    <x v="1"/>
    <n v="78"/>
    <s v="Robert Coman"/>
    <m/>
  </r>
  <r>
    <x v="349"/>
    <x v="0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78"/>
    <s v="Robert Coman"/>
    <m/>
  </r>
  <r>
    <x v="349"/>
    <x v="0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78"/>
    <s v="Robert Coman"/>
    <m/>
  </r>
  <r>
    <x v="349"/>
    <x v="0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78"/>
    <s v="Robert Coman"/>
    <m/>
  </r>
  <r>
    <x v="349"/>
    <x v="0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78"/>
    <s v="Robert Coman"/>
    <m/>
  </r>
  <r>
    <x v="349"/>
    <x v="0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78"/>
    <s v="Robert Coman"/>
    <m/>
  </r>
  <r>
    <x v="349"/>
    <x v="0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78"/>
    <s v="Robert Coman"/>
    <m/>
  </r>
  <r>
    <x v="349"/>
    <x v="0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78"/>
    <s v="Robert Coman"/>
    <m/>
  </r>
  <r>
    <x v="349"/>
    <x v="0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78"/>
    <s v="Robert Coman"/>
    <m/>
  </r>
  <r>
    <x v="349"/>
    <x v="0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78"/>
    <s v="Robert Coman"/>
    <m/>
  </r>
  <r>
    <x v="349"/>
    <x v="0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78"/>
    <s v="Robert Coman"/>
    <m/>
  </r>
  <r>
    <x v="349"/>
    <x v="0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78"/>
    <s v="Robert Coman"/>
    <m/>
  </r>
  <r>
    <x v="349"/>
    <x v="0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78"/>
    <s v="Robert Coman"/>
    <m/>
  </r>
  <r>
    <x v="349"/>
    <x v="0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78"/>
    <s v="Robert Coman"/>
    <m/>
  </r>
  <r>
    <x v="349"/>
    <x v="0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78"/>
    <s v="Robert Coman"/>
    <m/>
  </r>
  <r>
    <x v="349"/>
    <x v="0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78"/>
    <s v="Robert Coman"/>
    <m/>
  </r>
  <r>
    <x v="349"/>
    <x v="0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78"/>
    <s v="Robert Coman"/>
    <m/>
  </r>
  <r>
    <x v="349"/>
    <x v="0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78"/>
    <s v="Robert Coman"/>
    <m/>
  </r>
  <r>
    <x v="349"/>
    <x v="0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78"/>
    <s v="Robert Coman"/>
    <m/>
  </r>
  <r>
    <x v="349"/>
    <x v="0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78"/>
    <s v="Robert Coman"/>
    <m/>
  </r>
  <r>
    <x v="349"/>
    <x v="0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78"/>
    <s v="Robert Coman"/>
    <m/>
  </r>
  <r>
    <x v="349"/>
    <x v="0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78"/>
    <s v="Robert Coman"/>
    <m/>
  </r>
  <r>
    <x v="349"/>
    <x v="0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78"/>
    <s v="Robert Coman"/>
    <m/>
  </r>
  <r>
    <x v="349"/>
    <x v="0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78"/>
    <s v="Robert Coman"/>
    <m/>
  </r>
  <r>
    <x v="349"/>
    <x v="0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78"/>
    <s v="Robert Coman"/>
    <m/>
  </r>
  <r>
    <x v="349"/>
    <x v="0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78"/>
    <s v="Robert Coman"/>
    <m/>
  </r>
  <r>
    <x v="349"/>
    <x v="0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78"/>
    <s v="Robert Coman"/>
    <m/>
  </r>
  <r>
    <x v="349"/>
    <x v="0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78"/>
    <s v="Robert Coman"/>
    <m/>
  </r>
  <r>
    <x v="349"/>
    <x v="0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78"/>
    <s v="Robert Coman"/>
    <m/>
  </r>
  <r>
    <x v="349"/>
    <x v="0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78"/>
    <s v="Robert Coman"/>
    <m/>
  </r>
  <r>
    <x v="349"/>
    <x v="0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78"/>
    <s v="Robert Coman"/>
    <m/>
  </r>
  <r>
    <x v="349"/>
    <x v="0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78"/>
    <s v="Robert Coman"/>
    <m/>
  </r>
  <r>
    <x v="349"/>
    <x v="0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78"/>
    <s v="Robert Coman"/>
    <m/>
  </r>
  <r>
    <x v="349"/>
    <x v="0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78"/>
    <s v="Robert Coman"/>
    <m/>
  </r>
  <r>
    <x v="349"/>
    <x v="0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78"/>
    <s v="Robert Coman"/>
    <m/>
  </r>
  <r>
    <x v="349"/>
    <x v="0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78"/>
    <s v="Robert Coman"/>
    <m/>
  </r>
  <r>
    <x v="349"/>
    <x v="0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78"/>
    <s v="Robert Coman"/>
    <m/>
  </r>
  <r>
    <x v="349"/>
    <x v="0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78"/>
    <s v="Robert Coman"/>
    <m/>
  </r>
  <r>
    <x v="349"/>
    <x v="0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78"/>
    <s v="Robert Coman"/>
    <m/>
  </r>
  <r>
    <x v="349"/>
    <x v="0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78"/>
    <s v="Robert Coman"/>
    <m/>
  </r>
  <r>
    <x v="349"/>
    <x v="0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78"/>
    <s v="Robert Coman"/>
    <m/>
  </r>
  <r>
    <x v="349"/>
    <x v="0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78"/>
    <s v="Robert Coman"/>
    <m/>
  </r>
  <r>
    <x v="349"/>
    <x v="0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78"/>
    <s v="Robert Coman"/>
    <m/>
  </r>
  <r>
    <x v="349"/>
    <x v="0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78"/>
    <s v="Robert Coman"/>
    <m/>
  </r>
  <r>
    <x v="349"/>
    <x v="0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78"/>
    <s v="Robert Coman"/>
    <m/>
  </r>
  <r>
    <x v="349"/>
    <x v="0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78"/>
    <s v="Robert Coman"/>
    <m/>
  </r>
  <r>
    <x v="349"/>
    <x v="0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78"/>
    <s v="Robert Coman"/>
    <m/>
  </r>
  <r>
    <x v="349"/>
    <x v="0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78"/>
    <s v="Robert Coman"/>
    <m/>
  </r>
  <r>
    <x v="349"/>
    <x v="0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78"/>
    <s v="Robert Coman"/>
    <m/>
  </r>
  <r>
    <x v="349"/>
    <x v="0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78"/>
    <s v="Robert Coman"/>
    <m/>
  </r>
  <r>
    <x v="349"/>
    <x v="0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78"/>
    <s v="Robert Coman"/>
    <m/>
  </r>
  <r>
    <x v="349"/>
    <x v="0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78"/>
    <s v="Robert Coman"/>
    <m/>
  </r>
  <r>
    <x v="349"/>
    <x v="0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78"/>
    <s v="Robert Coman"/>
    <m/>
  </r>
  <r>
    <x v="349"/>
    <x v="0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78"/>
    <s v="Robert Coman"/>
    <m/>
  </r>
  <r>
    <x v="349"/>
    <x v="0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78"/>
    <s v="Robert Coman"/>
    <m/>
  </r>
  <r>
    <x v="349"/>
    <x v="0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78"/>
    <s v="Robert Coman"/>
    <m/>
  </r>
  <r>
    <x v="349"/>
    <x v="0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78"/>
    <s v="Robert Coman"/>
    <m/>
  </r>
  <r>
    <x v="349"/>
    <x v="0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78"/>
    <s v="Robert Coman"/>
    <m/>
  </r>
  <r>
    <x v="349"/>
    <x v="0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78"/>
    <s v="Robert Coman"/>
    <m/>
  </r>
  <r>
    <x v="349"/>
    <x v="0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78"/>
    <s v="Robert Coman"/>
    <m/>
  </r>
  <r>
    <x v="349"/>
    <x v="0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78"/>
    <s v="Robert Coman"/>
    <m/>
  </r>
  <r>
    <x v="349"/>
    <x v="0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78"/>
    <s v="Robert Coman"/>
    <m/>
  </r>
  <r>
    <x v="349"/>
    <x v="0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78"/>
    <s v="Robert Coman"/>
    <m/>
  </r>
  <r>
    <x v="349"/>
    <x v="0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78"/>
    <s v="Robert Coman"/>
    <m/>
  </r>
  <r>
    <x v="349"/>
    <x v="0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78"/>
    <s v="Robert Coman"/>
    <m/>
  </r>
  <r>
    <x v="349"/>
    <x v="0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78"/>
    <s v="Robert Coman"/>
    <m/>
  </r>
  <r>
    <x v="349"/>
    <x v="0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78"/>
    <s v="Robert Coman"/>
    <m/>
  </r>
  <r>
    <x v="349"/>
    <x v="0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78"/>
    <s v="Robert Coman"/>
    <m/>
  </r>
  <r>
    <x v="349"/>
    <x v="0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78"/>
    <s v="Robert Coman"/>
    <m/>
  </r>
  <r>
    <x v="349"/>
    <x v="0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78"/>
    <s v="Robert Coman"/>
    <m/>
  </r>
  <r>
    <x v="349"/>
    <x v="0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78"/>
    <s v="Robert Coman"/>
    <m/>
  </r>
  <r>
    <x v="349"/>
    <x v="0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78"/>
    <s v="Robert Coman"/>
    <m/>
  </r>
  <r>
    <x v="349"/>
    <x v="0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78"/>
    <s v="Robert Coman"/>
    <m/>
  </r>
  <r>
    <x v="349"/>
    <x v="0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78"/>
    <s v="Robert Coman"/>
    <m/>
  </r>
  <r>
    <x v="349"/>
    <x v="0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78"/>
    <s v="Robert Coman"/>
    <m/>
  </r>
  <r>
    <x v="349"/>
    <x v="0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78"/>
    <s v="Robert Coman"/>
    <m/>
  </r>
  <r>
    <x v="349"/>
    <x v="0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78"/>
    <s v="Robert Coman"/>
    <m/>
  </r>
  <r>
    <x v="349"/>
    <x v="0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78"/>
    <s v="Robert Coman"/>
    <m/>
  </r>
  <r>
    <x v="349"/>
    <x v="0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78"/>
    <s v="Robert Coman"/>
    <m/>
  </r>
  <r>
    <x v="349"/>
    <x v="0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78"/>
    <s v="Robert Coman"/>
    <m/>
  </r>
  <r>
    <x v="349"/>
    <x v="0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78"/>
    <s v="Robert Coman"/>
    <m/>
  </r>
  <r>
    <x v="349"/>
    <x v="0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78"/>
    <s v="Robert Coman"/>
    <m/>
  </r>
  <r>
    <x v="349"/>
    <x v="0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78"/>
    <s v="Robert Coman"/>
    <m/>
  </r>
  <r>
    <x v="349"/>
    <x v="0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78"/>
    <s v="Robert Coman"/>
    <m/>
  </r>
  <r>
    <x v="349"/>
    <x v="0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78"/>
    <s v="Robert Coman"/>
    <m/>
  </r>
  <r>
    <x v="349"/>
    <x v="0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78"/>
    <s v="Robert Coman"/>
    <m/>
  </r>
  <r>
    <x v="349"/>
    <x v="0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78"/>
    <s v="Robert Coman"/>
    <m/>
  </r>
  <r>
    <x v="349"/>
    <x v="0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78"/>
    <s v="Robert Coman"/>
    <m/>
  </r>
  <r>
    <x v="349"/>
    <x v="0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78"/>
    <s v="Robert Coman"/>
    <m/>
  </r>
  <r>
    <x v="349"/>
    <x v="0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78"/>
    <s v="Robert Coman"/>
    <m/>
  </r>
  <r>
    <x v="349"/>
    <x v="0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78"/>
    <s v="Robert Coman"/>
    <m/>
  </r>
  <r>
    <x v="349"/>
    <x v="0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78"/>
    <s v="Robert Coman"/>
    <m/>
  </r>
  <r>
    <x v="349"/>
    <x v="0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78"/>
    <s v="Robert Coman"/>
    <m/>
  </r>
  <r>
    <x v="349"/>
    <x v="0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78"/>
    <s v="Robert Coman"/>
    <m/>
  </r>
  <r>
    <x v="349"/>
    <x v="0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78"/>
    <s v="Robert Coman"/>
    <m/>
  </r>
  <r>
    <x v="349"/>
    <x v="0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78"/>
    <s v="Robert Coman"/>
    <m/>
  </r>
  <r>
    <x v="349"/>
    <x v="0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78"/>
    <s v="Robert Coman"/>
    <m/>
  </r>
  <r>
    <x v="349"/>
    <x v="0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78"/>
    <s v="Robert Coman"/>
    <m/>
  </r>
  <r>
    <x v="349"/>
    <x v="0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78"/>
    <s v="Robert Coman"/>
    <m/>
  </r>
  <r>
    <x v="349"/>
    <x v="0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78"/>
    <s v="Robert Coman"/>
    <m/>
  </r>
  <r>
    <x v="349"/>
    <x v="0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78"/>
    <s v="Robert Coman"/>
    <m/>
  </r>
  <r>
    <x v="349"/>
    <x v="0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78"/>
    <s v="Robert Coman"/>
    <m/>
  </r>
  <r>
    <x v="349"/>
    <x v="0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78"/>
    <s v="Robert Coman"/>
    <m/>
  </r>
  <r>
    <x v="349"/>
    <x v="0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78"/>
    <s v="Robert Coman"/>
    <m/>
  </r>
  <r>
    <x v="349"/>
    <x v="0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78"/>
    <s v="Robert Coman"/>
    <m/>
  </r>
  <r>
    <x v="349"/>
    <x v="0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78"/>
    <s v="Robert Coman"/>
    <m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76"/>
    <s v="Jay-R Lizardo"/>
    <m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76"/>
    <s v="Jay-R Lizardo"/>
    <m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76"/>
    <s v="Jay-R Lizardo"/>
    <m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76"/>
    <s v="Jay-R Lizardo"/>
    <m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76"/>
    <s v="Jay-R Lizardo"/>
    <m/>
  </r>
  <r>
    <x v="351"/>
    <x v="0"/>
    <x v="2"/>
    <s v="CLFF_1000$$$DE10GM8401 "/>
    <s v="L000013461"/>
    <s v="L000013461"/>
    <s v="LFF (MDG-F)"/>
    <s v="DE10GM8401"/>
    <m/>
    <b v="1"/>
    <x v="2"/>
    <x v="3"/>
    <d v="2025-08-28T00:00:00"/>
    <m/>
    <m/>
    <x v="1"/>
    <n v="76"/>
    <s v="Joan Rose Pena"/>
    <m/>
  </r>
  <r>
    <x v="351"/>
    <x v="0"/>
    <x v="2"/>
    <s v="CNOW_7210$$$0000057021 "/>
    <s v="L000013452"/>
    <s v="L000013452"/>
    <s v="Non-LFF"/>
    <s v=""/>
    <m/>
    <b v="1"/>
    <x v="2"/>
    <x v="3"/>
    <d v="2025-08-28T00:00:00"/>
    <m/>
    <m/>
    <x v="1"/>
    <n v="76"/>
    <s v="Joan Rose Pena"/>
    <m/>
  </r>
  <r>
    <x v="351"/>
    <x v="0"/>
    <x v="2"/>
    <s v="CNOW_7210$$$0024069015 "/>
    <s v="L000007121"/>
    <s v="L000007121"/>
    <s v="Non-LFF"/>
    <s v=""/>
    <m/>
    <b v="1"/>
    <x v="2"/>
    <x v="3"/>
    <d v="2025-08-28T00:00:00"/>
    <m/>
    <m/>
    <x v="1"/>
    <n v="76"/>
    <s v="Joan Rose Pena"/>
    <m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76"/>
    <s v="Joan Rose Pena"/>
    <m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76"/>
    <s v="Joan Rose Pena"/>
    <m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76"/>
    <s v="Joan Rose Pena"/>
    <m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76"/>
    <s v="Joan Rose Pena"/>
    <m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76"/>
    <s v="Jojeff Tagnong"/>
    <m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76"/>
    <s v="Jojeff Tagnong"/>
    <m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76"/>
    <s v="Jojeff Tagnong"/>
    <m/>
  </r>
  <r>
    <x v="353"/>
    <x v="0"/>
    <x v="2"/>
    <s v="CLFF_1000$$$JP01C0M825"/>
    <s v="GNMI000051"/>
    <s v="GNMI000051"/>
    <s v="LFF (MDG-F)"/>
    <s v="JP01C0M825"/>
    <m/>
    <b v="1"/>
    <x v="3"/>
    <x v="3"/>
    <d v="2025-08-28T00:00:00"/>
    <m/>
    <m/>
    <x v="1"/>
    <n v="76"/>
    <s v="Robert Coman"/>
    <m/>
  </r>
  <r>
    <x v="354"/>
    <x v="0"/>
    <x v="2"/>
    <s v="PLEAN_X310181TN5010200 bavencio promotionnel materiel"/>
    <s v="H000000262"/>
    <s v="H000000262"/>
    <s v="Non-LFF"/>
    <s v=""/>
    <m/>
    <b v="1"/>
    <x v="1"/>
    <x v="3"/>
    <d v="2025-08-29T00:00:00"/>
    <m/>
    <m/>
    <x v="1"/>
    <n v="75"/>
    <s v="Rayneil Reas"/>
    <m/>
  </r>
  <r>
    <x v="354"/>
    <x v="0"/>
    <x v="2"/>
    <s v="PLEAN_X310181TN5013201 BAVENCIO 25"/>
    <s v="H000000262"/>
    <s v="H000000262"/>
    <s v="Non-LFF"/>
    <s v=""/>
    <m/>
    <b v="1"/>
    <x v="1"/>
    <x v="3"/>
    <d v="2025-08-29T00:00:00"/>
    <m/>
    <m/>
    <x v="1"/>
    <n v="75"/>
    <s v="Rayneil Reas"/>
    <m/>
  </r>
  <r>
    <x v="354"/>
    <x v="0"/>
    <x v="2"/>
    <s v="PLEAN_X310201MA5013217 Impression tissu stand parapluie"/>
    <s v="H000000286"/>
    <s v="H000000286"/>
    <s v="Non-LFF"/>
    <s v=""/>
    <m/>
    <b v="1"/>
    <x v="1"/>
    <x v="3"/>
    <d v="2025-08-29T00:00:00"/>
    <m/>
    <m/>
    <x v="1"/>
    <n v="75"/>
    <s v="Rayneil Reas"/>
    <m/>
  </r>
  <r>
    <x v="354"/>
    <x v="0"/>
    <x v="2"/>
    <s v="PLEAN_X310201TN5030200 Submission fees Algeria"/>
    <s v="H000000262"/>
    <s v="H000000262"/>
    <s v="Non-LFF"/>
    <s v=""/>
    <m/>
    <b v="1"/>
    <x v="1"/>
    <x v="3"/>
    <d v="2025-08-29T00:00:00"/>
    <m/>
    <m/>
    <x v="1"/>
    <n v="75"/>
    <s v="Rayneil Reas"/>
    <m/>
  </r>
  <r>
    <x v="354"/>
    <x v="0"/>
    <x v="2"/>
    <s v="PLEAN_X310301MA5010200 Matériel promotionnel Diabetes"/>
    <s v="H000000286"/>
    <s v="H000000286"/>
    <s v="Non-LFF"/>
    <s v=""/>
    <m/>
    <b v="1"/>
    <x v="1"/>
    <x v="3"/>
    <d v="2025-08-29T00:00:00"/>
    <m/>
    <m/>
    <x v="1"/>
    <n v="75"/>
    <s v="Rayneil Reas"/>
    <m/>
  </r>
  <r>
    <x v="354"/>
    <x v="0"/>
    <x v="2"/>
    <s v="PLEAN_X310301TN5010211 Material Promotionnel DZ (Fees submissio"/>
    <s v="H000000262"/>
    <s v="H000000262"/>
    <s v="Non-LFF"/>
    <s v=""/>
    <m/>
    <b v="1"/>
    <x v="1"/>
    <x v="3"/>
    <d v="2025-08-29T00:00:00"/>
    <m/>
    <m/>
    <x v="1"/>
    <n v="75"/>
    <s v="Rayneil Reas"/>
    <m/>
  </r>
  <r>
    <x v="354"/>
    <x v="0"/>
    <x v="2"/>
    <s v="PLEAN_X310301TN5013217 Diabet Congres et journées scientifiques"/>
    <s v="H000000262"/>
    <s v="H000000262"/>
    <s v="Non-LFF"/>
    <s v=""/>
    <m/>
    <b v="1"/>
    <x v="1"/>
    <x v="3"/>
    <d v="2025-08-29T00:00:00"/>
    <m/>
    <m/>
    <x v="1"/>
    <n v="75"/>
    <s v="Rayneil Reas"/>
    <m/>
  </r>
  <r>
    <x v="354"/>
    <x v="0"/>
    <x v="2"/>
    <s v="PLEAN_X310511MA5013212 Congrès SMASEP"/>
    <s v="H000000286"/>
    <s v="H000000286"/>
    <s v="Non-LFF"/>
    <s v=""/>
    <m/>
    <b v="1"/>
    <x v="1"/>
    <x v="3"/>
    <d v="2025-08-29T00:00:00"/>
    <m/>
    <m/>
    <x v="1"/>
    <n v="75"/>
    <s v="Rayneil Reas"/>
    <m/>
  </r>
  <r>
    <x v="354"/>
    <x v="0"/>
    <x v="2"/>
    <s v="PLEAN_X310201AE5015201 SP GAP OTHER-AE-FERT"/>
    <s v="H000002969"/>
    <s v="H000002969"/>
    <s v="Non-LFF"/>
    <s v=""/>
    <m/>
    <b v="1"/>
    <x v="1"/>
    <x v="3"/>
    <d v="2025-08-29T00:00:00"/>
    <m/>
    <m/>
    <x v="1"/>
    <n v="75"/>
    <s v="Rayneil Reas"/>
    <m/>
  </r>
  <r>
    <x v="354"/>
    <x v="0"/>
    <x v="2"/>
    <s v="PLEAN_X310201MA5013210 Amicale Meknes (MA50)"/>
    <s v="H000000286"/>
    <s v="H000000286"/>
    <s v="Non-LFF"/>
    <s v=""/>
    <m/>
    <b v="1"/>
    <x v="1"/>
    <x v="3"/>
    <d v="2025-08-29T00:00:00"/>
    <m/>
    <m/>
    <x v="1"/>
    <n v="75"/>
    <s v="Rayneil Reas"/>
    <m/>
  </r>
  <r>
    <x v="354"/>
    <x v="0"/>
    <x v="2"/>
    <s v="PLEAN_X310201MA5015201 MA Local regulatory  fertility"/>
    <s v="H000000286"/>
    <s v="H000000286"/>
    <s v="Non-LFF"/>
    <s v=""/>
    <m/>
    <b v="1"/>
    <x v="1"/>
    <x v="3"/>
    <d v="2025-08-29T00:00:00"/>
    <m/>
    <m/>
    <x v="1"/>
    <n v="75"/>
    <s v="Rayneil Reas"/>
    <m/>
  </r>
  <r>
    <x v="354"/>
    <x v="0"/>
    <x v="2"/>
    <s v="PLEAN_X310201TN5010214 promotional material fertility morocco"/>
    <s v="H000000286"/>
    <s v="H000000286"/>
    <s v="Non-LFF"/>
    <s v=""/>
    <m/>
    <b v="1"/>
    <x v="1"/>
    <x v="3"/>
    <d v="2025-08-29T00:00:00"/>
    <m/>
    <m/>
    <x v="1"/>
    <n v="75"/>
    <s v="Rayneil Reas"/>
    <m/>
  </r>
  <r>
    <x v="354"/>
    <x v="0"/>
    <x v="2"/>
    <s v="PLEAN_X310201TN5010215 Promortional material fertility Algeria"/>
    <s v="H000000262"/>
    <s v="H000000262"/>
    <s v="Non-LFF"/>
    <s v=""/>
    <m/>
    <b v="1"/>
    <x v="1"/>
    <x v="3"/>
    <d v="2025-08-29T00:00:00"/>
    <m/>
    <m/>
    <x v="1"/>
    <n v="75"/>
    <s v="Rayneil Reas"/>
    <m/>
  </r>
  <r>
    <x v="354"/>
    <x v="0"/>
    <x v="2"/>
    <s v="PLEAN_X310201TN5010216 Promotional material TN"/>
    <s v="H000000318"/>
    <s v="H000000318"/>
    <s v="Non-LFF"/>
    <s v=""/>
    <m/>
    <b v="1"/>
    <x v="1"/>
    <x v="3"/>
    <d v="2025-08-29T00:00:00"/>
    <m/>
    <m/>
    <x v="1"/>
    <n v="75"/>
    <s v="Rayneil Reas"/>
    <m/>
  </r>
  <r>
    <x v="354"/>
    <x v="0"/>
    <x v="2"/>
    <s v="PLEAN_X310201TN6013219 Journée Scientifique clinique les Jasmin"/>
    <s v="H000000318"/>
    <s v="H000000318"/>
    <s v="Non-LFF"/>
    <s v=""/>
    <m/>
    <b v="1"/>
    <x v="1"/>
    <x v="3"/>
    <d v="2025-08-29T00:00:00"/>
    <m/>
    <m/>
    <x v="1"/>
    <n v="75"/>
    <s v="Rayneil Reas"/>
    <m/>
  </r>
  <r>
    <x v="354"/>
    <x v="0"/>
    <x v="2"/>
    <s v="PLEAN_X310201TN6015202 Projet khrouf conversion stylos"/>
    <s v="H000000318"/>
    <s v="H000000318"/>
    <s v="Non-LFF"/>
    <s v=""/>
    <m/>
    <b v="1"/>
    <x v="1"/>
    <x v="3"/>
    <d v="2025-08-29T00:00:00"/>
    <m/>
    <m/>
    <x v="1"/>
    <n v="75"/>
    <s v="Rayneil Reas"/>
    <m/>
  </r>
  <r>
    <x v="354"/>
    <x v="0"/>
    <x v="2"/>
    <s v="PLEAN_X310301AE5015205 SP GAP OTHER-BH-DIAB"/>
    <s v="H000002963"/>
    <s v="H000002963"/>
    <s v="Non-LFF"/>
    <s v=""/>
    <m/>
    <b v="1"/>
    <x v="1"/>
    <x v="3"/>
    <d v="2025-08-29T00:00:00"/>
    <m/>
    <m/>
    <x v="1"/>
    <n v="75"/>
    <s v="Rayneil Reas"/>
    <m/>
  </r>
  <r>
    <x v="354"/>
    <x v="0"/>
    <x v="2"/>
    <s v="PLEAN_X310301AE5015220 SP PROM OTHERS-EGM-Diab Promo"/>
    <s v="H000002963"/>
    <s v="H000002963"/>
    <s v="Non-LFF"/>
    <s v=""/>
    <m/>
    <b v="1"/>
    <x v="1"/>
    <x v="3"/>
    <d v="2025-08-29T00:00:00"/>
    <m/>
    <m/>
    <x v="1"/>
    <n v="75"/>
    <s v="Rayneil Reas"/>
    <m/>
  </r>
  <r>
    <x v="354"/>
    <x v="0"/>
    <x v="2"/>
    <s v="PLEAN_X310301AE5030514 SP REG-FS-DIAB"/>
    <s v="H000000258"/>
    <s v="H000000258"/>
    <s v="Non-LFF"/>
    <s v=""/>
    <m/>
    <b v="1"/>
    <x v="1"/>
    <x v="3"/>
    <d v="2025-08-29T00:00:00"/>
    <m/>
    <m/>
    <x v="1"/>
    <n v="75"/>
    <s v="Rayneil Reas"/>
    <m/>
  </r>
  <r>
    <x v="354"/>
    <x v="0"/>
    <x v="2"/>
    <s v="PLEAN_X310301MA5013202 Sponsoring Journées scientifiques diabet"/>
    <s v="H000000286"/>
    <s v="H000000286"/>
    <s v="Non-LFF"/>
    <s v=""/>
    <m/>
    <b v="1"/>
    <x v="1"/>
    <x v="3"/>
    <d v="2025-08-29T00:00:00"/>
    <m/>
    <m/>
    <x v="1"/>
    <n v="75"/>
    <s v="Rayneil Reas"/>
    <m/>
  </r>
  <r>
    <x v="354"/>
    <x v="0"/>
    <x v="2"/>
    <s v="PLEAN_X310301MA5015201 MA Local regulatory  Diabetes"/>
    <s v="H000000286"/>
    <s v="H000000286"/>
    <s v="Non-LFF"/>
    <s v=""/>
    <m/>
    <b v="1"/>
    <x v="1"/>
    <x v="3"/>
    <d v="2025-08-29T00:00:00"/>
    <m/>
    <m/>
    <x v="1"/>
    <n v="75"/>
    <s v="Rayneil Reas"/>
    <m/>
  </r>
  <r>
    <x v="354"/>
    <x v="0"/>
    <x v="2"/>
    <s v="PLEAN_X310301TN5010209 Promotional Material MO"/>
    <s v="H000000286"/>
    <s v="H000000286"/>
    <s v="Non-LFF"/>
    <s v=""/>
    <m/>
    <b v="1"/>
    <x v="1"/>
    <x v="3"/>
    <d v="2025-08-29T00:00:00"/>
    <m/>
    <m/>
    <x v="1"/>
    <n v="75"/>
    <s v="Rayneil Reas"/>
    <m/>
  </r>
  <r>
    <x v="354"/>
    <x v="0"/>
    <x v="2"/>
    <s v="PLEAN_X310301TN5010210 Material Promotionnel TN"/>
    <s v="H000000318"/>
    <s v="H000000318"/>
    <s v="Non-LFF"/>
    <s v=""/>
    <m/>
    <b v="1"/>
    <x v="1"/>
    <x v="3"/>
    <d v="2025-08-29T00:00:00"/>
    <m/>
    <m/>
    <x v="1"/>
    <n v="75"/>
    <s v="Rayneil Reas"/>
    <m/>
  </r>
  <r>
    <x v="354"/>
    <x v="0"/>
    <x v="2"/>
    <s v="PLEAN_X310301TN5010212 Material Promotionnel DZ"/>
    <s v="H000000262"/>
    <s v="H000000262"/>
    <s v="Non-LFF"/>
    <s v=""/>
    <m/>
    <b v="1"/>
    <x v="1"/>
    <x v="3"/>
    <d v="2025-08-29T00:00:00"/>
    <m/>
    <m/>
    <x v="1"/>
    <n v="75"/>
    <s v="Rayneil Reas"/>
    <m/>
  </r>
  <r>
    <x v="354"/>
    <x v="0"/>
    <x v="2"/>
    <s v="PLEAN_X310401AE5011201 SP ADVT-AE-ENDO"/>
    <s v="H000002963"/>
    <s v="H000002963"/>
    <s v="Non-LFF"/>
    <s v=""/>
    <m/>
    <b v="1"/>
    <x v="1"/>
    <x v="3"/>
    <d v="2025-08-29T00:00:00"/>
    <m/>
    <m/>
    <x v="1"/>
    <n v="75"/>
    <s v="Rayneil Reas"/>
    <m/>
  </r>
  <r>
    <x v="354"/>
    <x v="0"/>
    <x v="2"/>
    <s v="PLEAN_X310401AE5030501 SP REG-FS-ENDO"/>
    <s v="H000000258"/>
    <s v="H000000258"/>
    <s v="Non-LFF"/>
    <s v=""/>
    <m/>
    <b v="1"/>
    <x v="1"/>
    <x v="3"/>
    <d v="2025-08-29T00:00:00"/>
    <m/>
    <m/>
    <x v="1"/>
    <n v="75"/>
    <s v="Rayneil Reas"/>
    <m/>
  </r>
  <r>
    <x v="354"/>
    <x v="0"/>
    <x v="2"/>
    <s v="PLEAN_X310401MA5013201 Congrès Table ronde Staff Saizen"/>
    <s v="H000000286"/>
    <s v="H000000286"/>
    <s v="Non-LFF"/>
    <s v=""/>
    <m/>
    <b v="1"/>
    <x v="1"/>
    <x v="3"/>
    <d v="2025-08-29T00:00:00"/>
    <m/>
    <m/>
    <x v="1"/>
    <n v="75"/>
    <s v="Rayneil Reas"/>
    <m/>
  </r>
  <r>
    <x v="354"/>
    <x v="0"/>
    <x v="2"/>
    <s v="PLEAN_X310401MA5015201 MA Local regulatory endocrinology"/>
    <s v="H000000286"/>
    <s v="H000000286"/>
    <s v="Non-LFF"/>
    <s v=""/>
    <m/>
    <b v="1"/>
    <x v="1"/>
    <x v="3"/>
    <d v="2025-08-29T00:00:00"/>
    <m/>
    <m/>
    <x v="1"/>
    <n v="75"/>
    <s v="Rayneil Reas"/>
    <m/>
  </r>
  <r>
    <x v="354"/>
    <x v="0"/>
    <x v="2"/>
    <s v="PLEAN_X310401TN5013201 Congres &amp; events"/>
    <s v="H000000262"/>
    <s v="H000000262"/>
    <s v="Non-LFF"/>
    <s v=""/>
    <m/>
    <b v="1"/>
    <x v="1"/>
    <x v="3"/>
    <d v="2025-08-29T00:00:00"/>
    <m/>
    <m/>
    <x v="1"/>
    <n v="75"/>
    <s v="Rayneil Reas"/>
    <m/>
  </r>
  <r>
    <x v="354"/>
    <x v="0"/>
    <x v="2"/>
    <s v="PLEAN_X310401TN5013202 Congres &amp; journées Endocrinolgie"/>
    <s v="H000000262"/>
    <s v="H000000262"/>
    <s v="Non-LFF"/>
    <s v=""/>
    <m/>
    <b v="1"/>
    <x v="1"/>
    <x v="3"/>
    <d v="2025-08-29T00:00:00"/>
    <m/>
    <m/>
    <x v="1"/>
    <n v="75"/>
    <s v="Rayneil Reas"/>
    <m/>
  </r>
  <r>
    <x v="354"/>
    <x v="0"/>
    <x v="2"/>
    <s v="PLEAN_X310401TN5013203 Congrès Saizen MA50"/>
    <s v="H000000286"/>
    <s v="H000000286"/>
    <s v="Non-LFF"/>
    <s v=""/>
    <m/>
    <b v="1"/>
    <x v="1"/>
    <x v="3"/>
    <d v="2025-08-29T00:00:00"/>
    <m/>
    <m/>
    <x v="1"/>
    <n v="75"/>
    <s v="Rayneil Reas"/>
    <m/>
  </r>
  <r>
    <x v="354"/>
    <x v="0"/>
    <x v="2"/>
    <s v="PLEAN_X310511AE5010205 SP PROM MAT-QA-MAVEN"/>
    <s v="H000002966"/>
    <s v="H000002966"/>
    <s v="Non-LFF"/>
    <s v=""/>
    <m/>
    <b v="1"/>
    <x v="1"/>
    <x v="3"/>
    <d v="2025-08-29T00:00:00"/>
    <m/>
    <m/>
    <x v="1"/>
    <n v="75"/>
    <s v="Rayneil Reas"/>
    <m/>
  </r>
  <r>
    <x v="354"/>
    <x v="0"/>
    <x v="2"/>
    <s v="PLEAN_X310511AE5015201 SP PROM OTHERS-AE-MAVEN"/>
    <s v="H000002966"/>
    <s v="H000002966"/>
    <s v="Non-LFF"/>
    <s v=""/>
    <m/>
    <b v="1"/>
    <x v="1"/>
    <x v="3"/>
    <d v="2025-08-29T00:00:00"/>
    <m/>
    <m/>
    <x v="1"/>
    <n v="75"/>
    <s v="Rayneil Reas"/>
    <m/>
  </r>
  <r>
    <x v="354"/>
    <x v="0"/>
    <x v="2"/>
    <s v="PLEAN_X310511MA5013200 MS Master Forum Mavenclad (MA50)"/>
    <s v="H000000286"/>
    <s v="H000000286"/>
    <s v="Non-LFF"/>
    <s v=""/>
    <m/>
    <b v="1"/>
    <x v="1"/>
    <x v="3"/>
    <d v="2025-08-29T00:00:00"/>
    <m/>
    <m/>
    <x v="1"/>
    <n v="75"/>
    <s v="Rayneil Reas"/>
    <m/>
  </r>
  <r>
    <x v="354"/>
    <x v="0"/>
    <x v="2"/>
    <s v="PLEAN_X310511MA5013219 PanArab speaker fees"/>
    <s v="H000000286"/>
    <s v="H000000286"/>
    <s v="Non-LFF"/>
    <s v=""/>
    <m/>
    <b v="1"/>
    <x v="1"/>
    <x v="3"/>
    <d v="2025-08-29T00:00:00"/>
    <m/>
    <m/>
    <x v="1"/>
    <n v="75"/>
    <s v="Rayneil Reas"/>
    <m/>
  </r>
  <r>
    <x v="354"/>
    <x v="0"/>
    <x v="2"/>
    <s v="PLEAN_X310511MA5013220 Sponsoring Merck Event Maroc"/>
    <s v="H000000286"/>
    <s v="H000000286"/>
    <s v="Non-LFF"/>
    <s v=""/>
    <m/>
    <b v="1"/>
    <x v="1"/>
    <x v="3"/>
    <d v="2025-08-29T00:00:00"/>
    <m/>
    <m/>
    <x v="1"/>
    <n v="75"/>
    <s v="Rayneil Reas"/>
    <m/>
  </r>
  <r>
    <x v="354"/>
    <x v="0"/>
    <x v="2"/>
    <s v="PLEAN_X310511MA5015203 MA Local regulatory  N&amp;I"/>
    <s v="H000000286"/>
    <s v="H000000286"/>
    <s v="Non-LFF"/>
    <s v=""/>
    <m/>
    <b v="1"/>
    <x v="1"/>
    <x v="3"/>
    <d v="2025-08-29T00:00:00"/>
    <m/>
    <m/>
    <x v="1"/>
    <n v="75"/>
    <s v="Rayneil Reas"/>
    <m/>
  </r>
  <r>
    <x v="354"/>
    <x v="0"/>
    <x v="2"/>
    <s v="PLEAN_X310511TN5013229 PAN arab expenses"/>
    <s v="H000000318"/>
    <s v="H000000318"/>
    <s v="Non-LFF"/>
    <s v=""/>
    <m/>
    <b v="1"/>
    <x v="1"/>
    <x v="3"/>
    <d v="2025-08-29T00:00:00"/>
    <m/>
    <m/>
    <x v="1"/>
    <n v="75"/>
    <s v="Rayneil Reas"/>
    <m/>
  </r>
  <r>
    <x v="354"/>
    <x v="0"/>
    <x v="2"/>
    <s v="PLEAN_X310511TN6013206 Maven expert Tunisia"/>
    <s v="H000000318"/>
    <s v="H000000318"/>
    <s v="Non-LFF"/>
    <s v=""/>
    <m/>
    <b v="1"/>
    <x v="1"/>
    <x v="3"/>
    <d v="2025-08-29T00:00:00"/>
    <m/>
    <m/>
    <x v="1"/>
    <n v="75"/>
    <s v="Rayneil Reas"/>
    <m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74"/>
    <s v="Lakshmi Shree"/>
    <m/>
  </r>
  <r>
    <x v="356"/>
    <x v="0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74"/>
    <s v="Jay-R Lizardo"/>
    <m/>
  </r>
  <r>
    <x v="356"/>
    <x v="0"/>
    <x v="2"/>
    <s v="CFLTFLE_11030000000520"/>
    <s v="G000000282"/>
    <s v="G000000282"/>
    <s v="Non-LFF"/>
    <s v=""/>
    <m/>
    <b v="1"/>
    <x v="0"/>
    <x v="3"/>
    <d v="2025-09-01T00:00:00"/>
    <m/>
    <m/>
    <x v="1"/>
    <n v="74"/>
    <s v="Jay-R Lizardo"/>
    <m/>
  </r>
  <r>
    <x v="356"/>
    <x v="0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74"/>
    <s v="Jay-R Lizardo"/>
    <m/>
  </r>
  <r>
    <x v="356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9-01T00:00:00"/>
    <m/>
    <m/>
    <x v="1"/>
    <n v="74"/>
    <s v="Jay-R Lizardo"/>
    <m/>
  </r>
  <r>
    <x v="356"/>
    <x v="0"/>
    <x v="8"/>
    <s v="CLFF_1000$$$SG09GBT020"/>
    <s v="G000000279"/>
    <s v="Trash"/>
    <s v="LFF (MDG-F)"/>
    <s v="SG09GBT020"/>
    <s v="Wont get mapped if no actuals"/>
    <b v="0"/>
    <x v="0"/>
    <x v="3"/>
    <d v="2025-09-01T00:00:00"/>
    <m/>
    <m/>
    <x v="1"/>
    <n v="74"/>
    <s v="Jay-R Lizardo"/>
    <m/>
  </r>
  <r>
    <x v="356"/>
    <x v="0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74"/>
    <s v="Jay-R Lizardo"/>
    <m/>
  </r>
  <r>
    <x v="356"/>
    <x v="0"/>
    <x v="2"/>
    <s v="CTEMPEU_1000PT10GIT925"/>
    <s v="G000001118"/>
    <s v="G000001118"/>
    <s v="Non-LFF"/>
    <s v=""/>
    <m/>
    <b v="1"/>
    <x v="0"/>
    <x v="3"/>
    <d v="2025-09-01T00:00:00"/>
    <m/>
    <m/>
    <x v="1"/>
    <n v="74"/>
    <s v="Jay-R Lizardo"/>
    <m/>
  </r>
  <r>
    <x v="356"/>
    <x v="0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74"/>
    <s v="Jay-R Lizardo"/>
    <m/>
  </r>
  <r>
    <x v="356"/>
    <x v="0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74"/>
    <s v="Jay-R Lizardo"/>
    <m/>
  </r>
  <r>
    <x v="356"/>
    <x v="0"/>
    <x v="2"/>
    <s v="CNOW_7210$$$0000010172"/>
    <s v="L000013894"/>
    <s v="L000013894"/>
    <s v="Non-LFF"/>
    <s v=""/>
    <m/>
    <b v="1"/>
    <x v="0"/>
    <x v="3"/>
    <d v="2025-09-01T00:00:00"/>
    <m/>
    <m/>
    <x v="1"/>
    <n v="74"/>
    <s v="Jay-R Lizardo"/>
    <m/>
  </r>
  <r>
    <x v="356"/>
    <x v="0"/>
    <x v="2"/>
    <s v="CNOW_7210$$$0000010296"/>
    <s v="G000001238"/>
    <s v="G000001238"/>
    <s v="Non-LFF"/>
    <s v=""/>
    <m/>
    <b v="1"/>
    <x v="0"/>
    <x v="3"/>
    <d v="2025-09-01T00:00:00"/>
    <m/>
    <m/>
    <x v="1"/>
    <n v="74"/>
    <s v="Jay-R Lizardo"/>
    <m/>
  </r>
  <r>
    <x v="356"/>
    <x v="0"/>
    <x v="2"/>
    <s v="CNOW_7210$$$0000031698"/>
    <s v="L000013894"/>
    <s v="L000013894"/>
    <s v="Non-LFF"/>
    <s v=""/>
    <m/>
    <b v="1"/>
    <x v="0"/>
    <x v="3"/>
    <d v="2025-09-01T00:00:00"/>
    <m/>
    <m/>
    <x v="1"/>
    <n v="74"/>
    <s v="Jay-R Lizardo"/>
    <m/>
  </r>
  <r>
    <x v="356"/>
    <x v="0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74"/>
    <s v="Jay-R Lizardo"/>
    <m/>
  </r>
  <r>
    <x v="356"/>
    <x v="0"/>
    <x v="8"/>
    <s v="CLFF_7210$$$2128GIT020"/>
    <s v="G000000279"/>
    <s v="Trash"/>
    <s v="LFF (MDG-F)"/>
    <s v="2128GIT020"/>
    <s v="Wont get mapped if no actuals"/>
    <b v="0"/>
    <x v="0"/>
    <x v="3"/>
    <d v="2025-09-01T00:00:00"/>
    <m/>
    <m/>
    <x v="1"/>
    <n v="74"/>
    <s v="Jay-R Lizardo"/>
    <m/>
  </r>
  <r>
    <x v="356"/>
    <x v="0"/>
    <x v="2"/>
    <s v="CNOW_AUS0$$$0000092051"/>
    <s v="G000001233"/>
    <s v="G000001233"/>
    <s v="Non-LFF"/>
    <s v=""/>
    <m/>
    <b v="1"/>
    <x v="0"/>
    <x v="3"/>
    <d v="2025-09-01T00:00:00"/>
    <m/>
    <m/>
    <x v="1"/>
    <n v="74"/>
    <s v="Jay-R Lizardo"/>
    <m/>
  </r>
  <r>
    <x v="356"/>
    <x v="0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74"/>
    <s v="Jay-R Lizardo"/>
    <m/>
  </r>
  <r>
    <x v="356"/>
    <x v="0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74"/>
    <s v="Jay-R Lizardo"/>
    <m/>
  </r>
  <r>
    <x v="357"/>
    <x v="0"/>
    <x v="2"/>
    <s v="CLFF_1000$$$DE10GM8401 "/>
    <s v="L000011444"/>
    <s v="L000011444"/>
    <s v="LFF (MDG-F)"/>
    <s v="DE10GM8401"/>
    <m/>
    <b v="1"/>
    <x v="2"/>
    <x v="3"/>
    <d v="2025-09-02T00:00:00"/>
    <m/>
    <m/>
    <x v="1"/>
    <n v="73"/>
    <s v="Joan Rose Pena"/>
    <m/>
  </r>
  <r>
    <x v="358"/>
    <x v="0"/>
    <x v="2"/>
    <s v="CLFF_1000$$$JP01C0M121"/>
    <s v="P000000667"/>
    <s v="P000000667"/>
    <s v="LFF (MDG-F)"/>
    <s v="JP01C0M121"/>
    <m/>
    <b v="1"/>
    <x v="3"/>
    <x v="3"/>
    <d v="2025-09-02T00:00:00"/>
    <m/>
    <m/>
    <x v="1"/>
    <n v="73"/>
    <s v="Robert Coman"/>
    <m/>
  </r>
  <r>
    <x v="358"/>
    <x v="0"/>
    <x v="2"/>
    <s v="CLFF_1000$$$JP01TQOZ04"/>
    <s v="P000000601"/>
    <s v="P000000601"/>
    <s v="LFF (MDG-F)"/>
    <s v="JP01TQOZ04"/>
    <m/>
    <b v="1"/>
    <x v="3"/>
    <x v="3"/>
    <d v="2025-09-02T00:00:00"/>
    <m/>
    <m/>
    <x v="1"/>
    <n v="73"/>
    <s v="Robert Coman"/>
    <m/>
  </r>
  <r>
    <x v="358"/>
    <x v="0"/>
    <x v="2"/>
    <s v="CLFF_1000$$$JP01C0O921"/>
    <s v="P000000616"/>
    <s v="P000000616"/>
    <s v="LFF (MDG-F)"/>
    <s v="JP01C0O921"/>
    <m/>
    <b v="1"/>
    <x v="3"/>
    <x v="3"/>
    <d v="2025-09-02T00:00:00"/>
    <m/>
    <m/>
    <x v="1"/>
    <n v="73"/>
    <s v="Robert Coman"/>
    <m/>
  </r>
  <r>
    <x v="358"/>
    <x v="0"/>
    <x v="2"/>
    <s v="CLFF_1000$$$JP01R0O721"/>
    <s v="P000000616"/>
    <s v="P000000616"/>
    <s v="LFF (MDG-F)"/>
    <s v="JP01R0O721"/>
    <m/>
    <b v="1"/>
    <x v="3"/>
    <x v="3"/>
    <d v="2025-09-02T00:00:00"/>
    <m/>
    <m/>
    <x v="1"/>
    <n v="73"/>
    <s v="Robert Coman"/>
    <m/>
  </r>
  <r>
    <x v="358"/>
    <x v="0"/>
    <x v="2"/>
    <s v="CLFF_1000$$$JP01C0M621"/>
    <s v="P000000610"/>
    <s v="P000000610"/>
    <s v="LFF (MDG-F)"/>
    <s v="JP01C0M621"/>
    <m/>
    <b v="1"/>
    <x v="3"/>
    <x v="3"/>
    <d v="2025-09-02T00:00:00"/>
    <m/>
    <m/>
    <x v="1"/>
    <n v="73"/>
    <s v="Robert Coman"/>
    <m/>
  </r>
  <r>
    <x v="358"/>
    <x v="0"/>
    <x v="2"/>
    <s v="CLFF_1000$$$JP01C0M600"/>
    <s v="P000000609"/>
    <s v="P000000609"/>
    <s v="LFF (MDG-F)"/>
    <s v="JP01C0M600"/>
    <m/>
    <b v="1"/>
    <x v="3"/>
    <x v="3"/>
    <d v="2025-09-02T00:00:00"/>
    <m/>
    <m/>
    <x v="1"/>
    <n v="73"/>
    <s v="Robert Coman"/>
    <m/>
  </r>
  <r>
    <x v="358"/>
    <x v="0"/>
    <x v="2"/>
    <s v="CLFF_1000$$$JP01GM8002"/>
    <s v="G000000218"/>
    <s v="G000000218"/>
    <s v="LFF (MDG-F)"/>
    <s v="JP01GM8002"/>
    <m/>
    <b v="1"/>
    <x v="3"/>
    <x v="3"/>
    <d v="2025-09-02T00:00:00"/>
    <m/>
    <m/>
    <x v="1"/>
    <n v="73"/>
    <s v="Robert Coman"/>
    <m/>
  </r>
  <r>
    <x v="358"/>
    <x v="0"/>
    <x v="2"/>
    <s v="CLFF_1000$$$JP01GFO301"/>
    <s v="G000000635"/>
    <s v="G000000635"/>
    <s v="LFF (MDG-F)"/>
    <s v="JP01GFO301"/>
    <m/>
    <b v="1"/>
    <x v="3"/>
    <x v="3"/>
    <d v="2025-09-02T00:00:00"/>
    <m/>
    <m/>
    <x v="1"/>
    <n v="73"/>
    <s v="Robert Coman"/>
    <m/>
  </r>
  <r>
    <x v="358"/>
    <x v="0"/>
    <x v="2"/>
    <s v="CLFF_1000$$$JP01GLE301"/>
    <s v="G000000093"/>
    <s v="G000000093"/>
    <s v="LFF (MDG-F)"/>
    <s v="JP01GLE301"/>
    <m/>
    <b v="1"/>
    <x v="3"/>
    <x v="3"/>
    <d v="2025-09-02T00:00:00"/>
    <m/>
    <m/>
    <x v="1"/>
    <n v="73"/>
    <s v="Robert Coman"/>
    <m/>
  </r>
  <r>
    <x v="358"/>
    <x v="0"/>
    <x v="2"/>
    <s v="CLFF_1000$$$JP01GCM301"/>
    <s v="P000000756"/>
    <s v="P000000756"/>
    <s v="LFF (MDG-F)"/>
    <s v="JP01GCM301"/>
    <m/>
    <b v="1"/>
    <x v="3"/>
    <x v="3"/>
    <d v="2025-09-02T00:00:00"/>
    <m/>
    <m/>
    <x v="1"/>
    <n v="73"/>
    <s v="Robert Coman"/>
    <m/>
  </r>
  <r>
    <x v="358"/>
    <x v="0"/>
    <x v="2"/>
    <s v="CLFF_1000$$$JP01GCO301"/>
    <s v="P000000751"/>
    <s v="P000000751"/>
    <s v="LFF (MDG-F)"/>
    <s v="JP01GCO301"/>
    <m/>
    <b v="1"/>
    <x v="3"/>
    <x v="3"/>
    <d v="2025-09-02T00:00:00"/>
    <m/>
    <m/>
    <x v="1"/>
    <n v="73"/>
    <s v="Robert Coman"/>
    <m/>
  </r>
  <r>
    <x v="358"/>
    <x v="0"/>
    <x v="2"/>
    <s v="CLFF_1000$$$JP01L5M302"/>
    <s v="P000000421"/>
    <s v="P000000421"/>
    <s v="LFF (MDG-F)"/>
    <s v="JP01L5M302"/>
    <m/>
    <b v="1"/>
    <x v="3"/>
    <x v="3"/>
    <d v="2025-09-02T00:00:00"/>
    <m/>
    <m/>
    <x v="1"/>
    <n v="73"/>
    <s v="Robert Coman"/>
    <m/>
  </r>
  <r>
    <x v="358"/>
    <x v="0"/>
    <x v="2"/>
    <s v="CLFF_1000$$$JP01GM4001"/>
    <s v="G000000635"/>
    <s v="G000000635"/>
    <s v="LFF (MDG-F)"/>
    <s v="JP01GM4001"/>
    <m/>
    <b v="1"/>
    <x v="3"/>
    <x v="3"/>
    <d v="2025-09-02T00:00:00"/>
    <m/>
    <m/>
    <x v="1"/>
    <n v="73"/>
    <s v="Robert Coman"/>
    <m/>
  </r>
  <r>
    <x v="358"/>
    <x v="0"/>
    <x v="2"/>
    <s v="CLFF_1000$$$JP01GM4002"/>
    <s v="G000000199"/>
    <s v="G000000199"/>
    <s v="LFF (MDG-F)"/>
    <s v="JP01GM4002"/>
    <m/>
    <b v="1"/>
    <x v="3"/>
    <x v="3"/>
    <d v="2025-09-02T00:00:00"/>
    <m/>
    <m/>
    <x v="1"/>
    <n v="73"/>
    <s v="Robert Coman"/>
    <m/>
  </r>
  <r>
    <x v="358"/>
    <x v="0"/>
    <x v="2"/>
    <s v="CLFF_1000$$$JP01L4M302"/>
    <s v="P000000420"/>
    <s v="P000000420"/>
    <s v="LFF (MDG-F)"/>
    <s v="JP01L4M302"/>
    <m/>
    <b v="1"/>
    <x v="3"/>
    <x v="3"/>
    <d v="2025-09-02T00:00:00"/>
    <m/>
    <m/>
    <x v="1"/>
    <n v="73"/>
    <s v="Robert Coman"/>
    <m/>
  </r>
  <r>
    <x v="358"/>
    <x v="0"/>
    <x v="2"/>
    <s v="CLFF_1000$$$JP01O05001"/>
    <s v="O000000005"/>
    <s v="O000000005"/>
    <s v="LFF (MDG-F)"/>
    <s v="JP01O05001"/>
    <m/>
    <b v="1"/>
    <x v="3"/>
    <x v="3"/>
    <d v="2025-09-02T00:00:00"/>
    <m/>
    <m/>
    <x v="1"/>
    <n v="73"/>
    <s v="Robert Coman"/>
    <m/>
  </r>
  <r>
    <x v="358"/>
    <x v="0"/>
    <x v="2"/>
    <s v="CLFF_1000$$$JP01L7M303"/>
    <s v="P000000424"/>
    <s v="P000000424"/>
    <s v="LFF (MDG-F)"/>
    <s v="JP01L7M303"/>
    <m/>
    <b v="1"/>
    <x v="3"/>
    <x v="3"/>
    <d v="2025-09-02T00:00:00"/>
    <m/>
    <m/>
    <x v="1"/>
    <n v="73"/>
    <s v="Robert Coman"/>
    <m/>
  </r>
  <r>
    <x v="358"/>
    <x v="0"/>
    <x v="2"/>
    <s v="CLFF_1000$$$JP01TPOZ01"/>
    <s v="P000000601"/>
    <s v="P000000601"/>
    <s v="LFF (MDG-F)"/>
    <s v="JP01TPOZ01"/>
    <m/>
    <b v="1"/>
    <x v="3"/>
    <x v="3"/>
    <d v="2025-09-02T00:00:00"/>
    <m/>
    <m/>
    <x v="1"/>
    <n v="73"/>
    <s v="Robert Coman"/>
    <m/>
  </r>
  <r>
    <x v="358"/>
    <x v="0"/>
    <x v="2"/>
    <s v="CLFF_1000$$$JP01TQOZ03"/>
    <s v="P000000601"/>
    <s v="P000000601"/>
    <s v="LFF (MDG-F)"/>
    <s v="JP01TQOZ03"/>
    <m/>
    <b v="1"/>
    <x v="3"/>
    <x v="3"/>
    <d v="2025-09-02T00:00:00"/>
    <m/>
    <m/>
    <x v="1"/>
    <n v="73"/>
    <s v="Robert Coman"/>
    <m/>
  </r>
  <r>
    <x v="358"/>
    <x v="0"/>
    <x v="2"/>
    <s v="CLFF_1000$$$JP01C0M825"/>
    <s v="P000000742"/>
    <s v="P000000742"/>
    <s v="LFF (MDG-F)"/>
    <s v="JP01C0M825"/>
    <m/>
    <b v="1"/>
    <x v="3"/>
    <x v="3"/>
    <d v="2025-09-02T00:00:00"/>
    <m/>
    <m/>
    <x v="1"/>
    <n v="73"/>
    <s v="Robert Coman"/>
    <m/>
  </r>
  <r>
    <x v="358"/>
    <x v="0"/>
    <x v="2"/>
    <s v="CLFF_1000$$$JP01TFOZ01"/>
    <s v="P000000175"/>
    <s v="P000000175"/>
    <s v="LFF (MDG-F)"/>
    <s v="JP01TFOZ01"/>
    <m/>
    <b v="1"/>
    <x v="3"/>
    <x v="3"/>
    <d v="2025-09-02T00:00:00"/>
    <m/>
    <m/>
    <x v="1"/>
    <n v="73"/>
    <s v="Robert Coman"/>
    <m/>
  </r>
  <r>
    <x v="358"/>
    <x v="0"/>
    <x v="2"/>
    <s v="CLFF_1000$$$JP01TFOZ02"/>
    <s v="P000000175"/>
    <s v="P000000175"/>
    <s v="LFF (MDG-F)"/>
    <s v="JP01TFOZ02"/>
    <m/>
    <b v="1"/>
    <x v="3"/>
    <x v="3"/>
    <d v="2025-09-02T00:00:00"/>
    <m/>
    <m/>
    <x v="1"/>
    <n v="73"/>
    <s v="Robert Coman"/>
    <m/>
  </r>
  <r>
    <x v="358"/>
    <x v="0"/>
    <x v="2"/>
    <s v="CLFF_1000$$$JP01TFOZ03"/>
    <s v="P000000175"/>
    <s v="P000000175"/>
    <s v="LFF (MDG-F)"/>
    <s v="JP01TFOZ03"/>
    <m/>
    <b v="1"/>
    <x v="3"/>
    <x v="3"/>
    <d v="2025-09-02T00:00:00"/>
    <m/>
    <m/>
    <x v="1"/>
    <n v="73"/>
    <s v="Robert Coman"/>
    <m/>
  </r>
  <r>
    <x v="358"/>
    <x v="0"/>
    <x v="2"/>
    <s v="CLFF_1000$$$JP01Z03725"/>
    <s v="P000001206"/>
    <s v="P000001206"/>
    <s v="LFF (MDG-F)"/>
    <s v="JP01Z03725"/>
    <m/>
    <b v="1"/>
    <x v="3"/>
    <x v="3"/>
    <d v="2025-09-02T00:00:00"/>
    <m/>
    <m/>
    <x v="1"/>
    <n v="73"/>
    <s v="Robert Coman"/>
    <m/>
  </r>
  <r>
    <x v="358"/>
    <x v="0"/>
    <x v="2"/>
    <s v="CLFF_1000$$$JP01Z03104"/>
    <s v="P000001201"/>
    <s v="P000001201"/>
    <s v="LFF (MDG-F)"/>
    <s v="JP01Z03104"/>
    <m/>
    <b v="1"/>
    <x v="3"/>
    <x v="3"/>
    <d v="2025-09-02T00:00:00"/>
    <m/>
    <m/>
    <x v="1"/>
    <n v="73"/>
    <s v="Robert Coman"/>
    <m/>
  </r>
  <r>
    <x v="358"/>
    <x v="0"/>
    <x v="2"/>
    <s v="CLFF_1000$$$JP01Z03105"/>
    <s v="P000001270"/>
    <s v="P000001270"/>
    <s v="LFF (MDG-F)"/>
    <s v="JP01Z03105"/>
    <m/>
    <b v="1"/>
    <x v="3"/>
    <x v="3"/>
    <d v="2025-09-02T00:00:00"/>
    <m/>
    <m/>
    <x v="1"/>
    <n v="73"/>
    <s v="Robert Coman"/>
    <m/>
  </r>
  <r>
    <x v="358"/>
    <x v="0"/>
    <x v="2"/>
    <s v="CLFF_1000$$$JP01C00020"/>
    <s v="P000000612"/>
    <s v="P000000612"/>
    <s v="LFF (MDG-F)"/>
    <s v="JP01C00020"/>
    <m/>
    <b v="1"/>
    <x v="3"/>
    <x v="3"/>
    <d v="2025-09-02T00:00:00"/>
    <m/>
    <m/>
    <x v="1"/>
    <n v="73"/>
    <s v="Robert Coman"/>
    <m/>
  </r>
  <r>
    <x v="358"/>
    <x v="0"/>
    <x v="2"/>
    <s v="CLFF_1000$$$JP01C00301"/>
    <s v="P000001050"/>
    <s v="P000001050"/>
    <s v="LFF (MDG-F)"/>
    <s v="JP01C00301"/>
    <m/>
    <b v="1"/>
    <x v="3"/>
    <x v="3"/>
    <d v="2025-09-02T00:00:00"/>
    <m/>
    <m/>
    <x v="1"/>
    <n v="73"/>
    <s v="Robert Coman"/>
    <m/>
  </r>
  <r>
    <x v="358"/>
    <x v="0"/>
    <x v="2"/>
    <s v="CLFF_1000$$$JP01C00401"/>
    <s v="P000001050"/>
    <s v="P000001050"/>
    <s v="LFF (MDG-F)"/>
    <s v="JP01C00401"/>
    <m/>
    <b v="1"/>
    <x v="3"/>
    <x v="3"/>
    <d v="2025-09-02T00:00:00"/>
    <m/>
    <m/>
    <x v="1"/>
    <n v="73"/>
    <s v="Robert Coman"/>
    <m/>
  </r>
  <r>
    <x v="358"/>
    <x v="0"/>
    <x v="2"/>
    <s v="CLFF_1000$$$JP01GMW080"/>
    <s v="G000001177"/>
    <s v="G000001177"/>
    <s v="LFF (MDG-F)"/>
    <s v="JP01GMW080"/>
    <m/>
    <b v="1"/>
    <x v="3"/>
    <x v="3"/>
    <d v="2025-09-02T00:00:00"/>
    <m/>
    <m/>
    <x v="1"/>
    <n v="73"/>
    <s v="Robert Coman"/>
    <m/>
  </r>
  <r>
    <x v="358"/>
    <x v="0"/>
    <x v="2"/>
    <s v="CLFF_1000$$$JP01O05000"/>
    <s v="O000000005"/>
    <s v="O000000005"/>
    <s v="LFF (MDG-F)"/>
    <s v="JP01O05000"/>
    <m/>
    <b v="1"/>
    <x v="3"/>
    <x v="3"/>
    <d v="2025-09-02T00:00:00"/>
    <m/>
    <m/>
    <x v="1"/>
    <n v="73"/>
    <s v="Robert Coman"/>
    <m/>
  </r>
  <r>
    <x v="358"/>
    <x v="0"/>
    <x v="2"/>
    <s v="CLFF_1000$$$JP01O05002"/>
    <s v="O000000005"/>
    <s v="O000000005"/>
    <s v="LFF (MDG-F)"/>
    <s v="JP01O05002"/>
    <m/>
    <b v="1"/>
    <x v="3"/>
    <x v="3"/>
    <d v="2025-09-02T00:00:00"/>
    <m/>
    <m/>
    <x v="1"/>
    <n v="73"/>
    <s v="Robert Coman"/>
    <m/>
  </r>
  <r>
    <x v="358"/>
    <x v="0"/>
    <x v="2"/>
    <s v="CLFF_1000$$$JP01O05003"/>
    <s v="O000000005"/>
    <s v="O000000005"/>
    <s v="LFF (MDG-F)"/>
    <s v="JP01O05003"/>
    <m/>
    <b v="1"/>
    <x v="3"/>
    <x v="3"/>
    <d v="2025-09-02T00:00:00"/>
    <m/>
    <m/>
    <x v="1"/>
    <n v="73"/>
    <s v="Robert Coman"/>
    <m/>
  </r>
  <r>
    <x v="358"/>
    <x v="0"/>
    <x v="2"/>
    <s v="CLFF_1000$$$JP01O05004"/>
    <s v="O000000005"/>
    <s v="O000000005"/>
    <s v="LFF (MDG-F)"/>
    <s v="JP01O05004"/>
    <m/>
    <b v="1"/>
    <x v="3"/>
    <x v="3"/>
    <d v="2025-09-02T00:00:00"/>
    <m/>
    <m/>
    <x v="1"/>
    <n v="73"/>
    <s v="Robert Coman"/>
    <m/>
  </r>
  <r>
    <x v="358"/>
    <x v="0"/>
    <x v="2"/>
    <s v="CLFF_1000$$$JP01Z01000"/>
    <s v="P000001045"/>
    <s v="P000001045"/>
    <s v="LFF (MDG-F)"/>
    <s v="JP01Z01000"/>
    <m/>
    <b v="1"/>
    <x v="3"/>
    <x v="3"/>
    <d v="2025-09-02T00:00:00"/>
    <m/>
    <m/>
    <x v="1"/>
    <n v="73"/>
    <s v="Robert Coman"/>
    <m/>
  </r>
  <r>
    <x v="358"/>
    <x v="0"/>
    <x v="2"/>
    <s v="CLFF_1000$$$JP01Z01IF9"/>
    <s v="O000000006"/>
    <s v="O000000006"/>
    <s v="LFF (MDG-F)"/>
    <s v="JP01Z01IF9"/>
    <m/>
    <b v="1"/>
    <x v="3"/>
    <x v="3"/>
    <d v="2025-09-02T00:00:00"/>
    <m/>
    <m/>
    <x v="1"/>
    <n v="73"/>
    <s v="Robert Coman"/>
    <m/>
  </r>
  <r>
    <x v="358"/>
    <x v="0"/>
    <x v="2"/>
    <s v="CLFF_1000$$$JP01Z02141"/>
    <s v="P000000556"/>
    <s v="P000000556"/>
    <s v="LFF (MDG-F)"/>
    <s v="JP01Z02141"/>
    <m/>
    <b v="1"/>
    <x v="3"/>
    <x v="3"/>
    <d v="2025-09-02T00:00:00"/>
    <m/>
    <m/>
    <x v="1"/>
    <n v="73"/>
    <s v="Robert Coman"/>
    <m/>
  </r>
  <r>
    <x v="358"/>
    <x v="0"/>
    <x v="2"/>
    <s v="CLFF_1000$$$JP01Z02171"/>
    <s v="P000001048"/>
    <s v="P000001048"/>
    <s v="LFF (MDG-F)"/>
    <s v="JP01Z02171"/>
    <m/>
    <b v="1"/>
    <x v="3"/>
    <x v="3"/>
    <d v="2025-09-02T00:00:00"/>
    <m/>
    <m/>
    <x v="1"/>
    <n v="73"/>
    <s v="Robert Coman"/>
    <m/>
  </r>
  <r>
    <x v="358"/>
    <x v="0"/>
    <x v="2"/>
    <s v="CLFF_1000$$$JP01Z02173"/>
    <s v="P000001048"/>
    <s v="P000001048"/>
    <s v="LFF (MDG-F)"/>
    <s v="JP01Z02173"/>
    <m/>
    <b v="1"/>
    <x v="3"/>
    <x v="3"/>
    <d v="2025-09-02T00:00:00"/>
    <m/>
    <m/>
    <x v="1"/>
    <n v="73"/>
    <s v="Robert Coman"/>
    <m/>
  </r>
  <r>
    <x v="358"/>
    <x v="0"/>
    <x v="2"/>
    <s v="CLFF_1000$$$JP01Z02174"/>
    <s v="P000001048"/>
    <s v="P000001048"/>
    <s v="LFF (MDG-F)"/>
    <s v="JP01Z02174"/>
    <m/>
    <b v="1"/>
    <x v="3"/>
    <x v="3"/>
    <d v="2025-09-02T00:00:00"/>
    <m/>
    <m/>
    <x v="1"/>
    <n v="73"/>
    <s v="Robert Coman"/>
    <m/>
  </r>
  <r>
    <x v="358"/>
    <x v="0"/>
    <x v="2"/>
    <s v="CLFF_1000$$$JP01Z02175"/>
    <s v="P000001048"/>
    <s v="P000001048"/>
    <s v="LFF (MDG-F)"/>
    <s v="JP01Z02175"/>
    <m/>
    <b v="1"/>
    <x v="3"/>
    <x v="3"/>
    <d v="2025-09-02T00:00:00"/>
    <m/>
    <m/>
    <x v="1"/>
    <n v="73"/>
    <s v="Robert Coman"/>
    <m/>
  </r>
  <r>
    <x v="358"/>
    <x v="0"/>
    <x v="2"/>
    <s v="CLFF_1000$$$JP01Z02183"/>
    <s v="G000000553"/>
    <s v="G000000553"/>
    <s v="LFF (MDG-F)"/>
    <s v="JP01Z02183"/>
    <m/>
    <b v="1"/>
    <x v="3"/>
    <x v="3"/>
    <d v="2025-09-02T00:00:00"/>
    <m/>
    <m/>
    <x v="1"/>
    <n v="73"/>
    <s v="Robert Coman"/>
    <m/>
  </r>
  <r>
    <x v="358"/>
    <x v="0"/>
    <x v="2"/>
    <s v="CLFF_1000$$$JP01Z03700"/>
    <s v="P000000041"/>
    <s v="P000000041"/>
    <s v="LFF (MDG-F)"/>
    <s v="JP01Z03700"/>
    <m/>
    <b v="1"/>
    <x v="3"/>
    <x v="3"/>
    <d v="2025-09-02T00:00:00"/>
    <m/>
    <m/>
    <x v="1"/>
    <n v="73"/>
    <s v="Robert Coman"/>
    <m/>
  </r>
  <r>
    <x v="358"/>
    <x v="0"/>
    <x v="2"/>
    <s v="CLFF_1000$$$JP01GPS302"/>
    <s v="G000000131"/>
    <s v="G000000131"/>
    <s v="LFF (MDG-F)"/>
    <s v="JP01GPS302"/>
    <m/>
    <b v="1"/>
    <x v="3"/>
    <x v="3"/>
    <d v="2025-09-02T00:00:00"/>
    <m/>
    <m/>
    <x v="1"/>
    <n v="73"/>
    <s v="Robert Coman"/>
    <m/>
  </r>
  <r>
    <x v="358"/>
    <x v="0"/>
    <x v="2"/>
    <s v="CLFF_1000$$$JP01GPO301"/>
    <s v="P000000755"/>
    <s v="P000000755"/>
    <s v="LFF (MDG-F)"/>
    <s v="JP01GPO301"/>
    <m/>
    <b v="1"/>
    <x v="3"/>
    <x v="3"/>
    <d v="2025-09-02T00:00:00"/>
    <m/>
    <m/>
    <x v="1"/>
    <n v="73"/>
    <s v="Robert Coman"/>
    <m/>
  </r>
  <r>
    <x v="358"/>
    <x v="0"/>
    <x v="2"/>
    <s v="CLFF_1000$$$JP01GPO302"/>
    <s v="G000000055"/>
    <s v="G000000055"/>
    <s v="LFF (MDG-F)"/>
    <s v="JP01GPO302"/>
    <m/>
    <b v="1"/>
    <x v="3"/>
    <x v="3"/>
    <d v="2025-09-02T00:00:00"/>
    <m/>
    <m/>
    <x v="1"/>
    <n v="73"/>
    <s v="Robert Coman"/>
    <m/>
  </r>
  <r>
    <x v="358"/>
    <x v="0"/>
    <x v="2"/>
    <s v="CLFF_1000$$$JP01GIT01B"/>
    <s v="G000000277"/>
    <s v="G000000277"/>
    <s v="LFF (MDG-F)"/>
    <s v="JP01GIT01B"/>
    <m/>
    <b v="1"/>
    <x v="3"/>
    <x v="3"/>
    <d v="2025-09-02T00:00:00"/>
    <m/>
    <m/>
    <x v="1"/>
    <n v="73"/>
    <s v="Robert Coman"/>
    <m/>
  </r>
  <r>
    <x v="358"/>
    <x v="0"/>
    <x v="2"/>
    <s v="CLFF_1000$$$JP01TAOZ02"/>
    <s v="P000000170"/>
    <s v="P000000170"/>
    <s v="LFF (MDG-F)"/>
    <s v="JP01TAOZ02"/>
    <m/>
    <b v="1"/>
    <x v="3"/>
    <x v="3"/>
    <d v="2025-09-02T00:00:00"/>
    <m/>
    <m/>
    <x v="1"/>
    <n v="73"/>
    <s v="Robert Coman"/>
    <m/>
  </r>
  <r>
    <x v="358"/>
    <x v="0"/>
    <x v="2"/>
    <s v="CLFF_1000$$$JP01TAOZ05"/>
    <s v="P000000170"/>
    <s v="P000000170"/>
    <s v="LFF (MDG-F)"/>
    <s v="JP01TAOZ05"/>
    <m/>
    <b v="1"/>
    <x v="3"/>
    <x v="3"/>
    <d v="2025-09-02T00:00:00"/>
    <m/>
    <m/>
    <x v="1"/>
    <n v="73"/>
    <s v="Robert Coman"/>
    <m/>
  </r>
  <r>
    <x v="358"/>
    <x v="0"/>
    <x v="2"/>
    <s v="CLFF_1000$$$JP01GHR303"/>
    <s v="P000000757"/>
    <s v="P000000757"/>
    <s v="LFF (MDG-F)"/>
    <s v="JP01GHR303"/>
    <m/>
    <b v="1"/>
    <x v="3"/>
    <x v="3"/>
    <d v="2025-09-02T00:00:00"/>
    <m/>
    <m/>
    <x v="1"/>
    <n v="73"/>
    <s v="Robert Coman"/>
    <m/>
  </r>
  <r>
    <x v="358"/>
    <x v="0"/>
    <x v="2"/>
    <s v="CLFF_1000$$$JP01Z03103"/>
    <s v="P000001271"/>
    <s v="P000001271"/>
    <s v="LFF (MDG-F)"/>
    <s v="JP01Z03103"/>
    <m/>
    <b v="1"/>
    <x v="3"/>
    <x v="3"/>
    <d v="2025-09-02T00:00:00"/>
    <m/>
    <m/>
    <x v="1"/>
    <n v="73"/>
    <s v="Robert Coman"/>
    <m/>
  </r>
  <r>
    <x v="358"/>
    <x v="0"/>
    <x v="2"/>
    <s v="CLFF_1000$$$JP01TAOC00"/>
    <s v="P000000170"/>
    <s v="P000000170"/>
    <s v="LFF (MDG-F)"/>
    <s v="JP01TAOC00"/>
    <m/>
    <b v="1"/>
    <x v="3"/>
    <x v="3"/>
    <d v="2025-09-02T00:00:00"/>
    <m/>
    <m/>
    <x v="1"/>
    <n v="73"/>
    <s v="Robert Coman"/>
    <m/>
  </r>
  <r>
    <x v="358"/>
    <x v="0"/>
    <x v="2"/>
    <s v="CLFF_1000$$$JP01TAOC01"/>
    <s v="P000000170"/>
    <s v="P000000170"/>
    <s v="LFF (MDG-F)"/>
    <s v="JP01TAOC01"/>
    <m/>
    <b v="1"/>
    <x v="3"/>
    <x v="3"/>
    <d v="2025-09-02T00:00:00"/>
    <m/>
    <m/>
    <x v="1"/>
    <n v="73"/>
    <s v="Robert Coman"/>
    <m/>
  </r>
  <r>
    <x v="358"/>
    <x v="0"/>
    <x v="2"/>
    <s v="CLFF_1000$$$JP01TAOC03"/>
    <s v="P000000170"/>
    <s v="P000000170"/>
    <s v="LFF (MDG-F)"/>
    <s v="JP01TAOC03"/>
    <m/>
    <b v="1"/>
    <x v="3"/>
    <x v="3"/>
    <d v="2025-09-02T00:00:00"/>
    <m/>
    <m/>
    <x v="1"/>
    <n v="73"/>
    <s v="Robert Coman"/>
    <m/>
  </r>
  <r>
    <x v="358"/>
    <x v="0"/>
    <x v="2"/>
    <s v="CLFF_1000$$$JP01TAOC99"/>
    <s v="P000000170"/>
    <s v="P000000170"/>
    <s v="LFF (MDG-F)"/>
    <s v="JP01TAOC99"/>
    <m/>
    <b v="1"/>
    <x v="3"/>
    <x v="3"/>
    <d v="2025-09-02T00:00:00"/>
    <m/>
    <m/>
    <x v="1"/>
    <n v="73"/>
    <s v="Robert Coman"/>
    <m/>
  </r>
  <r>
    <x v="358"/>
    <x v="0"/>
    <x v="2"/>
    <s v="CLFF_1000$$$JP01TAOD00"/>
    <s v="P000000170"/>
    <s v="P000000170"/>
    <s v="LFF (MDG-F)"/>
    <s v="JP01TAOD00"/>
    <m/>
    <b v="1"/>
    <x v="3"/>
    <x v="3"/>
    <d v="2025-09-02T00:00:00"/>
    <m/>
    <m/>
    <x v="1"/>
    <n v="73"/>
    <s v="Robert Coman"/>
    <m/>
  </r>
  <r>
    <x v="358"/>
    <x v="0"/>
    <x v="2"/>
    <s v="CLFF_1000$$$JP01TAOD01"/>
    <s v="P000000170"/>
    <s v="P000000170"/>
    <s v="LFF (MDG-F)"/>
    <s v="JP01TAOD01"/>
    <m/>
    <b v="1"/>
    <x v="3"/>
    <x v="3"/>
    <d v="2025-09-02T00:00:00"/>
    <m/>
    <m/>
    <x v="1"/>
    <n v="73"/>
    <s v="Robert Coman"/>
    <m/>
  </r>
  <r>
    <x v="358"/>
    <x v="0"/>
    <x v="2"/>
    <s v="CLFF_1000$$$JP01TAOD99"/>
    <s v="P000000170"/>
    <s v="P000000170"/>
    <s v="LFF (MDG-F)"/>
    <s v="JP01TAOD99"/>
    <m/>
    <b v="1"/>
    <x v="3"/>
    <x v="3"/>
    <d v="2025-09-02T00:00:00"/>
    <m/>
    <m/>
    <x v="1"/>
    <n v="73"/>
    <s v="Robert Coman"/>
    <m/>
  </r>
  <r>
    <x v="358"/>
    <x v="0"/>
    <x v="2"/>
    <s v="CLFF_1000$$$JP01TAOZ03"/>
    <s v="P000000170"/>
    <s v="P000000170"/>
    <s v="LFF (MDG-F)"/>
    <s v="JP01TAOZ03"/>
    <m/>
    <b v="1"/>
    <x v="3"/>
    <x v="3"/>
    <d v="2025-09-02T00:00:00"/>
    <m/>
    <m/>
    <x v="1"/>
    <n v="73"/>
    <s v="Robert Coman"/>
    <m/>
  </r>
  <r>
    <x v="358"/>
    <x v="0"/>
    <x v="2"/>
    <s v="CLFF_1000$$$JP01TDOZ01"/>
    <s v="P000000173"/>
    <s v="P000000173"/>
    <s v="LFF (MDG-F)"/>
    <s v="JP01TDOZ01"/>
    <m/>
    <b v="1"/>
    <x v="3"/>
    <x v="3"/>
    <d v="2025-09-02T00:00:00"/>
    <m/>
    <m/>
    <x v="1"/>
    <n v="73"/>
    <s v="Robert Coman"/>
    <m/>
  </r>
  <r>
    <x v="358"/>
    <x v="0"/>
    <x v="2"/>
    <s v="CLFF_1000$$$JP01TDOZ02"/>
    <s v="P000000173"/>
    <s v="P000000173"/>
    <s v="LFF (MDG-F)"/>
    <s v="JP01TDOZ02"/>
    <m/>
    <b v="1"/>
    <x v="3"/>
    <x v="3"/>
    <d v="2025-09-02T00:00:00"/>
    <m/>
    <m/>
    <x v="1"/>
    <n v="73"/>
    <s v="Robert Coman"/>
    <m/>
  </r>
  <r>
    <x v="358"/>
    <x v="0"/>
    <x v="2"/>
    <s v="CLFF_1000$$$JP01TDOZ03"/>
    <s v="P000000173"/>
    <s v="P000000173"/>
    <s v="LFF (MDG-F)"/>
    <s v="JP01TDOZ03"/>
    <m/>
    <b v="1"/>
    <x v="3"/>
    <x v="3"/>
    <d v="2025-09-02T00:00:00"/>
    <m/>
    <m/>
    <x v="1"/>
    <n v="73"/>
    <s v="Robert Coman"/>
    <m/>
  </r>
  <r>
    <x v="358"/>
    <x v="0"/>
    <x v="2"/>
    <s v="CLFF_1000$$$JP01TDOZ04"/>
    <s v="P000000173"/>
    <s v="P000000173"/>
    <s v="LFF (MDG-F)"/>
    <s v="JP01TDOZ04"/>
    <m/>
    <b v="1"/>
    <x v="3"/>
    <x v="3"/>
    <d v="2025-09-02T00:00:00"/>
    <m/>
    <m/>
    <x v="1"/>
    <n v="73"/>
    <s v="Robert Coman"/>
    <m/>
  </r>
  <r>
    <x v="358"/>
    <x v="0"/>
    <x v="2"/>
    <s v="CLFF_1000$$$JP01TDOZ05"/>
    <s v="P000000173"/>
    <s v="P000000173"/>
    <s v="LFF (MDG-F)"/>
    <s v="JP01TDOZ05"/>
    <m/>
    <b v="1"/>
    <x v="3"/>
    <x v="3"/>
    <d v="2025-09-02T00:00:00"/>
    <m/>
    <m/>
    <x v="1"/>
    <n v="73"/>
    <s v="Robert Coman"/>
    <m/>
  </r>
  <r>
    <x v="358"/>
    <x v="0"/>
    <x v="2"/>
    <s v="CLFF_1000$$$JP01TDOZ06"/>
    <s v="P000000173"/>
    <s v="P000000173"/>
    <s v="LFF (MDG-F)"/>
    <s v="JP01TDOZ06"/>
    <m/>
    <b v="1"/>
    <x v="3"/>
    <x v="3"/>
    <d v="2025-09-02T00:00:00"/>
    <m/>
    <m/>
    <x v="1"/>
    <n v="73"/>
    <s v="Robert Coman"/>
    <m/>
  </r>
  <r>
    <x v="358"/>
    <x v="0"/>
    <x v="2"/>
    <s v="CLFF_1000$$$JP01TEOZ01"/>
    <s v="P000000174"/>
    <s v="P000000174"/>
    <s v="LFF (MDG-F)"/>
    <s v="JP01TEOZ01"/>
    <m/>
    <b v="1"/>
    <x v="3"/>
    <x v="3"/>
    <d v="2025-09-02T00:00:00"/>
    <m/>
    <m/>
    <x v="1"/>
    <n v="73"/>
    <s v="Robert Coman"/>
    <m/>
  </r>
  <r>
    <x v="358"/>
    <x v="0"/>
    <x v="2"/>
    <s v="CLFF_1000$$$JP01TAOB00"/>
    <s v="P000000170"/>
    <s v="P000000170"/>
    <s v="LFF (MDG-F)"/>
    <s v="JP01TAOB00"/>
    <m/>
    <b v="1"/>
    <x v="3"/>
    <x v="3"/>
    <d v="2025-09-02T00:00:00"/>
    <m/>
    <m/>
    <x v="1"/>
    <n v="73"/>
    <s v="Robert Coman"/>
    <m/>
  </r>
  <r>
    <x v="358"/>
    <x v="0"/>
    <x v="2"/>
    <s v="CLFF_1000$$$JP01TAOB01"/>
    <s v="P000000170"/>
    <s v="P000000170"/>
    <s v="LFF (MDG-F)"/>
    <s v="JP01TAOB01"/>
    <m/>
    <b v="1"/>
    <x v="3"/>
    <x v="3"/>
    <d v="2025-09-02T00:00:00"/>
    <m/>
    <m/>
    <x v="1"/>
    <n v="73"/>
    <s v="Robert Coman"/>
    <m/>
  </r>
  <r>
    <x v="358"/>
    <x v="0"/>
    <x v="2"/>
    <s v="CLFF_1000$$$JP01TAOB02"/>
    <s v="P000000170"/>
    <s v="P000000170"/>
    <s v="LFF (MDG-F)"/>
    <s v="JP01TAOB02"/>
    <m/>
    <b v="1"/>
    <x v="3"/>
    <x v="3"/>
    <d v="2025-09-02T00:00:00"/>
    <m/>
    <m/>
    <x v="1"/>
    <n v="73"/>
    <s v="Robert Coman"/>
    <m/>
  </r>
  <r>
    <x v="358"/>
    <x v="0"/>
    <x v="2"/>
    <s v="CLFF_1000$$$JP01TAOB99"/>
    <s v="P000000170"/>
    <s v="P000000170"/>
    <s v="LFF (MDG-F)"/>
    <s v="JP01TAOB99"/>
    <m/>
    <b v="1"/>
    <x v="3"/>
    <x v="3"/>
    <d v="2025-09-02T00:00:00"/>
    <m/>
    <m/>
    <x v="1"/>
    <n v="73"/>
    <s v="Robert Coman"/>
    <m/>
  </r>
  <r>
    <x v="358"/>
    <x v="0"/>
    <x v="2"/>
    <s v="CLFF_1000$$$JP01TAOC02"/>
    <s v="P000000170"/>
    <s v="P000000170"/>
    <s v="LFF (MDG-F)"/>
    <s v="JP01TAOC02"/>
    <m/>
    <b v="1"/>
    <x v="3"/>
    <x v="3"/>
    <d v="2025-09-02T00:00:00"/>
    <m/>
    <m/>
    <x v="1"/>
    <n v="73"/>
    <s v="Robert Coman"/>
    <m/>
  </r>
  <r>
    <x v="358"/>
    <x v="0"/>
    <x v="2"/>
    <s v="CLFF_1000$$$JP01TAOE00"/>
    <s v="P000000170"/>
    <s v="P000000170"/>
    <s v="LFF (MDG-F)"/>
    <s v="JP01TAOE00"/>
    <m/>
    <b v="1"/>
    <x v="3"/>
    <x v="3"/>
    <d v="2025-09-02T00:00:00"/>
    <m/>
    <m/>
    <x v="1"/>
    <n v="73"/>
    <s v="Robert Coman"/>
    <m/>
  </r>
  <r>
    <x v="358"/>
    <x v="0"/>
    <x v="2"/>
    <s v="CLFF_1000$$$JP01TAOE01"/>
    <s v="P000000170"/>
    <s v="P000000170"/>
    <s v="LFF (MDG-F)"/>
    <s v="JP01TAOE01"/>
    <m/>
    <b v="1"/>
    <x v="3"/>
    <x v="3"/>
    <d v="2025-09-02T00:00:00"/>
    <m/>
    <m/>
    <x v="1"/>
    <n v="73"/>
    <s v="Robert Coman"/>
    <m/>
  </r>
  <r>
    <x v="358"/>
    <x v="0"/>
    <x v="2"/>
    <s v="CLFF_1000$$$JP01TAOE99"/>
    <s v="P000000170"/>
    <s v="P000000170"/>
    <s v="LFF (MDG-F)"/>
    <s v="JP01TAOE99"/>
    <m/>
    <b v="1"/>
    <x v="3"/>
    <x v="3"/>
    <d v="2025-09-02T00:00:00"/>
    <m/>
    <m/>
    <x v="1"/>
    <n v="73"/>
    <s v="Robert Coman"/>
    <m/>
  </r>
  <r>
    <x v="358"/>
    <x v="0"/>
    <x v="2"/>
    <s v="CLFF_1000$$$JP01TAOA00"/>
    <s v="P000000170"/>
    <s v="P000000170"/>
    <s v="LFF (MDG-F)"/>
    <s v="JP01TAOA00"/>
    <m/>
    <b v="1"/>
    <x v="3"/>
    <x v="3"/>
    <d v="2025-09-02T00:00:00"/>
    <m/>
    <m/>
    <x v="1"/>
    <n v="73"/>
    <s v="Robert Coman"/>
    <m/>
  </r>
  <r>
    <x v="358"/>
    <x v="0"/>
    <x v="2"/>
    <s v="CLFF_1000$$$JP01TAOA01"/>
    <s v="P000000170"/>
    <s v="P000000170"/>
    <s v="LFF (MDG-F)"/>
    <s v="JP01TAOA01"/>
    <m/>
    <b v="1"/>
    <x v="3"/>
    <x v="3"/>
    <d v="2025-09-02T00:00:00"/>
    <m/>
    <m/>
    <x v="1"/>
    <n v="73"/>
    <s v="Robert Coman"/>
    <m/>
  </r>
  <r>
    <x v="358"/>
    <x v="0"/>
    <x v="2"/>
    <s v="CLFF_1000$$$JP01TAOA99"/>
    <s v="P000000170"/>
    <s v="P000000170"/>
    <s v="LFF (MDG-F)"/>
    <s v="JP01TAOA99"/>
    <m/>
    <b v="1"/>
    <x v="3"/>
    <x v="3"/>
    <d v="2025-09-02T00:00:00"/>
    <m/>
    <m/>
    <x v="1"/>
    <n v="73"/>
    <s v="Robert Coman"/>
    <m/>
  </r>
  <r>
    <x v="358"/>
    <x v="0"/>
    <x v="2"/>
    <s v="CLFF_1000$$$JP01TAOD02"/>
    <s v="P000000170"/>
    <s v="P000000170"/>
    <s v="LFF (MDG-F)"/>
    <s v="JP01TAOD02"/>
    <m/>
    <b v="1"/>
    <x v="3"/>
    <x v="3"/>
    <d v="2025-09-02T00:00:00"/>
    <m/>
    <m/>
    <x v="1"/>
    <n v="73"/>
    <s v="Robert Coman"/>
    <m/>
  </r>
  <r>
    <x v="358"/>
    <x v="0"/>
    <x v="2"/>
    <s v="CLFF_1000$$$JP01TAOZ06"/>
    <s v="P000000170"/>
    <s v="P000000170"/>
    <s v="LFF (MDG-F)"/>
    <s v="JP01TAOZ06"/>
    <m/>
    <b v="1"/>
    <x v="3"/>
    <x v="3"/>
    <d v="2025-09-02T00:00:00"/>
    <m/>
    <m/>
    <x v="1"/>
    <n v="73"/>
    <s v="Robert Coman"/>
    <m/>
  </r>
  <r>
    <x v="358"/>
    <x v="0"/>
    <x v="2"/>
    <s v="CLFF_1000$$$JP01GSQ013"/>
    <s v="G000000103"/>
    <s v="G000000103"/>
    <s v="LFF (MDG-F)"/>
    <s v="JP01GSQ013"/>
    <m/>
    <b v="1"/>
    <x v="3"/>
    <x v="3"/>
    <d v="2025-09-02T00:00:00"/>
    <m/>
    <m/>
    <x v="1"/>
    <n v="73"/>
    <s v="Robert Coman"/>
    <m/>
  </r>
  <r>
    <x v="358"/>
    <x v="0"/>
    <x v="2"/>
    <s v="CLFF_1000$$$JP01TAOZ01"/>
    <s v="P000000170"/>
    <s v="P000000170"/>
    <s v="LFF (MDG-F)"/>
    <s v="JP01TAOZ01"/>
    <m/>
    <b v="1"/>
    <x v="3"/>
    <x v="3"/>
    <d v="2025-09-02T00:00:00"/>
    <m/>
    <m/>
    <x v="1"/>
    <n v="73"/>
    <s v="Robert Coman"/>
    <m/>
  </r>
  <r>
    <x v="358"/>
    <x v="0"/>
    <x v="2"/>
    <s v="CLFF_1000$$$JP01TLOZ01"/>
    <s v="P000000177"/>
    <s v="P000000177"/>
    <s v="LFF (MDG-F)"/>
    <s v="JP01TLOZ01"/>
    <m/>
    <b v="1"/>
    <x v="3"/>
    <x v="3"/>
    <d v="2025-09-02T00:00:00"/>
    <m/>
    <m/>
    <x v="1"/>
    <n v="73"/>
    <s v="Robert Coman"/>
    <m/>
  </r>
  <r>
    <x v="358"/>
    <x v="0"/>
    <x v="2"/>
    <s v="CLFF_1000$$$JP01TNMZ04"/>
    <s v="P000000794"/>
    <s v="P000000794"/>
    <s v="LFF (MDG-F)"/>
    <s v="JP01TNMZ04"/>
    <m/>
    <b v="1"/>
    <x v="3"/>
    <x v="3"/>
    <d v="2025-09-02T00:00:00"/>
    <m/>
    <m/>
    <x v="1"/>
    <n v="73"/>
    <s v="Robert Coman"/>
    <m/>
  </r>
  <r>
    <x v="358"/>
    <x v="0"/>
    <x v="2"/>
    <s v="CLFF_1000$$$JP01TAOZ04"/>
    <s v="P000000170"/>
    <s v="P000000170"/>
    <s v="LFF (MDG-F)"/>
    <s v="JP01TAOZ04"/>
    <m/>
    <b v="1"/>
    <x v="3"/>
    <x v="3"/>
    <d v="2025-09-02T00:00:00"/>
    <m/>
    <m/>
    <x v="1"/>
    <n v="73"/>
    <s v="Robert Coman"/>
    <m/>
  </r>
  <r>
    <x v="358"/>
    <x v="0"/>
    <x v="2"/>
    <s v="CLFF_1000$$$JP01TKOZ00"/>
    <s v="P000000176"/>
    <s v="P000000176"/>
    <s v="LFF (MDG-F)"/>
    <s v="JP01TKOZ00"/>
    <m/>
    <b v="1"/>
    <x v="3"/>
    <x v="3"/>
    <d v="2025-09-02T00:00:00"/>
    <m/>
    <m/>
    <x v="1"/>
    <n v="73"/>
    <s v="Robert Coman"/>
    <m/>
  </r>
  <r>
    <x v="358"/>
    <x v="0"/>
    <x v="2"/>
    <s v="CLFF_1000$$$JP01TBOZ01"/>
    <s v="P000000171"/>
    <s v="P000000171"/>
    <s v="LFF (MDG-F)"/>
    <s v="JP01TBOZ01"/>
    <m/>
    <b v="1"/>
    <x v="3"/>
    <x v="3"/>
    <d v="2025-09-02T00:00:00"/>
    <m/>
    <m/>
    <x v="1"/>
    <n v="73"/>
    <s v="Robert Coman"/>
    <m/>
  </r>
  <r>
    <x v="358"/>
    <x v="0"/>
    <x v="2"/>
    <s v="CLFF_1000$$$JP01TQOZ01"/>
    <s v="P000000601"/>
    <s v="P000000601"/>
    <s v="LFF (MDG-F)"/>
    <s v="JP01TQOZ01"/>
    <m/>
    <b v="1"/>
    <x v="3"/>
    <x v="3"/>
    <d v="2025-09-02T00:00:00"/>
    <m/>
    <m/>
    <x v="1"/>
    <n v="73"/>
    <s v="Robert Coman"/>
    <m/>
  </r>
  <r>
    <x v="358"/>
    <x v="0"/>
    <x v="2"/>
    <s v="CLFF_1000$$$JP01TBOZ05"/>
    <s v="P000000317"/>
    <s v="P000000317"/>
    <s v="LFF (MDG-F)"/>
    <s v="JP01TBOZ05"/>
    <m/>
    <b v="1"/>
    <x v="3"/>
    <x v="3"/>
    <d v="2025-09-02T00:00:00"/>
    <m/>
    <m/>
    <x v="1"/>
    <n v="73"/>
    <s v="Robert Coman"/>
    <m/>
  </r>
  <r>
    <x v="358"/>
    <x v="0"/>
    <x v="2"/>
    <s v="CLFF_1000$$$JP01TCOZ01"/>
    <s v="P000000172"/>
    <s v="P000000172"/>
    <s v="LFF (MDG-F)"/>
    <s v="JP01TCOZ01"/>
    <m/>
    <b v="1"/>
    <x v="3"/>
    <x v="3"/>
    <d v="2025-09-02T00:00:00"/>
    <m/>
    <m/>
    <x v="1"/>
    <n v="73"/>
    <s v="Robert Coman"/>
    <m/>
  </r>
  <r>
    <x v="358"/>
    <x v="0"/>
    <x v="2"/>
    <s v="CLFF_1000$$$JP01C0M821"/>
    <s v="P000000447"/>
    <s v="P000000447"/>
    <s v="LFF (MDG-F)"/>
    <s v="JP01C0M821"/>
    <m/>
    <b v="1"/>
    <x v="3"/>
    <x v="3"/>
    <d v="2025-09-02T00:00:00"/>
    <m/>
    <m/>
    <x v="1"/>
    <n v="73"/>
    <s v="Robert Coman"/>
    <m/>
  </r>
  <r>
    <x v="358"/>
    <x v="0"/>
    <x v="2"/>
    <s v="CLFF_1000$$$JP01C0M921"/>
    <s v="P000000666"/>
    <s v="P000000666"/>
    <s v="LFF (MDG-F)"/>
    <s v="JP01C0M921"/>
    <m/>
    <b v="1"/>
    <x v="3"/>
    <x v="3"/>
    <d v="2025-09-02T00:00:00"/>
    <m/>
    <m/>
    <x v="1"/>
    <n v="73"/>
    <s v="Robert Coman"/>
    <m/>
  </r>
  <r>
    <x v="358"/>
    <x v="0"/>
    <x v="2"/>
    <s v="CLFF_1000$$$JP01C0M822"/>
    <s v="P000000448"/>
    <s v="P000000448"/>
    <s v="LFF (MDG-F)"/>
    <s v="JP01C0M822"/>
    <m/>
    <b v="1"/>
    <x v="3"/>
    <x v="3"/>
    <d v="2025-09-02T00:00:00"/>
    <m/>
    <m/>
    <x v="1"/>
    <n v="73"/>
    <s v="Robert Coman"/>
    <m/>
  </r>
  <r>
    <x v="358"/>
    <x v="0"/>
    <x v="2"/>
    <s v="CLFF_1000$$$JP01C0O999"/>
    <s v="P000000565"/>
    <s v="P000000565"/>
    <s v="LFF (MDG-F)"/>
    <s v="JP01C0O999"/>
    <m/>
    <b v="1"/>
    <x v="3"/>
    <x v="3"/>
    <d v="2025-09-02T00:00:00"/>
    <m/>
    <m/>
    <x v="1"/>
    <n v="73"/>
    <s v="Robert Coman"/>
    <m/>
  </r>
  <r>
    <x v="358"/>
    <x v="0"/>
    <x v="2"/>
    <s v="CLFF_1000$$$JP01L1M001"/>
    <s v="P000000958"/>
    <s v="P000000958"/>
    <s v="LFF (MDG-F)"/>
    <s v="JP01L1M001"/>
    <m/>
    <b v="1"/>
    <x v="3"/>
    <x v="3"/>
    <d v="2025-09-02T00:00:00"/>
    <m/>
    <m/>
    <x v="1"/>
    <n v="73"/>
    <s v="Robert Coman"/>
    <m/>
  </r>
  <r>
    <x v="358"/>
    <x v="0"/>
    <x v="2"/>
    <s v="CLFF_1000$$$JP01GPO303"/>
    <s v="G000000179"/>
    <s v="G000000179"/>
    <s v="LFF (MDG-F)"/>
    <s v="JP01GPO303"/>
    <m/>
    <b v="1"/>
    <x v="3"/>
    <x v="3"/>
    <d v="2025-09-02T00:00:00"/>
    <m/>
    <m/>
    <x v="1"/>
    <n v="73"/>
    <s v="Robert Coman"/>
    <m/>
  </r>
  <r>
    <x v="358"/>
    <x v="0"/>
    <x v="2"/>
    <s v="CLFF_1000$$$JP01L3K302"/>
    <s v="G000000179"/>
    <s v="G000000179"/>
    <s v="LFF (MDG-F)"/>
    <s v="JP01L3K302"/>
    <m/>
    <b v="1"/>
    <x v="3"/>
    <x v="3"/>
    <d v="2025-09-02T00:00:00"/>
    <m/>
    <m/>
    <x v="1"/>
    <n v="73"/>
    <s v="Robert Coman"/>
    <m/>
  </r>
  <r>
    <x v="358"/>
    <x v="0"/>
    <x v="2"/>
    <s v="CLFF_1000$$$JP01L3K304"/>
    <s v="P000000424"/>
    <s v="P000000424"/>
    <s v="LFF (MDG-F)"/>
    <s v="JP01L3K304"/>
    <m/>
    <b v="1"/>
    <x v="3"/>
    <x v="3"/>
    <d v="2025-09-02T00:00:00"/>
    <m/>
    <m/>
    <x v="1"/>
    <n v="73"/>
    <s v="Robert Coman"/>
    <m/>
  </r>
  <r>
    <x v="358"/>
    <x v="0"/>
    <x v="2"/>
    <s v="CLFF_1000$$$JP01L3M301"/>
    <s v="G000000179"/>
    <s v="G000000179"/>
    <s v="LFF (MDG-F)"/>
    <s v="JP01L3M301"/>
    <m/>
    <b v="1"/>
    <x v="3"/>
    <x v="3"/>
    <d v="2025-09-02T00:00:00"/>
    <m/>
    <m/>
    <x v="1"/>
    <n v="73"/>
    <s v="Robert Coman"/>
    <m/>
  </r>
  <r>
    <x v="358"/>
    <x v="0"/>
    <x v="2"/>
    <s v="CLFF_1000$$$JP01L3M303"/>
    <s v="P000000424"/>
    <s v="P000000424"/>
    <s v="LFF (MDG-F)"/>
    <s v="JP01L3M303"/>
    <m/>
    <b v="1"/>
    <x v="3"/>
    <x v="3"/>
    <d v="2025-09-02T00:00:00"/>
    <m/>
    <m/>
    <x v="1"/>
    <n v="73"/>
    <s v="Robert Coman"/>
    <m/>
  </r>
  <r>
    <x v="358"/>
    <x v="0"/>
    <x v="2"/>
    <s v="CLFF_1000$$$JP01L4M301"/>
    <s v="P000000424"/>
    <s v="P000000424"/>
    <s v="LFF (MDG-F)"/>
    <s v="JP01L4M301"/>
    <m/>
    <b v="1"/>
    <x v="3"/>
    <x v="3"/>
    <d v="2025-09-02T00:00:00"/>
    <m/>
    <m/>
    <x v="1"/>
    <n v="73"/>
    <s v="Robert Coman"/>
    <m/>
  </r>
  <r>
    <x v="358"/>
    <x v="0"/>
    <x v="2"/>
    <s v="CLFF_1000$$$JP01L5M301"/>
    <s v="P000000421"/>
    <s v="P000000421"/>
    <s v="LFF (MDG-F)"/>
    <s v="JP01L5M301"/>
    <m/>
    <b v="1"/>
    <x v="3"/>
    <x v="3"/>
    <d v="2025-09-02T00:00:00"/>
    <m/>
    <m/>
    <x v="1"/>
    <n v="73"/>
    <s v="Robert Coman"/>
    <m/>
  </r>
  <r>
    <x v="358"/>
    <x v="0"/>
    <x v="2"/>
    <s v="CLFF_1000$$$JP01L7M301"/>
    <s v="P000000424"/>
    <s v="P000000424"/>
    <s v="LFF (MDG-F)"/>
    <s v="JP01L7M301"/>
    <m/>
    <b v="1"/>
    <x v="3"/>
    <x v="3"/>
    <d v="2025-09-02T00:00:00"/>
    <m/>
    <m/>
    <x v="1"/>
    <n v="73"/>
    <s v="Robert Coman"/>
    <m/>
  </r>
  <r>
    <x v="358"/>
    <x v="0"/>
    <x v="2"/>
    <s v="CLFF_1000$$$JP01GBT301"/>
    <s v="G000000635"/>
    <s v="G000000635"/>
    <s v="LFF (MDG-F)"/>
    <s v="JP01GBT301"/>
    <m/>
    <b v="1"/>
    <x v="3"/>
    <x v="3"/>
    <d v="2025-09-02T00:00:00"/>
    <m/>
    <m/>
    <x v="1"/>
    <n v="73"/>
    <s v="Robert Coman"/>
    <m/>
  </r>
  <r>
    <x v="358"/>
    <x v="0"/>
    <x v="2"/>
    <s v="CLFF_1000$$$JP01GBT303"/>
    <s v="G000000635"/>
    <s v="G000000635"/>
    <s v="LFF (MDG-F)"/>
    <s v="JP01GBT303"/>
    <m/>
    <b v="1"/>
    <x v="3"/>
    <x v="3"/>
    <d v="2025-09-02T00:00:00"/>
    <m/>
    <m/>
    <x v="1"/>
    <n v="73"/>
    <s v="Robert Coman"/>
    <m/>
  </r>
  <r>
    <x v="358"/>
    <x v="0"/>
    <x v="2"/>
    <s v="CLFF_1000$$$JP01GBT304"/>
    <s v="G000000635"/>
    <s v="G000000635"/>
    <s v="LFF (MDG-F)"/>
    <s v="JP01GBT304"/>
    <m/>
    <b v="1"/>
    <x v="3"/>
    <x v="3"/>
    <d v="2025-09-02T00:00:00"/>
    <m/>
    <m/>
    <x v="1"/>
    <n v="73"/>
    <s v="Robert Coman"/>
    <m/>
  </r>
  <r>
    <x v="358"/>
    <x v="0"/>
    <x v="2"/>
    <s v="CLFF_1000$$$JP01GFO300"/>
    <s v="G000000635"/>
    <s v="G000000635"/>
    <s v="LFF (MDG-F)"/>
    <s v="JP01GFO300"/>
    <m/>
    <b v="1"/>
    <x v="3"/>
    <x v="3"/>
    <d v="2025-09-02T00:00:00"/>
    <m/>
    <m/>
    <x v="1"/>
    <n v="73"/>
    <s v="Robert Coman"/>
    <m/>
  </r>
  <r>
    <x v="358"/>
    <x v="0"/>
    <x v="2"/>
    <s v="CLFF_1000$$$JP01GLE302"/>
    <s v="G000000096"/>
    <s v="G000000096"/>
    <s v="LFF (MDG-F)"/>
    <s v="JP01GLE302"/>
    <m/>
    <b v="1"/>
    <x v="3"/>
    <x v="3"/>
    <d v="2025-09-02T00:00:00"/>
    <m/>
    <m/>
    <x v="1"/>
    <n v="73"/>
    <s v="Robert Coman"/>
    <m/>
  </r>
  <r>
    <x v="358"/>
    <x v="0"/>
    <x v="2"/>
    <s v="CLFF_1000$$$JP01GM1002"/>
    <s v="G000000189"/>
    <s v="G000000189"/>
    <s v="LFF (MDG-F)"/>
    <s v="JP01GM1002"/>
    <m/>
    <b v="1"/>
    <x v="3"/>
    <x v="3"/>
    <d v="2025-09-02T00:00:00"/>
    <m/>
    <m/>
    <x v="1"/>
    <n v="73"/>
    <s v="Robert Coman"/>
    <m/>
  </r>
  <r>
    <x v="358"/>
    <x v="0"/>
    <x v="2"/>
    <s v="CLFF_1000$$$JP01GM8001"/>
    <s v="G000000635"/>
    <s v="G000000635"/>
    <s v="LFF (MDG-F)"/>
    <s v="JP01GM8001"/>
    <m/>
    <b v="1"/>
    <x v="3"/>
    <x v="3"/>
    <d v="2025-09-02T00:00:00"/>
    <m/>
    <m/>
    <x v="1"/>
    <n v="73"/>
    <s v="Robert Coman"/>
    <m/>
  </r>
  <r>
    <x v="358"/>
    <x v="0"/>
    <x v="2"/>
    <s v="CLFF_1000$$$JP01GMB040"/>
    <s v="G000001181"/>
    <s v="G000001181"/>
    <s v="LFF (MDG-F)"/>
    <s v="JP01GMB040"/>
    <m/>
    <b v="1"/>
    <x v="3"/>
    <x v="3"/>
    <d v="2025-09-02T00:00:00"/>
    <m/>
    <m/>
    <x v="1"/>
    <n v="73"/>
    <s v="Robert Coman"/>
    <m/>
  </r>
  <r>
    <x v="358"/>
    <x v="0"/>
    <x v="2"/>
    <s v="CLFF_1000$$$JP01L7M302"/>
    <s v="P000000424"/>
    <s v="P000000424"/>
    <s v="LFF (MDG-F)"/>
    <s v="JP01L7M302"/>
    <m/>
    <b v="1"/>
    <x v="3"/>
    <x v="3"/>
    <d v="2025-09-02T00:00:00"/>
    <m/>
    <m/>
    <x v="1"/>
    <n v="73"/>
    <s v="Robert Coman"/>
    <m/>
  </r>
  <r>
    <x v="358"/>
    <x v="0"/>
    <x v="2"/>
    <s v="CLFF_1000$$$JP01OF0203"/>
    <s v="P000001160"/>
    <s v="P000001160"/>
    <s v="LFF (MDG-F)"/>
    <s v="JP01OF0203"/>
    <m/>
    <b v="1"/>
    <x v="3"/>
    <x v="3"/>
    <d v="2025-09-02T00:00:00"/>
    <m/>
    <m/>
    <x v="1"/>
    <n v="73"/>
    <s v="Robert Coman"/>
    <m/>
  </r>
  <r>
    <x v="358"/>
    <x v="0"/>
    <x v="2"/>
    <s v="CLFF_1000$$$JP01R0S743"/>
    <s v="P000001015"/>
    <s v="P000001015"/>
    <s v="LFF (MDG-F)"/>
    <s v="JP01R0S743"/>
    <m/>
    <b v="1"/>
    <x v="3"/>
    <x v="3"/>
    <d v="2025-09-02T00:00:00"/>
    <m/>
    <m/>
    <x v="1"/>
    <n v="73"/>
    <s v="Robert Coman"/>
    <m/>
  </r>
  <r>
    <x v="359"/>
    <x v="0"/>
    <x v="2"/>
    <s v="CEMERAL_70007001058600"/>
    <s v="L000012407"/>
    <s v="L000012407"/>
    <s v="Non-LFF"/>
    <s v=""/>
    <m/>
    <b v="1"/>
    <x v="2"/>
    <x v="3"/>
    <d v="2025-09-02T00:00:00"/>
    <m/>
    <m/>
    <x v="1"/>
    <n v="73"/>
    <s v="Lakshmi Shree"/>
    <m/>
  </r>
  <r>
    <x v="360"/>
    <x v="0"/>
    <x v="2"/>
    <s v="CLFF_1000$$$CNS1OF0144"/>
    <s v="P000000769"/>
    <s v="P000000769"/>
    <s v="LFF (MDG-F)"/>
    <s v="CNS1OF0144"/>
    <m/>
    <b v="1"/>
    <x v="3"/>
    <x v="3"/>
    <d v="2025-09-06T00:00:00"/>
    <m/>
    <m/>
    <x v="1"/>
    <n v="69"/>
    <s v="Robert Coman"/>
    <m/>
  </r>
  <r>
    <x v="360"/>
    <x v="0"/>
    <x v="2"/>
    <s v="CLFF_1000$$$DES1OFCX20"/>
    <s v="GNMI000082"/>
    <s v="GNMI000082"/>
    <s v="LFF (MDG-F)"/>
    <s v="DES1OFCX20"/>
    <m/>
    <b v="1"/>
    <x v="3"/>
    <x v="3"/>
    <d v="2025-09-06T00:00:00"/>
    <m/>
    <m/>
    <x v="1"/>
    <n v="69"/>
    <s v="Robert Coman"/>
    <m/>
  </r>
  <r>
    <x v="360"/>
    <x v="0"/>
    <x v="2"/>
    <s v="CLFF_1000$$$DES1OFCX21"/>
    <s v="GNMI000082"/>
    <s v="GNMI000082"/>
    <s v="LFF (MDG-F)"/>
    <s v="DES1OFCX21"/>
    <m/>
    <b v="1"/>
    <x v="3"/>
    <x v="3"/>
    <d v="2025-09-06T00:00:00"/>
    <m/>
    <m/>
    <x v="1"/>
    <n v="69"/>
    <s v="Robert Coman"/>
    <m/>
  </r>
  <r>
    <x v="360"/>
    <x v="0"/>
    <x v="2"/>
    <s v="CLFF_1000$$$DES1Z01000"/>
    <s v="GNMI000090"/>
    <s v="GNMI000090"/>
    <s v="LFF (MDG-F)"/>
    <s v="DES1Z01000"/>
    <m/>
    <b v="1"/>
    <x v="3"/>
    <x v="3"/>
    <d v="2025-09-06T00:00:00"/>
    <m/>
    <m/>
    <x v="1"/>
    <n v="69"/>
    <s v="Robert Coman"/>
    <m/>
  </r>
  <r>
    <x v="360"/>
    <x v="0"/>
    <x v="2"/>
    <s v="CLFF_1000$$$KRS1Z01000"/>
    <s v="GNMI000090"/>
    <s v="GNMI000090"/>
    <s v="LFF (MDG-F)"/>
    <s v="KRS1Z01000"/>
    <m/>
    <b v="1"/>
    <x v="3"/>
    <x v="3"/>
    <d v="2025-09-06T00:00:00"/>
    <m/>
    <m/>
    <x v="1"/>
    <n v="69"/>
    <s v="Robert Coman"/>
    <m/>
  </r>
  <r>
    <x v="360"/>
    <x v="0"/>
    <x v="2"/>
    <s v="CLFF_1000$$$MYS1OF0110"/>
    <s v="P000000769"/>
    <s v="P000000769"/>
    <s v="LFF (MDG-F)"/>
    <s v="MYS1OF0110"/>
    <m/>
    <b v="1"/>
    <x v="3"/>
    <x v="3"/>
    <d v="2025-09-06T00:00:00"/>
    <m/>
    <m/>
    <x v="1"/>
    <n v="69"/>
    <s v="Robert Coman"/>
    <m/>
  </r>
  <r>
    <x v="360"/>
    <x v="0"/>
    <x v="2"/>
    <s v="CLFF_1000$$$MYS1Z01000"/>
    <s v="GNMI000090"/>
    <s v="GNMI000090"/>
    <s v="LFF (MDG-F)"/>
    <s v="MYS1Z01000"/>
    <m/>
    <b v="1"/>
    <x v="3"/>
    <x v="3"/>
    <d v="2025-09-06T00:00:00"/>
    <m/>
    <m/>
    <x v="1"/>
    <n v="69"/>
    <s v="Robert Coman"/>
    <m/>
  </r>
  <r>
    <x v="360"/>
    <x v="0"/>
    <x v="2"/>
    <s v="CLFF_1000$$$THS1OF0110"/>
    <s v="P000000769"/>
    <s v="P000000769"/>
    <s v="LFF (MDG-F)"/>
    <s v="THS1OF0110"/>
    <m/>
    <b v="1"/>
    <x v="3"/>
    <x v="3"/>
    <d v="2025-09-06T00:00:00"/>
    <m/>
    <m/>
    <x v="1"/>
    <n v="69"/>
    <s v="Robert Coman"/>
    <m/>
  </r>
  <r>
    <x v="360"/>
    <x v="0"/>
    <x v="2"/>
    <s v="CLFF_1000$$$USS1Z01000"/>
    <s v="GNMI000090"/>
    <s v="GNMI000090"/>
    <s v="LFF (MDG-F)"/>
    <s v="USS1Z01000"/>
    <m/>
    <b v="1"/>
    <x v="3"/>
    <x v="3"/>
    <d v="2025-09-06T00:00:00"/>
    <m/>
    <m/>
    <x v="1"/>
    <n v="69"/>
    <s v="Robert Coman"/>
    <m/>
  </r>
  <r>
    <x v="360"/>
    <x v="0"/>
    <x v="2"/>
    <s v="CLFF_1000$$$CNS1Z01000"/>
    <s v="GNMI000090"/>
    <s v="GNMI000090"/>
    <s v="LFF (MDG-F)"/>
    <s v="CNS1Z01000"/>
    <m/>
    <b v="1"/>
    <x v="3"/>
    <x v="3"/>
    <d v="2025-09-06T00:00:00"/>
    <m/>
    <m/>
    <x v="1"/>
    <n v="69"/>
    <s v="Robert Coman"/>
    <m/>
  </r>
  <r>
    <x v="360"/>
    <x v="0"/>
    <x v="2"/>
    <s v="CLFF_1000$$$THS1Z01000"/>
    <s v="GNMI000090"/>
    <s v="GNMI000090"/>
    <s v="LFF (MDG-F)"/>
    <s v="THS1Z01000"/>
    <m/>
    <b v="1"/>
    <x v="3"/>
    <x v="3"/>
    <d v="2025-09-06T00:00:00"/>
    <m/>
    <m/>
    <x v="1"/>
    <n v="69"/>
    <s v="Robert Coman"/>
    <m/>
  </r>
  <r>
    <x v="361"/>
    <x v="0"/>
    <x v="2"/>
    <s v="CTEMPEU_1000PL80GMK003"/>
    <s v="G000001362"/>
    <s v="G000001362"/>
    <s v="Non-LFF"/>
    <s v=""/>
    <m/>
    <b v="1"/>
    <x v="0"/>
    <x v="3"/>
    <d v="2025-09-08T00:00:00"/>
    <m/>
    <m/>
    <x v="1"/>
    <n v="69"/>
    <s v="Jojeff Tagnong"/>
    <m/>
  </r>
  <r>
    <x v="362"/>
    <x v="0"/>
    <x v="2"/>
    <s v="CEMERAL_70006302992006 Compliance"/>
    <s v="G000001103"/>
    <s v="G000001103"/>
    <s v="Non-LFF"/>
    <s v=""/>
    <m/>
    <b v="1"/>
    <x v="0"/>
    <x v="3"/>
    <d v="2025-09-09T00:00:00"/>
    <m/>
    <m/>
    <x v="1"/>
    <n v="68"/>
    <s v="Jojeff Tagnong"/>
    <m/>
  </r>
  <r>
    <x v="362"/>
    <x v="0"/>
    <x v="2"/>
    <s v="CEMERAL_70007001993015 MESI REG MGF-CORPORATE COMPLIANCE"/>
    <s v="G000001103"/>
    <s v="G000001103"/>
    <s v="Non-LFF"/>
    <s v=""/>
    <m/>
    <b v="1"/>
    <x v="0"/>
    <x v="3"/>
    <d v="2025-09-09T00:00:00"/>
    <m/>
    <m/>
    <x v="1"/>
    <n v="68"/>
    <s v="Jojeff Tagnong"/>
    <m/>
  </r>
  <r>
    <x v="362"/>
    <x v="0"/>
    <x v="2"/>
    <s v="CFLTFLE_1787HQ50GLECF0 MGF_Compliance_NORTH WEST"/>
    <s v="G000001104"/>
    <s v="G000001104"/>
    <s v="Non-LFF"/>
    <s v=""/>
    <m/>
    <b v="1"/>
    <x v="0"/>
    <x v="3"/>
    <d v="2025-09-09T00:00:00"/>
    <m/>
    <m/>
    <x v="1"/>
    <n v="68"/>
    <s v="Jojeff Tagnong"/>
    <m/>
  </r>
  <r>
    <x v="362"/>
    <x v="0"/>
    <x v="2"/>
    <s v="CLFF_1000$$$BE50GLE300 LE - Group Legal &amp; Compliance BE50"/>
    <s v="G000001104"/>
    <s v="G000001104"/>
    <s v="LFF (MDG-F)"/>
    <s v="BE50GLE300"/>
    <m/>
    <b v="1"/>
    <x v="0"/>
    <x v="3"/>
    <d v="2025-09-09T00:00:00"/>
    <m/>
    <m/>
    <x v="1"/>
    <n v="68"/>
    <s v="Jojeff Tagnong"/>
    <m/>
  </r>
  <r>
    <x v="362"/>
    <x v="0"/>
    <x v="2"/>
    <s v="CLFF_1000$$$JP01GLE302 Compliance"/>
    <s v="G000001103"/>
    <s v="G000001103"/>
    <s v="LFF (MDG-F)"/>
    <s v="JP01GLE302"/>
    <m/>
    <b v="1"/>
    <x v="0"/>
    <x v="3"/>
    <d v="2025-09-09T00:00:00"/>
    <m/>
    <m/>
    <x v="1"/>
    <n v="68"/>
    <s v="Jojeff Tagnong"/>
    <m/>
  </r>
  <r>
    <x v="362"/>
    <x v="0"/>
    <x v="2"/>
    <s v="CLFF_1000$$$JP02GLE302 Compliance"/>
    <s v="G000001103"/>
    <s v="G000001103"/>
    <s v="LFF (MDG-F)"/>
    <s v="JP02GLE302"/>
    <m/>
    <b v="1"/>
    <x v="0"/>
    <x v="3"/>
    <d v="2025-09-09T00:00:00"/>
    <m/>
    <m/>
    <x v="1"/>
    <n v="68"/>
    <s v="Jojeff Tagnong"/>
    <m/>
  </r>
  <r>
    <x v="362"/>
    <x v="0"/>
    <x v="2"/>
    <s v="CLFF_1000$$$KR02GLE005 LE-C Group Compliance"/>
    <s v="G000001103"/>
    <s v="G000001103"/>
    <s v="LFF (MDG-F)"/>
    <s v="KR02GLE005"/>
    <m/>
    <b v="1"/>
    <x v="0"/>
    <x v="3"/>
    <d v="2025-09-09T00:00:00"/>
    <m/>
    <m/>
    <x v="1"/>
    <n v="68"/>
    <s v="Jojeff Tagnong"/>
    <m/>
  </r>
  <r>
    <x v="362"/>
    <x v="0"/>
    <x v="2"/>
    <s v="CLFF_1000$$$TW02GLE006 Group Compliance"/>
    <s v="G000001103"/>
    <s v="G000001103"/>
    <s v="LFF (MDG-F)"/>
    <s v="TW02GLE006"/>
    <m/>
    <b v="1"/>
    <x v="0"/>
    <x v="3"/>
    <d v="2025-09-09T00:00:00"/>
    <m/>
    <m/>
    <x v="1"/>
    <n v="68"/>
    <s v="Jojeff Tagnong"/>
    <m/>
  </r>
  <r>
    <x v="362"/>
    <x v="0"/>
    <x v="2"/>
    <s v="CLFF_1000$$$TW03GLE006 Group Compliance"/>
    <s v="G000001103"/>
    <s v="G000001103"/>
    <s v="LFF (MDG-F)"/>
    <s v="TW03GLE006"/>
    <m/>
    <b v="1"/>
    <x v="0"/>
    <x v="3"/>
    <d v="2025-09-09T00:00:00"/>
    <m/>
    <m/>
    <x v="1"/>
    <n v="68"/>
    <s v="Jojeff Tagnong"/>
    <m/>
  </r>
  <r>
    <x v="362"/>
    <x v="0"/>
    <x v="2"/>
    <s v="CLFF_7210$$$2057GLE006 Compliance at 2057"/>
    <s v="G000001104"/>
    <s v="G000001104"/>
    <s v="LFF (MDG-F)"/>
    <s v="2057GLE006"/>
    <m/>
    <b v="1"/>
    <x v="0"/>
    <x v="3"/>
    <d v="2025-09-09T00:00:00"/>
    <m/>
    <m/>
    <x v="1"/>
    <n v="68"/>
    <s v="Jojeff Tagnong"/>
    <m/>
  </r>
  <r>
    <x v="362"/>
    <x v="0"/>
    <x v="2"/>
    <s v="CLFF_KR00$$$KR03GLE005 LE-C Group Compliance"/>
    <s v="G000001103"/>
    <s v="G000001103"/>
    <s v="LFF (MDG-F)"/>
    <s v="KR03GLE005"/>
    <m/>
    <b v="1"/>
    <x v="0"/>
    <x v="3"/>
    <d v="2025-09-09T00:00:00"/>
    <m/>
    <m/>
    <x v="1"/>
    <n v="68"/>
    <s v="Jojeff Tagnong"/>
    <m/>
  </r>
  <r>
    <x v="362"/>
    <x v="0"/>
    <x v="2"/>
    <s v="CLFF_VMCA$$$TW10GLE106 MGF-Group Compliance"/>
    <s v="G000001103"/>
    <s v="G000001103"/>
    <s v="LFF (MDG-F)"/>
    <s v="TW10GLE106"/>
    <m/>
    <b v="1"/>
    <x v="0"/>
    <x v="3"/>
    <d v="2025-09-09T00:00:00"/>
    <m/>
    <m/>
    <x v="1"/>
    <n v="68"/>
    <s v="Jojeff Tagnong"/>
    <m/>
  </r>
  <r>
    <x v="362"/>
    <x v="0"/>
    <x v="2"/>
    <s v="CLFF_VMCA$$$TW91GLE106 MGF-Group Compliance"/>
    <s v="G000001103"/>
    <s v="G000001103"/>
    <s v="LFF (MDG-F)"/>
    <s v="TW91GLE106"/>
    <m/>
    <b v="1"/>
    <x v="0"/>
    <x v="3"/>
    <d v="2025-09-09T00:00:00"/>
    <m/>
    <m/>
    <x v="1"/>
    <n v="68"/>
    <s v="Jojeff Tagnong"/>
    <m/>
  </r>
  <r>
    <x v="362"/>
    <x v="0"/>
    <x v="2"/>
    <s v="CNOW_ROW$$$$0000008820 JP Compliance"/>
    <s v="G000001103"/>
    <s v="G000001103"/>
    <s v="Non-LFF"/>
    <s v=""/>
    <m/>
    <b v="1"/>
    <x v="0"/>
    <x v="3"/>
    <d v="2025-09-09T00:00:00"/>
    <m/>
    <m/>
    <x v="1"/>
    <n v="68"/>
    <s v="Jojeff Tagnong"/>
    <m/>
  </r>
  <r>
    <x v="362"/>
    <x v="0"/>
    <x v="2"/>
    <s v="CSCALA_1820$A806"/>
    <s v="G000001103"/>
    <s v="G000001103"/>
    <s v="Non-LFF"/>
    <s v=""/>
    <m/>
    <b v="1"/>
    <x v="0"/>
    <x v="3"/>
    <d v="2025-09-09T00:00:00"/>
    <m/>
    <m/>
    <x v="1"/>
    <n v="68"/>
    <s v="Jojeff Tagnong"/>
    <m/>
  </r>
  <r>
    <x v="362"/>
    <x v="0"/>
    <x v="2"/>
    <s v="CTEMPLA_1000CO10100025 REGIONAL COMPLIANCE OFFICER"/>
    <s v="G000001105"/>
    <s v="G000001105"/>
    <s v="Non-LFF"/>
    <s v=""/>
    <m/>
    <b v="1"/>
    <x v="0"/>
    <x v="3"/>
    <d v="2025-09-09T00:00:00"/>
    <m/>
    <m/>
    <x v="1"/>
    <n v="68"/>
    <s v="Jojeff Tagnong"/>
    <m/>
  </r>
  <r>
    <x v="362"/>
    <x v="0"/>
    <x v="2"/>
    <s v="CTEMPLA_1000MX31170000 Compliance"/>
    <s v="G000001105"/>
    <s v="G000001105"/>
    <s v="Non-LFF"/>
    <s v=""/>
    <m/>
    <b v="1"/>
    <x v="0"/>
    <x v="3"/>
    <d v="2025-09-09T00:00:00"/>
    <m/>
    <m/>
    <x v="1"/>
    <n v="68"/>
    <s v="Jojeff Tagnong"/>
    <m/>
  </r>
  <r>
    <x v="363"/>
    <x v="0"/>
    <x v="2"/>
    <s v="CLFF_1000$$$DE10620801"/>
    <s v="G000000432"/>
    <s v="G000000432"/>
    <s v="LFF (MDG-F)"/>
    <s v="DE10620801"/>
    <m/>
    <b v="1"/>
    <x v="0"/>
    <x v="3"/>
    <d v="2025-09-09T00:00:00"/>
    <m/>
    <m/>
    <x v="1"/>
    <n v="68"/>
    <s v="Marcus Morowski"/>
    <m/>
  </r>
  <r>
    <x v="364"/>
    <x v="0"/>
    <x v="2"/>
    <s v="CSCALA_1022$ITX"/>
    <s v="G000001356"/>
    <s v="G000001356"/>
    <s v="Non-LFF"/>
    <s v=""/>
    <m/>
    <b v="1"/>
    <x v="0"/>
    <x v="3"/>
    <d v="2025-09-09T00:00:00"/>
    <m/>
    <m/>
    <x v="1"/>
    <n v="68"/>
    <s v="Jay-R Lizardo"/>
    <m/>
  </r>
  <r>
    <x v="365"/>
    <x v="0"/>
    <x v="2"/>
    <s v="CLFF_1000$$$CNS1OF0144"/>
    <s v="GNMI000720"/>
    <s v="GNMI000720"/>
    <s v="LFF (MDG-F)"/>
    <s v="CNS1OF0144"/>
    <m/>
    <b v="1"/>
    <x v="3"/>
    <x v="3"/>
    <d v="2025-09-09T00:00:00"/>
    <m/>
    <m/>
    <x v="1"/>
    <n v="68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68"/>
    <s v="Robert Coman"/>
    <m/>
  </r>
  <r>
    <x v="365"/>
    <x v="0"/>
    <x v="2"/>
    <s v="CLFF_1000$$$THS1OF0110"/>
    <s v="GNMI000720"/>
    <s v="GNMI000720"/>
    <s v="LFF (MDG-F)"/>
    <s v="THS1OF0110"/>
    <m/>
    <b v="1"/>
    <x v="3"/>
    <x v="3"/>
    <d v="2025-09-09T00:00:00"/>
    <m/>
    <m/>
    <x v="1"/>
    <n v="68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68"/>
    <s v="Robert Coman"/>
    <m/>
  </r>
  <r>
    <x v="366"/>
    <x v="0"/>
    <x v="2"/>
    <s v="CTEMPNA_1000US30130501"/>
    <s v="H000004403"/>
    <s v="H000004403"/>
    <s v="Non-LFF"/>
    <s v=""/>
    <m/>
    <b v="1"/>
    <x v="0"/>
    <x v="3"/>
    <d v="2025-09-09T00:00:00"/>
    <m/>
    <m/>
    <x v="1"/>
    <n v="68"/>
    <s v="Julistair Malto"/>
    <m/>
  </r>
  <r>
    <x v="366"/>
    <x v="0"/>
    <x v="2"/>
    <s v="CTEMPNA_1000US30132020"/>
    <s v="H000004403"/>
    <s v="H000004403"/>
    <s v="Non-LFF"/>
    <s v=""/>
    <m/>
    <b v="1"/>
    <x v="0"/>
    <x v="3"/>
    <d v="2025-09-09T00:00:00"/>
    <m/>
    <m/>
    <x v="1"/>
    <n v="68"/>
    <s v="Julistair Malto"/>
    <m/>
  </r>
  <r>
    <x v="366"/>
    <x v="0"/>
    <x v="2"/>
    <s v="CTEMPNA_1000US30133800"/>
    <s v="H000004403"/>
    <s v="H000004403"/>
    <s v="Non-LFF"/>
    <s v=""/>
    <m/>
    <b v="1"/>
    <x v="0"/>
    <x v="3"/>
    <d v="2025-09-09T00:00:00"/>
    <m/>
    <m/>
    <x v="1"/>
    <n v="68"/>
    <s v="Julistair Malto"/>
    <m/>
  </r>
  <r>
    <x v="366"/>
    <x v="0"/>
    <x v="2"/>
    <s v="CTEMPNA_1000US30134000"/>
    <s v="H000004403"/>
    <s v="H000004403"/>
    <s v="Non-LFF"/>
    <s v=""/>
    <m/>
    <b v="1"/>
    <x v="0"/>
    <x v="3"/>
    <d v="2025-09-09T00:00:00"/>
    <m/>
    <m/>
    <x v="1"/>
    <n v="68"/>
    <s v="Julistair Malto"/>
    <m/>
  </r>
  <r>
    <x v="366"/>
    <x v="0"/>
    <x v="2"/>
    <s v="CTEMPNA_1000US30134050"/>
    <s v="H000004403"/>
    <s v="H000004403"/>
    <s v="Non-LFF"/>
    <s v=""/>
    <m/>
    <b v="1"/>
    <x v="0"/>
    <x v="3"/>
    <d v="2025-09-09T00:00:00"/>
    <m/>
    <m/>
    <x v="1"/>
    <n v="68"/>
    <s v="Julistair Malto"/>
    <m/>
  </r>
  <r>
    <x v="367"/>
    <x v="0"/>
    <x v="2"/>
    <s v="CLFF_VMCA$$$US10O05003"/>
    <s v="P000001323"/>
    <s v="P000001323"/>
    <s v="LFF (MDG-F)"/>
    <s v="US10O05003"/>
    <m/>
    <b v="1"/>
    <x v="3"/>
    <x v="3"/>
    <d v="2025-09-09T00:00:00"/>
    <m/>
    <m/>
    <x v="1"/>
    <n v="68"/>
    <s v="John Rowie Del Rosario"/>
    <m/>
  </r>
  <r>
    <x v="367"/>
    <x v="0"/>
    <x v="2"/>
    <s v="CLFF_VMCA$$$KR07O05003"/>
    <s v="P000001322"/>
    <s v="P000001322"/>
    <s v="LFF (MDG-F)"/>
    <s v="KR07O05003"/>
    <m/>
    <b v="1"/>
    <x v="3"/>
    <x v="3"/>
    <d v="2025-09-09T00:00:00"/>
    <m/>
    <m/>
    <x v="1"/>
    <n v="68"/>
    <s v="John Rowie Del Rosario"/>
    <m/>
  </r>
  <r>
    <x v="367"/>
    <x v="0"/>
    <x v="2"/>
    <s v="CLFF_VMCA$$$CN10O05003"/>
    <s v="P000001322"/>
    <s v="P000001322"/>
    <s v="LFF (MDG-F)"/>
    <s v="CN10O05003"/>
    <m/>
    <b v="1"/>
    <x v="3"/>
    <x v="3"/>
    <d v="2025-09-09T00:00:00"/>
    <m/>
    <m/>
    <x v="1"/>
    <n v="68"/>
    <s v="John Rowie Del Rosario"/>
    <m/>
  </r>
  <r>
    <x v="368"/>
    <x v="0"/>
    <x v="2"/>
    <s v="N128315000000000000 ICON 1283 VS 1500"/>
    <s v="P000001205"/>
    <s v="P000001205"/>
    <s v="Non-LFF"/>
    <s v=""/>
    <m/>
    <b v="1"/>
    <x v="3"/>
    <x v="3"/>
    <d v="2025-09-12T00:00:00"/>
    <m/>
    <m/>
    <x v="1"/>
    <n v="65"/>
    <s v="Roselle Delos Angeles"/>
    <m/>
  </r>
  <r>
    <x v="368"/>
    <x v="0"/>
    <x v="2"/>
    <s v="CLFF_VMCA$$$TW91PD1010 KAO containers assm (RT) "/>
    <s v="P000000801"/>
    <s v="P000000801"/>
    <s v="LFF (MDG-F)"/>
    <s v="TW91PD1010"/>
    <m/>
    <b v="1"/>
    <x v="3"/>
    <x v="3"/>
    <d v="2025-09-12T00:00:00"/>
    <m/>
    <m/>
    <x v="1"/>
    <n v="65"/>
    <s v="Roselle Delos Angeles"/>
    <m/>
  </r>
  <r>
    <x v="368"/>
    <x v="0"/>
    <x v="2"/>
    <s v="CLFF_VMCA$$$US10C05025 CLOSE-Thin Film Marketing and GPM "/>
    <s v="P000000533"/>
    <s v="P000000533"/>
    <s v="LFF (MDG-F)"/>
    <s v="US10C05025"/>
    <m/>
    <b v="1"/>
    <x v="3"/>
    <x v="3"/>
    <d v="2025-09-12T00:00:00"/>
    <m/>
    <m/>
    <x v="1"/>
    <n v="65"/>
    <s v="Roselle Delos Angeles"/>
    <m/>
  </r>
  <r>
    <x v="368"/>
    <x v="0"/>
    <x v="2"/>
    <s v="CLFF_VMCA$$$KR15C01027 TF Project Costs "/>
    <s v="P000000802"/>
    <s v="P000000802"/>
    <s v="LFF (MDG-F)"/>
    <s v="KR15C01027"/>
    <m/>
    <b v="1"/>
    <x v="3"/>
    <x v="3"/>
    <d v="2025-09-12T00:00:00"/>
    <m/>
    <m/>
    <x v="1"/>
    <n v="65"/>
    <s v="Roselle Delos Angeles"/>
    <m/>
  </r>
  <r>
    <x v="368"/>
    <x v="0"/>
    <x v="2"/>
    <s v="CLFF_VMCA$$$KR16C01027 TF Project Costs "/>
    <s v="P000000802"/>
    <s v="P000000802"/>
    <s v="LFF (MDG-F)"/>
    <s v="KR16C01027"/>
    <m/>
    <b v="1"/>
    <x v="3"/>
    <x v="3"/>
    <d v="2025-09-12T00:00:00"/>
    <m/>
    <m/>
    <x v="1"/>
    <n v="65"/>
    <s v="Roselle Delos Angeles"/>
    <m/>
  </r>
  <r>
    <x v="368"/>
    <x v="0"/>
    <x v="2"/>
    <s v="CLFF_VMCA$$$CN09C05003 AM Selling "/>
    <s v="P000000829"/>
    <s v="P000000829"/>
    <s v="LFF (MDG-F)"/>
    <s v="CN09C05003"/>
    <m/>
    <b v="1"/>
    <x v="3"/>
    <x v="3"/>
    <d v="2025-09-12T00:00:00"/>
    <m/>
    <m/>
    <x v="1"/>
    <n v="65"/>
    <s v="Roselle Delos Angeles"/>
    <m/>
  </r>
  <r>
    <x v="368"/>
    <x v="0"/>
    <x v="2"/>
    <s v="CLFF_VMCA$$$NL10C05001 AM Selling"/>
    <s v="P000000829"/>
    <s v="P000000829"/>
    <s v="LFF (MDG-F)"/>
    <s v="NL10C05001"/>
    <m/>
    <b v="1"/>
    <x v="3"/>
    <x v="3"/>
    <d v="2025-09-12T00:00:00"/>
    <m/>
    <m/>
    <x v="1"/>
    <n v="65"/>
    <s v="Roselle Delos Angeles"/>
    <m/>
  </r>
  <r>
    <x v="368"/>
    <x v="0"/>
    <x v="2"/>
    <s v="CLFF_VMCA$$$MY10C05000 AM Selling"/>
    <s v="P000000534"/>
    <s v="P000000534"/>
    <s v="LFF (MDG-F)"/>
    <s v="MY10C05000"/>
    <m/>
    <b v="1"/>
    <x v="3"/>
    <x v="3"/>
    <d v="2025-09-12T00:00:00"/>
    <m/>
    <m/>
    <x v="1"/>
    <n v="65"/>
    <s v="Roselle Delos Angeles"/>
    <m/>
  </r>
  <r>
    <x v="368"/>
    <x v="0"/>
    <x v="2"/>
    <s v="CLFF_1000$$$TW02C00311 Sales PM-A"/>
    <s v="P000000954"/>
    <s v="P000000954"/>
    <s v="LFF (MDG-F)"/>
    <s v="TW02C00311"/>
    <m/>
    <b v="1"/>
    <x v="3"/>
    <x v="3"/>
    <d v="2025-09-12T00:00:00"/>
    <m/>
    <m/>
    <x v="1"/>
    <n v="65"/>
    <s v="Roselle Delos Angeles"/>
    <m/>
  </r>
  <r>
    <x v="369"/>
    <x v="0"/>
    <x v="2"/>
    <s v="CLFF_1000$$$CN60TANA01"/>
    <s v="H000000572"/>
    <s v="H000000572"/>
    <s v="LFF (MDG-F)"/>
    <s v="CN60TANA01"/>
    <m/>
    <b v="1"/>
    <x v="1"/>
    <x v="3"/>
    <d v="2025-09-15T00:00:00"/>
    <m/>
    <m/>
    <x v="1"/>
    <n v="64"/>
    <s v="Yanhua Sha"/>
    <m/>
  </r>
  <r>
    <x v="370"/>
    <x v="0"/>
    <x v="2"/>
    <s v="PNEXT_CPRJ-98202500093"/>
    <s v="L000011470"/>
    <s v="L000011470"/>
    <s v="Non-LFF"/>
    <s v=""/>
    <s v="CPRJ-9820250005 PFIZER SG6"/>
    <b v="1"/>
    <x v="2"/>
    <x v="3"/>
    <d v="2025-09-16T00:00:00"/>
    <m/>
    <m/>
    <x v="1"/>
    <n v="63"/>
    <s v="Ruby Grace Garcia"/>
    <m/>
  </r>
  <r>
    <x v="370"/>
    <x v="0"/>
    <x v="2"/>
    <s v="PNEXT_CON_00012896TTO"/>
    <s v="L000011470"/>
    <s v="L000011470"/>
    <s v="Non-LFF"/>
    <s v=""/>
    <s v="CPRJ-9820250006 AMGEN P65"/>
    <b v="1"/>
    <x v="2"/>
    <x v="3"/>
    <d v="2025-09-16T00:00:00"/>
    <m/>
    <m/>
    <x v="1"/>
    <n v="63"/>
    <s v="Ruby Grace Garcia"/>
    <m/>
  </r>
  <r>
    <x v="370"/>
    <x v="0"/>
    <x v="2"/>
    <s v="CNOW_7210$$$P139595865"/>
    <s v="L000012522"/>
    <s v="L000012522"/>
    <s v="Non-LFF"/>
    <s v=""/>
    <m/>
    <b v="1"/>
    <x v="2"/>
    <x v="3"/>
    <d v="2025-09-16T00:00:00"/>
    <m/>
    <m/>
    <x v="1"/>
    <n v="63"/>
    <s v="Ruby Grace Garcia"/>
    <m/>
  </r>
  <r>
    <x v="370"/>
    <x v="0"/>
    <x v="2"/>
    <s v="CFLTFLE_22450000002765"/>
    <s v="L000011444"/>
    <s v="L000011444"/>
    <s v="Non-LFF"/>
    <s v=""/>
    <m/>
    <b v="1"/>
    <x v="2"/>
    <x v="3"/>
    <d v="2025-09-16T00:00:00"/>
    <m/>
    <m/>
    <x v="1"/>
    <n v="63"/>
    <s v="Ruby Grace Garcia"/>
    <m/>
  </r>
  <r>
    <x v="370"/>
    <x v="0"/>
    <x v="2"/>
    <s v="PQUATRO_T000346DE0412000"/>
    <s v="L000006425"/>
    <s v="L000006425"/>
    <s v="Non-LFF"/>
    <s v=""/>
    <s v="T00034600000"/>
    <b v="1"/>
    <x v="2"/>
    <x v="3"/>
    <d v="2025-09-16T00:00:00"/>
    <m/>
    <m/>
    <x v="1"/>
    <n v="63"/>
    <s v="Ruby Grace Garcia"/>
    <m/>
  </r>
  <r>
    <x v="370"/>
    <x v="0"/>
    <x v="2"/>
    <s v="CORAERP_MMOR1975.6981"/>
    <s v="L000013823"/>
    <s v="L000013823"/>
    <s v="Non-LFF"/>
    <s v=""/>
    <m/>
    <b v="1"/>
    <x v="2"/>
    <x v="3"/>
    <d v="2025-09-16T00:00:00"/>
    <m/>
    <m/>
    <x v="1"/>
    <n v="63"/>
    <s v="Ruby Grace Garcia"/>
    <m/>
  </r>
  <r>
    <x v="371"/>
    <x v="0"/>
    <x v="2"/>
    <s v="PLEAN_X310174NL5130208 BAV FRA M&amp;S OTH Bavencio Maintenance"/>
    <s v="H000001095"/>
    <s v="H000001095"/>
    <s v="Non-LFF"/>
    <s v=""/>
    <s v="I am unable to map these for some reason"/>
    <b v="1"/>
    <x v="1"/>
    <x v="3"/>
    <d v="2025-09-17T00:00:00"/>
    <m/>
    <m/>
    <x v="1"/>
    <n v="62"/>
    <s v="Henry Ifurung Jr."/>
    <m/>
  </r>
  <r>
    <x v="371"/>
    <x v="0"/>
    <x v="2"/>
    <s v="PLEAN_X310504NL5130201 REB FRA M&amp;S OTH Annual Registration Fees"/>
    <s v="H000001095"/>
    <s v="H000001095"/>
    <s v="Non-LFF"/>
    <s v=""/>
    <s v="I am unable to map these for some reason"/>
    <b v="1"/>
    <x v="1"/>
    <x v="3"/>
    <d v="2025-09-17T00:00:00"/>
    <m/>
    <m/>
    <x v="1"/>
    <n v="62"/>
    <s v="Henry Ifurung Jr."/>
    <m/>
  </r>
  <r>
    <x v="371"/>
    <x v="0"/>
    <x v="2"/>
    <s v="PLEAN_X310514NL5130207 MAV FRA M&amp;S OTH Mavenclad Maintenance"/>
    <s v="H000001095"/>
    <s v="H000001095"/>
    <s v="Non-LFF"/>
    <s v=""/>
    <s v="I am unable to map these for some reason"/>
    <b v="1"/>
    <x v="1"/>
    <x v="3"/>
    <d v="2025-09-17T00:00:00"/>
    <m/>
    <m/>
    <x v="1"/>
    <n v="62"/>
    <s v="Henry Ifurung Jr."/>
    <m/>
  </r>
  <r>
    <x v="371"/>
    <x v="0"/>
    <x v="2"/>
    <s v="ILEAN_006010000769 CH65IC1954AO3610405000"/>
    <s v="H000001095"/>
    <s v="H000001095"/>
    <s v="Non-LFF"/>
    <s v=""/>
    <s v="I am unable to map these for some reason"/>
    <b v="1"/>
    <x v="1"/>
    <x v="3"/>
    <d v="2025-09-17T00:00:00"/>
    <m/>
    <m/>
    <x v="1"/>
    <n v="62"/>
    <s v="Henry Ifurung Jr."/>
    <m/>
  </r>
  <r>
    <x v="371"/>
    <x v="0"/>
    <x v="2"/>
    <s v="ILEAN_006010001160 CH65IC1277AO3610405000"/>
    <s v="H000001095"/>
    <s v="H000001095"/>
    <s v="Non-LFF"/>
    <s v=""/>
    <s v="I am unable to map these for some reason"/>
    <b v="1"/>
    <x v="1"/>
    <x v="3"/>
    <d v="2025-09-17T00:00:00"/>
    <m/>
    <m/>
    <x v="1"/>
    <n v="62"/>
    <s v="Henry Ifurung Jr."/>
    <m/>
  </r>
  <r>
    <x v="371"/>
    <x v="0"/>
    <x v="2"/>
    <s v="ILEAN_001050000802 CH60IC_1685_3121050000_FB2_variousBF"/>
    <s v="H000000004"/>
    <s v="H000000004"/>
    <s v="Non-LFF"/>
    <s v=""/>
    <s v="I am unable to map these for some reason"/>
    <b v="1"/>
    <x v="1"/>
    <x v="3"/>
    <d v="2025-09-17T00:00:00"/>
    <m/>
    <m/>
    <x v="1"/>
    <n v="62"/>
    <s v="Henry Ifurung Jr."/>
    <m/>
  </r>
  <r>
    <x v="371"/>
    <x v="0"/>
    <x v="2"/>
    <s v="ILEAN_006010000765 CH65IC1261OX3610607800"/>
    <s v="H000000004"/>
    <s v="H000000004"/>
    <s v="Non-LFF"/>
    <s v=""/>
    <s v="I am unable to map these for some reason"/>
    <b v="1"/>
    <x v="1"/>
    <x v="3"/>
    <d v="2025-09-17T00:00:00"/>
    <m/>
    <m/>
    <x v="1"/>
    <n v="62"/>
    <s v="Henry Ifurung Jr."/>
    <m/>
  </r>
  <r>
    <x v="371"/>
    <x v="0"/>
    <x v="2"/>
    <s v="ILEAN_006010000766 CH65IC1401OX3610607800"/>
    <s v="H000000004"/>
    <s v="H000000004"/>
    <s v="Non-LFF"/>
    <s v=""/>
    <s v="I am unable to map these for some reason"/>
    <b v="1"/>
    <x v="1"/>
    <x v="3"/>
    <d v="2025-09-17T00:00:00"/>
    <m/>
    <m/>
    <x v="1"/>
    <n v="62"/>
    <s v="Henry Ifurung Jr."/>
    <m/>
  </r>
  <r>
    <x v="371"/>
    <x v="0"/>
    <x v="2"/>
    <s v="ILEAN_006010000768 CH65IC1881OX3610607800"/>
    <s v="H000000004"/>
    <s v="H000000004"/>
    <s v="Non-LFF"/>
    <s v=""/>
    <s v="I am unable to map these for some reason"/>
    <b v="1"/>
    <x v="1"/>
    <x v="3"/>
    <d v="2025-09-17T00:00:00"/>
    <m/>
    <m/>
    <x v="1"/>
    <n v="62"/>
    <s v="Henry Ifurung Jr."/>
    <m/>
  </r>
  <r>
    <x v="371"/>
    <x v="0"/>
    <x v="2"/>
    <s v="ITEMPLA_001520000288 CO10 - I/O for 99  Recovery Depreciation"/>
    <s v="H000000004"/>
    <s v="H000000004"/>
    <s v="Non-LFF"/>
    <s v=""/>
    <s v="I am unable to map these for some reason"/>
    <b v="1"/>
    <x v="1"/>
    <x v="3"/>
    <d v="2025-09-17T00:00:00"/>
    <m/>
    <m/>
    <x v="1"/>
    <n v="62"/>
    <s v="Henry Ifurung Jr."/>
    <m/>
  </r>
  <r>
    <x v="371"/>
    <x v="0"/>
    <x v="2"/>
    <s v="CLFF_1000$$$CH50L95005"/>
    <s v="H000001095"/>
    <s v="H000001095"/>
    <s v="LFF (MDG-F)"/>
    <s v="CH50L95005"/>
    <s v="Someone is locking MDGF currently"/>
    <b v="1"/>
    <x v="1"/>
    <x v="3"/>
    <d v="2025-09-17T00:00:00"/>
    <m/>
    <m/>
    <x v="1"/>
    <n v="62"/>
    <s v="Henry Ifurung Jr."/>
    <m/>
  </r>
  <r>
    <x v="371"/>
    <x v="0"/>
    <x v="2"/>
    <s v="CLFF_1000$$$CH50L95009"/>
    <s v="H000001095"/>
    <s v="H000001095"/>
    <s v="LFF (MDG-F)"/>
    <s v="CH50L95009"/>
    <s v="Someone is locking MDGF currently"/>
    <b v="1"/>
    <x v="1"/>
    <x v="3"/>
    <d v="2025-09-17T00:00:00"/>
    <m/>
    <m/>
    <x v="1"/>
    <n v="62"/>
    <s v="Henry Ifurung Jr."/>
    <m/>
  </r>
  <r>
    <x v="371"/>
    <x v="0"/>
    <x v="2"/>
    <s v="ILEAN_006010001440 CH50IC1401OX3610607800"/>
    <s v="H000001095"/>
    <s v="H000001095"/>
    <s v="Non-LFF"/>
    <s v=""/>
    <s v="I am unable to map these for some reason"/>
    <b v="1"/>
    <x v="1"/>
    <x v="3"/>
    <d v="2025-09-17T00:00:00"/>
    <m/>
    <m/>
    <x v="1"/>
    <n v="62"/>
    <s v="Henry Ifurung Jr."/>
    <m/>
  </r>
  <r>
    <x v="371"/>
    <x v="0"/>
    <x v="2"/>
    <s v="CLFF_1000$$$DE50OF0124"/>
    <s v="H000001095"/>
    <s v="H000001095"/>
    <s v="LFF (MDG-F)"/>
    <s v="DE50OF0124"/>
    <s v="Someone is locking MDGF currently"/>
    <b v="1"/>
    <x v="1"/>
    <x v="3"/>
    <d v="2025-09-17T00:00:00"/>
    <m/>
    <m/>
    <x v="1"/>
    <n v="62"/>
    <s v="Henry Ifurung Jr."/>
    <m/>
  </r>
  <r>
    <x v="371"/>
    <x v="0"/>
    <x v="2"/>
    <s v="ITEMPEU_001500002380 Capital losses tangilble"/>
    <s v="H000000004"/>
    <s v="H000000004"/>
    <s v="Non-LFF"/>
    <s v=""/>
    <s v="I am unable to map these for some reason"/>
    <b v="1"/>
    <x v="1"/>
    <x v="3"/>
    <d v="2025-09-17T00:00:00"/>
    <m/>
    <m/>
    <x v="1"/>
    <n v="62"/>
    <s v="Henry Ifurung Jr."/>
    <m/>
  </r>
  <r>
    <x v="371"/>
    <x v="0"/>
    <x v="2"/>
    <s v="ITEMPLA_001520000132 MX10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62"/>
    <s v="Henry Ifurung Jr."/>
    <m/>
  </r>
  <r>
    <x v="371"/>
    <x v="0"/>
    <x v="2"/>
    <s v="ITEMPLA_001520000111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62"/>
    <s v="Henry Ifurung Jr."/>
    <m/>
  </r>
  <r>
    <x v="372"/>
    <x v="0"/>
    <x v="2"/>
    <s v="CLFF_1000$$$JP01C0M825"/>
    <s v="P000000742"/>
    <s v="P000000742"/>
    <s v="LFF (MDG-F)"/>
    <s v="JP01C0M825"/>
    <s v="Someone is locking MDGF currently"/>
    <b v="1"/>
    <x v="0"/>
    <x v="3"/>
    <d v="2025-09-17T00:00:00"/>
    <m/>
    <m/>
    <x v="1"/>
    <n v="62"/>
    <s v="Michelle Xu"/>
    <m/>
  </r>
  <r>
    <x v="372"/>
    <x v="0"/>
    <x v="2"/>
    <s v="CLFF_1000$$$JP01GBT305"/>
    <s v="G000000244"/>
    <s v="G000000244"/>
    <s v="LFF (MDG-F)"/>
    <s v="JP01GBT305"/>
    <s v="Someone is locking MDGF currently"/>
    <b v="1"/>
    <x v="0"/>
    <x v="3"/>
    <d v="2025-09-17T00:00:00"/>
    <m/>
    <m/>
    <x v="1"/>
    <n v="62"/>
    <s v="Michelle Xu"/>
    <m/>
  </r>
  <r>
    <x v="372"/>
    <x v="0"/>
    <x v="2"/>
    <s v="CLFF_1000$$$JP01GHR301"/>
    <s v="G000000198"/>
    <s v="G000000198"/>
    <s v="LFF (MDG-F)"/>
    <s v="JP01GHR301"/>
    <s v="Someone is locking MDGF currently"/>
    <b v="1"/>
    <x v="0"/>
    <x v="3"/>
    <d v="2025-09-17T00:00:00"/>
    <m/>
    <m/>
    <x v="1"/>
    <n v="62"/>
    <s v="Michelle Xu"/>
    <m/>
  </r>
  <r>
    <x v="373"/>
    <x v="0"/>
    <x v="2"/>
    <s v="CNOW_7210$$$0000010272 EL Digital Data &amp; Cyber ITOT 2098"/>
    <s v="P000001321"/>
    <s v="P000001321"/>
    <s v="Non-LFF"/>
    <s v=""/>
    <m/>
    <b v="1"/>
    <x v="3"/>
    <x v="3"/>
    <d v="2025-09-18T00:00:00"/>
    <m/>
    <m/>
    <x v="1"/>
    <n v="61"/>
    <s v="Roselle Delos Angeles"/>
    <m/>
  </r>
  <r>
    <x v="373"/>
    <x v="0"/>
    <x v="2"/>
    <s v="CLFF_1000$$$DE10O05003"/>
    <s v="P000001321"/>
    <s v="P000001321"/>
    <s v="LFF (MDG-F)"/>
    <s v="DE10O05003"/>
    <m/>
    <b v="1"/>
    <x v="3"/>
    <x v="3"/>
    <d v="2025-09-18T00:00:00"/>
    <m/>
    <m/>
    <x v="1"/>
    <n v="61"/>
    <s v="Roselle Delos Angeles"/>
    <m/>
  </r>
  <r>
    <x v="373"/>
    <x v="0"/>
    <x v="2"/>
    <s v="CNOW_7210$$$0000010272"/>
    <s v="P000001321"/>
    <s v="P000001321"/>
    <s v="Non-LFF"/>
    <s v=""/>
    <m/>
    <b v="1"/>
    <x v="3"/>
    <x v="3"/>
    <d v="2025-09-18T00:00:00"/>
    <m/>
    <m/>
    <x v="1"/>
    <n v="61"/>
    <s v="Roselle Delos Angeles"/>
    <m/>
  </r>
  <r>
    <x v="373"/>
    <x v="0"/>
    <x v="2"/>
    <s v="T00028600000"/>
    <s v="P000001321"/>
    <s v="P000001321"/>
    <s v="Non-LFF"/>
    <s v=""/>
    <m/>
    <b v="1"/>
    <x v="3"/>
    <x v="3"/>
    <d v="2025-09-18T00:00:00"/>
    <m/>
    <m/>
    <x v="1"/>
    <n v="61"/>
    <s v="Roselle Delos Angeles"/>
    <m/>
  </r>
  <r>
    <x v="373"/>
    <x v="0"/>
    <x v="2"/>
    <s v="CLFF_1000$$$CN01O05001"/>
    <s v="P000001323"/>
    <s v="P000001323"/>
    <s v="LFF (MDG-F)"/>
    <s v="CN01O05001"/>
    <s v="Unable to get mapped/ticket locked"/>
    <b v="1"/>
    <x v="3"/>
    <x v="3"/>
    <d v="2025-09-18T00:00:00"/>
    <m/>
    <m/>
    <x v="1"/>
    <n v="61"/>
    <s v="Roselle Delos Angeles"/>
    <m/>
  </r>
  <r>
    <x v="373"/>
    <x v="0"/>
    <x v="2"/>
    <s v="PFLTFLE_EMDPNMCP02"/>
    <s v="P000000677"/>
    <s v="P000000677"/>
    <s v="Non-LFF"/>
    <s v=""/>
    <m/>
    <b v="1"/>
    <x v="3"/>
    <x v="3"/>
    <d v="2025-09-18T00:00:00"/>
    <m/>
    <m/>
    <x v="1"/>
    <n v="61"/>
    <s v="Roselle Delos Angeles"/>
    <m/>
  </r>
  <r>
    <x v="373"/>
    <x v="0"/>
    <x v="2"/>
    <s v="PFLTFLE_EMDPLWFM01"/>
    <s v="P000001161"/>
    <s v="P000001161"/>
    <s v="Non-LFF"/>
    <s v=""/>
    <m/>
    <b v="1"/>
    <x v="3"/>
    <x v="3"/>
    <d v="2025-09-18T00:00:00"/>
    <m/>
    <m/>
    <x v="1"/>
    <n v="61"/>
    <s v="Roselle Delos Angeles"/>
    <m/>
  </r>
  <r>
    <x v="373"/>
    <x v="0"/>
    <x v="2"/>
    <s v="D00124500000000"/>
    <s v="P000000676"/>
    <s v="P000000676"/>
    <s v="Non-LFF"/>
    <s v=""/>
    <s v="PQUATRO_D001245DE0401000000"/>
    <b v="1"/>
    <x v="3"/>
    <x v="3"/>
    <d v="2025-09-18T00:00:00"/>
    <m/>
    <m/>
    <x v="1"/>
    <n v="61"/>
    <s v="Roselle Delos Angeles"/>
    <m/>
  </r>
  <r>
    <x v="373"/>
    <x v="0"/>
    <x v="2"/>
    <s v="D00125100000000"/>
    <s v="P000000678"/>
    <s v="P000000678"/>
    <s v="Non-LFF"/>
    <s v=""/>
    <s v="PQUATRO_D001251DE0401000000"/>
    <b v="1"/>
    <x v="3"/>
    <x v="3"/>
    <d v="2025-09-18T00:00:00"/>
    <m/>
    <m/>
    <x v="1"/>
    <n v="61"/>
    <s v="Roselle Delos Angeles"/>
    <m/>
  </r>
  <r>
    <x v="373"/>
    <x v="0"/>
    <x v="2"/>
    <s v="D00125300000000"/>
    <s v="P000000679"/>
    <s v="P000000679"/>
    <s v="Non-LFF"/>
    <s v=""/>
    <s v="PQUATRO_D001253DE0401000000"/>
    <b v="1"/>
    <x v="3"/>
    <x v="3"/>
    <d v="2025-09-18T00:00:00"/>
    <m/>
    <m/>
    <x v="1"/>
    <n v="61"/>
    <s v="Roselle Delos Angeles"/>
    <m/>
  </r>
  <r>
    <x v="373"/>
    <x v="0"/>
    <x v="2"/>
    <s v="CFLTFLE_11030000000310"/>
    <s v="P000000673"/>
    <s v="P000000673"/>
    <s v="Non-LFF"/>
    <s v=""/>
    <m/>
    <b v="1"/>
    <x v="3"/>
    <x v="3"/>
    <d v="2025-09-18T00:00:00"/>
    <m/>
    <m/>
    <x v="1"/>
    <n v="61"/>
    <s v="Roselle Delos Angeles"/>
    <m/>
  </r>
  <r>
    <x v="373"/>
    <x v="0"/>
    <x v="2"/>
    <s v="CFLTFLE_11030000000320"/>
    <s v="P000000673"/>
    <s v="P000000673"/>
    <s v="Non-LFF"/>
    <s v=""/>
    <m/>
    <b v="1"/>
    <x v="3"/>
    <x v="3"/>
    <d v="2025-09-18T00:00:00"/>
    <m/>
    <m/>
    <x v="1"/>
    <n v="61"/>
    <s v="Roselle Delos Angeles"/>
    <m/>
  </r>
  <r>
    <x v="374"/>
    <x v="0"/>
    <x v="2"/>
    <s v="CLFF_1000$$$DE10Z01000 Automatic account assignm"/>
    <s v="G000000242"/>
    <s v="G000000242"/>
    <s v="LFF (MDG-F)"/>
    <s v="DE10Z01000"/>
    <m/>
    <b v="1"/>
    <x v="3"/>
    <x v="3"/>
    <d v="2025-09-19T00:00:00"/>
    <m/>
    <m/>
    <x v="1"/>
    <n v="60"/>
    <s v="Roselle Delos Angeles"/>
    <m/>
  </r>
  <r>
    <x v="374"/>
    <x v="0"/>
    <x v="2"/>
    <s v="CLFF_1000$$$CN90Z01000 Finance technical cost center"/>
    <s v="G000000759"/>
    <s v="G000000759"/>
    <s v="LFF (MDG-F)"/>
    <s v="CN90Z01000"/>
    <m/>
    <b v="1"/>
    <x v="3"/>
    <x v="3"/>
    <d v="2025-09-19T00:00:00"/>
    <m/>
    <m/>
    <x v="1"/>
    <n v="60"/>
    <s v="Roselle Delos Angeles"/>
    <m/>
  </r>
  <r>
    <x v="374"/>
    <x v="0"/>
    <x v="2"/>
    <s v="CLFF_1000$$$ES50Z01000 Automatic account assignment via OKB9"/>
    <s v="H000000887"/>
    <s v="H000000887"/>
    <s v="LFF (MDG-F)"/>
    <s v="ES50Z01000"/>
    <m/>
    <b v="1"/>
    <x v="3"/>
    <x v="3"/>
    <d v="2025-09-19T00:00:00"/>
    <m/>
    <m/>
    <x v="1"/>
    <n v="60"/>
    <s v="Roselle Delos Angeles"/>
    <m/>
  </r>
  <r>
    <x v="374"/>
    <x v="0"/>
    <x v="2"/>
    <s v="CLFF_1000$$$CN03Z01000 OKB9 Cost Center and accounting CC"/>
    <s v="O000000006"/>
    <s v="O000000006"/>
    <s v="LFF (MDG-F)"/>
    <s v="CN03Z01000"/>
    <m/>
    <b v="1"/>
    <x v="3"/>
    <x v="3"/>
    <d v="2025-09-19T00:00:00"/>
    <m/>
    <m/>
    <x v="1"/>
    <n v="60"/>
    <s v="Roselle Delos Angeles"/>
    <m/>
  </r>
  <r>
    <x v="374"/>
    <x v="0"/>
    <x v="2"/>
    <s v="CLFF_1000$$$IN01Z01000 OKB9 Cost Center"/>
    <s v="O000000006"/>
    <s v="O000000006"/>
    <s v="LFF (MDG-F)"/>
    <s v="IN01Z01000"/>
    <m/>
    <b v="1"/>
    <x v="3"/>
    <x v="3"/>
    <d v="2025-09-19T00:00:00"/>
    <m/>
    <m/>
    <x v="1"/>
    <n v="60"/>
    <s v="Roselle Delos Angeles"/>
    <m/>
  </r>
  <r>
    <x v="374"/>
    <x v="0"/>
    <x v="2"/>
    <s v="CLFF_1000$$$SG09Z01000 OKB9 Cost Center"/>
    <s v="O000000006"/>
    <s v="O000000006"/>
    <s v="LFF (MDG-F)"/>
    <s v="SG09Z01000"/>
    <m/>
    <b v="1"/>
    <x v="3"/>
    <x v="3"/>
    <d v="2025-09-19T00:00:00"/>
    <m/>
    <m/>
    <x v="1"/>
    <n v="60"/>
    <s v="Roselle Delos Angeles"/>
    <m/>
  </r>
  <r>
    <x v="374"/>
    <x v="0"/>
    <x v="2"/>
    <s v="CEMERAL_70007001581585"/>
    <s v="P000000665"/>
    <s v="P000000665"/>
    <s v="Non-LFF"/>
    <s v=""/>
    <m/>
    <b v="1"/>
    <x v="3"/>
    <x v="3"/>
    <d v="2025-09-19T00:00:00"/>
    <m/>
    <m/>
    <x v="1"/>
    <n v="60"/>
    <s v="Roselle Delos Angeles"/>
    <m/>
  </r>
  <r>
    <x v="374"/>
    <x v="0"/>
    <x v="2"/>
    <s v="CLFF_1000$$$CN01Z01000 OKB9 Cost Center"/>
    <s v="P000001045"/>
    <s v="P000001045"/>
    <s v="LFF (MDG-F)"/>
    <s v="CN01Z01000"/>
    <m/>
    <b v="1"/>
    <x v="3"/>
    <x v="3"/>
    <d v="2025-09-19T00:00:00"/>
    <m/>
    <m/>
    <x v="1"/>
    <n v="60"/>
    <s v="Roselle Delos Angeles"/>
    <m/>
  </r>
  <r>
    <x v="374"/>
    <x v="0"/>
    <x v="2"/>
    <s v="CLFF_1000$$$DE04Z01000 Automatic account assignment via OKB9"/>
    <s v="P000001045"/>
    <s v="P000001045"/>
    <s v="LFF (MDG-F)"/>
    <s v="DE04Z01000"/>
    <m/>
    <b v="1"/>
    <x v="3"/>
    <x v="3"/>
    <d v="2025-09-19T00:00:00"/>
    <m/>
    <m/>
    <x v="1"/>
    <n v="60"/>
    <s v="Roselle Delos Angeles"/>
    <m/>
  </r>
  <r>
    <x v="374"/>
    <x v="0"/>
    <x v="2"/>
    <s v="CLFF_KR00$$$KR03Z01000 OKB9 Cost Center"/>
    <s v="P000001045"/>
    <s v="P000001045"/>
    <s v="LFF (MDG-F)"/>
    <s v="KR03Z01000"/>
    <s v="k300"/>
    <b v="1"/>
    <x v="3"/>
    <x v="3"/>
    <d v="2025-09-19T00:00:00"/>
    <m/>
    <m/>
    <x v="1"/>
    <n v="60"/>
    <s v="Roselle Delos Angeles"/>
    <m/>
  </r>
  <r>
    <x v="374"/>
    <x v="0"/>
    <x v="2"/>
    <s v="CLFF_1000$$$US01Z01000 OKB9 Cost Center"/>
    <s v="P000001045"/>
    <s v="P000001045"/>
    <s v="LFF (MDG-F)"/>
    <s v="US01Z01000"/>
    <m/>
    <b v="1"/>
    <x v="3"/>
    <x v="3"/>
    <d v="2025-09-19T00:00:00"/>
    <m/>
    <m/>
    <x v="1"/>
    <n v="60"/>
    <s v="Roselle Delos Angeles"/>
    <m/>
  </r>
  <r>
    <x v="374"/>
    <x v="0"/>
    <x v="2"/>
    <s v="CLFF_1000$$$TW02Z01000 OKB9 Cost Center"/>
    <s v="P000000427"/>
    <s v="P000000534"/>
    <s v="LFF (MDG-F)"/>
    <s v="TW02Z01000"/>
    <m/>
    <b v="0"/>
    <x v="3"/>
    <x v="3"/>
    <d v="2025-09-19T00:00:00"/>
    <m/>
    <m/>
    <x v="1"/>
    <n v="60"/>
    <s v="Roselle Delos Angeles"/>
    <m/>
  </r>
  <r>
    <x v="375"/>
    <x v="0"/>
    <x v="2"/>
    <s v="CORAERP_MMOR1975.3541 "/>
    <s v="L000006987"/>
    <s v="L000006987"/>
    <s v="Non-LFF"/>
    <s v=""/>
    <m/>
    <b v="1"/>
    <x v="2"/>
    <x v="3"/>
    <d v="2025-09-24T00:00:00"/>
    <m/>
    <m/>
    <x v="1"/>
    <n v="57"/>
    <s v="Ruby Grace Garcia"/>
    <m/>
  </r>
  <r>
    <x v="376"/>
    <x v="0"/>
    <x v="2"/>
    <s v="D30013500000000"/>
    <s v="L000006623"/>
    <s v="L000006623"/>
    <s v="Non-LFF"/>
    <s v=""/>
    <m/>
    <b v="1"/>
    <x v="2"/>
    <x v="3"/>
    <d v="2025-09-24T00:00:00"/>
    <m/>
    <m/>
    <x v="1"/>
    <n v="57"/>
    <s v="Ruby Grace Garcia"/>
    <m/>
  </r>
  <r>
    <x v="377"/>
    <x v="0"/>
    <x v="2"/>
    <s v="CEMERAL_70007001011GPA GPA Function Singapore"/>
    <s v="H000004404"/>
    <s v="H000004404"/>
    <s v="Non-LFF"/>
    <s v=""/>
    <m/>
    <b v="1"/>
    <x v="1"/>
    <x v="3"/>
    <d v="2025-09-24T00:00:00"/>
    <m/>
    <m/>
    <x v="1"/>
    <n v="57"/>
    <s v="Henry Ifurung Jr."/>
    <m/>
  </r>
  <r>
    <x v="377"/>
    <x v="0"/>
    <x v="2"/>
    <s v="CLFF_1000$$$BE50C00901 Global Policy &amp; External Affairs"/>
    <s v="H000004404"/>
    <s v="H000004404"/>
    <s v="LFF (MDG-F)"/>
    <s v="BE50C00901"/>
    <m/>
    <b v="1"/>
    <x v="1"/>
    <x v="3"/>
    <d v="2025-09-24T00:00:00"/>
    <m/>
    <m/>
    <x v="1"/>
    <n v="57"/>
    <s v="Henry Ifurung Jr."/>
    <m/>
  </r>
  <r>
    <x v="377"/>
    <x v="0"/>
    <x v="2"/>
    <s v="CLFF_1000$$$BE50C00912 Global GPA EU External Investments"/>
    <s v="H000004406"/>
    <s v="H000004406"/>
    <s v="LFF (MDG-F)"/>
    <s v="BE50C00912"/>
    <m/>
    <b v="1"/>
    <x v="1"/>
    <x v="3"/>
    <d v="2025-09-24T00:00:00"/>
    <m/>
    <m/>
    <x v="1"/>
    <n v="57"/>
    <s v="Henry Ifurung Jr."/>
    <m/>
  </r>
  <r>
    <x v="377"/>
    <x v="0"/>
    <x v="2"/>
    <s v="CLFF_1000$$$BE50C00921 Patient Insights &amp; Advocacy, EU Oncology"/>
    <s v="H000004404"/>
    <s v="H000004404"/>
    <s v="LFF (MDG-F)"/>
    <s v="BE50C00921"/>
    <m/>
    <b v="1"/>
    <x v="1"/>
    <x v="3"/>
    <d v="2025-09-24T00:00:00"/>
    <m/>
    <m/>
    <x v="1"/>
    <n v="57"/>
    <s v="Henry Ifurung Jr."/>
    <m/>
  </r>
  <r>
    <x v="377"/>
    <x v="0"/>
    <x v="2"/>
    <s v="CLFF_1000$$$CN50GCA002 CA-Healthcare"/>
    <s v="H000004404"/>
    <s v="H000004404"/>
    <s v="LFF (MDG-F)"/>
    <s v="CN50GCA002"/>
    <m/>
    <b v="1"/>
    <x v="1"/>
    <x v="3"/>
    <d v="2025-09-24T00:00:00"/>
    <m/>
    <m/>
    <x v="1"/>
    <n v="57"/>
    <s v="Henry Ifurung Jr."/>
    <m/>
  </r>
  <r>
    <x v="377"/>
    <x v="0"/>
    <x v="2"/>
    <s v="CLFF_1000$$$CN50GCA004 Global GPA CM&amp;E"/>
    <s v="H000004406"/>
    <s v="H000004406"/>
    <s v="LFF (MDG-F)"/>
    <s v="CN50GCA004"/>
    <m/>
    <b v="1"/>
    <x v="1"/>
    <x v="3"/>
    <d v="2025-09-24T00:00:00"/>
    <m/>
    <m/>
    <x v="1"/>
    <n v="57"/>
    <s v="Henry Ifurung Jr."/>
    <m/>
  </r>
  <r>
    <x v="377"/>
    <x v="0"/>
    <x v="2"/>
    <s v="CLFF_1000$$$CN50GCA005 Global GPA Fertility"/>
    <s v="H000004406"/>
    <s v="H000004406"/>
    <s v="LFF (MDG-F)"/>
    <s v="CN50GCA005"/>
    <m/>
    <b v="1"/>
    <x v="1"/>
    <x v="3"/>
    <d v="2025-09-24T00:00:00"/>
    <m/>
    <m/>
    <x v="1"/>
    <n v="57"/>
    <s v="Henry Ifurung Jr."/>
    <m/>
  </r>
  <r>
    <x v="377"/>
    <x v="0"/>
    <x v="2"/>
    <s v="CLFF_1000$$$CN50GCA012 CA-Global Patient Advocacy team"/>
    <s v="H000004406"/>
    <s v="H000004406"/>
    <s v="LFF (MDG-F)"/>
    <s v="CN50GCA012"/>
    <m/>
    <b v="1"/>
    <x v="1"/>
    <x v="3"/>
    <d v="2025-09-24T00:00:00"/>
    <m/>
    <m/>
    <x v="1"/>
    <n v="57"/>
    <s v="Henry Ifurung Jr."/>
    <m/>
  </r>
  <r>
    <x v="377"/>
    <x v="0"/>
    <x v="2"/>
    <s v="CLFF_1000$$$CN90GCA002 CA-Healthcare"/>
    <s v="H000004404"/>
    <s v="H000004404"/>
    <s v="LFF (MDG-F)"/>
    <s v="CN90GCA002"/>
    <m/>
    <b v="1"/>
    <x v="1"/>
    <x v="3"/>
    <d v="2025-09-24T00:00:00"/>
    <m/>
    <m/>
    <x v="1"/>
    <n v="57"/>
    <s v="Henry Ifurung Jr."/>
    <m/>
  </r>
  <r>
    <x v="377"/>
    <x v="0"/>
    <x v="2"/>
    <s v="CLFF_1000$$$CN90GCA004 CA-PM"/>
    <s v="H000004406"/>
    <s v="H000004406"/>
    <s v="LFF (MDG-F)"/>
    <s v="CN90GCA004"/>
    <m/>
    <b v="1"/>
    <x v="1"/>
    <x v="3"/>
    <d v="2025-09-24T00:00:00"/>
    <m/>
    <m/>
    <x v="1"/>
    <n v="57"/>
    <s v="Henry Ifurung Jr."/>
    <m/>
  </r>
  <r>
    <x v="377"/>
    <x v="0"/>
    <x v="2"/>
    <s v="CLFF_1000$$$CN90GCA005 Global GPA Fertility 1100"/>
    <s v="H000004406"/>
    <s v="H000004406"/>
    <s v="LFF (MDG-F)"/>
    <s v="CN90GCA005"/>
    <m/>
    <b v="1"/>
    <x v="1"/>
    <x v="3"/>
    <d v="2025-09-24T00:00:00"/>
    <m/>
    <m/>
    <x v="1"/>
    <n v="57"/>
    <s v="Henry Ifurung Jr."/>
    <m/>
  </r>
  <r>
    <x v="377"/>
    <x v="0"/>
    <x v="2"/>
    <s v="CLFF_1000$$$CN90GCA012 CA-Global Patient Advocacy team"/>
    <s v="H000004406"/>
    <s v="H000004406"/>
    <s v="LFF (MDG-F)"/>
    <s v="CN90GCA012"/>
    <m/>
    <b v="1"/>
    <x v="1"/>
    <x v="3"/>
    <d v="2025-09-24T00:00:00"/>
    <m/>
    <m/>
    <x v="1"/>
    <n v="57"/>
    <s v="Henry Ifurung Jr."/>
    <m/>
  </r>
  <r>
    <x v="377"/>
    <x v="0"/>
    <x v="2"/>
    <s v="CLFF_1000$$$CN90GCA022 CA-global Innovative medicines"/>
    <s v="H000004406"/>
    <s v="H000004406"/>
    <s v="LFF (MDG-F)"/>
    <s v="CN90GCA022"/>
    <m/>
    <b v="1"/>
    <x v="1"/>
    <x v="3"/>
    <d v="2025-09-24T00:00:00"/>
    <m/>
    <m/>
    <x v="1"/>
    <n v="57"/>
    <s v="Henry Ifurung Jr."/>
    <m/>
  </r>
  <r>
    <x v="377"/>
    <x v="0"/>
    <x v="2"/>
    <s v="CLFF_1000$$$CN90GCA032 CA-global core medicines"/>
    <s v="H000004406"/>
    <s v="H000004406"/>
    <s v="LFF (MDG-F)"/>
    <s v="CN90GCA032"/>
    <m/>
    <b v="1"/>
    <x v="1"/>
    <x v="3"/>
    <d v="2025-09-24T00:00:00"/>
    <m/>
    <m/>
    <x v="1"/>
    <n v="57"/>
    <s v="Henry Ifurung Jr."/>
    <m/>
  </r>
  <r>
    <x v="377"/>
    <x v="0"/>
    <x v="2"/>
    <s v="CLFF_1000$$$DE10694000 CA Healthcare"/>
    <s v="H000004404"/>
    <s v="H000004404"/>
    <s v="LFF (MDG-F)"/>
    <s v="DE10694000"/>
    <m/>
    <b v="1"/>
    <x v="1"/>
    <x v="3"/>
    <d v="2025-09-24T00:00:00"/>
    <m/>
    <m/>
    <x v="1"/>
    <n v="57"/>
    <s v="Henry Ifurung Jr."/>
    <m/>
  </r>
  <r>
    <x v="377"/>
    <x v="0"/>
    <x v="2"/>
    <s v="CLFF_1000$$$DE50C00011 Membership fees"/>
    <s v="H000004404"/>
    <s v="H000004404"/>
    <s v="LFF (MDG-F)"/>
    <s v="DE50C00011"/>
    <m/>
    <b v="1"/>
    <x v="1"/>
    <x v="3"/>
    <d v="2025-09-24T00:00:00"/>
    <m/>
    <m/>
    <x v="1"/>
    <n v="57"/>
    <s v="Henry Ifurung Jr."/>
    <m/>
  </r>
  <r>
    <x v="377"/>
    <x v="0"/>
    <x v="2"/>
    <s v="CLFF_1000$$$DE50C06595 Memberships"/>
    <s v="H000004404"/>
    <s v="H000004404"/>
    <s v="LFF (MDG-F)"/>
    <s v="DE50C06595"/>
    <m/>
    <b v="1"/>
    <x v="1"/>
    <x v="3"/>
    <d v="2025-09-24T00:00:00"/>
    <m/>
    <m/>
    <x v="1"/>
    <n v="57"/>
    <s v="Henry Ifurung Jr."/>
    <m/>
  </r>
  <r>
    <x v="377"/>
    <x v="0"/>
    <x v="2"/>
    <s v="CLFF_1000$$$DE50C06886 Business Operations"/>
    <s v="H000004404"/>
    <s v="H000004404"/>
    <s v="LFF (MDG-F)"/>
    <s v="DE50C06886"/>
    <m/>
    <b v="1"/>
    <x v="1"/>
    <x v="3"/>
    <d v="2025-09-24T00:00:00"/>
    <m/>
    <m/>
    <x v="1"/>
    <n v="57"/>
    <s v="Henry Ifurung Jr."/>
    <m/>
  </r>
  <r>
    <x v="377"/>
    <x v="0"/>
    <x v="2"/>
    <s v="CLFF_1000$$$ES50L40182 Klinnert Isabel(1100)"/>
    <s v="H000004404"/>
    <s v="H000004404"/>
    <s v="LFF (MDG-F)"/>
    <s v="ES50L40182"/>
    <m/>
    <b v="1"/>
    <x v="1"/>
    <x v="3"/>
    <d v="2025-09-24T00:00:00"/>
    <m/>
    <m/>
    <x v="1"/>
    <n v="57"/>
    <s v="Henry Ifurung Jr."/>
    <m/>
  </r>
  <r>
    <x v="377"/>
    <x v="0"/>
    <x v="2"/>
    <s v="CLFF_1000$$$VN50C00024 Global External Investment-Fertility"/>
    <s v="H000004406"/>
    <s v="H000004406"/>
    <s v="LFF (MDG-F)"/>
    <s v="VN50C00024"/>
    <m/>
    <b v="1"/>
    <x v="1"/>
    <x v="3"/>
    <d v="2025-09-24T00:00:00"/>
    <m/>
    <m/>
    <x v="1"/>
    <n v="57"/>
    <s v="Henry Ifurung Jr."/>
    <m/>
  </r>
  <r>
    <x v="377"/>
    <x v="0"/>
    <x v="2"/>
    <s v="CPHOENX_01010000536110 MS - Membership fees"/>
    <s v="H000004406"/>
    <s v="H000004406"/>
    <s v="Non-LFF"/>
    <s v=""/>
    <m/>
    <b v="1"/>
    <x v="1"/>
    <x v="3"/>
    <d v="2025-09-24T00:00:00"/>
    <m/>
    <m/>
    <x v="1"/>
    <n v="57"/>
    <s v="Henry Ifurung Jr."/>
    <m/>
  </r>
  <r>
    <x v="377"/>
    <x v="0"/>
    <x v="2"/>
    <s v="CPHOENX_01010000659500 Merck Serono - Memberships"/>
    <s v="H000004406"/>
    <s v="H000004406"/>
    <s v="Non-LFF"/>
    <s v=""/>
    <m/>
    <b v="1"/>
    <x v="1"/>
    <x v="3"/>
    <d v="2025-09-24T00:00:00"/>
    <m/>
    <m/>
    <x v="1"/>
    <n v="57"/>
    <s v="Henry Ifurung Jr."/>
    <m/>
  </r>
  <r>
    <x v="377"/>
    <x v="0"/>
    <x v="2"/>
    <s v="CPHOENX_01010000694000 XXXNEO-CA Healthcare"/>
    <s v="H000004406"/>
    <s v="H000004406"/>
    <s v="Non-LFF"/>
    <s v=""/>
    <m/>
    <b v="1"/>
    <x v="1"/>
    <x v="3"/>
    <d v="2025-09-24T00:00:00"/>
    <m/>
    <m/>
    <x v="1"/>
    <n v="57"/>
    <s v="Henry Ifurung Jr."/>
    <m/>
  </r>
  <r>
    <x v="377"/>
    <x v="0"/>
    <x v="2"/>
    <s v="CTEMPEU_1000FR40399015 GPA France"/>
    <s v="H000004404"/>
    <s v="H000004404"/>
    <s v="Non-LFF"/>
    <s v=""/>
    <m/>
    <b v="1"/>
    <x v="1"/>
    <x v="3"/>
    <d v="2025-09-24T00:00:00"/>
    <m/>
    <m/>
    <x v="1"/>
    <n v="57"/>
    <s v="Henry Ifurung Jr."/>
    <m/>
  </r>
  <r>
    <x v="377"/>
    <x v="0"/>
    <x v="2"/>
    <s v="CTEMPEU_1000GB10005888 Internal Sales Services"/>
    <s v="H000004404"/>
    <s v="H000004404"/>
    <s v="Non-LFF"/>
    <s v=""/>
    <m/>
    <b v="1"/>
    <x v="1"/>
    <x v="3"/>
    <d v="2025-09-24T00:00:00"/>
    <m/>
    <m/>
    <x v="1"/>
    <n v="57"/>
    <s v="Henry Ifurung Jr."/>
    <m/>
  </r>
  <r>
    <x v="377"/>
    <x v="0"/>
    <x v="2"/>
    <s v="CTEMPNA_1000US20GAPEXT GA&amp;P - CMSO - External"/>
    <s v="H000004404"/>
    <s v="H000004404"/>
    <s v="Non-LFF"/>
    <s v=""/>
    <m/>
    <b v="1"/>
    <x v="1"/>
    <x v="3"/>
    <d v="2025-09-24T00:00:00"/>
    <m/>
    <m/>
    <x v="1"/>
    <n v="57"/>
    <s v="Henry Ifurung Jr."/>
    <m/>
  </r>
  <r>
    <x v="377"/>
    <x v="0"/>
    <x v="2"/>
    <s v="CTEMPNA_1000US20GPA001 GPA Head Office"/>
    <s v="H000004405"/>
    <s v="H000004405"/>
    <s v="Non-LFF"/>
    <s v=""/>
    <m/>
    <b v="1"/>
    <x v="1"/>
    <x v="3"/>
    <d v="2025-09-24T00:00:00"/>
    <m/>
    <m/>
    <x v="1"/>
    <n v="57"/>
    <s v="Henry Ifurung Jr."/>
    <m/>
  </r>
  <r>
    <x v="377"/>
    <x v="0"/>
    <x v="2"/>
    <s v="CTEMPNA_1000US20GPA002 GPA Oncology"/>
    <s v="H000004405"/>
    <s v="H000004405"/>
    <s v="Non-LFF"/>
    <s v=""/>
    <m/>
    <b v="1"/>
    <x v="1"/>
    <x v="3"/>
    <d v="2025-09-24T00:00:00"/>
    <m/>
    <m/>
    <x v="1"/>
    <n v="57"/>
    <s v="Henry Ifurung Jr."/>
    <m/>
  </r>
  <r>
    <x v="377"/>
    <x v="0"/>
    <x v="2"/>
    <s v="CTEMPNA_1000US20GPA003 GPA N&amp;I"/>
    <s v="H000004405"/>
    <s v="H000004405"/>
    <s v="Non-LFF"/>
    <s v=""/>
    <m/>
    <b v="1"/>
    <x v="1"/>
    <x v="3"/>
    <d v="2025-09-24T00:00:00"/>
    <m/>
    <m/>
    <x v="1"/>
    <n v="57"/>
    <s v="Henry Ifurung Jr."/>
    <m/>
  </r>
  <r>
    <x v="377"/>
    <x v="0"/>
    <x v="2"/>
    <s v="CTEMPNA_1000US20GPA005 GPA Strategy"/>
    <s v="H000004405"/>
    <s v="H000004405"/>
    <s v="Non-LFF"/>
    <s v=""/>
    <m/>
    <b v="1"/>
    <x v="1"/>
    <x v="3"/>
    <d v="2025-09-24T00:00:00"/>
    <m/>
    <m/>
    <x v="1"/>
    <n v="57"/>
    <s v="Henry Ifurung Jr."/>
    <m/>
  </r>
  <r>
    <x v="377"/>
    <x v="0"/>
    <x v="2"/>
    <s v="CTEMPNA_1000US20GPAFED GPA Federal Lobbying"/>
    <s v="H000004406"/>
    <s v="H000004406"/>
    <s v="Non-LFF"/>
    <s v=""/>
    <m/>
    <b v="1"/>
    <x v="1"/>
    <x v="3"/>
    <d v="2025-09-24T00:00:00"/>
    <m/>
    <m/>
    <x v="1"/>
    <n v="57"/>
    <s v="Henry Ifurung Jr."/>
    <m/>
  </r>
  <r>
    <x v="377"/>
    <x v="0"/>
    <x v="4"/>
    <s v="FH000000164_OO GP-Government &amp; Public Affairs- Dummy Ob"/>
    <s v="H000004406"/>
    <s v="H000000164"/>
    <s v="Non-LFF"/>
    <s v=""/>
    <m/>
    <b v="0"/>
    <x v="1"/>
    <x v="3"/>
    <d v="2025-09-24T00:00:00"/>
    <m/>
    <m/>
    <x v="1"/>
    <n v="57"/>
    <s v="Henry Ifurung Jr."/>
    <m/>
  </r>
  <r>
    <x v="377"/>
    <x v="0"/>
    <x v="2"/>
    <s v="FX31090400000 Divisional CO Franchise"/>
    <s v="H000004406"/>
    <s v="H000004406"/>
    <s v="Non-LFF"/>
    <s v=""/>
    <m/>
    <b v="1"/>
    <x v="1"/>
    <x v="3"/>
    <d v="2025-09-24T00:00:00"/>
    <m/>
    <m/>
    <x v="1"/>
    <n v="57"/>
    <s v="Henry Ifurung Jr."/>
    <m/>
  </r>
  <r>
    <x v="377"/>
    <x v="0"/>
    <x v="4"/>
    <s v="H000000164_OO GP-Government &amp; Public Affairs- Dummy Ob"/>
    <s v="H000004406"/>
    <s v="H000000164"/>
    <s v="Non-LFF"/>
    <s v=""/>
    <m/>
    <b v="0"/>
    <x v="1"/>
    <x v="3"/>
    <d v="2025-09-24T00:00:00"/>
    <m/>
    <m/>
    <x v="1"/>
    <n v="57"/>
    <s v="Henry Ifurung Jr."/>
    <m/>
  </r>
  <r>
    <x v="377"/>
    <x v="0"/>
    <x v="4"/>
    <s v="OH000000164_I GP-Government &amp; Public Affairs (direct input)"/>
    <s v="H000004406"/>
    <s v="H000000164"/>
    <s v="Non-LFF"/>
    <s v=""/>
    <m/>
    <b v="0"/>
    <x v="1"/>
    <x v="3"/>
    <d v="2025-09-24T00:00:00"/>
    <m/>
    <m/>
    <x v="1"/>
    <n v="57"/>
    <s v="Henry Ifurung Jr."/>
    <m/>
  </r>
  <r>
    <x v="377"/>
    <x v="0"/>
    <x v="2"/>
    <s v="PLEAN_X310184DE5002540 GPA Oncology"/>
    <s v="H000004405"/>
    <s v="H000004405"/>
    <s v="Non-LFF"/>
    <s v=""/>
    <m/>
    <b v="1"/>
    <x v="1"/>
    <x v="3"/>
    <d v="2025-09-24T00:00:00"/>
    <m/>
    <m/>
    <x v="1"/>
    <n v="57"/>
    <s v="Henry Ifurung Jr."/>
    <m/>
  </r>
  <r>
    <x v="377"/>
    <x v="0"/>
    <x v="2"/>
    <s v="PLEAN_X310201CH6802037 ESHRE global F55 costs-1500 Germany ISS"/>
    <s v="H000004406"/>
    <s v="H000004406"/>
    <s v="Non-LFF"/>
    <s v=""/>
    <m/>
    <b v="1"/>
    <x v="1"/>
    <x v="3"/>
    <d v="2025-09-24T00:00:00"/>
    <m/>
    <m/>
    <x v="1"/>
    <n v="57"/>
    <s v="Henry Ifurung Jr."/>
    <m/>
  </r>
  <r>
    <x v="377"/>
    <x v="0"/>
    <x v="2"/>
    <s v="PLEAN_X310201CH6802051 ESHRE global F55 costs ISS"/>
    <s v="H000004406"/>
    <s v="H000004406"/>
    <s v="Non-LFF"/>
    <s v=""/>
    <m/>
    <b v="1"/>
    <x v="1"/>
    <x v="3"/>
    <d v="2025-09-24T00:00:00"/>
    <m/>
    <m/>
    <x v="1"/>
    <n v="57"/>
    <s v="Henry Ifurung Jr."/>
    <m/>
  </r>
  <r>
    <x v="377"/>
    <x v="0"/>
    <x v="2"/>
    <s v="PLEAN_X310204DE5002535 FD FRA IM Corp Healthcare"/>
    <s v="H000004406"/>
    <s v="H000004406"/>
    <s v="Non-LFF"/>
    <s v=""/>
    <m/>
    <b v="1"/>
    <x v="1"/>
    <x v="3"/>
    <d v="2025-09-24T00:00:00"/>
    <m/>
    <m/>
    <x v="1"/>
    <n v="57"/>
    <s v="Henry Ifurung Jr."/>
    <m/>
  </r>
  <r>
    <x v="377"/>
    <x v="0"/>
    <x v="2"/>
    <s v="PLEAN_X310204DE5002541 GPA Fertility"/>
    <s v="H000004405"/>
    <s v="H000004405"/>
    <s v="Non-LFF"/>
    <s v=""/>
    <m/>
    <b v="1"/>
    <x v="1"/>
    <x v="3"/>
    <d v="2025-09-24T00:00:00"/>
    <m/>
    <m/>
    <x v="1"/>
    <n v="57"/>
    <s v="Henry Ifurung Jr."/>
    <m/>
  </r>
  <r>
    <x v="377"/>
    <x v="0"/>
    <x v="2"/>
    <s v="PLEAN_X310511CH6802033 ECTRIMS Global Costs ISS F55"/>
    <s v="H000004406"/>
    <s v="H000004406"/>
    <s v="Non-LFF"/>
    <s v=""/>
    <m/>
    <b v="1"/>
    <x v="1"/>
    <x v="3"/>
    <d v="2025-09-24T00:00:00"/>
    <m/>
    <m/>
    <x v="1"/>
    <n v="57"/>
    <s v="Henry Ifurung Jr."/>
    <m/>
  </r>
  <r>
    <x v="377"/>
    <x v="0"/>
    <x v="2"/>
    <s v="PLEAN_X310511CH6802062 AAN Global Costs ISS F55"/>
    <s v="H000004406"/>
    <s v="H000004406"/>
    <s v="Non-LFF"/>
    <s v=""/>
    <m/>
    <b v="1"/>
    <x v="1"/>
    <x v="3"/>
    <d v="2025-09-24T00:00:00"/>
    <m/>
    <m/>
    <x v="1"/>
    <n v="57"/>
    <s v="Henry Ifurung Jr."/>
    <m/>
  </r>
  <r>
    <x v="377"/>
    <x v="0"/>
    <x v="2"/>
    <s v="PLEAN_X310904DE5002535 EU GPA"/>
    <s v="H000004405"/>
    <s v="H000004405"/>
    <s v="Non-LFF"/>
    <s v=""/>
    <m/>
    <b v="1"/>
    <x v="1"/>
    <x v="3"/>
    <d v="2025-09-24T00:00:00"/>
    <m/>
    <m/>
    <x v="1"/>
    <n v="57"/>
    <s v="Henry Ifurung Jr."/>
    <m/>
  </r>
  <r>
    <x v="377"/>
    <x v="0"/>
    <x v="2"/>
    <s v="PLEAN_X310904DE5002536 GPEA"/>
    <s v="H000004405"/>
    <s v="H000004405"/>
    <s v="Non-LFF"/>
    <s v=""/>
    <m/>
    <b v="1"/>
    <x v="1"/>
    <x v="3"/>
    <d v="2025-09-24T00:00:00"/>
    <m/>
    <m/>
    <x v="1"/>
    <n v="57"/>
    <s v="Henry Ifurung Jr."/>
    <m/>
  </r>
  <r>
    <x v="377"/>
    <x v="0"/>
    <x v="2"/>
    <s v="PLEAN_X310904DE5002537 GSP"/>
    <s v="H000004405"/>
    <s v="H000004405"/>
    <s v="Non-LFF"/>
    <s v=""/>
    <m/>
    <b v="1"/>
    <x v="1"/>
    <x v="3"/>
    <d v="2025-09-24T00:00:00"/>
    <m/>
    <m/>
    <x v="1"/>
    <n v="57"/>
    <s v="Henry Ifurung Jr."/>
    <m/>
  </r>
  <r>
    <x v="377"/>
    <x v="0"/>
    <x v="2"/>
    <s v="PLEAN_X310909DE5002024 Patient Advocacy"/>
    <s v="H000004405"/>
    <s v="H000004405"/>
    <s v="Non-LFF"/>
    <s v=""/>
    <m/>
    <b v="1"/>
    <x v="1"/>
    <x v="3"/>
    <d v="2025-09-24T00:00:00"/>
    <m/>
    <m/>
    <x v="1"/>
    <n v="57"/>
    <s v="Henry Ifurung Jr."/>
    <m/>
  </r>
  <r>
    <x v="377"/>
    <x v="0"/>
    <x v="2"/>
    <s v="CTEMPNA_1000US20GPA004 Patient Insights &amp; Advocacy"/>
    <s v="H000004405"/>
    <s v="H000004405"/>
    <s v="Non-LFF"/>
    <s v=""/>
    <m/>
    <b v="1"/>
    <x v="1"/>
    <x v="3"/>
    <d v="2025-09-24T00:00:00"/>
    <m/>
    <m/>
    <x v="1"/>
    <n v="57"/>
    <s v="Henry Ifurung Jr."/>
    <m/>
  </r>
  <r>
    <x v="377"/>
    <x v="0"/>
    <x v="2"/>
    <s v="X31090400000 Divisional CO Franchise"/>
    <s v="H000004406"/>
    <s v="H000004406"/>
    <s v="Non-LFF"/>
    <s v=""/>
    <m/>
    <b v="1"/>
    <x v="1"/>
    <x v="3"/>
    <d v="2025-09-24T00:00:00"/>
    <m/>
    <m/>
    <x v="1"/>
    <n v="57"/>
    <s v="Henry Ifurung Jr."/>
    <m/>
  </r>
  <r>
    <x v="378"/>
    <x v="0"/>
    <x v="2"/>
    <s v="CNOW_7210$$$0000040506 AA CIA"/>
    <s v="L000005228"/>
    <s v="L000005228"/>
    <s v="Non-LFF"/>
    <s v=""/>
    <m/>
    <b v="1"/>
    <x v="2"/>
    <x v="3"/>
    <d v="2025-09-25T00:00:00"/>
    <m/>
    <m/>
    <x v="1"/>
    <n v="56"/>
    <s v="Ruby Grace Garcia"/>
    <m/>
  </r>
  <r>
    <x v="378"/>
    <x v="0"/>
    <x v="2"/>
    <s v="CNOW_7210$$$0000056226 AA Instrumental Analysis - CH"/>
    <s v="L000005227"/>
    <s v="L000005227"/>
    <s v="Non-LFF"/>
    <s v=""/>
    <m/>
    <b v="1"/>
    <x v="2"/>
    <x v="3"/>
    <d v="2025-09-25T00:00:00"/>
    <m/>
    <m/>
    <x v="1"/>
    <n v="56"/>
    <s v="Ruby Grace Garcia"/>
    <m/>
  </r>
  <r>
    <x v="379"/>
    <x v="0"/>
    <x v="2"/>
    <s v="PQUATRO_D001298DE0401000000 AMI dense low-k"/>
    <s v="P000001010"/>
    <s v="P000001010"/>
    <s v="Non-LFF"/>
    <s v=""/>
    <e v="#REF!"/>
    <b v="1"/>
    <x v="3"/>
    <x v="3"/>
    <d v="2025-09-25T00:00:00"/>
    <m/>
    <m/>
    <x v="1"/>
    <n v="56"/>
    <s v="Roselle Delos Angeles"/>
    <m/>
  </r>
  <r>
    <x v="379"/>
    <x v="0"/>
    <x v="2"/>
    <s v="PQUATRO_D001307DE0413000000 SN-560 and SN-952 Substance Supply"/>
    <s v="P000001010"/>
    <s v="P000001010"/>
    <s v="Non-LFF"/>
    <s v=""/>
    <e v="#REF!"/>
    <b v="1"/>
    <x v="3"/>
    <x v="3"/>
    <d v="2025-09-25T00:00:00"/>
    <m/>
    <m/>
    <x v="1"/>
    <n v="56"/>
    <s v="Roselle Delos Angeles"/>
    <m/>
  </r>
  <r>
    <x v="379"/>
    <x v="0"/>
    <x v="2"/>
    <s v="PVRSM_DP000021USA1000000 ZrCl4"/>
    <s v="P000001010"/>
    <s v="P000001010"/>
    <s v="Non-LFF"/>
    <s v=""/>
    <e v="#REF!"/>
    <b v="1"/>
    <x v="3"/>
    <x v="3"/>
    <d v="2025-09-25T00:00:00"/>
    <m/>
    <m/>
    <x v="1"/>
    <n v="56"/>
    <s v="Roselle Delos Angeles"/>
    <m/>
  </r>
  <r>
    <x v="379"/>
    <x v="0"/>
    <x v="2"/>
    <s v="PFLTFLE_EMDPTFOM17 CDP215-Ni Metallization Devpt"/>
    <s v="P000001010"/>
    <s v="P000001010"/>
    <s v="Non-LFF"/>
    <s v=""/>
    <m/>
    <b v="1"/>
    <x v="3"/>
    <x v="3"/>
    <d v="2025-09-25T00:00:00"/>
    <m/>
    <m/>
    <x v="1"/>
    <n v="56"/>
    <s v="Roselle Delos Angeles"/>
    <m/>
  </r>
  <r>
    <x v="379"/>
    <x v="0"/>
    <x v="2"/>
    <s v="PFLTFLE_EMDPTFOS08 CDP 217 Low Stress High Quality SiO2"/>
    <s v="P000001010"/>
    <s v="P000001010"/>
    <s v="Non-LFF"/>
    <s v=""/>
    <m/>
    <b v="1"/>
    <x v="3"/>
    <x v="3"/>
    <d v="2025-09-25T00:00:00"/>
    <m/>
    <m/>
    <x v="1"/>
    <n v="56"/>
    <s v="Roselle Delos Angeles"/>
    <m/>
  </r>
  <r>
    <x v="379"/>
    <x v="0"/>
    <x v="2"/>
    <s v="PFLTFLE_EMDPTWPK01 Twin Peaks Vendor Services - Timesheet"/>
    <s v="P000001010"/>
    <s v="P000001010"/>
    <s v="Non-LFF"/>
    <s v=""/>
    <m/>
    <b v="1"/>
    <x v="3"/>
    <x v="3"/>
    <d v="2025-09-25T00:00:00"/>
    <m/>
    <m/>
    <x v="1"/>
    <n v="56"/>
    <s v="Roselle Delos Angeles"/>
    <m/>
  </r>
  <r>
    <x v="379"/>
    <x v="0"/>
    <x v="2"/>
    <s v="CNOW_7210$$$0000040181 R&amp;D Electronics Reporting - Opal"/>
    <s v="P000001010"/>
    <s v="P000001010"/>
    <s v="Non-LFF"/>
    <s v=""/>
    <m/>
    <b v="1"/>
    <x v="3"/>
    <x v="3"/>
    <d v="2025-09-25T00:00:00"/>
    <m/>
    <m/>
    <x v="1"/>
    <n v="56"/>
    <s v="Roselle Delos Angeles"/>
    <m/>
  </r>
  <r>
    <x v="379"/>
    <x v="0"/>
    <x v="2"/>
    <s v="PQUATRO_D001294DE0404000000 Genesis Expense PAT"/>
    <s v="P000001013"/>
    <s v="P000001013"/>
    <s v="Non-LFF"/>
    <s v=""/>
    <e v="#REF!"/>
    <b v="1"/>
    <x v="3"/>
    <x v="3"/>
    <d v="2025-09-25T00:00:00"/>
    <m/>
    <m/>
    <x v="1"/>
    <n v="56"/>
    <s v="Roselle Delos Angeles"/>
    <m/>
  </r>
  <r>
    <x v="379"/>
    <x v="0"/>
    <x v="2"/>
    <s v="PQUATRO_D001296DE0413000000 TPS-3000"/>
    <s v="P000001013"/>
    <s v="P000001013"/>
    <s v="Non-LFF"/>
    <s v=""/>
    <e v="#REF!"/>
    <b v="1"/>
    <x v="3"/>
    <x v="3"/>
    <d v="2025-09-25T00:00:00"/>
    <m/>
    <m/>
    <x v="1"/>
    <n v="56"/>
    <s v="Roselle Delos Angeles"/>
    <m/>
  </r>
  <r>
    <x v="379"/>
    <x v="0"/>
    <x v="2"/>
    <s v="PQUATRO_D001299JP0201000000 XXXHigh thermal and thick film SOC"/>
    <s v="P000001013"/>
    <s v="P000001013"/>
    <s v="Non-LFF"/>
    <s v=""/>
    <e v="#REF!"/>
    <b v="1"/>
    <x v="3"/>
    <x v="3"/>
    <d v="2025-09-25T00:00:00"/>
    <m/>
    <m/>
    <x v="1"/>
    <n v="56"/>
    <s v="Roselle Delos Angeles"/>
    <m/>
  </r>
  <r>
    <x v="379"/>
    <x v="0"/>
    <x v="2"/>
    <s v="PQUATRO_D001299JP0296000000 XXXHigh thermal and thick film SOC"/>
    <s v="P000001013"/>
    <s v="P000001013"/>
    <s v="Non-LFF"/>
    <s v=""/>
    <e v="#REF!"/>
    <b v="1"/>
    <x v="3"/>
    <x v="3"/>
    <d v="2025-09-25T00:00:00"/>
    <m/>
    <m/>
    <x v="1"/>
    <n v="56"/>
    <s v="Roselle Delos Angeles"/>
    <m/>
  </r>
  <r>
    <x v="379"/>
    <x v="0"/>
    <x v="2"/>
    <s v="PQUATRO_D001304JP0201000000 PFAS-Free TARC PAT"/>
    <s v="P000001013"/>
    <s v="P000001013"/>
    <s v="Non-LFF"/>
    <s v=""/>
    <e v="#REF!"/>
    <b v="1"/>
    <x v="3"/>
    <x v="3"/>
    <d v="2025-09-25T00:00:00"/>
    <m/>
    <m/>
    <x v="1"/>
    <n v="56"/>
    <s v="Roselle Delos Angeles"/>
    <m/>
  </r>
  <r>
    <x v="379"/>
    <x v="0"/>
    <x v="2"/>
    <s v="PQUATRO_D001305US0101000000 Low Defect on Low-K for CuB"/>
    <s v="P000001013"/>
    <s v="P000001013"/>
    <s v="Non-LFF"/>
    <s v=""/>
    <e v="#REF!"/>
    <b v="1"/>
    <x v="3"/>
    <x v="3"/>
    <d v="2025-09-25T00:00:00"/>
    <m/>
    <m/>
    <x v="1"/>
    <n v="56"/>
    <s v="Roselle Delos Angeles"/>
    <m/>
  </r>
  <r>
    <x v="379"/>
    <x v="0"/>
    <x v="2"/>
    <s v="PQUATRO_D001294DE0403000000 Genesis Expense SG"/>
    <s v="P000001013"/>
    <s v="P000001013"/>
    <s v="Non-LFF"/>
    <s v=""/>
    <e v="#REF!"/>
    <b v="1"/>
    <x v="3"/>
    <x v="3"/>
    <d v="2025-09-25T00:00:00"/>
    <m/>
    <m/>
    <x v="1"/>
    <n v="56"/>
    <s v="Roselle Delos Angeles"/>
    <m/>
  </r>
  <r>
    <x v="380"/>
    <x v="0"/>
    <x v="2"/>
    <s v="CNOW_7210$$$0000056338"/>
    <s v="G000000704"/>
    <s v="G000000704"/>
    <s v="Non-LFF"/>
    <s v=""/>
    <m/>
    <b v="1"/>
    <x v="0"/>
    <x v="3"/>
    <d v="2025-09-30T00:00:00"/>
    <m/>
    <m/>
    <x v="1"/>
    <n v="53"/>
    <s v="Jojeff Tagnong"/>
    <m/>
  </r>
  <r>
    <x v="381"/>
    <x v="0"/>
    <x v="2"/>
    <s v="CLFF_VMCA$$$US10O05003"/>
    <s v="P000001323"/>
    <s v="P000001323"/>
    <s v="LFF (MDG-F)"/>
    <s v="US10O05003"/>
    <m/>
    <b v="1"/>
    <x v="3"/>
    <x v="0"/>
    <d v="2025-10-01T00:00:00"/>
    <m/>
    <m/>
    <x v="1"/>
    <n v="52"/>
    <s v="Roselle Delos Angeles"/>
    <m/>
  </r>
  <r>
    <x v="381"/>
    <x v="0"/>
    <x v="2"/>
    <s v="CLFF_VMCA$$$KR07O05003 EL IT/OT 2331"/>
    <s v="P000001322"/>
    <s v="P000001322"/>
    <s v="LFF (MDG-F)"/>
    <s v="KR07O05003"/>
    <m/>
    <b v="1"/>
    <x v="3"/>
    <x v="0"/>
    <d v="2025-10-01T00:00:00"/>
    <m/>
    <m/>
    <x v="1"/>
    <n v="52"/>
    <s v="Roselle Delos Angeles"/>
    <m/>
  </r>
  <r>
    <x v="381"/>
    <x v="0"/>
    <x v="2"/>
    <s v="CLFF_VMCA$$$CN10O05003 EL IT/OT 2240"/>
    <s v="P000001322"/>
    <s v="P000001322"/>
    <s v="LFF (MDG-F)"/>
    <s v="CN10O05003"/>
    <m/>
    <b v="1"/>
    <x v="3"/>
    <x v="0"/>
    <d v="2025-10-01T00:00:00"/>
    <m/>
    <m/>
    <x v="1"/>
    <n v="52"/>
    <s v="Roselle Delos Angeles"/>
    <m/>
  </r>
  <r>
    <x v="381"/>
    <x v="0"/>
    <x v="2"/>
    <s v="CNOW_7210$$$0000051733 IT-PR Research &amp; Dev'l"/>
    <s v="P000000760"/>
    <s v="P000000760"/>
    <s v="Non-LFF"/>
    <s v=""/>
    <m/>
    <b v="1"/>
    <x v="3"/>
    <x v="0"/>
    <d v="2025-10-01T00:00:00"/>
    <m/>
    <m/>
    <x v="1"/>
    <n v="52"/>
    <s v="Roselle Delos Angeles"/>
    <m/>
  </r>
  <r>
    <x v="382"/>
    <x v="0"/>
    <x v="2"/>
    <s v="CLFF_1000$$$BE50C00921 Patient Insights &amp; Advocacy, EU Oncology"/>
    <s v="H000004404"/>
    <s v="H000004404"/>
    <s v="LFF (MDG-F)"/>
    <s v="BE50C00921"/>
    <m/>
    <b v="1"/>
    <x v="1"/>
    <x v="0"/>
    <d v="2025-10-01T00:00:00"/>
    <m/>
    <m/>
    <x v="1"/>
    <n v="52"/>
    <s v="Henry Ifurung Jr."/>
    <m/>
  </r>
  <r>
    <x v="382"/>
    <x v="0"/>
    <x v="2"/>
    <s v="CLFF_1000$$$DE50C00011 Membership fees"/>
    <s v="H000004404"/>
    <s v="H000004404"/>
    <s v="LFF (MDG-F)"/>
    <s v="DE50C00011"/>
    <m/>
    <b v="1"/>
    <x v="1"/>
    <x v="0"/>
    <d v="2025-10-01T00:00:00"/>
    <m/>
    <m/>
    <x v="1"/>
    <n v="52"/>
    <s v="Henry Ifurung Jr."/>
    <m/>
  </r>
  <r>
    <x v="383"/>
    <x v="0"/>
    <x v="2"/>
    <s v="CSCALA_1022$ITX"/>
    <s v="G000001356"/>
    <s v="G000001356"/>
    <s v="Non-LFF"/>
    <s v=""/>
    <m/>
    <b v="1"/>
    <x v="0"/>
    <x v="0"/>
    <d v="2025-10-03T00:00:00"/>
    <m/>
    <m/>
    <x v="1"/>
    <n v="50"/>
    <s v="Jay-R Lizardo"/>
    <m/>
  </r>
  <r>
    <x v="383"/>
    <x v="0"/>
    <x v="2"/>
    <s v="CSCALA_1042$PMIT"/>
    <s v="G000000277"/>
    <s v="G000000277"/>
    <s v="Non-LFF"/>
    <s v=""/>
    <m/>
    <b v="1"/>
    <x v="0"/>
    <x v="0"/>
    <d v="2025-10-03T00:00:00"/>
    <m/>
    <m/>
    <x v="1"/>
    <n v="50"/>
    <s v="Jay-R Lizardo"/>
    <m/>
  </r>
  <r>
    <x v="383"/>
    <x v="0"/>
    <x v="2"/>
    <s v="CSCALA_1042$ITIW"/>
    <s v="G000000282"/>
    <s v="G000000282"/>
    <s v="Non-LFF"/>
    <s v=""/>
    <m/>
    <b v="1"/>
    <x v="0"/>
    <x v="0"/>
    <d v="2025-10-03T00:00:00"/>
    <m/>
    <m/>
    <x v="1"/>
    <n v="50"/>
    <s v="Jay-R Lizardo"/>
    <m/>
  </r>
  <r>
    <x v="383"/>
    <x v="0"/>
    <x v="2"/>
    <s v="CFLTFLE_1075IT107503"/>
    <s v="G000000277"/>
    <s v="G000000277"/>
    <s v="Non-LFF"/>
    <s v=""/>
    <m/>
    <b v="1"/>
    <x v="0"/>
    <x v="0"/>
    <d v="2025-10-03T00:00:00"/>
    <m/>
    <m/>
    <x v="1"/>
    <n v="50"/>
    <s v="Jay-R Lizardo"/>
    <m/>
  </r>
  <r>
    <x v="383"/>
    <x v="0"/>
    <x v="2"/>
    <s v="CTEMPEU_1000PL80GFO016"/>
    <s v="G000001441"/>
    <s v="G000001441"/>
    <s v="Non-LFF"/>
    <s v=""/>
    <m/>
    <b v="1"/>
    <x v="0"/>
    <x v="0"/>
    <d v="2025-10-03T00:00:00"/>
    <m/>
    <m/>
    <x v="1"/>
    <n v="50"/>
    <s v="Jay-R Lizardo"/>
    <m/>
  </r>
  <r>
    <x v="383"/>
    <x v="0"/>
    <x v="2"/>
    <s v="CTEMPNA_1000PH80GFO003"/>
    <s v="G000001441"/>
    <s v="G000001441"/>
    <s v="Non-LFF"/>
    <s v=""/>
    <m/>
    <b v="1"/>
    <x v="0"/>
    <x v="0"/>
    <d v="2025-10-03T00:00:00"/>
    <m/>
    <m/>
    <x v="1"/>
    <n v="50"/>
    <s v="Jay-R Lizardo"/>
    <m/>
  </r>
  <r>
    <x v="383"/>
    <x v="0"/>
    <x v="2"/>
    <s v="CTEMPNA_1000PH80GBTL55"/>
    <s v="G000001444"/>
    <s v="G000001444"/>
    <s v="Non-LFF"/>
    <s v=""/>
    <m/>
    <b v="1"/>
    <x v="0"/>
    <x v="0"/>
    <d v="2025-10-03T00:00:00"/>
    <m/>
    <m/>
    <x v="1"/>
    <n v="50"/>
    <s v="Jay-R Lizardo"/>
    <m/>
  </r>
  <r>
    <x v="383"/>
    <x v="0"/>
    <x v="2"/>
    <s v="CTEMPNA_1000PH80GFO026"/>
    <s v="G000001442"/>
    <s v="G000001442"/>
    <s v="Non-LFF"/>
    <s v=""/>
    <m/>
    <b v="1"/>
    <x v="0"/>
    <x v="0"/>
    <d v="2025-10-03T00:00:00"/>
    <m/>
    <m/>
    <x v="1"/>
    <n v="50"/>
    <s v="Jay-R Lizardo"/>
    <m/>
  </r>
  <r>
    <x v="383"/>
    <x v="0"/>
    <x v="4"/>
    <s v="CLFF_1000$$$DE65GIT032"/>
    <s v="G000000256"/>
    <s v="DFLTPGCOH_BF-C2_001242"/>
    <s v="LFF (MDG-F)"/>
    <s v="DE65GIT032"/>
    <s v="Wont get mapped if no actuals"/>
    <b v="0"/>
    <x v="0"/>
    <x v="0"/>
    <d v="2025-10-03T00:00:00"/>
    <m/>
    <m/>
    <x v="1"/>
    <n v="50"/>
    <s v="Jay-R Lizardo"/>
    <m/>
  </r>
  <r>
    <x v="383"/>
    <x v="0"/>
    <x v="2"/>
    <s v="CLFF_1000$$$DE10695300"/>
    <s v="L000013894"/>
    <s v="L000013894"/>
    <s v="LFF (MDG-F)"/>
    <s v="DE10695300"/>
    <m/>
    <b v="1"/>
    <x v="0"/>
    <x v="0"/>
    <d v="2025-10-03T00:00:00"/>
    <m/>
    <m/>
    <x v="1"/>
    <n v="50"/>
    <s v="Jay-R Lizardo"/>
    <m/>
  </r>
  <r>
    <x v="383"/>
    <x v="0"/>
    <x v="2"/>
    <s v="CLFF_1000$$$DE10GMS070"/>
    <s v="G000001442"/>
    <s v="G000001442"/>
    <s v="LFF (MDG-F)"/>
    <s v="DE10GMS070"/>
    <m/>
    <b v="1"/>
    <x v="0"/>
    <x v="0"/>
    <d v="2025-10-03T00:00:00"/>
    <m/>
    <m/>
    <x v="1"/>
    <n v="50"/>
    <s v="Jay-R Lizardo"/>
    <m/>
  </r>
  <r>
    <x v="383"/>
    <x v="0"/>
    <x v="2"/>
    <s v="CLFF_1000$$$DE10669638"/>
    <s v="G000001441"/>
    <s v="G000001441"/>
    <s v="LFF (MDG-F)"/>
    <s v="DE10669638"/>
    <m/>
    <b v="1"/>
    <x v="0"/>
    <x v="0"/>
    <d v="2025-10-03T00:00:00"/>
    <m/>
    <m/>
    <x v="1"/>
    <n v="50"/>
    <s v="Jay-R Lizardo"/>
    <m/>
  </r>
  <r>
    <x v="383"/>
    <x v="0"/>
    <x v="2"/>
    <s v="CLFF_7210$$$1937OF0002"/>
    <s v="L000013395"/>
    <s v="L000013395"/>
    <s v="LFF (MDG-F)"/>
    <s v="1937OF0002"/>
    <m/>
    <b v="1"/>
    <x v="0"/>
    <x v="0"/>
    <d v="2025-10-03T00:00:00"/>
    <m/>
    <m/>
    <x v="1"/>
    <n v="50"/>
    <s v="Jay-R Lizardo"/>
    <m/>
  </r>
  <r>
    <x v="383"/>
    <x v="0"/>
    <x v="2"/>
    <s v="CNOW_7210$$$0000052357"/>
    <s v="G000001235"/>
    <s v="G000001235"/>
    <s v="Non-LFF"/>
    <s v=""/>
    <m/>
    <b v="1"/>
    <x v="0"/>
    <x v="0"/>
    <d v="2025-10-03T00:00:00"/>
    <m/>
    <m/>
    <x v="1"/>
    <n v="50"/>
    <s v="Jay-R Lizardo"/>
    <m/>
  </r>
  <r>
    <x v="383"/>
    <x v="0"/>
    <x v="2"/>
    <s v="CLFF_7210$$$2123GMS080"/>
    <s v="G000001443"/>
    <s v="G000001443"/>
    <s v="LFF (MDG-F)"/>
    <s v="2123GMS080"/>
    <m/>
    <b v="1"/>
    <x v="0"/>
    <x v="0"/>
    <d v="2025-10-03T00:00:00"/>
    <m/>
    <m/>
    <x v="1"/>
    <n v="50"/>
    <s v="Jay-R Lizardo"/>
    <m/>
  </r>
  <r>
    <x v="383"/>
    <x v="0"/>
    <x v="2"/>
    <s v="CLFF_7210$$$2123GMS050"/>
    <s v="G000001441"/>
    <s v="G000001441"/>
    <s v="LFF (MDG-F)"/>
    <s v="2123GMS050"/>
    <m/>
    <b v="1"/>
    <x v="0"/>
    <x v="0"/>
    <d v="2025-10-03T00:00:00"/>
    <m/>
    <m/>
    <x v="1"/>
    <n v="50"/>
    <s v="Jay-R Lizardo"/>
    <m/>
  </r>
  <r>
    <x v="383"/>
    <x v="0"/>
    <x v="2"/>
    <s v="CNOW_AUS0$$$0000092051"/>
    <s v="G000001234"/>
    <s v="G000001234"/>
    <s v="Non-LFF"/>
    <s v=""/>
    <m/>
    <b v="1"/>
    <x v="0"/>
    <x v="0"/>
    <d v="2025-10-03T00:00:00"/>
    <m/>
    <m/>
    <x v="1"/>
    <n v="50"/>
    <s v="Jay-R Lizardo"/>
    <m/>
  </r>
  <r>
    <x v="383"/>
    <x v="0"/>
    <x v="2"/>
    <s v="CLFF_VMCA$$$US10GIT050"/>
    <s v="P000000765"/>
    <s v="P000000765"/>
    <s v="LFF (MDG-F)"/>
    <s v="US10GIT050"/>
    <m/>
    <b v="1"/>
    <x v="0"/>
    <x v="0"/>
    <d v="2025-10-03T00:00:00"/>
    <m/>
    <m/>
    <x v="1"/>
    <n v="50"/>
    <s v="Jay-R Lizardo"/>
    <m/>
  </r>
  <r>
    <x v="383"/>
    <x v="0"/>
    <x v="2"/>
    <s v="CORAERP_MMOR1975.9083"/>
    <s v="L000013395"/>
    <s v="L000013395"/>
    <s v="Non-LFF"/>
    <s v=""/>
    <m/>
    <b v="1"/>
    <x v="0"/>
    <x v="0"/>
    <d v="2025-10-03T00:00:00"/>
    <m/>
    <m/>
    <x v="1"/>
    <n v="50"/>
    <s v="Jay-R Lizardo"/>
    <m/>
  </r>
  <r>
    <x v="383"/>
    <x v="0"/>
    <x v="2"/>
    <s v="CNOW_7210$$$0000010482"/>
    <s v="L000013395"/>
    <s v="L000013395"/>
    <s v="Non-LFF"/>
    <s v=""/>
    <m/>
    <b v="1"/>
    <x v="0"/>
    <x v="0"/>
    <d v="2025-10-03T00:00:00"/>
    <m/>
    <m/>
    <x v="1"/>
    <n v="50"/>
    <s v="Jay-R Lizardo"/>
    <m/>
  </r>
  <r>
    <x v="383"/>
    <x v="0"/>
    <x v="2"/>
    <s v="CNOW_7210$$$0000052358"/>
    <s v="L000013395"/>
    <s v="L000013395"/>
    <s v="Non-LFF"/>
    <s v=""/>
    <m/>
    <b v="1"/>
    <x v="0"/>
    <x v="0"/>
    <d v="2025-10-03T00:00:00"/>
    <m/>
    <m/>
    <x v="1"/>
    <n v="50"/>
    <s v="Jay-R Lizardo"/>
    <m/>
  </r>
  <r>
    <x v="384"/>
    <x v="0"/>
    <x v="2"/>
    <s v="CTEMPLA_1000BR10500200 EHS Alphaville"/>
    <s v="L000008037"/>
    <s v="L000008037"/>
    <s v="Non-LFF"/>
    <s v=""/>
    <m/>
    <b v="1"/>
    <x v="2"/>
    <x v="0"/>
    <d v="2025-10-03T00:00:00"/>
    <m/>
    <m/>
    <x v="1"/>
    <n v="50"/>
    <s v="Ruby Grace Garcia"/>
    <m/>
  </r>
  <r>
    <x v="384"/>
    <x v="0"/>
    <x v="2"/>
    <s v="CORAERP_MMOR1945.9120 EU Facilities 3"/>
    <s v="L000005965"/>
    <s v="L000005965"/>
    <s v="Non-LFF"/>
    <s v=""/>
    <m/>
    <b v="1"/>
    <x v="2"/>
    <x v="0"/>
    <d v="2025-10-03T00:00:00"/>
    <m/>
    <m/>
    <x v="1"/>
    <n v="50"/>
    <s v="Ruby Grace Garcia"/>
    <m/>
  </r>
  <r>
    <x v="384"/>
    <x v="0"/>
    <x v="2"/>
    <s v="CLFF_7210$$$2034L81000 ES40 LF ADM"/>
    <s v="L000012735"/>
    <s v="L000012735"/>
    <s v="LFF (MDG-F)"/>
    <s v="2034L81000"/>
    <m/>
    <b v="1"/>
    <x v="2"/>
    <x v="0"/>
    <d v="2025-10-03T00:00:00"/>
    <m/>
    <m/>
    <x v="1"/>
    <n v="50"/>
    <s v="Ruby Grace Garcia"/>
    <m/>
  </r>
  <r>
    <x v="384"/>
    <x v="0"/>
    <x v="2"/>
    <s v="CNOW_7210$$$0000058615 EHS Sigma Aldrich São Paulo"/>
    <s v="L000008037"/>
    <s v="L000008037"/>
    <s v="Non-LFF"/>
    <s v=""/>
    <m/>
    <b v="1"/>
    <x v="2"/>
    <x v="0"/>
    <d v="2025-10-03T00:00:00"/>
    <m/>
    <m/>
    <x v="1"/>
    <n v="50"/>
    <s v="Ruby Grace Garcia"/>
    <m/>
  </r>
  <r>
    <x v="384"/>
    <x v="0"/>
    <x v="2"/>
    <s v="CLFF_7210$$$2102TMCZ91 LSS Global Ops Engineering"/>
    <s v="L000013454"/>
    <s v="L000013454"/>
    <s v="LFF (MDG-F)"/>
    <s v="2102TMCZ91"/>
    <m/>
    <b v="1"/>
    <x v="2"/>
    <x v="0"/>
    <d v="2025-10-03T00:00:00"/>
    <m/>
    <m/>
    <x v="1"/>
    <n v="50"/>
    <s v="Ruby Grace Garcia"/>
    <m/>
  </r>
  <r>
    <x v="384"/>
    <x v="0"/>
    <x v="2"/>
    <s v="CNOW_7210$$$0000056343 AEM Strategy &amp;Transformation Projects"/>
    <s v="L000013866"/>
    <s v="L000013866"/>
    <s v="Non-LFF"/>
    <s v=""/>
    <m/>
    <b v="1"/>
    <x v="2"/>
    <x v="0"/>
    <d v="2025-10-03T00:00:00"/>
    <m/>
    <m/>
    <x v="1"/>
    <n v="50"/>
    <s v="Ruby Grace Garcia"/>
    <m/>
  </r>
  <r>
    <x v="384"/>
    <x v="0"/>
    <x v="2"/>
    <s v="CORAERP_MMOR1945.2539 Strategy"/>
    <s v="L000013866"/>
    <s v="L000013866"/>
    <s v="Non-LFF"/>
    <s v=""/>
    <m/>
    <b v="1"/>
    <x v="2"/>
    <x v="0"/>
    <d v="2025-10-03T00:00:00"/>
    <m/>
    <m/>
    <x v="1"/>
    <n v="50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50"/>
    <s v="Ruby Grace Garcia"/>
    <m/>
  </r>
  <r>
    <x v="384"/>
    <x v="0"/>
    <x v="2"/>
    <s v="CPHOENX_01010000604453 LS-SC-EC Proj &amp; Eng-CentralEur"/>
    <s v="L000013866"/>
    <s v="L000013866"/>
    <s v="Non-LFF"/>
    <s v=""/>
    <m/>
    <b v="1"/>
    <x v="2"/>
    <x v="0"/>
    <d v="2025-10-03T00:00:00"/>
    <m/>
    <m/>
    <x v="1"/>
    <n v="50"/>
    <s v="Ruby Grace Garcia"/>
    <m/>
  </r>
  <r>
    <x v="384"/>
    <x v="0"/>
    <x v="2"/>
    <s v="CLFF_1000$$$DE10B04453 LS-SC-EC Proj&amp;Eng-CE"/>
    <s v="L000013866"/>
    <s v="L000013866"/>
    <s v="LFF (MDG-F)"/>
    <s v="DE10B04453"/>
    <m/>
    <b v="1"/>
    <x v="2"/>
    <x v="0"/>
    <d v="2025-10-03T00:00:00"/>
    <m/>
    <m/>
    <x v="1"/>
    <n v="50"/>
    <s v="Ruby Grace Garcia"/>
    <m/>
  </r>
  <r>
    <x v="384"/>
    <x v="0"/>
    <x v="2"/>
    <s v="CLFF_1000$$$DE10B14453 LS-SC-EC Proj&amp;Eng-CE"/>
    <s v="L000013866"/>
    <s v="L000013866"/>
    <s v="LFF (MDG-F)"/>
    <s v="DE10B14453"/>
    <m/>
    <b v="1"/>
    <x v="2"/>
    <x v="0"/>
    <d v="2025-10-03T00:00:00"/>
    <m/>
    <m/>
    <x v="1"/>
    <n v="50"/>
    <s v="Ruby Grace Garcia"/>
    <m/>
  </r>
  <r>
    <x v="384"/>
    <x v="0"/>
    <x v="2"/>
    <s v="CNOW_7210$$$0000057019 Project Control"/>
    <s v="L000013866"/>
    <s v="L000013866"/>
    <s v="Non-LFF"/>
    <s v=""/>
    <m/>
    <b v="1"/>
    <x v="2"/>
    <x v="0"/>
    <d v="2025-10-03T00:00:00"/>
    <m/>
    <m/>
    <x v="1"/>
    <n v="50"/>
    <s v="Ruby Grace Garcia"/>
    <m/>
  </r>
  <r>
    <x v="384"/>
    <x v="0"/>
    <x v="2"/>
    <s v="CORAERP_MMOR1945.5169 Molsheim E&amp;T"/>
    <s v="L000013866"/>
    <s v="L000013866"/>
    <s v="Non-LFF"/>
    <s v=""/>
    <m/>
    <b v="1"/>
    <x v="2"/>
    <x v="0"/>
    <d v="2025-10-03T00:00:00"/>
    <m/>
    <m/>
    <x v="1"/>
    <n v="50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50"/>
    <s v="Ruby Grace Garcia"/>
    <m/>
  </r>
  <r>
    <x v="384"/>
    <x v="0"/>
    <x v="2"/>
    <s v="CTEMPEU_1000FR60638000 LSS Global Ops Engineering"/>
    <s v="L000013866"/>
    <s v="L000013866"/>
    <s v="Non-LFF"/>
    <s v=""/>
    <m/>
    <b v="1"/>
    <x v="2"/>
    <x v="0"/>
    <d v="2025-10-03T00:00:00"/>
    <m/>
    <m/>
    <x v="1"/>
    <n v="50"/>
    <s v="Ruby Grace Garcia"/>
    <m/>
  </r>
  <r>
    <x v="384"/>
    <x v="0"/>
    <x v="2"/>
    <s v="CNOW_7210$$$0024068118 LSS Global Engineering UK"/>
    <s v="L000013866"/>
    <s v="L000013866"/>
    <s v="Non-LFF"/>
    <s v=""/>
    <m/>
    <b v="1"/>
    <x v="2"/>
    <x v="0"/>
    <d v="2025-10-03T00:00:00"/>
    <m/>
    <m/>
    <x v="1"/>
    <n v="50"/>
    <s v="Ruby Grace Garcia"/>
    <m/>
  </r>
  <r>
    <x v="384"/>
    <x v="0"/>
    <x v="2"/>
    <s v="CPHOENX_01010000664454 LS-SC-EAAC SME Global Automation CE"/>
    <s v="L000013867"/>
    <s v="L000013867"/>
    <s v="Non-LFF"/>
    <s v=""/>
    <m/>
    <b v="1"/>
    <x v="2"/>
    <x v="0"/>
    <d v="2025-10-03T00:00:00"/>
    <m/>
    <m/>
    <x v="1"/>
    <n v="50"/>
    <s v="Ruby Grace Garcia"/>
    <m/>
  </r>
  <r>
    <x v="384"/>
    <x v="0"/>
    <x v="2"/>
    <s v="CEMERAL_70006101TM0100 E&amp;T Proj &amp; Eng - Central Europe"/>
    <s v="L000013867"/>
    <s v="L000013867"/>
    <s v="Non-LFF"/>
    <s v=""/>
    <m/>
    <b v="1"/>
    <x v="2"/>
    <x v="0"/>
    <d v="2025-10-03T00:00:00"/>
    <m/>
    <m/>
    <x v="1"/>
    <n v="50"/>
    <s v="Ruby Grace Garcia"/>
    <m/>
  </r>
  <r>
    <x v="384"/>
    <x v="0"/>
    <x v="2"/>
    <s v="CNOW_7210$$$0000040193 Proj &amp; Eng - USA"/>
    <s v="L000013867"/>
    <s v="L000013867"/>
    <s v="Non-LFF"/>
    <s v=""/>
    <m/>
    <b v="1"/>
    <x v="2"/>
    <x v="0"/>
    <d v="2025-10-03T00:00:00"/>
    <m/>
    <m/>
    <x v="1"/>
    <n v="50"/>
    <s v="Ruby Grace Garcia"/>
    <m/>
  </r>
  <r>
    <x v="384"/>
    <x v="0"/>
    <x v="2"/>
    <s v="CLFF_7210$$$2102TMCZ90 CHK - Cherokee TechOps Cluster Personnel"/>
    <s v="L000013867"/>
    <s v="L000013867"/>
    <s v="LFF (MDG-F)"/>
    <s v="2102TMCZ90"/>
    <m/>
    <b v="1"/>
    <x v="2"/>
    <x v="0"/>
    <d v="2025-10-03T00:00:00"/>
    <m/>
    <m/>
    <x v="1"/>
    <n v="50"/>
    <s v="Ruby Grace Garcia"/>
    <m/>
  </r>
  <r>
    <x v="384"/>
    <x v="0"/>
    <x v="2"/>
    <s v="CNOW_7210$$$0000268118 LSS Global Engineering - Rockville"/>
    <s v="L000013867"/>
    <s v="L000013867"/>
    <s v="Non-LFF"/>
    <s v=""/>
    <m/>
    <b v="1"/>
    <x v="2"/>
    <x v="0"/>
    <d v="2025-10-03T00:00:00"/>
    <m/>
    <m/>
    <x v="1"/>
    <n v="50"/>
    <s v="Ruby Grace Garcia"/>
    <m/>
  </r>
  <r>
    <x v="384"/>
    <x v="0"/>
    <x v="2"/>
    <s v="CORAERP_MMOR1975.2696 Engineering - LSS Global Ops"/>
    <s v="L000013454"/>
    <s v="L000013454"/>
    <s v="Non-LFF"/>
    <s v=""/>
    <m/>
    <b v="1"/>
    <x v="2"/>
    <x v="0"/>
    <d v="2025-10-03T00:00:00"/>
    <m/>
    <m/>
    <x v="1"/>
    <n v="50"/>
    <s v="Ruby Grace Garcia"/>
    <m/>
  </r>
  <r>
    <x v="385"/>
    <x v="0"/>
    <x v="2"/>
    <s v="CNOW_7210$$$0000056428"/>
    <s v="L000013453"/>
    <s v="L000013453"/>
    <s v="Non-LFF"/>
    <s v=""/>
    <m/>
    <b v="1"/>
    <x v="2"/>
    <x v="0"/>
    <d v="2025-10-03T00:00:00"/>
    <m/>
    <m/>
    <x v="1"/>
    <n v="50"/>
    <s v="Ruby Grace Garcia"/>
    <m/>
  </r>
  <r>
    <x v="385"/>
    <x v="0"/>
    <x v="2"/>
    <s v="CLFF_7210$$$1937TMCZ95 LS-OOS S&amp;I Strat &amp; Transf."/>
    <s v="L000013866"/>
    <s v="L000013866"/>
    <s v="LFF (MDG-F)"/>
    <s v="1937TMCZ95"/>
    <m/>
    <b v="1"/>
    <x v="2"/>
    <x v="0"/>
    <d v="2025-10-03T00:00:00"/>
    <m/>
    <m/>
    <x v="1"/>
    <n v="50"/>
    <s v="Ruby Grace Garcia"/>
    <m/>
  </r>
  <r>
    <x v="386"/>
    <x v="0"/>
    <x v="2"/>
    <s v="CSCALA_1022$ITN_T03"/>
    <s v="G000000277"/>
    <s v="G000000277"/>
    <s v="Non-LFF"/>
    <s v=""/>
    <m/>
    <b v="1"/>
    <x v="0"/>
    <x v="0"/>
    <d v="2025-10-03T00:00:00"/>
    <m/>
    <m/>
    <x v="1"/>
    <n v="50"/>
    <s v="Jay-R Lizardo"/>
    <m/>
  </r>
  <r>
    <x v="386"/>
    <x v="0"/>
    <x v="2"/>
    <s v="CSCALA_1826$832_SBC"/>
    <s v="G000000895"/>
    <s v="G000000895"/>
    <s v="Non-LFF"/>
    <s v=""/>
    <m/>
    <b v="1"/>
    <x v="0"/>
    <x v="0"/>
    <d v="2025-10-03T00:00:00"/>
    <m/>
    <m/>
    <x v="1"/>
    <n v="50"/>
    <s v="Jay-R Lizardo"/>
    <m/>
  </r>
  <r>
    <x v="387"/>
    <x v="0"/>
    <x v="2"/>
    <s v="CLFF_1000$$$AE50R0GR12"/>
    <s v="H000004394"/>
    <s v="H000004394"/>
    <s v="LFF (MDG-F)"/>
    <s v="AE50R0GR12"/>
    <m/>
    <b v="1"/>
    <x v="1"/>
    <x v="0"/>
    <d v="2025-10-07T00:00:00"/>
    <m/>
    <m/>
    <x v="1"/>
    <n v="48"/>
    <s v="Henry Ifurung Jr."/>
    <m/>
  </r>
  <r>
    <x v="387"/>
    <x v="0"/>
    <x v="2"/>
    <s v="CTEMPEU_1000GB10003254 M157883"/>
    <s v="H000004394"/>
    <s v="H000004394"/>
    <s v="Non-LFF"/>
    <s v=""/>
    <m/>
    <b v="1"/>
    <x v="1"/>
    <x v="0"/>
    <d v="2025-10-07T00:00:00"/>
    <m/>
    <m/>
    <x v="1"/>
    <n v="48"/>
    <s v="Henry Ifurung Jr."/>
    <m/>
  </r>
  <r>
    <x v="388"/>
    <x v="0"/>
    <x v="2"/>
    <s v="CORAERP_MMOR1945.2450 2450 LS-SC - EW Global Eng and SMEs"/>
    <s v="L000013867"/>
    <s v="L000013867"/>
    <s v="Non-LFF"/>
    <s v=""/>
    <m/>
    <b v="1"/>
    <x v="2"/>
    <x v="0"/>
    <d v="2025-10-07T00:00:00"/>
    <m/>
    <m/>
    <x v="1"/>
    <n v="48"/>
    <s v="Ruby Grace Garcia"/>
    <m/>
  </r>
  <r>
    <x v="388"/>
    <x v="0"/>
    <x v="2"/>
    <s v="CNOW_7210$$$0000057021 LS-SC-EW 2047_Global Engineering &amp;SMEs"/>
    <s v="L000013867"/>
    <s v="L000013867"/>
    <s v="Non-LFF"/>
    <s v=""/>
    <m/>
    <b v="1"/>
    <x v="2"/>
    <x v="0"/>
    <d v="2025-10-07T00:00:00"/>
    <m/>
    <m/>
    <x v="1"/>
    <n v="48"/>
    <s v="Ruby Grace Garcia"/>
    <m/>
  </r>
  <r>
    <x v="389"/>
    <x v="0"/>
    <x v="2"/>
    <s v="CNOW_7210$$$0000040062"/>
    <s v="L000013453"/>
    <s v="L000013453"/>
    <s v="Non-LFF"/>
    <s v=""/>
    <m/>
    <b v="1"/>
    <x v="2"/>
    <x v="0"/>
    <d v="2025-10-07T00:00:00"/>
    <m/>
    <m/>
    <x v="1"/>
    <n v="48"/>
    <s v="Ruby Grace Garcia"/>
    <m/>
  </r>
  <r>
    <x v="389"/>
    <x v="0"/>
    <x v="2"/>
    <s v="CNOW_7210$$$0000040063"/>
    <s v="L000010190"/>
    <s v="L000010190"/>
    <s v="Non-LFF"/>
    <s v=""/>
    <m/>
    <b v="1"/>
    <x v="2"/>
    <x v="0"/>
    <d v="2025-10-07T00:00:00"/>
    <m/>
    <m/>
    <x v="1"/>
    <n v="48"/>
    <s v="Ruby Grace Garcia"/>
    <m/>
  </r>
  <r>
    <x v="389"/>
    <x v="0"/>
    <x v="2"/>
    <s v="CNOW_7210$$$0000040064"/>
    <s v="L000010190"/>
    <s v="L000010190"/>
    <s v="Non-LFF"/>
    <s v=""/>
    <m/>
    <b v="1"/>
    <x v="2"/>
    <x v="0"/>
    <d v="2025-10-07T00:00:00"/>
    <m/>
    <m/>
    <x v="1"/>
    <n v="48"/>
    <s v="Ruby Grace Garcia"/>
    <m/>
  </r>
  <r>
    <x v="389"/>
    <x v="0"/>
    <x v="2"/>
    <s v="CNOW_7210$$$0000040065"/>
    <s v="L000010190"/>
    <s v="L000010190"/>
    <s v="Non-LFF"/>
    <s v=""/>
    <m/>
    <b v="1"/>
    <x v="2"/>
    <x v="0"/>
    <d v="2025-10-07T00:00:00"/>
    <m/>
    <m/>
    <x v="1"/>
    <n v="48"/>
    <s v="Ruby Grace Garcia"/>
    <m/>
  </r>
  <r>
    <x v="389"/>
    <x v="0"/>
    <x v="2"/>
    <s v="CNOW_7210$$$0000040055"/>
    <s v="L000010190"/>
    <s v="L000010190"/>
    <s v="Non-LFF"/>
    <s v=""/>
    <m/>
    <b v="1"/>
    <x v="2"/>
    <x v="0"/>
    <d v="2025-10-07T00:00:00"/>
    <m/>
    <m/>
    <x v="1"/>
    <n v="48"/>
    <s v="Ruby Grace Garcia"/>
    <m/>
  </r>
  <r>
    <x v="389"/>
    <x v="0"/>
    <x v="2"/>
    <s v="CNOW_7210$$$0000052361"/>
    <s v="L000008415"/>
    <s v="L000008415"/>
    <s v="Non-LFF"/>
    <s v=""/>
    <m/>
    <b v="1"/>
    <x v="2"/>
    <x v="0"/>
    <d v="2025-10-07T00:00:00"/>
    <m/>
    <m/>
    <x v="1"/>
    <n v="48"/>
    <s v="Ruby Grace Garcia"/>
    <m/>
  </r>
  <r>
    <x v="389"/>
    <x v="0"/>
    <x v="2"/>
    <s v="CNOW_7210$$$0024050028"/>
    <s v="L000009356"/>
    <s v="L000009356"/>
    <s v="Non-LFF"/>
    <s v=""/>
    <m/>
    <b v="1"/>
    <x v="2"/>
    <x v="0"/>
    <d v="2025-10-07T00:00:00"/>
    <m/>
    <m/>
    <x v="1"/>
    <n v="48"/>
    <s v="Ruby Grace Garcia"/>
    <m/>
  </r>
  <r>
    <x v="389"/>
    <x v="0"/>
    <x v="2"/>
    <s v="CNOW_7210$$$0000040056"/>
    <s v="L000007219"/>
    <s v="L000007219"/>
    <s v="Non-LFF"/>
    <s v=""/>
    <m/>
    <b v="1"/>
    <x v="2"/>
    <x v="0"/>
    <d v="2025-10-07T00:00:00"/>
    <m/>
    <m/>
    <x v="1"/>
    <n v="48"/>
    <s v="Ruby Grace Garcia"/>
    <m/>
  </r>
  <r>
    <x v="389"/>
    <x v="0"/>
    <x v="2"/>
    <s v="CNOW_7210$$$0000057293"/>
    <s v="L000009969"/>
    <s v="L000009969"/>
    <s v="Non-LFF"/>
    <s v=""/>
    <m/>
    <b v="1"/>
    <x v="2"/>
    <x v="0"/>
    <d v="2025-10-07T00:00:00"/>
    <m/>
    <m/>
    <x v="1"/>
    <n v="48"/>
    <s v="Ruby Grace Garcia"/>
    <m/>
  </r>
  <r>
    <x v="389"/>
    <x v="0"/>
    <x v="2"/>
    <s v="CNOW_7210$$$0000040057"/>
    <s v="L000010020"/>
    <s v="L000010020"/>
    <s v="Non-LFF"/>
    <s v=""/>
    <m/>
    <b v="1"/>
    <x v="2"/>
    <x v="0"/>
    <d v="2025-10-07T00:00:00"/>
    <m/>
    <m/>
    <x v="1"/>
    <n v="48"/>
    <s v="Ruby Grace Garcia"/>
    <m/>
  </r>
  <r>
    <x v="389"/>
    <x v="0"/>
    <x v="2"/>
    <s v="CNOW_7210$$$0000000314"/>
    <s v="L000009814"/>
    <s v="L000009814"/>
    <s v="Non-LFF"/>
    <s v=""/>
    <m/>
    <b v="1"/>
    <x v="2"/>
    <x v="0"/>
    <d v="2025-10-07T00:00:00"/>
    <m/>
    <m/>
    <x v="1"/>
    <n v="48"/>
    <s v="Ruby Grace Garcia"/>
    <m/>
  </r>
  <r>
    <x v="389"/>
    <x v="0"/>
    <x v="2"/>
    <s v="CNOW_7210$$$0000059970"/>
    <s v="L000009361"/>
    <s v="L000009361"/>
    <s v="Non-LFF"/>
    <s v=""/>
    <m/>
    <b v="1"/>
    <x v="2"/>
    <x v="0"/>
    <d v="2025-10-07T00:00:00"/>
    <m/>
    <m/>
    <x v="1"/>
    <n v="48"/>
    <s v="Ruby Grace Garcia"/>
    <m/>
  </r>
  <r>
    <x v="374"/>
    <x v="0"/>
    <x v="2"/>
    <s v="CLFF_1000$$$DE10Z01000 Automatic account assignm"/>
    <s v="P000000427"/>
    <s v="P000000427"/>
    <s v="LFF (MDG-F)"/>
    <s v="DE10Z01000"/>
    <m/>
    <b v="1"/>
    <x v="3"/>
    <x v="3"/>
    <d v="2025-10-07T00:00:00"/>
    <m/>
    <m/>
    <x v="1"/>
    <n v="48"/>
    <s v="Roselle Delos Angeles"/>
    <m/>
  </r>
  <r>
    <x v="374"/>
    <x v="0"/>
    <x v="2"/>
    <s v="CLFF_1000$$$CN90Z01000 Finance technical cost center"/>
    <s v="P000000427"/>
    <s v="P000000427"/>
    <s v="LFF (MDG-F)"/>
    <s v="CN90Z01000"/>
    <m/>
    <b v="1"/>
    <x v="3"/>
    <x v="3"/>
    <d v="2025-10-07T00:00:00"/>
    <m/>
    <m/>
    <x v="1"/>
    <n v="48"/>
    <s v="Roselle Delos Angeles"/>
    <m/>
  </r>
  <r>
    <x v="374"/>
    <x v="0"/>
    <x v="2"/>
    <s v="CLFF_1000$$$ES50Z01000 Automatic account assignment via OKB9"/>
    <s v="P000000427"/>
    <s v="P000000427"/>
    <s v="LFF (MDG-F)"/>
    <s v="ES50Z01000"/>
    <m/>
    <b v="1"/>
    <x v="3"/>
    <x v="3"/>
    <d v="2025-10-07T00:00:00"/>
    <m/>
    <m/>
    <x v="1"/>
    <n v="48"/>
    <s v="Roselle Delos Angeles"/>
    <m/>
  </r>
  <r>
    <x v="374"/>
    <x v="0"/>
    <x v="2"/>
    <s v="CLFF_1000$$$CN03Z01000 OKB9 Cost Center and accounting CC"/>
    <s v="P000000427"/>
    <s v="P000000427"/>
    <s v="LFF (MDG-F)"/>
    <s v="CN03Z01000"/>
    <m/>
    <b v="1"/>
    <x v="3"/>
    <x v="3"/>
    <d v="2025-10-07T00:00:00"/>
    <m/>
    <m/>
    <x v="1"/>
    <n v="48"/>
    <s v="Roselle Delos Angeles"/>
    <m/>
  </r>
  <r>
    <x v="374"/>
    <x v="0"/>
    <x v="2"/>
    <s v="CLFF_1000$$$IN01Z01000 OKB9 Cost Center"/>
    <s v="P000000427"/>
    <s v="P000000427"/>
    <s v="LFF (MDG-F)"/>
    <s v="IN01Z01000"/>
    <m/>
    <b v="1"/>
    <x v="3"/>
    <x v="3"/>
    <d v="2025-10-07T00:00:00"/>
    <m/>
    <m/>
    <x v="1"/>
    <n v="48"/>
    <s v="Roselle Delos Angeles"/>
    <m/>
  </r>
  <r>
    <x v="374"/>
    <x v="0"/>
    <x v="2"/>
    <s v="CLFF_1000$$$SG09Z01000 OKB9 Cost Center"/>
    <s v="P000000427"/>
    <s v="P000000427"/>
    <s v="LFF (MDG-F)"/>
    <s v="SG09Z01000"/>
    <m/>
    <b v="1"/>
    <x v="3"/>
    <x v="3"/>
    <d v="2025-10-07T00:00:00"/>
    <m/>
    <m/>
    <x v="1"/>
    <n v="48"/>
    <s v="Roselle Delos Angeles"/>
    <m/>
  </r>
  <r>
    <x v="374"/>
    <x v="0"/>
    <x v="2"/>
    <s v="CEMERAL_70007001581585"/>
    <s v="P000000427"/>
    <s v="P000000427"/>
    <s v="Non-LFF"/>
    <s v=""/>
    <m/>
    <b v="1"/>
    <x v="3"/>
    <x v="3"/>
    <d v="2025-10-07T00:00:00"/>
    <m/>
    <m/>
    <x v="1"/>
    <n v="48"/>
    <s v="Roselle Delos Angeles"/>
    <m/>
  </r>
  <r>
    <x v="374"/>
    <x v="0"/>
    <x v="2"/>
    <s v="CLFF_1000$$$CN01Z01000 OKB9 Cost Center"/>
    <s v="P000000427"/>
    <s v="P000000427"/>
    <s v="LFF (MDG-F)"/>
    <s v="CN01Z01000"/>
    <m/>
    <b v="1"/>
    <x v="3"/>
    <x v="3"/>
    <d v="2025-10-07T00:00:00"/>
    <m/>
    <m/>
    <x v="1"/>
    <n v="48"/>
    <s v="Roselle Delos Angeles"/>
    <m/>
  </r>
  <r>
    <x v="374"/>
    <x v="0"/>
    <x v="2"/>
    <s v="CLFF_1000$$$DE04Z01000 Automatic account assignment via OKB9"/>
    <s v="P000000427"/>
    <s v="P000000427"/>
    <s v="LFF (MDG-F)"/>
    <s v="DE04Z01000"/>
    <m/>
    <b v="1"/>
    <x v="3"/>
    <x v="3"/>
    <d v="2025-10-07T00:00:00"/>
    <m/>
    <m/>
    <x v="1"/>
    <n v="48"/>
    <s v="Roselle Delos Angeles"/>
    <m/>
  </r>
  <r>
    <x v="374"/>
    <x v="0"/>
    <x v="2"/>
    <s v="CLFF_KR00$$$KR03Z01000 OKB9 Cost Center"/>
    <s v="P000000427"/>
    <s v="P000000427"/>
    <s v="LFF (MDG-F)"/>
    <s v="KR03Z01000"/>
    <m/>
    <b v="1"/>
    <x v="3"/>
    <x v="3"/>
    <d v="2025-10-07T00:00:00"/>
    <m/>
    <m/>
    <x v="1"/>
    <n v="48"/>
    <s v="Roselle Delos Angeles"/>
    <m/>
  </r>
  <r>
    <x v="374"/>
    <x v="0"/>
    <x v="2"/>
    <s v="CLFF_1000$$$US01Z01000 OKB9 Cost Center"/>
    <s v="P000000427"/>
    <s v="P000000427"/>
    <s v="LFF (MDG-F)"/>
    <s v="US01Z01000"/>
    <m/>
    <b v="1"/>
    <x v="3"/>
    <x v="3"/>
    <d v="2025-10-07T00:00:00"/>
    <m/>
    <m/>
    <x v="1"/>
    <n v="48"/>
    <s v="Roselle Delos Angeles"/>
    <m/>
  </r>
  <r>
    <x v="374"/>
    <x v="0"/>
    <x v="2"/>
    <s v="CLFF_1000$$$TW02Z01000 OKB9 Cost Center"/>
    <s v="P000000427"/>
    <s v="P000000427"/>
    <s v="LFF (MDG-F)"/>
    <s v="TW02Z01000"/>
    <m/>
    <b v="1"/>
    <x v="3"/>
    <x v="3"/>
    <d v="2025-10-07T00:00:00"/>
    <m/>
    <m/>
    <x v="1"/>
    <n v="48"/>
    <s v="Roselle Delos Angeles"/>
    <m/>
  </r>
  <r>
    <x v="390"/>
    <x v="0"/>
    <x v="2"/>
    <s v="CNOW_7210$$$0000056007 Mobius Warehouse-Distri"/>
    <s v="L000009278"/>
    <s v="L000009278"/>
    <s v="Non-LFF"/>
    <s v=""/>
    <m/>
    <b v="1"/>
    <x v="2"/>
    <x v="0"/>
    <d v="2025-10-09T00:00:00"/>
    <m/>
    <m/>
    <x v="1"/>
    <n v="46"/>
    <s v="Ruby Grace Garcia"/>
    <m/>
  </r>
  <r>
    <x v="390"/>
    <x v="0"/>
    <x v="2"/>
    <s v="CNOW_7210$$$0000056057 Mobius Warehouse-Dist"/>
    <s v="L000009278"/>
    <s v="L000009278"/>
    <s v="Non-LFF"/>
    <s v=""/>
    <m/>
    <b v="1"/>
    <x v="2"/>
    <x v="0"/>
    <d v="2025-10-09T00:00:00"/>
    <m/>
    <m/>
    <x v="1"/>
    <n v="46"/>
    <s v="Ruby Grace Garcia"/>
    <m/>
  </r>
  <r>
    <x v="390"/>
    <x v="0"/>
    <x v="2"/>
    <s v="CNOW_7210$$$0000059933 WUXI DISTRIBUTION for FG OUTPUT"/>
    <s v="L000009278"/>
    <s v="L000009278"/>
    <s v="Non-LFF"/>
    <s v=""/>
    <m/>
    <b v="1"/>
    <x v="2"/>
    <x v="0"/>
    <d v="2025-10-09T00:00:00"/>
    <m/>
    <m/>
    <x v="1"/>
    <n v="46"/>
    <s v="Ruby Grace Garcia"/>
    <m/>
  </r>
  <r>
    <x v="390"/>
    <x v="0"/>
    <x v="2"/>
    <s v="CNOW_7210$$$0000059983 WUXI DISTRIBUTION for FG OUTPUT"/>
    <s v="L000009278"/>
    <s v="L000009278"/>
    <s v="Non-LFF"/>
    <s v=""/>
    <m/>
    <b v="1"/>
    <x v="2"/>
    <x v="0"/>
    <d v="2025-10-09T00:00:00"/>
    <m/>
    <m/>
    <x v="1"/>
    <n v="46"/>
    <s v="Ruby Grace Garcia"/>
    <m/>
  </r>
  <r>
    <x v="391"/>
    <x v="0"/>
    <x v="2"/>
    <s v="CEMERAL_70007001581191"/>
    <s v="L000008464"/>
    <s v="L000008464"/>
    <s v="Non-LFF"/>
    <s v=""/>
    <m/>
    <b v="1"/>
    <x v="2"/>
    <x v="0"/>
    <d v="2025-10-16T00:00:00"/>
    <m/>
    <m/>
    <x v="1"/>
    <n v="41"/>
    <s v="Ruby Grace Garcia"/>
    <m/>
  </r>
  <r>
    <x v="392"/>
    <x v="0"/>
    <x v="2"/>
    <s v="CLFF_1000$$$FI50R00004 Regulatory Head"/>
    <s v="H000000729"/>
    <s v="H000000729"/>
    <s v="LFF (MDG-F)"/>
    <s v="FI50R00004"/>
    <m/>
    <b v="1"/>
    <x v="1"/>
    <x v="0"/>
    <d v="2025-10-16T00:00:00"/>
    <m/>
    <m/>
    <x v="1"/>
    <n v="41"/>
    <s v="Erjo Miguel Tagle"/>
    <m/>
  </r>
  <r>
    <x v="392"/>
    <x v="0"/>
    <x v="2"/>
    <s v="CLFF_1000$$$FI50R00009 Nordic Drug safety"/>
    <s v="H000000803"/>
    <s v="H000000803"/>
    <s v="LFF (MDG-F)"/>
    <s v="FI50R00009"/>
    <m/>
    <b v="1"/>
    <x v="1"/>
    <x v="0"/>
    <d v="2025-10-16T00:00:00"/>
    <m/>
    <m/>
    <x v="1"/>
    <n v="41"/>
    <s v="Erjo Miguel Tagle"/>
    <m/>
  </r>
  <r>
    <x v="393"/>
    <x v="0"/>
    <x v="2"/>
    <s v="CNOW_7210$$$0000056965"/>
    <s v="L000011379"/>
    <s v="L000011379"/>
    <s v="Non-LFF"/>
    <s v=""/>
    <m/>
    <b v="1"/>
    <x v="0"/>
    <x v="0"/>
    <d v="2025-10-16T00:00:00"/>
    <m/>
    <m/>
    <x v="1"/>
    <n v="41"/>
    <s v="Diana William"/>
    <m/>
  </r>
  <r>
    <x v="394"/>
    <x v="0"/>
    <x v="2"/>
    <s v="CPHOENX_01010000111111"/>
    <s v="L000011379"/>
    <s v="L000011379"/>
    <s v="Non-LFF"/>
    <s v=""/>
    <m/>
    <b v="1"/>
    <x v="0"/>
    <x v="0"/>
    <d v="2025-10-16T00:00:00"/>
    <m/>
    <m/>
    <x v="1"/>
    <n v="41"/>
    <s v="Diana William"/>
    <m/>
  </r>
  <r>
    <x v="395"/>
    <x v="0"/>
    <x v="2"/>
    <s v="RD230009 HPD8301 (Abrasive) for GF SoN Slurry"/>
    <s v="P000001016"/>
    <s v="P000001016"/>
    <s v="Non-LFF"/>
    <s v=""/>
    <m/>
    <b v="1"/>
    <x v="3"/>
    <x v="0"/>
    <d v="2025-10-17T00:00:00"/>
    <m/>
    <m/>
    <x v="1"/>
    <n v="40"/>
    <s v="John Rowie Del Rosario"/>
    <m/>
  </r>
  <r>
    <x v="395"/>
    <x v="0"/>
    <x v="2"/>
    <s v="DP000024000000 DP1316 Cu bulk slurry for Micron"/>
    <s v="P000001016"/>
    <s v="P000001016"/>
    <s v="Non-LFF"/>
    <s v=""/>
    <m/>
    <b v="1"/>
    <x v="3"/>
    <x v="0"/>
    <d v="2025-10-17T00:00:00"/>
    <m/>
    <m/>
    <x v="1"/>
    <n v="40"/>
    <s v="John Rowie Del Rosario"/>
    <m/>
  </r>
  <r>
    <x v="395"/>
    <x v="0"/>
    <x v="2"/>
    <s v="D00130900000000 Selective SiGe etching for GAA"/>
    <s v="P000001013"/>
    <s v="P000001013"/>
    <s v="Non-LFF"/>
    <s v=""/>
    <m/>
    <b v="1"/>
    <x v="3"/>
    <x v="0"/>
    <d v="2025-10-17T00:00:00"/>
    <m/>
    <m/>
    <x v="1"/>
    <n v="40"/>
    <s v="John Rowie Del Rosario"/>
    <m/>
  </r>
  <r>
    <x v="395"/>
    <x v="0"/>
    <x v="2"/>
    <s v="D00131100000000 DSA LS Rectification"/>
    <s v="P000001013"/>
    <s v="P000001013"/>
    <s v="Non-LFF"/>
    <s v=""/>
    <m/>
    <b v="1"/>
    <x v="3"/>
    <x v="0"/>
    <d v="2025-10-17T00:00:00"/>
    <m/>
    <m/>
    <x v="1"/>
    <n v="40"/>
    <s v="John Rowie Del Rosario"/>
    <m/>
  </r>
  <r>
    <x v="395"/>
    <x v="0"/>
    <x v="2"/>
    <s v="D00131200000000 KrF Positive-tone Patterning"/>
    <s v="P000001013"/>
    <s v="P000001013"/>
    <s v="Non-LFF"/>
    <s v=""/>
    <m/>
    <b v="1"/>
    <x v="3"/>
    <x v="0"/>
    <d v="2025-10-17T00:00:00"/>
    <m/>
    <m/>
    <x v="1"/>
    <n v="40"/>
    <s v="John Rowie Del Rosario"/>
    <m/>
  </r>
  <r>
    <x v="395"/>
    <x v="0"/>
    <x v="2"/>
    <s v="D00131400000000 AP-SCR(R) 804 (Roswell)"/>
    <s v="P000001010"/>
    <s v="P000001010"/>
    <s v="Non-LFF"/>
    <s v=""/>
    <m/>
    <b v="1"/>
    <x v="3"/>
    <x v="0"/>
    <d v="2025-10-17T00:00:00"/>
    <m/>
    <m/>
    <x v="1"/>
    <n v="40"/>
    <s v="John Rowie Del Rosario"/>
    <m/>
  </r>
  <r>
    <x v="395"/>
    <x v="0"/>
    <x v="2"/>
    <s v="D00131500000000 SOD Productivity Project Cost Collector"/>
    <s v="P000001010"/>
    <s v="P000001010"/>
    <s v="Non-LFF"/>
    <s v=""/>
    <m/>
    <b v="1"/>
    <x v="3"/>
    <x v="0"/>
    <d v="2025-10-17T00:00:00"/>
    <m/>
    <m/>
    <x v="1"/>
    <n v="40"/>
    <s v="John Rowie Del Rosario"/>
    <m/>
  </r>
  <r>
    <x v="395"/>
    <x v="0"/>
    <x v="2"/>
    <s v="D00131600000000 SOD Siloxane and Adv. Pack. Incubator"/>
    <s v="P000001010"/>
    <s v="P000001010"/>
    <s v="Non-LFF"/>
    <s v=""/>
    <m/>
    <b v="1"/>
    <x v="3"/>
    <x v="0"/>
    <d v="2025-10-17T00:00:00"/>
    <m/>
    <m/>
    <x v="1"/>
    <n v="40"/>
    <s v="John Rowie Del Rosario"/>
    <m/>
  </r>
  <r>
    <x v="395"/>
    <x v="0"/>
    <x v="2"/>
    <s v="D00131700000000 Polysilazane SOD Incubator"/>
    <s v="P000001010"/>
    <s v="P000001010"/>
    <s v="Non-LFF"/>
    <s v=""/>
    <m/>
    <b v="1"/>
    <x v="3"/>
    <x v="0"/>
    <d v="2025-10-17T00:00:00"/>
    <m/>
    <m/>
    <x v="1"/>
    <n v="40"/>
    <s v="John Rowie Del Rosario"/>
    <m/>
  </r>
  <r>
    <x v="395"/>
    <x v="0"/>
    <x v="2"/>
    <s v="D00131800000000 Polar Bear iLine PD 2025 PAG 7"/>
    <s v="P000001013"/>
    <s v="P000001013"/>
    <s v="Non-LFF"/>
    <s v=""/>
    <m/>
    <b v="1"/>
    <x v="3"/>
    <x v="0"/>
    <d v="2025-10-17T00:00:00"/>
    <m/>
    <m/>
    <x v="1"/>
    <n v="40"/>
    <s v="John Rowie Del Rosario"/>
    <m/>
  </r>
  <r>
    <x v="395"/>
    <x v="0"/>
    <x v="2"/>
    <s v="D00133200000000 Poly(methyl)phenylsilane feasibility"/>
    <s v="P000001010"/>
    <s v="P000001010"/>
    <s v="Non-LFF"/>
    <s v=""/>
    <m/>
    <b v="1"/>
    <x v="3"/>
    <x v="0"/>
    <d v="2025-10-17T00:00:00"/>
    <m/>
    <m/>
    <x v="1"/>
    <n v="40"/>
    <s v="John Rowie Del Rosario"/>
    <m/>
  </r>
  <r>
    <x v="395"/>
    <x v="0"/>
    <x v="2"/>
    <s v="D00133300000000 MoOBUT"/>
    <s v="P000001010"/>
    <s v="P000001010"/>
    <s v="Non-LFF"/>
    <s v=""/>
    <m/>
    <b v="1"/>
    <x v="3"/>
    <x v="0"/>
    <d v="2025-10-17T00:00:00"/>
    <m/>
    <m/>
    <x v="1"/>
    <n v="40"/>
    <s v="John Rowie Del Rosario"/>
    <m/>
  </r>
  <r>
    <x v="396"/>
    <x v="0"/>
    <x v="2"/>
    <s v="CLFF_7210$$$2053R00001 HPLC AA R&amp;D"/>
    <s v="L000009171"/>
    <s v="L000009171"/>
    <s v="LFF (MDG-F)"/>
    <s v="2053R00001"/>
    <m/>
    <b v="1"/>
    <x v="2"/>
    <x v="0"/>
    <d v="2025-10-22T00:00:00"/>
    <m/>
    <m/>
    <x v="1"/>
    <n v="37"/>
    <s v="Ruby Grace Garcia"/>
    <m/>
  </r>
  <r>
    <x v="396"/>
    <x v="0"/>
    <x v="2"/>
    <s v="CLFF_7210$$$2123R00004 LSC R&amp;D Development"/>
    <s v="L000009171"/>
    <s v="L000009171"/>
    <s v="LFF (MDG-F)"/>
    <s v="2123R00004"/>
    <m/>
    <b v="1"/>
    <x v="2"/>
    <x v="0"/>
    <d v="2025-10-22T00:00:00"/>
    <m/>
    <m/>
    <x v="1"/>
    <n v="37"/>
    <s v="Ruby Grace Garcia"/>
    <m/>
  </r>
  <r>
    <x v="396"/>
    <x v="0"/>
    <x v="2"/>
    <s v="CTEMPEU_1000AT40RD0001 Workflows R&amp;D"/>
    <s v="L000009171"/>
    <s v="L000009171"/>
    <s v="Non-LFF"/>
    <s v=""/>
    <m/>
    <b v="1"/>
    <x v="2"/>
    <x v="0"/>
    <d v="2025-10-22T00:00:00"/>
    <m/>
    <m/>
    <x v="1"/>
    <n v="37"/>
    <s v="Ruby Grace Garcia"/>
    <m/>
  </r>
  <r>
    <x v="396"/>
    <x v="0"/>
    <x v="2"/>
    <s v="CNOW_7210$$$0000006025 R&amp;D Cerilliant Workflow Team"/>
    <s v="L000009171"/>
    <s v="L000009171"/>
    <s v="Non-LFF"/>
    <s v=""/>
    <m/>
    <b v="1"/>
    <x v="2"/>
    <x v="0"/>
    <d v="2025-10-22T00:00:00"/>
    <m/>
    <m/>
    <x v="1"/>
    <n v="37"/>
    <s v="Ruby Grace Garcia"/>
    <m/>
  </r>
  <r>
    <x v="397"/>
    <x v="0"/>
    <x v="2"/>
    <s v="CNOW_7210$$$0000040057 Taunton Closure Exceptional 1 Time Costs"/>
    <s v="L000009814"/>
    <s v="L000009814"/>
    <s v="Non-LFF"/>
    <s v=""/>
    <m/>
    <b v="1"/>
    <x v="2"/>
    <x v="0"/>
    <d v="2025-10-22T00:00:00"/>
    <m/>
    <m/>
    <x v="1"/>
    <n v="37"/>
    <s v="Ruby Grace Garcia"/>
    <m/>
  </r>
  <r>
    <x v="397"/>
    <x v="0"/>
    <x v="2"/>
    <s v="CEMERAL_70007001581191"/>
    <s v="L000008464"/>
    <s v="L000008464"/>
    <s v="Non-LFF"/>
    <s v=""/>
    <m/>
    <b v="1"/>
    <x v="2"/>
    <x v="0"/>
    <d v="2025-10-22T00:00:00"/>
    <m/>
    <m/>
    <x v="1"/>
    <n v="37"/>
    <s v="Ruby Grace Garcia"/>
    <m/>
  </r>
  <r>
    <x v="398"/>
    <x v="0"/>
    <x v="2"/>
    <s v="CLFF_1000$$$DE01TAWA03"/>
    <s v="P000000240"/>
    <s v="P000000240"/>
    <s v="LFF (MDG-F)"/>
    <s v="DE01TAWA03"/>
    <m/>
    <b v="1"/>
    <x v="3"/>
    <x v="0"/>
    <d v="2025-10-22T00:00:00"/>
    <m/>
    <m/>
    <x v="1"/>
    <n v="37"/>
    <s v="Paulina Ciepluch"/>
    <m/>
  </r>
  <r>
    <x v="398"/>
    <x v="0"/>
    <x v="2"/>
    <s v="CLFF_1000$$$DE01TAWA04"/>
    <s v="P000000240"/>
    <s v="P000000240"/>
    <s v="LFF (MDG-F)"/>
    <s v="DE01TAWA04"/>
    <m/>
    <b v="1"/>
    <x v="3"/>
    <x v="0"/>
    <d v="2025-10-22T00:00:00"/>
    <m/>
    <m/>
    <x v="1"/>
    <n v="37"/>
    <s v="Paulina Ciepluch"/>
    <m/>
  </r>
  <r>
    <x v="398"/>
    <x v="0"/>
    <x v="2"/>
    <s v="CLFF_1000$$$DE01TAWA10"/>
    <s v="P000000240"/>
    <s v="P000000240"/>
    <s v="LFF (MDG-F)"/>
    <s v="DE01TAWA10"/>
    <m/>
    <b v="1"/>
    <x v="3"/>
    <x v="0"/>
    <d v="2025-10-22T00:00:00"/>
    <m/>
    <m/>
    <x v="1"/>
    <n v="37"/>
    <s v="Paulina Ciepluch"/>
    <m/>
  </r>
  <r>
    <x v="398"/>
    <x v="0"/>
    <x v="2"/>
    <s v="CLFF_1000$$$DE01TAWA20"/>
    <s v="P000000240"/>
    <s v="P000000240"/>
    <s v="LFF (MDG-F)"/>
    <s v="DE01TAWA20"/>
    <m/>
    <b v="1"/>
    <x v="3"/>
    <x v="0"/>
    <d v="2025-10-22T00:00:00"/>
    <m/>
    <m/>
    <x v="1"/>
    <n v="37"/>
    <s v="Paulina Ciepluch"/>
    <m/>
  </r>
  <r>
    <x v="398"/>
    <x v="0"/>
    <x v="2"/>
    <s v="CLFF_1000$$$DE01TAWA31"/>
    <s v="P000000240"/>
    <s v="P000000240"/>
    <s v="LFF (MDG-F)"/>
    <s v="DE01TAWA31"/>
    <m/>
    <b v="1"/>
    <x v="3"/>
    <x v="0"/>
    <d v="2025-10-22T00:00:00"/>
    <m/>
    <m/>
    <x v="1"/>
    <n v="37"/>
    <s v="Paulina Ciepluch"/>
    <m/>
  </r>
  <r>
    <x v="398"/>
    <x v="0"/>
    <x v="2"/>
    <s v="CLFF_1000$$$DE01TAWA32"/>
    <s v="P000000240"/>
    <s v="P000000240"/>
    <s v="LFF (MDG-F)"/>
    <s v="DE01TAWA32"/>
    <m/>
    <b v="1"/>
    <x v="3"/>
    <x v="0"/>
    <d v="2025-10-22T00:00:00"/>
    <m/>
    <m/>
    <x v="1"/>
    <n v="37"/>
    <s v="Paulina Ciepluch"/>
    <m/>
  </r>
  <r>
    <x v="398"/>
    <x v="0"/>
    <x v="2"/>
    <s v="CLFF_1000$$$DE01TAWA40"/>
    <s v="P000000240"/>
    <s v="P000000240"/>
    <s v="LFF (MDG-F)"/>
    <s v="DE01TAWA40"/>
    <m/>
    <b v="1"/>
    <x v="3"/>
    <x v="0"/>
    <d v="2025-10-22T00:00:00"/>
    <m/>
    <m/>
    <x v="1"/>
    <n v="37"/>
    <s v="Paulina Ciepluch"/>
    <m/>
  </r>
  <r>
    <x v="398"/>
    <x v="0"/>
    <x v="2"/>
    <s v="CLFF_1000$$$DE01TAWA50"/>
    <s v="P000000240"/>
    <s v="P000000240"/>
    <s v="LFF (MDG-F)"/>
    <s v="DE01TAWA50"/>
    <m/>
    <b v="1"/>
    <x v="3"/>
    <x v="0"/>
    <d v="2025-10-22T00:00:00"/>
    <m/>
    <m/>
    <x v="1"/>
    <n v="37"/>
    <s v="Paulina Ciepluch"/>
    <m/>
  </r>
  <r>
    <x v="398"/>
    <x v="0"/>
    <x v="2"/>
    <s v="CLFF_1000$$$DE01TAWA53"/>
    <s v="P000000240"/>
    <s v="P000000240"/>
    <s v="LFF (MDG-F)"/>
    <s v="DE01TAWA53"/>
    <m/>
    <b v="1"/>
    <x v="3"/>
    <x v="0"/>
    <d v="2025-10-22T00:00:00"/>
    <m/>
    <m/>
    <x v="1"/>
    <n v="37"/>
    <s v="Paulina Ciepluch"/>
    <m/>
  </r>
  <r>
    <x v="398"/>
    <x v="0"/>
    <x v="2"/>
    <s v="CLFF_1000$$$DE01TAWA61"/>
    <s v="P000000240"/>
    <s v="P000000240"/>
    <s v="LFF (MDG-F)"/>
    <s v="DE01TAWA61"/>
    <m/>
    <b v="1"/>
    <x v="3"/>
    <x v="0"/>
    <d v="2025-10-22T00:00:00"/>
    <m/>
    <m/>
    <x v="1"/>
    <n v="37"/>
    <s v="Paulina Ciepluch"/>
    <m/>
  </r>
  <r>
    <x v="398"/>
    <x v="0"/>
    <x v="2"/>
    <s v="CLFF_1000$$$DE01TAWA62"/>
    <s v="P000000240"/>
    <s v="P000000240"/>
    <s v="LFF (MDG-F)"/>
    <s v="DE01TAWA62"/>
    <m/>
    <b v="1"/>
    <x v="3"/>
    <x v="0"/>
    <d v="2025-10-22T00:00:00"/>
    <m/>
    <m/>
    <x v="1"/>
    <n v="37"/>
    <s v="Paulina Ciepluch"/>
    <m/>
  </r>
  <r>
    <x v="398"/>
    <x v="0"/>
    <x v="2"/>
    <s v="CLFF_1000$$$DE01TAWA63"/>
    <s v="P000000240"/>
    <s v="P000000240"/>
    <s v="LFF (MDG-F)"/>
    <s v="DE01TAWA63"/>
    <m/>
    <b v="1"/>
    <x v="3"/>
    <x v="0"/>
    <d v="2025-10-22T00:00:00"/>
    <m/>
    <m/>
    <x v="1"/>
    <n v="37"/>
    <s v="Paulina Ciepluch"/>
    <m/>
  </r>
  <r>
    <x v="398"/>
    <x v="0"/>
    <x v="2"/>
    <s v="CLFF_1000$$$DE01TAWA64"/>
    <s v="P000000240"/>
    <s v="P000000240"/>
    <s v="LFF (MDG-F)"/>
    <s v="DE01TAWA64"/>
    <m/>
    <b v="1"/>
    <x v="3"/>
    <x v="0"/>
    <d v="2025-10-22T00:00:00"/>
    <m/>
    <m/>
    <x v="1"/>
    <n v="37"/>
    <s v="Paulina Ciepluch"/>
    <m/>
  </r>
  <r>
    <x v="398"/>
    <x v="0"/>
    <x v="2"/>
    <s v="CLFF_1000$$$DE01TAWA70"/>
    <s v="P000000240"/>
    <s v="P000000240"/>
    <s v="LFF (MDG-F)"/>
    <s v="DE01TAWA70"/>
    <m/>
    <b v="1"/>
    <x v="3"/>
    <x v="0"/>
    <d v="2025-10-22T00:00:00"/>
    <m/>
    <m/>
    <x v="1"/>
    <n v="37"/>
    <s v="Paulina Ciepluch"/>
    <m/>
  </r>
  <r>
    <x v="398"/>
    <x v="0"/>
    <x v="2"/>
    <s v="CLFF_1000$$$DE01TAWA73"/>
    <s v="P000000240"/>
    <s v="P000000240"/>
    <s v="LFF (MDG-F)"/>
    <s v="DE01TAWA73"/>
    <m/>
    <b v="1"/>
    <x v="3"/>
    <x v="0"/>
    <d v="2025-10-22T00:00:00"/>
    <m/>
    <m/>
    <x v="1"/>
    <n v="37"/>
    <s v="Paulina Ciepluch"/>
    <m/>
  </r>
  <r>
    <x v="398"/>
    <x v="0"/>
    <x v="2"/>
    <s v="CLFF_1000$$$DE01TAWA74"/>
    <s v="P000000240"/>
    <s v="P000000240"/>
    <s v="LFF (MDG-F)"/>
    <s v="DE01TAWA74"/>
    <m/>
    <b v="1"/>
    <x v="3"/>
    <x v="0"/>
    <d v="2025-10-22T00:00:00"/>
    <m/>
    <m/>
    <x v="1"/>
    <n v="37"/>
    <s v="Paulina Ciepluch"/>
    <m/>
  </r>
  <r>
    <x v="398"/>
    <x v="0"/>
    <x v="2"/>
    <s v="CLFF_1000$$$DE01TAWA80"/>
    <s v="P000000240"/>
    <s v="P000000240"/>
    <s v="LFF (MDG-F)"/>
    <s v="DE01TAWA80"/>
    <m/>
    <b v="1"/>
    <x v="3"/>
    <x v="0"/>
    <d v="2025-10-22T00:00:00"/>
    <m/>
    <m/>
    <x v="1"/>
    <n v="37"/>
    <s v="Paulina Ciepluch"/>
    <m/>
  </r>
  <r>
    <x v="398"/>
    <x v="0"/>
    <x v="2"/>
    <s v="CLFF_1000$$$DE01TAWA84"/>
    <s v="P000000240"/>
    <s v="P000000240"/>
    <s v="LFF (MDG-F)"/>
    <s v="DE01TAWA84"/>
    <m/>
    <b v="1"/>
    <x v="3"/>
    <x v="0"/>
    <d v="2025-10-22T00:00:00"/>
    <m/>
    <m/>
    <x v="1"/>
    <n v="37"/>
    <s v="Paulina Ciepluch"/>
    <m/>
  </r>
  <r>
    <x v="398"/>
    <x v="0"/>
    <x v="2"/>
    <s v="CLFF_1000$$$DE01TAWA90"/>
    <s v="P000000240"/>
    <s v="P000000240"/>
    <s v="LFF (MDG-F)"/>
    <s v="DE01TAWA90"/>
    <m/>
    <b v="1"/>
    <x v="3"/>
    <x v="0"/>
    <d v="2025-10-22T00:00:00"/>
    <m/>
    <m/>
    <x v="1"/>
    <n v="37"/>
    <s v="Paulina Ciepluch"/>
    <m/>
  </r>
  <r>
    <x v="398"/>
    <x v="0"/>
    <x v="2"/>
    <s v="CLFF_1000$$$DE01TAWA93"/>
    <s v="P000000240"/>
    <s v="P000000240"/>
    <s v="LFF (MDG-F)"/>
    <s v="DE01TAWA93"/>
    <m/>
    <b v="1"/>
    <x v="3"/>
    <x v="0"/>
    <d v="2025-10-22T00:00:00"/>
    <m/>
    <m/>
    <x v="1"/>
    <n v="37"/>
    <s v="Paulina Ciepluch"/>
    <m/>
  </r>
  <r>
    <x v="399"/>
    <x v="0"/>
    <x v="2"/>
    <s v="CTEMPEU_1000PL10K01000"/>
    <s v="H000004594"/>
    <s v="H000004594"/>
    <s v="Non-LFF"/>
    <s v=""/>
    <m/>
    <b v="1"/>
    <x v="1"/>
    <x v="0"/>
    <d v="2025-10-22T00:00:00"/>
    <m/>
    <m/>
    <x v="1"/>
    <n v="37"/>
    <s v="Anna Glab"/>
    <m/>
  </r>
  <r>
    <x v="399"/>
    <x v="0"/>
    <x v="2"/>
    <s v="CTEMPEU_1000PL10K02000"/>
    <s v="H000004593"/>
    <s v="H000004593"/>
    <s v="Non-LFF"/>
    <s v=""/>
    <m/>
    <b v="1"/>
    <x v="1"/>
    <x v="0"/>
    <d v="2025-10-22T00:00:00"/>
    <m/>
    <m/>
    <x v="1"/>
    <n v="37"/>
    <s v="Anna Glab"/>
    <m/>
  </r>
  <r>
    <x v="399"/>
    <x v="0"/>
    <x v="2"/>
    <s v="CTEMPEU_1000PL10K03000"/>
    <s v="H000004605"/>
    <s v="H000004605"/>
    <s v="Non-LFF"/>
    <s v=""/>
    <m/>
    <b v="1"/>
    <x v="1"/>
    <x v="0"/>
    <d v="2025-10-22T00:00:00"/>
    <m/>
    <m/>
    <x v="1"/>
    <n v="37"/>
    <s v="Anna Glab"/>
    <m/>
  </r>
  <r>
    <x v="400"/>
    <x v="0"/>
    <x v="2"/>
    <s v="CLFF_1000$$$JP03L3M303"/>
    <s v="G000000179"/>
    <s v="G000000179"/>
    <s v="LFF (MDG-F)"/>
    <s v="JP03L3M303"/>
    <m/>
    <b v="1"/>
    <x v="0"/>
    <x v="0"/>
    <d v="2025-10-23T00:00:00"/>
    <m/>
    <m/>
    <x v="1"/>
    <n v="36"/>
    <s v="Michiko Nakatani"/>
    <m/>
  </r>
  <r>
    <x v="401"/>
    <x v="0"/>
    <x v="2"/>
    <s v="CFLTFLE_22760000891078"/>
    <s v="H000000729"/>
    <s v="H000000729"/>
    <s v="Non-LFF"/>
    <s v=""/>
    <m/>
    <b v="1"/>
    <x v="1"/>
    <x v="0"/>
    <d v="2025-10-24T00:00:00"/>
    <m/>
    <m/>
    <x v="1"/>
    <n v="35"/>
    <s v="Gay Geanuza del Mundo"/>
    <m/>
  </r>
  <r>
    <x v="402"/>
    <x v="0"/>
    <x v="2"/>
    <s v="CLFF_1000$$$DE01TQWI03 Freight Wiesbaden"/>
    <s v="P000001329"/>
    <s v="P000001329"/>
    <s v="LFF (MDG-F)"/>
    <s v="DE01TQWI03"/>
    <m/>
    <b v="1"/>
    <x v="3"/>
    <x v="0"/>
    <d v="2025-10-27T00:00:00"/>
    <m/>
    <m/>
    <x v="1"/>
    <n v="34"/>
    <s v="John Rowie Del Rosario"/>
    <m/>
  </r>
  <r>
    <x v="402"/>
    <x v="0"/>
    <x v="2"/>
    <s v="CLFF_1000$$$DE04TQHQ15 Outbound Freight 3rd Party Optronics"/>
    <s v="P000001329"/>
    <s v="P000001329"/>
    <s v="LFF (MDG-F)"/>
    <s v="DE04TQHQ15"/>
    <m/>
    <b v="1"/>
    <x v="3"/>
    <x v="0"/>
    <d v="2025-10-27T00:00:00"/>
    <m/>
    <m/>
    <x v="1"/>
    <n v="34"/>
    <s v="John Rowie Del Rosario"/>
    <m/>
  </r>
  <r>
    <x v="402"/>
    <x v="0"/>
    <x v="2"/>
    <s v="CLFF_1000$$$DE04TQHQ16 Outbound Freight Interco Optronics"/>
    <s v="P000001329"/>
    <s v="P000001329"/>
    <s v="LFF (MDG-F)"/>
    <s v="DE04TQHQ16"/>
    <m/>
    <b v="1"/>
    <x v="3"/>
    <x v="0"/>
    <d v="2025-10-27T00:00:00"/>
    <m/>
    <m/>
    <x v="1"/>
    <n v="34"/>
    <s v="John Rowie Del Rosario"/>
    <m/>
  </r>
  <r>
    <x v="402"/>
    <x v="0"/>
    <x v="4"/>
    <s v="CLFF_VMCA$$$DE10TM2000 DE10 Frt RelatedCost"/>
    <s v="P000001329"/>
    <s v="P000000472"/>
    <s v="LFF (MDG-F)"/>
    <s v="DE10TM2000"/>
    <m/>
    <b v="0"/>
    <x v="3"/>
    <x v="0"/>
    <d v="2025-10-27T00:00:00"/>
    <m/>
    <m/>
    <x v="1"/>
    <n v="34"/>
    <s v="John Rowie Del Rosario"/>
    <m/>
  </r>
  <r>
    <x v="402"/>
    <x v="0"/>
    <x v="2"/>
    <s v="CLFF_VMCA$$$IL10TM2000 IL10 Frt RelatedCost1"/>
    <s v="P000001329"/>
    <s v="P000001329"/>
    <s v="LFF (MDG-F)"/>
    <s v="IL10TM2000"/>
    <m/>
    <b v="1"/>
    <x v="3"/>
    <x v="0"/>
    <d v="2025-10-27T00:00:00"/>
    <m/>
    <m/>
    <x v="1"/>
    <n v="34"/>
    <s v="John Rowie Del Rosario"/>
    <m/>
  </r>
  <r>
    <x v="402"/>
    <x v="0"/>
    <x v="2"/>
    <s v="CLFF_VMCA$$$IT07TM2000 IT07 Freight Related Costs1"/>
    <s v="P000001329"/>
    <s v="P000001329"/>
    <s v="LFF (MDG-F)"/>
    <s v="IT07TM2000"/>
    <m/>
    <b v="1"/>
    <x v="3"/>
    <x v="0"/>
    <d v="2025-10-27T00:00:00"/>
    <m/>
    <m/>
    <x v="1"/>
    <n v="34"/>
    <s v="John Rowie Del Rosario"/>
    <m/>
  </r>
  <r>
    <x v="402"/>
    <x v="0"/>
    <x v="2"/>
    <s v="CLFF_VMCA$$$NL10TM2000 NL10 Freight Related Costs1"/>
    <s v="P000001329"/>
    <s v="P000001329"/>
    <s v="LFF (MDG-F)"/>
    <s v="NL10TM2000"/>
    <m/>
    <b v="1"/>
    <x v="3"/>
    <x v="0"/>
    <d v="2025-10-27T00:00:00"/>
    <m/>
    <m/>
    <x v="1"/>
    <n v="34"/>
    <s v="John Rowie Del Rosario"/>
    <m/>
  </r>
  <r>
    <x v="402"/>
    <x v="0"/>
    <x v="2"/>
    <s v="CPHOENX_01010000618200 Ausgangsfrachten PM (manuell)"/>
    <s v="P000001329"/>
    <s v="P000001329"/>
    <s v="Non-LFF"/>
    <s v=""/>
    <m/>
    <b v="1"/>
    <x v="3"/>
    <x v="0"/>
    <d v="2025-10-27T00:00:00"/>
    <m/>
    <m/>
    <x v="1"/>
    <n v="34"/>
    <s v="John Rowie Del Rosario"/>
    <m/>
  </r>
  <r>
    <x v="402"/>
    <x v="0"/>
    <x v="2"/>
    <s v="CPHOENX_01010000618210 Frachtnebenkosten PM (inkl. Rückholung)"/>
    <s v="P000001329"/>
    <s v="P000001329"/>
    <s v="Non-LFF"/>
    <s v=""/>
    <m/>
    <b v="1"/>
    <x v="3"/>
    <x v="0"/>
    <d v="2025-10-27T00:00:00"/>
    <m/>
    <m/>
    <x v="1"/>
    <n v="34"/>
    <s v="John Rowie Del Rosario"/>
    <m/>
  </r>
  <r>
    <x v="402"/>
    <x v="0"/>
    <x v="2"/>
    <s v="CPHOENX_01010000874100 Ausgangsfrachten HOH"/>
    <s v="P000001329"/>
    <s v="P000001329"/>
    <s v="Non-LFF"/>
    <s v=""/>
    <m/>
    <b v="1"/>
    <x v="3"/>
    <x v="0"/>
    <d v="2025-10-27T00:00:00"/>
    <m/>
    <m/>
    <x v="1"/>
    <n v="34"/>
    <s v="John Rowie Del Rosario"/>
    <m/>
  </r>
  <r>
    <x v="402"/>
    <x v="0"/>
    <x v="4"/>
    <s v="CLFF_VMCA$$$DE10TM4000 DE10 Customs/Duties"/>
    <s v="P000001331"/>
    <s v="P000000472"/>
    <s v="LFF (MDG-F)"/>
    <s v="DE10TM4000"/>
    <m/>
    <b v="0"/>
    <x v="3"/>
    <x v="0"/>
    <d v="2025-10-27T00:00:00"/>
    <m/>
    <m/>
    <x v="1"/>
    <n v="34"/>
    <s v="John Rowie Del Rosario"/>
    <m/>
  </r>
  <r>
    <x v="402"/>
    <x v="0"/>
    <x v="2"/>
    <s v="CLFF_1000$$$DE01TKWI01 Incoming Goods Warehouse"/>
    <s v="P000001333"/>
    <s v="P000001333"/>
    <s v="LFF (MDG-F)"/>
    <s v="DE01TKWI01"/>
    <m/>
    <b v="1"/>
    <x v="3"/>
    <x v="0"/>
    <d v="2025-10-27T00:00:00"/>
    <m/>
    <m/>
    <x v="1"/>
    <n v="34"/>
    <s v="John Rowie Del Rosario"/>
    <m/>
  </r>
  <r>
    <x v="402"/>
    <x v="0"/>
    <x v="2"/>
    <s v="CLFF_1000$$$DE01TQWIGH Frankfurt 3P Warehouse"/>
    <s v="P000001333"/>
    <s v="P000001333"/>
    <s v="LFF (MDG-F)"/>
    <s v="DE01TQWIGH"/>
    <m/>
    <b v="1"/>
    <x v="3"/>
    <x v="0"/>
    <d v="2025-10-27T00:00:00"/>
    <m/>
    <m/>
    <x v="1"/>
    <n v="34"/>
    <s v="John Rowie Del Rosario"/>
    <m/>
  </r>
  <r>
    <x v="402"/>
    <x v="0"/>
    <x v="4"/>
    <s v="CLFF_VMCA$$$DE10DB3600 Hamburg 3P Warehouse"/>
    <s v="P000001333"/>
    <s v="P000000472"/>
    <s v="LFF (MDG-F)"/>
    <s v="DE10DB3600"/>
    <m/>
    <b v="0"/>
    <x v="3"/>
    <x v="0"/>
    <d v="2025-10-27T00:00:00"/>
    <m/>
    <m/>
    <x v="1"/>
    <n v="34"/>
    <s v="John Rowie Del Rosario"/>
    <m/>
  </r>
  <r>
    <x v="402"/>
    <x v="0"/>
    <x v="4"/>
    <s v="CLFF_VMCA$$$DE10TQ1001 Gernsheim Warehouse"/>
    <s v="P000001333"/>
    <s v="P000000472"/>
    <s v="LFF (MDG-F)"/>
    <s v="DE10TQ1001"/>
    <m/>
    <b v="0"/>
    <x v="3"/>
    <x v="0"/>
    <d v="2025-10-27T00:00:00"/>
    <m/>
    <m/>
    <x v="1"/>
    <n v="34"/>
    <s v="John Rowie Del Rosario"/>
    <m/>
  </r>
  <r>
    <x v="402"/>
    <x v="0"/>
    <x v="4"/>
    <s v="CLFF_VMCA$$$DE10TQ1002 ISO Containe Storage"/>
    <s v="P000001333"/>
    <s v="P000000472"/>
    <s v="LFF (MDG-F)"/>
    <s v="DE10TQ1002"/>
    <m/>
    <b v="0"/>
    <x v="3"/>
    <x v="0"/>
    <d v="2025-10-27T00:00:00"/>
    <m/>
    <m/>
    <x v="1"/>
    <n v="34"/>
    <s v="John Rowie Del Rosario"/>
    <m/>
  </r>
  <r>
    <x v="402"/>
    <x v="0"/>
    <x v="4"/>
    <s v="CLFF_VMCA$$$DE10TQ1003 Consignment Warehouses"/>
    <s v="P000001333"/>
    <s v="P000000472"/>
    <s v="LFF (MDG-F)"/>
    <s v="DE10TQ1003"/>
    <m/>
    <b v="0"/>
    <x v="3"/>
    <x v="0"/>
    <d v="2025-10-27T00:00:00"/>
    <m/>
    <m/>
    <x v="1"/>
    <n v="34"/>
    <s v="John Rowie Del Rosario"/>
    <m/>
  </r>
  <r>
    <x v="402"/>
    <x v="0"/>
    <x v="2"/>
    <s v="CLFF_VMCA$$$GB10TQ1000 Middlewich 3P Warehouse1"/>
    <s v="P000001333"/>
    <s v="P000001333"/>
    <s v="LFF (MDG-F)"/>
    <s v="GB10TQ1000"/>
    <m/>
    <b v="1"/>
    <x v="3"/>
    <x v="0"/>
    <d v="2025-10-27T00:00:00"/>
    <m/>
    <m/>
    <x v="1"/>
    <n v="34"/>
    <s v="John Rowie Del Rosario"/>
    <m/>
  </r>
  <r>
    <x v="402"/>
    <x v="0"/>
    <x v="2"/>
    <s v="CLFF_VMCA$$$IT07TQ1001 San Giuliano 3P Warehouse1"/>
    <s v="P000001333"/>
    <s v="P000001333"/>
    <s v="LFF (MDG-F)"/>
    <s v="IT07TQ1001"/>
    <m/>
    <b v="1"/>
    <x v="3"/>
    <x v="0"/>
    <d v="2025-10-27T00:00:00"/>
    <m/>
    <m/>
    <x v="1"/>
    <n v="34"/>
    <s v="John Rowie Del Rosario"/>
    <m/>
  </r>
  <r>
    <x v="402"/>
    <x v="0"/>
    <x v="2"/>
    <s v="CLFF_VMCA$$$IT07TQ1002 IT07 Other 3P Warehouses1"/>
    <s v="P000001333"/>
    <s v="P000001333"/>
    <s v="LFF (MDG-F)"/>
    <s v="IT07TQ1002"/>
    <m/>
    <b v="1"/>
    <x v="3"/>
    <x v="0"/>
    <d v="2025-10-27T00:00:00"/>
    <m/>
    <m/>
    <x v="1"/>
    <n v="34"/>
    <s v="John Rowie Del Rosario"/>
    <m/>
  </r>
  <r>
    <x v="402"/>
    <x v="0"/>
    <x v="2"/>
    <s v="CLFF_VMCA$$$NL10TQ1000 Zwindrecht Warehouse Costs1"/>
    <s v="P000001333"/>
    <s v="P000001333"/>
    <s v="LFF (MDG-F)"/>
    <s v="NL10TQ1000"/>
    <m/>
    <b v="1"/>
    <x v="3"/>
    <x v="0"/>
    <d v="2025-10-27T00:00:00"/>
    <m/>
    <m/>
    <x v="1"/>
    <n v="34"/>
    <s v="John Rowie Del Rosario"/>
    <m/>
  </r>
  <r>
    <x v="402"/>
    <x v="0"/>
    <x v="2"/>
    <s v="CLFF_1000$$$DE04TQHQ19 Transportation Management Darmstadt"/>
    <s v="P000001334"/>
    <s v="P000001334"/>
    <s v="LFF (MDG-F)"/>
    <s v="DE04TQHQ19"/>
    <m/>
    <b v="1"/>
    <x v="3"/>
    <x v="0"/>
    <d v="2025-10-27T00:00:00"/>
    <m/>
    <m/>
    <x v="1"/>
    <n v="34"/>
    <s v="John Rowie Del Rosario"/>
    <m/>
  </r>
  <r>
    <x v="402"/>
    <x v="0"/>
    <x v="2"/>
    <s v="CLFF_1000$$$DE04TQHQ23 Europe Customer Fulfillment"/>
    <s v="P000001334"/>
    <s v="P000001334"/>
    <s v="LFF (MDG-F)"/>
    <s v="DE04TQHQ23"/>
    <m/>
    <b v="1"/>
    <x v="3"/>
    <x v="0"/>
    <d v="2025-10-27T00:00:00"/>
    <m/>
    <m/>
    <x v="1"/>
    <n v="34"/>
    <s v="John Rowie Del Rosario"/>
    <m/>
  </r>
  <r>
    <x v="402"/>
    <x v="0"/>
    <x v="2"/>
    <s v="CLFF_VMCA$$$NL10TM3000 NL10 Transportation Team1"/>
    <s v="P000001334"/>
    <s v="P000001334"/>
    <s v="LFF (MDG-F)"/>
    <s v="NL10TM3000"/>
    <m/>
    <b v="1"/>
    <x v="3"/>
    <x v="0"/>
    <d v="2025-10-27T00:00:00"/>
    <m/>
    <m/>
    <x v="1"/>
    <n v="34"/>
    <s v="John Rowie Del Rosario"/>
    <m/>
  </r>
  <r>
    <x v="403"/>
    <x v="0"/>
    <x v="2"/>
    <s v="CFLTFLE_2152IMIPARVR01"/>
    <s v="P000000540"/>
    <s v="P000000540"/>
    <s v="Non-LFF"/>
    <s v=""/>
    <m/>
    <b v="1"/>
    <x v="3"/>
    <x v="0"/>
    <d v="2025-10-27T00:00:00"/>
    <m/>
    <m/>
    <x v="1"/>
    <n v="34"/>
    <s v="Roselle Delos Angeles"/>
    <m/>
  </r>
  <r>
    <x v="404"/>
    <x v="0"/>
    <x v="2"/>
    <s v="CFLTFLE_17710000508010"/>
    <s v="H000003319"/>
    <s v="H000003319"/>
    <s v="Non-LFF"/>
    <s v=""/>
    <m/>
    <b v="1"/>
    <x v="0"/>
    <x v="0"/>
    <d v="2025-10-27T00:00:00"/>
    <m/>
    <m/>
    <x v="1"/>
    <n v="34"/>
    <s v="Yulia Glazyrina"/>
    <m/>
  </r>
  <r>
    <x v="404"/>
    <x v="0"/>
    <x v="2"/>
    <s v="CFLTFLE_17710000113000"/>
    <s v="G000000637"/>
    <m/>
    <s v="Non-LFF"/>
    <s v=""/>
    <s v="Have to be mapped based on parent"/>
    <b v="0"/>
    <x v="0"/>
    <x v="0"/>
    <d v="2025-10-27T00:00:00"/>
    <m/>
    <m/>
    <x v="1"/>
    <n v="34"/>
    <s v="Yulia Glazyrina"/>
    <m/>
  </r>
  <r>
    <x v="405"/>
    <x v="0"/>
    <x v="2"/>
    <s v="CTEMPEU_1000PL80GHR227"/>
    <s v="G000001445"/>
    <s v="G000001445"/>
    <s v="Non-LFF"/>
    <s v=""/>
    <m/>
    <b v="1"/>
    <x v="0"/>
    <x v="0"/>
    <d v="2025-10-28T00:00:00"/>
    <m/>
    <m/>
    <x v="1"/>
    <n v="33"/>
    <s v="Jay-R Lizardo"/>
    <m/>
  </r>
  <r>
    <x v="405"/>
    <x v="0"/>
    <x v="2"/>
    <s v="CTEMPEU_1000PL80GFO016"/>
    <s v="G000001447"/>
    <s v="G000001447"/>
    <s v="Non-LFF"/>
    <s v=""/>
    <m/>
    <b v="1"/>
    <x v="0"/>
    <x v="0"/>
    <d v="2025-10-28T00:00:00"/>
    <m/>
    <m/>
    <x v="1"/>
    <n v="33"/>
    <s v="Jay-R Lizardo"/>
    <m/>
  </r>
  <r>
    <x v="405"/>
    <x v="0"/>
    <x v="2"/>
    <s v="CTEMPEU_1000PL80GFO025"/>
    <s v="G000001445"/>
    <s v="G000001445"/>
    <s v="Non-LFF"/>
    <s v=""/>
    <m/>
    <b v="1"/>
    <x v="0"/>
    <x v="0"/>
    <d v="2025-10-28T00:00:00"/>
    <m/>
    <m/>
    <x v="1"/>
    <n v="33"/>
    <s v="Jay-R Lizardo"/>
    <m/>
  </r>
  <r>
    <x v="405"/>
    <x v="0"/>
    <x v="2"/>
    <s v="CTEMPNA_1000PH80GFO123"/>
    <s v="G000001445"/>
    <s v="G000001445"/>
    <s v="Non-LFF"/>
    <s v=""/>
    <m/>
    <b v="1"/>
    <x v="0"/>
    <x v="0"/>
    <d v="2025-10-28T00:00:00"/>
    <m/>
    <m/>
    <x v="1"/>
    <n v="33"/>
    <s v="Jay-R Lizardo"/>
    <m/>
  </r>
  <r>
    <x v="405"/>
    <x v="0"/>
    <x v="2"/>
    <s v="CTEMPNA_1000PH80GFO003"/>
    <s v="G000001447"/>
    <s v="G000001447"/>
    <s v="Non-LFF"/>
    <s v=""/>
    <m/>
    <b v="1"/>
    <x v="0"/>
    <x v="0"/>
    <d v="2025-10-28T00:00:00"/>
    <m/>
    <m/>
    <x v="1"/>
    <n v="33"/>
    <s v="Jay-R Lizardo"/>
    <m/>
  </r>
  <r>
    <x v="405"/>
    <x v="0"/>
    <x v="2"/>
    <s v="CTEMPNA_1000PH80GFO043"/>
    <s v="G000001445"/>
    <s v="G000001445"/>
    <s v="Non-LFF"/>
    <s v=""/>
    <m/>
    <b v="1"/>
    <x v="0"/>
    <x v="0"/>
    <d v="2025-10-28T00:00:00"/>
    <m/>
    <m/>
    <x v="1"/>
    <n v="33"/>
    <s v="Jay-R Lizardo"/>
    <m/>
  </r>
  <r>
    <x v="405"/>
    <x v="0"/>
    <x v="2"/>
    <s v="CEMERAL_70006502ID6502"/>
    <s v="G000001445"/>
    <s v="G000001445"/>
    <s v="Non-LFF"/>
    <s v=""/>
    <m/>
    <b v="1"/>
    <x v="0"/>
    <x v="0"/>
    <d v="2025-10-28T00:00:00"/>
    <m/>
    <m/>
    <x v="1"/>
    <n v="33"/>
    <s v="Jay-R Lizardo"/>
    <m/>
  </r>
  <r>
    <x v="405"/>
    <x v="0"/>
    <x v="2"/>
    <s v="CLFF_1000$$$IT50YIT001"/>
    <s v="G000001378"/>
    <s v="G000001378"/>
    <s v="LFF (MDG-F)"/>
    <s v="IT50YIT001"/>
    <m/>
    <b v="1"/>
    <x v="0"/>
    <x v="0"/>
    <d v="2025-10-28T00:00:00"/>
    <m/>
    <m/>
    <x v="1"/>
    <n v="33"/>
    <s v="Jay-R Lizardo"/>
    <m/>
  </r>
  <r>
    <x v="405"/>
    <x v="0"/>
    <x v="2"/>
    <s v="CTEMPEU_1000FR40701604"/>
    <s v="G000001449"/>
    <s v="G000001449"/>
    <s v="Non-LFF"/>
    <s v=""/>
    <m/>
    <b v="1"/>
    <x v="0"/>
    <x v="0"/>
    <d v="2025-10-28T00:00:00"/>
    <m/>
    <m/>
    <x v="1"/>
    <n v="33"/>
    <s v="Jay-R Lizardo"/>
    <m/>
  </r>
  <r>
    <x v="405"/>
    <x v="0"/>
    <x v="2"/>
    <s v="CLFF_1000$$$DE10GIT04K"/>
    <s v="G000001446"/>
    <s v="G000001446"/>
    <s v="LFF (MDG-F)"/>
    <s v="DE10GIT04K"/>
    <m/>
    <b v="1"/>
    <x v="0"/>
    <x v="0"/>
    <d v="2025-10-28T00:00:00"/>
    <m/>
    <m/>
    <x v="1"/>
    <n v="33"/>
    <s v="Jay-R Lizardo"/>
    <m/>
  </r>
  <r>
    <x v="405"/>
    <x v="0"/>
    <x v="2"/>
    <s v="CLFF_1000$$$DE10638210"/>
    <s v="G000001449"/>
    <s v="G000001449"/>
    <s v="LFF (MDG-F)"/>
    <s v="DE10638210"/>
    <m/>
    <b v="1"/>
    <x v="0"/>
    <x v="0"/>
    <d v="2025-10-28T00:00:00"/>
    <m/>
    <m/>
    <x v="1"/>
    <n v="33"/>
    <s v="Jay-R Lizardo"/>
    <m/>
  </r>
  <r>
    <x v="405"/>
    <x v="0"/>
    <x v="2"/>
    <s v="CLFF_1000$$$DE10GIT101"/>
    <s v="G000001446"/>
    <s v="G000001446"/>
    <s v="LFF (MDG-F)"/>
    <s v="DE10GIT101"/>
    <m/>
    <b v="1"/>
    <x v="0"/>
    <x v="0"/>
    <d v="2025-10-28T00:00:00"/>
    <m/>
    <m/>
    <x v="1"/>
    <n v="33"/>
    <s v="Jay-R Lizardo"/>
    <m/>
  </r>
  <r>
    <x v="405"/>
    <x v="0"/>
    <x v="2"/>
    <s v="CLFF_1000$$$DE10GIT02K"/>
    <s v="G000001446"/>
    <s v="G000001446"/>
    <s v="LFF (MDG-F)"/>
    <s v="DE10GIT02K"/>
    <m/>
    <b v="1"/>
    <x v="0"/>
    <x v="0"/>
    <d v="2025-10-28T00:00:00"/>
    <m/>
    <m/>
    <x v="1"/>
    <n v="33"/>
    <s v="Jay-R Lizardo"/>
    <m/>
  </r>
  <r>
    <x v="405"/>
    <x v="0"/>
    <x v="2"/>
    <s v="CLFF_1000$$$DE10669638"/>
    <s v="G000001447"/>
    <s v="G000001447"/>
    <s v="LFF (MDG-F)"/>
    <s v="DE10669638"/>
    <m/>
    <b v="1"/>
    <x v="0"/>
    <x v="0"/>
    <d v="2025-10-28T00:00:00"/>
    <m/>
    <m/>
    <x v="1"/>
    <n v="33"/>
    <s v="Jay-R Lizardo"/>
    <m/>
  </r>
  <r>
    <x v="405"/>
    <x v="0"/>
    <x v="2"/>
    <s v="CLFF_1000$$$DE10669636"/>
    <s v="G000001445"/>
    <s v="G000001445"/>
    <s v="LFF (MDG-F)"/>
    <s v="DE10669636"/>
    <m/>
    <b v="1"/>
    <x v="0"/>
    <x v="0"/>
    <d v="2025-10-28T00:00:00"/>
    <m/>
    <m/>
    <x v="1"/>
    <n v="33"/>
    <s v="Jay-R Lizardo"/>
    <m/>
  </r>
  <r>
    <x v="405"/>
    <x v="0"/>
    <x v="2"/>
    <s v="CTEMPNA_1000US20CA8407"/>
    <s v="G000001445"/>
    <s v="G000001445"/>
    <s v="Non-LFF"/>
    <s v=""/>
    <m/>
    <b v="1"/>
    <x v="0"/>
    <x v="0"/>
    <d v="2025-10-28T00:00:00"/>
    <m/>
    <m/>
    <x v="1"/>
    <n v="33"/>
    <s v="Jay-R Lizardo"/>
    <m/>
  </r>
  <r>
    <x v="405"/>
    <x v="0"/>
    <x v="2"/>
    <s v="CLFF_1000$$$CH65GIT20H"/>
    <s v="G000001378"/>
    <s v="G000001378"/>
    <s v="LFF (MDG-F)"/>
    <s v="CH65GIT20H"/>
    <m/>
    <b v="1"/>
    <x v="0"/>
    <x v="0"/>
    <d v="2025-10-28T00:00:00"/>
    <m/>
    <m/>
    <x v="1"/>
    <n v="33"/>
    <s v="Jay-R Lizardo"/>
    <m/>
  </r>
  <r>
    <x v="405"/>
    <x v="0"/>
    <x v="2"/>
    <s v="CNOW_7210$$$0000010260"/>
    <s v="G000001446"/>
    <s v="G000001446"/>
    <s v="Non-LFF"/>
    <s v=""/>
    <m/>
    <b v="1"/>
    <x v="0"/>
    <x v="0"/>
    <d v="2025-10-28T00:00:00"/>
    <m/>
    <m/>
    <x v="1"/>
    <n v="33"/>
    <s v="Jay-R Lizardo"/>
    <m/>
  </r>
  <r>
    <x v="405"/>
    <x v="0"/>
    <x v="2"/>
    <s v="CNOW_7210$$$0000052358"/>
    <s v="G000000253"/>
    <s v="G000000253"/>
    <s v="Non-LFF"/>
    <s v=""/>
    <m/>
    <b v="1"/>
    <x v="0"/>
    <x v="0"/>
    <d v="2025-10-28T00:00:00"/>
    <m/>
    <m/>
    <x v="1"/>
    <n v="33"/>
    <s v="Jay-R Lizardo"/>
    <m/>
  </r>
  <r>
    <x v="405"/>
    <x v="0"/>
    <x v="2"/>
    <s v="CLFF_7210$$$2123C00103"/>
    <s v="G000001445"/>
    <s v="G000001445"/>
    <s v="LFF (MDG-F)"/>
    <s v="2123C00103"/>
    <m/>
    <b v="1"/>
    <x v="0"/>
    <x v="0"/>
    <d v="2025-10-28T00:00:00"/>
    <m/>
    <m/>
    <x v="1"/>
    <n v="33"/>
    <s v="Jay-R Lizardo"/>
    <m/>
  </r>
  <r>
    <x v="405"/>
    <x v="0"/>
    <x v="2"/>
    <s v="CLFF_7210$$$2123GM1110"/>
    <s v="G000001445"/>
    <s v="G000001445"/>
    <s v="LFF (MDG-F)"/>
    <s v="2123GM1110"/>
    <m/>
    <b v="1"/>
    <x v="0"/>
    <x v="0"/>
    <d v="2025-10-28T00:00:00"/>
    <m/>
    <m/>
    <x v="1"/>
    <n v="33"/>
    <s v="Jay-R Lizardo"/>
    <m/>
  </r>
  <r>
    <x v="405"/>
    <x v="0"/>
    <x v="2"/>
    <s v="CLFF_7210$$$2123GMS050"/>
    <s v="G000001447"/>
    <s v="G000001447"/>
    <s v="LFF (MDG-F)"/>
    <s v="2123GMS050"/>
    <m/>
    <b v="1"/>
    <x v="0"/>
    <x v="0"/>
    <d v="2025-10-28T00:00:00"/>
    <m/>
    <m/>
    <x v="1"/>
    <n v="33"/>
    <s v="Jay-R Lizardo"/>
    <m/>
  </r>
  <r>
    <x v="405"/>
    <x v="0"/>
    <x v="2"/>
    <s v="CLFF_7210$$$2123GMS080"/>
    <s v="G000001447"/>
    <s v="G000001447"/>
    <s v="LFF (MDG-F)"/>
    <s v="2123GMS080"/>
    <m/>
    <b v="1"/>
    <x v="0"/>
    <x v="0"/>
    <d v="2025-10-28T00:00:00"/>
    <m/>
    <m/>
    <x v="1"/>
    <n v="33"/>
    <s v="Jay-R Lizardo"/>
    <m/>
  </r>
  <r>
    <x v="405"/>
    <x v="0"/>
    <x v="2"/>
    <s v="CLFF_7210$$$2123L50005"/>
    <s v="G000001445"/>
    <s v="G000001445"/>
    <s v="LFF (MDG-F)"/>
    <s v="2123L50005"/>
    <m/>
    <b v="1"/>
    <x v="0"/>
    <x v="0"/>
    <d v="2025-10-28T00:00:00"/>
    <m/>
    <m/>
    <x v="1"/>
    <n v="33"/>
    <s v="Jay-R Lizardo"/>
    <m/>
  </r>
  <r>
    <x v="405"/>
    <x v="0"/>
    <x v="2"/>
    <s v="CLFF_7210$$$2123OF0010"/>
    <s v="G000001445"/>
    <s v="G000001445"/>
    <s v="LFF (MDG-F)"/>
    <s v="2123OF0010"/>
    <m/>
    <b v="1"/>
    <x v="0"/>
    <x v="0"/>
    <d v="2025-10-28T00:00:00"/>
    <m/>
    <m/>
    <x v="1"/>
    <n v="33"/>
    <s v="Jay-R Lizardo"/>
    <m/>
  </r>
  <r>
    <x v="405"/>
    <x v="0"/>
    <x v="2"/>
    <s v="CLFF_7210$$$2123TPSZ93"/>
    <s v="G000001445"/>
    <s v="G000001445"/>
    <s v="LFF (MDG-F)"/>
    <s v="2123TPSZ93"/>
    <m/>
    <b v="1"/>
    <x v="0"/>
    <x v="0"/>
    <d v="2025-10-28T00:00:00"/>
    <m/>
    <m/>
    <x v="1"/>
    <n v="33"/>
    <s v="Jay-R Lizardo"/>
    <m/>
  </r>
  <r>
    <x v="405"/>
    <x v="0"/>
    <x v="2"/>
    <s v="CLFF_7210$$$2123TQJZ94"/>
    <s v="G000001445"/>
    <s v="G000001445"/>
    <s v="LFF (MDG-F)"/>
    <s v="2123TQJZ94"/>
    <m/>
    <b v="1"/>
    <x v="0"/>
    <x v="0"/>
    <d v="2025-10-28T00:00:00"/>
    <m/>
    <m/>
    <x v="1"/>
    <n v="33"/>
    <s v="Jay-R Lizardo"/>
    <m/>
  </r>
  <r>
    <x v="405"/>
    <x v="0"/>
    <x v="2"/>
    <s v="CLFF_7210$$$2123GIT134"/>
    <s v="G000001446"/>
    <s v="G000001446"/>
    <s v="LFF (MDG-F)"/>
    <s v="2123GIT134"/>
    <m/>
    <b v="1"/>
    <x v="0"/>
    <x v="0"/>
    <d v="2025-10-28T00:00:00"/>
    <m/>
    <m/>
    <x v="1"/>
    <n v="33"/>
    <s v="Jay-R Lizardo"/>
    <m/>
  </r>
  <r>
    <x v="405"/>
    <x v="0"/>
    <x v="2"/>
    <s v="CLFF_7210$$$2123YIT004"/>
    <s v="G000001445"/>
    <s v="G000001445"/>
    <s v="LFF (MDG-F)"/>
    <s v="2123YIT004"/>
    <m/>
    <b v="1"/>
    <x v="0"/>
    <x v="0"/>
    <d v="2025-10-28T00:00:00"/>
    <m/>
    <m/>
    <x v="1"/>
    <n v="33"/>
    <s v="Jay-R Lizardo"/>
    <m/>
  </r>
  <r>
    <x v="405"/>
    <x v="0"/>
    <x v="2"/>
    <s v="CLFF_7210$$$2123YIT005"/>
    <s v="G000001445"/>
    <s v="G000001445"/>
    <s v="LFF (MDG-F)"/>
    <s v="2123YIT005"/>
    <m/>
    <b v="1"/>
    <x v="0"/>
    <x v="0"/>
    <d v="2025-10-28T00:00:00"/>
    <m/>
    <m/>
    <x v="1"/>
    <n v="33"/>
    <s v="Jay-R Lizardo"/>
    <m/>
  </r>
  <r>
    <x v="405"/>
    <x v="0"/>
    <x v="2"/>
    <s v="CLFF_1000$$$DE10YIT016"/>
    <s v="G000001448"/>
    <s v="G000001448"/>
    <s v="LFF (MDG-F)"/>
    <s v="DE10YIT016"/>
    <m/>
    <b v="1"/>
    <x v="0"/>
    <x v="0"/>
    <d v="2025-10-28T00:00:00"/>
    <m/>
    <m/>
    <x v="1"/>
    <n v="33"/>
    <s v="Jay-R Lizardo"/>
    <m/>
  </r>
  <r>
    <x v="405"/>
    <x v="0"/>
    <x v="2"/>
    <s v="CLFF_7210$$$2123YIT008"/>
    <s v="G000001448"/>
    <s v="G000001448"/>
    <s v="LFF (MDG-F)"/>
    <s v="2123YIT008"/>
    <m/>
    <b v="1"/>
    <x v="0"/>
    <x v="0"/>
    <d v="2025-10-28T00:00:00"/>
    <m/>
    <m/>
    <x v="1"/>
    <n v="33"/>
    <s v="Jay-R Lizardo"/>
    <m/>
  </r>
  <r>
    <x v="405"/>
    <x v="0"/>
    <x v="2"/>
    <s v="CTEMPEU_1000PL80GIT004"/>
    <s v="G000001448"/>
    <s v="G000001448"/>
    <s v="Non-LFF"/>
    <s v=""/>
    <m/>
    <b v="1"/>
    <x v="0"/>
    <x v="0"/>
    <d v="2025-10-28T00:00:00"/>
    <m/>
    <m/>
    <x v="1"/>
    <n v="33"/>
    <s v="Jay-R Lizardo"/>
    <m/>
  </r>
  <r>
    <x v="405"/>
    <x v="0"/>
    <x v="2"/>
    <s v="CLFF_7210$$$2123YIT009"/>
    <s v="G000001449"/>
    <s v="G000001449"/>
    <s v="LFF (MDG-F)"/>
    <s v="2123YIT009"/>
    <m/>
    <b v="1"/>
    <x v="0"/>
    <x v="0"/>
    <d v="2025-10-28T00:00:00"/>
    <m/>
    <m/>
    <x v="1"/>
    <n v="33"/>
    <s v="Jay-R Lizardo"/>
    <m/>
  </r>
  <r>
    <x v="405"/>
    <x v="0"/>
    <x v="2"/>
    <s v="CTEMPEU_1000PL80YIT002"/>
    <s v="G000001449"/>
    <s v="G000001449"/>
    <s v="Non-LFF"/>
    <s v=""/>
    <m/>
    <b v="1"/>
    <x v="0"/>
    <x v="0"/>
    <d v="2025-10-28T00:00:00"/>
    <m/>
    <m/>
    <x v="1"/>
    <n v="33"/>
    <s v="Jay-R Lizardo"/>
    <m/>
  </r>
  <r>
    <x v="406"/>
    <x v="0"/>
    <x v="2"/>
    <s v="CORAERP_MMOR1975.5919 MarCom Print"/>
    <s v="L000005366"/>
    <s v="L000005366"/>
    <s v="Non-LFF"/>
    <s v=""/>
    <m/>
    <b v="1"/>
    <x v="2"/>
    <x v="0"/>
    <d v="2025-10-28T00:00:00"/>
    <m/>
    <m/>
    <x v="1"/>
    <n v="33"/>
    <s v="Ruby Grace Garcia"/>
    <m/>
  </r>
  <r>
    <x v="406"/>
    <x v="0"/>
    <x v="2"/>
    <s v="CNOW_7210$$$0000020564 US Campaigns - Strat &amp; Seg Marketing"/>
    <s v="L000005366"/>
    <s v="L000005366"/>
    <s v="Non-LFF"/>
    <s v=""/>
    <m/>
    <b v="1"/>
    <x v="2"/>
    <x v="0"/>
    <d v="2025-10-28T00:00:00"/>
    <m/>
    <m/>
    <x v="1"/>
    <n v="33"/>
    <s v="Ruby Grace Garcia"/>
    <m/>
  </r>
  <r>
    <x v="406"/>
    <x v="0"/>
    <x v="2"/>
    <s v="CNOW_7210$$$0000021400 Pharma Analysis &amp; QC"/>
    <s v="L000005366"/>
    <s v="L000005366"/>
    <s v="Non-LFF"/>
    <s v=""/>
    <m/>
    <b v="1"/>
    <x v="2"/>
    <x v="0"/>
    <d v="2025-10-28T00:00:00"/>
    <m/>
    <m/>
    <x v="1"/>
    <n v="33"/>
    <s v="Ruby Grace Garcia"/>
    <m/>
  </r>
  <r>
    <x v="406"/>
    <x v="0"/>
    <x v="2"/>
    <s v="CNOW_7210$$$0000015308 DE RE Inbound-Schnelldorf"/>
    <s v="L000012340"/>
    <s v="L000012340"/>
    <s v="Non-LFF"/>
    <s v=""/>
    <m/>
    <b v="1"/>
    <x v="2"/>
    <x v="0"/>
    <d v="2025-10-28T00:00:00"/>
    <m/>
    <m/>
    <x v="1"/>
    <n v="33"/>
    <s v="Ruby Grace Garcia"/>
    <m/>
  </r>
  <r>
    <x v="407"/>
    <x v="0"/>
    <x v="2"/>
    <s v="ITEMPEU_003200004221 "/>
    <s v="L000011242"/>
    <s v="L000011242"/>
    <s v="Non-LFF"/>
    <s v=""/>
    <m/>
    <b v="1"/>
    <x v="2"/>
    <x v="0"/>
    <d v="2025-10-29T00:00:00"/>
    <m/>
    <m/>
    <x v="1"/>
    <n v="32"/>
    <s v="Ruby Grace Garcia"/>
    <m/>
  </r>
  <r>
    <x v="408"/>
    <x v="1"/>
    <x v="8"/>
    <s v="ITEMPEU_001700006137"/>
    <s v="H000004596"/>
    <m/>
    <s v="Non-LFF"/>
    <s v=""/>
    <m/>
    <b v="0"/>
    <x v="1"/>
    <x v="0"/>
    <d v="2025-10-24T00:00:00"/>
    <m/>
    <m/>
    <x v="1"/>
    <n v="35"/>
    <s v="Anna Glab"/>
    <m/>
  </r>
  <r>
    <x v="408"/>
    <x v="1"/>
    <x v="8"/>
    <s v="ITEMPEU_001700006138"/>
    <s v="H000004597"/>
    <m/>
    <s v="Non-LFF"/>
    <s v=""/>
    <m/>
    <b v="0"/>
    <x v="1"/>
    <x v="0"/>
    <d v="2025-10-24T00:00:00"/>
    <m/>
    <m/>
    <x v="1"/>
    <n v="35"/>
    <s v="Anna Glab"/>
    <m/>
  </r>
  <r>
    <x v="409"/>
    <x v="0"/>
    <x v="2"/>
    <s v="PLEAN_X310801AE5013201 SP CONG/EVENTS-AE-SHARED"/>
    <s v="H000002956"/>
    <s v="H000002956"/>
    <s v="Non-LFF"/>
    <s v=""/>
    <m/>
    <b v="1"/>
    <x v="1"/>
    <x v="0"/>
    <d v="2025-10-31T00:00:00"/>
    <m/>
    <m/>
    <x v="1"/>
    <n v="30"/>
    <s v="Niel Esto"/>
    <m/>
  </r>
  <r>
    <x v="409"/>
    <x v="0"/>
    <x v="2"/>
    <s v="PLEAN_X310801AE5030201 SP-REG-OTHER M&amp;S-ePIL Gulf"/>
    <s v="H000002954"/>
    <s v="H000002954"/>
    <s v="Non-LFF"/>
    <s v=""/>
    <m/>
    <b v="1"/>
    <x v="1"/>
    <x v="0"/>
    <d v="2025-10-31T00:00:00"/>
    <m/>
    <m/>
    <x v="1"/>
    <n v="30"/>
    <s v="Niel Esto"/>
    <m/>
  </r>
  <r>
    <x v="409"/>
    <x v="0"/>
    <x v="2"/>
    <s v="PLEAN_X310801ZA5010501 SP PROM MAT-ZA-NDD"/>
    <s v="H000000325"/>
    <s v="H000000325"/>
    <s v="Non-LFF"/>
    <s v=""/>
    <m/>
    <b v="1"/>
    <x v="1"/>
    <x v="0"/>
    <d v="2025-10-31T00:00:00"/>
    <m/>
    <m/>
    <x v="1"/>
    <n v="30"/>
    <s v="Niel Esto"/>
    <m/>
  </r>
  <r>
    <x v="409"/>
    <x v="0"/>
    <x v="2"/>
    <s v="PLEAN_X310801ZA5015505 SP PROM OTHERS-ZA-SHARED"/>
    <s v="H000000325"/>
    <s v="H000000325"/>
    <s v="Non-LFF"/>
    <s v=""/>
    <m/>
    <b v="1"/>
    <x v="1"/>
    <x v="0"/>
    <d v="2025-10-31T00:00:00"/>
    <m/>
    <m/>
    <x v="1"/>
    <n v="30"/>
    <s v="Niel Esto"/>
    <m/>
  </r>
  <r>
    <x v="409"/>
    <x v="0"/>
    <x v="4"/>
    <s v="CLFF_1000$$$EG50Z01000"/>
    <s v="H000000263"/>
    <s v="DFLTPGCOH_T-01_001777"/>
    <s v="LFF (MDG-F)"/>
    <s v="EG50Z01000"/>
    <m/>
    <b v="0"/>
    <x v="1"/>
    <x v="0"/>
    <d v="2025-10-31T00:00:00"/>
    <m/>
    <m/>
    <x v="1"/>
    <n v="30"/>
    <s v="Niel Esto"/>
    <m/>
  </r>
  <r>
    <x v="409"/>
    <x v="0"/>
    <x v="2"/>
    <s v="PLEAN_X310802ZA5022505 MED  NON R&amp;D-ZA-CME-CONSULTANT"/>
    <s v="H000000325"/>
    <s v="H000000325"/>
    <s v="Non-LFF"/>
    <s v=""/>
    <m/>
    <b v="1"/>
    <x v="1"/>
    <x v="0"/>
    <d v="2025-10-31T00:00:00"/>
    <m/>
    <m/>
    <x v="1"/>
    <n v="30"/>
    <s v="Niel Esto"/>
    <m/>
  </r>
  <r>
    <x v="409"/>
    <x v="0"/>
    <x v="2"/>
    <s v="PLEAN_X310201AE5015502 SP PROM OTHERS-EA-FERT"/>
    <s v="H000000277"/>
    <s v="H000000277"/>
    <s v="Non-LFF"/>
    <s v=""/>
    <m/>
    <b v="1"/>
    <x v="1"/>
    <x v="0"/>
    <d v="2025-10-31T00:00:00"/>
    <m/>
    <m/>
    <x v="1"/>
    <n v="30"/>
    <s v="Niel Esto"/>
    <m/>
  </r>
  <r>
    <x v="409"/>
    <x v="0"/>
    <x v="2"/>
    <s v="PLEAN_X310201ZA5010501 SP PROM MAT-ZA-FERT"/>
    <s v="H000000325"/>
    <s v="H000000325"/>
    <s v="Non-LFF"/>
    <s v=""/>
    <m/>
    <b v="1"/>
    <x v="1"/>
    <x v="0"/>
    <d v="2025-10-31T00:00:00"/>
    <m/>
    <m/>
    <x v="1"/>
    <n v="30"/>
    <s v="Niel Esto"/>
    <m/>
  </r>
  <r>
    <x v="409"/>
    <x v="0"/>
    <x v="2"/>
    <s v="PLEAN_X310201ZA5013501 SP COZA/EVENTS-ZA-FERT"/>
    <s v="H000000325"/>
    <s v="H000000325"/>
    <s v="Non-LFF"/>
    <s v=""/>
    <m/>
    <b v="1"/>
    <x v="1"/>
    <x v="0"/>
    <d v="2025-10-31T00:00:00"/>
    <m/>
    <m/>
    <x v="1"/>
    <n v="30"/>
    <s v="Niel Esto"/>
    <m/>
  </r>
  <r>
    <x v="409"/>
    <x v="0"/>
    <x v="2"/>
    <s v="PLEAN_X310301ZA5010501 SP PROM MAT-ZA-DIAB"/>
    <s v="H000000325"/>
    <s v="H000000325"/>
    <s v="Non-LFF"/>
    <s v=""/>
    <m/>
    <b v="1"/>
    <x v="1"/>
    <x v="0"/>
    <d v="2025-10-31T00:00:00"/>
    <m/>
    <m/>
    <x v="1"/>
    <n v="30"/>
    <s v="Niel Esto"/>
    <m/>
  </r>
  <r>
    <x v="409"/>
    <x v="0"/>
    <x v="2"/>
    <s v="PLEAN_X310301ZA5013502 SP COZA/EVENTS-ZA-DIAB"/>
    <s v="H000000325"/>
    <s v="H000000325"/>
    <s v="Non-LFF"/>
    <s v=""/>
    <m/>
    <b v="1"/>
    <x v="1"/>
    <x v="0"/>
    <d v="2025-10-31T00:00:00"/>
    <m/>
    <m/>
    <x v="1"/>
    <n v="30"/>
    <s v="Niel Esto"/>
    <m/>
  </r>
  <r>
    <x v="409"/>
    <x v="0"/>
    <x v="2"/>
    <s v="PLEAN_X310301ZA5015505 SP PROM OTHERS-ZA-DIAB"/>
    <s v="H000000325"/>
    <s v="H000000325"/>
    <s v="Non-LFF"/>
    <s v=""/>
    <m/>
    <b v="1"/>
    <x v="1"/>
    <x v="0"/>
    <d v="2025-10-31T00:00:00"/>
    <m/>
    <m/>
    <x v="1"/>
    <n v="30"/>
    <s v="Niel Esto"/>
    <m/>
  </r>
  <r>
    <x v="409"/>
    <x v="0"/>
    <x v="2"/>
    <s v="PLEAN_X310201ZA5015505 SP PROM OTHERS-ZA-FERT"/>
    <s v="H000000325"/>
    <s v="H000000325"/>
    <s v="Non-LFF"/>
    <s v=""/>
    <m/>
    <b v="1"/>
    <x v="1"/>
    <x v="0"/>
    <d v="2025-10-31T00:00:00"/>
    <m/>
    <m/>
    <x v="1"/>
    <n v="30"/>
    <s v="Niel Esto"/>
    <m/>
  </r>
  <r>
    <x v="409"/>
    <x v="0"/>
    <x v="2"/>
    <s v="PLEAN_X310172EG5023255 V8 Med Non R&amp;D-EG- Registration"/>
    <s v="H000002948"/>
    <s v="H000002948"/>
    <s v="Non-LFF"/>
    <s v=""/>
    <m/>
    <b v="1"/>
    <x v="1"/>
    <x v="0"/>
    <d v="2025-10-31T00:00:00"/>
    <m/>
    <m/>
    <x v="1"/>
    <n v="30"/>
    <s v="Niel Esto"/>
    <m/>
  </r>
  <r>
    <x v="409"/>
    <x v="0"/>
    <x v="2"/>
    <s v="PLEAN_X310201EG5010224 A4 Commercial-EG-Pro. material-Digital M"/>
    <s v="H000002944"/>
    <s v="H000002944"/>
    <s v="Non-LFF"/>
    <s v=""/>
    <m/>
    <b v="1"/>
    <x v="1"/>
    <x v="0"/>
    <d v="2025-10-31T00:00:00"/>
    <m/>
    <m/>
    <x v="1"/>
    <n v="30"/>
    <s v="Niel Esto"/>
    <m/>
  </r>
  <r>
    <x v="409"/>
    <x v="0"/>
    <x v="2"/>
    <s v="PLEAN_X310201EG5015222 A4 Commercial-EG-Other pro&amp;Adv-CRM &amp; IMS"/>
    <s v="H000002944"/>
    <s v="H000002944"/>
    <s v="Non-LFF"/>
    <s v=""/>
    <m/>
    <b v="1"/>
    <x v="1"/>
    <x v="0"/>
    <d v="2025-10-31T00:00:00"/>
    <m/>
    <m/>
    <x v="1"/>
    <n v="30"/>
    <s v="Niel Esto"/>
    <m/>
  </r>
  <r>
    <x v="409"/>
    <x v="0"/>
    <x v="2"/>
    <s v="PLEAN_X310301EG5015222 B4 Commercial-EG-Other pro&amp;Adv-CRM &amp; IMS"/>
    <s v="H000002944"/>
    <s v="H000002944"/>
    <s v="Non-LFF"/>
    <s v=""/>
    <m/>
    <b v="1"/>
    <x v="1"/>
    <x v="0"/>
    <d v="2025-10-31T00:00:00"/>
    <m/>
    <m/>
    <x v="1"/>
    <n v="30"/>
    <s v="Niel Esto"/>
    <m/>
  </r>
  <r>
    <x v="409"/>
    <x v="0"/>
    <x v="2"/>
    <s v="PLEAN_X310401EG5015222 A5 Commercial-EG-Other pro&amp;Adv-CRM &amp; IMS"/>
    <s v="H000002944"/>
    <s v="H000002944"/>
    <s v="Non-LFF"/>
    <s v=""/>
    <m/>
    <b v="1"/>
    <x v="1"/>
    <x v="0"/>
    <d v="2025-10-31T00:00:00"/>
    <m/>
    <m/>
    <x v="1"/>
    <n v="30"/>
    <s v="Niel Esto"/>
    <m/>
  </r>
  <r>
    <x v="409"/>
    <x v="0"/>
    <x v="2"/>
    <s v="PLEAN_X310511EG5015222 B3 Commercial-EG-Other pro&amp;Adv-CRM &amp; IMS"/>
    <s v="H000002944"/>
    <s v="H000002944"/>
    <s v="Non-LFF"/>
    <s v=""/>
    <m/>
    <b v="1"/>
    <x v="1"/>
    <x v="0"/>
    <d v="2025-10-31T00:00:00"/>
    <m/>
    <m/>
    <x v="1"/>
    <n v="30"/>
    <s v="Niel Esto"/>
    <m/>
  </r>
  <r>
    <x v="409"/>
    <x v="0"/>
    <x v="2"/>
    <s v="PLEAN_X310112EG5020205 59 Other Oncology Medical Non R&amp;D-Egypt-"/>
    <s v="H000002948"/>
    <s v="H000002948"/>
    <s v="Non-LFF"/>
    <s v=""/>
    <m/>
    <b v="1"/>
    <x v="1"/>
    <x v="0"/>
    <d v="2025-10-31T00:00:00"/>
    <m/>
    <m/>
    <x v="1"/>
    <n v="30"/>
    <s v="Niel Esto"/>
    <m/>
  </r>
  <r>
    <x v="409"/>
    <x v="0"/>
    <x v="2"/>
    <s v="PLEAN_X310201EG5010230 A4 Commercial-EG-Pro. material-Brand R"/>
    <s v="H000002944"/>
    <s v="H000002944"/>
    <s v="Non-LFF"/>
    <s v=""/>
    <m/>
    <b v="1"/>
    <x v="1"/>
    <x v="0"/>
    <d v="2025-10-31T00:00:00"/>
    <m/>
    <m/>
    <x v="1"/>
    <n v="30"/>
    <s v="Niel Esto"/>
    <m/>
  </r>
  <r>
    <x v="410"/>
    <x v="0"/>
    <x v="2"/>
    <s v="PLEAN_X310181DK5030201 Bavencio Commercial DK50 Other M&amp;S Regis"/>
    <s v="H000000218"/>
    <s v="H000000218"/>
    <s v="Non-LFF"/>
    <s v=""/>
    <m/>
    <b v="1"/>
    <x v="1"/>
    <x v="0"/>
    <d v="2025-10-31T00:00:00"/>
    <m/>
    <m/>
    <x v="1"/>
    <n v="30"/>
    <s v="Rayneil Reas"/>
    <m/>
  </r>
  <r>
    <x v="410"/>
    <x v="0"/>
    <x v="2"/>
    <s v="PLEAN_X310182NO5022201 Bavencio Medical Non R&amp;D NO50 Medical Co"/>
    <s v="H000000233"/>
    <s v="H000000233"/>
    <s v="Non-LFF"/>
    <s v=""/>
    <m/>
    <b v="1"/>
    <x v="1"/>
    <x v="0"/>
    <d v="2025-10-31T00:00:00"/>
    <m/>
    <m/>
    <x v="1"/>
    <n v="30"/>
    <s v="Rayneil Reas"/>
    <m/>
  </r>
  <r>
    <x v="410"/>
    <x v="0"/>
    <x v="2"/>
    <s v="PLEAN_X310941DK5030201 Tepmetko Commercial DK50 Other M&amp;S Regis"/>
    <s v="H000000218"/>
    <s v="H000000218"/>
    <s v="Non-LFF"/>
    <s v=""/>
    <m/>
    <b v="1"/>
    <x v="1"/>
    <x v="0"/>
    <d v="2025-10-31T00:00:00"/>
    <m/>
    <m/>
    <x v="1"/>
    <n v="30"/>
    <s v="Rayneil Reas"/>
    <m/>
  </r>
  <r>
    <x v="410"/>
    <x v="0"/>
    <x v="2"/>
    <s v="PLEAN_X310941FI5013201 Tepmetko Commercial FI50 Congress &amp; Even"/>
    <s v="H000000220"/>
    <s v="H000000220"/>
    <s v="Non-LFF"/>
    <s v=""/>
    <m/>
    <b v="1"/>
    <x v="1"/>
    <x v="0"/>
    <d v="2025-10-31T00:00:00"/>
    <m/>
    <m/>
    <x v="1"/>
    <n v="30"/>
    <s v="Rayneil Reas"/>
    <m/>
  </r>
  <r>
    <x v="410"/>
    <x v="0"/>
    <x v="2"/>
    <s v="PLEAN_X310941FI5015201 Tepmetko Commercial FI50 Other Promo and"/>
    <s v="H000000220"/>
    <s v="H000000220"/>
    <s v="Non-LFF"/>
    <s v=""/>
    <m/>
    <b v="1"/>
    <x v="1"/>
    <x v="0"/>
    <d v="2025-10-31T00:00:00"/>
    <m/>
    <m/>
    <x v="1"/>
    <n v="30"/>
    <s v="Rayneil Reas"/>
    <m/>
  </r>
  <r>
    <x v="410"/>
    <x v="0"/>
    <x v="2"/>
    <s v="CSCALA_1872$100_C05"/>
    <s v="H000000224"/>
    <s v="H000000224"/>
    <s v="Non-LFF"/>
    <s v=""/>
    <m/>
    <b v="1"/>
    <x v="1"/>
    <x v="0"/>
    <d v="2025-10-31T00:00:00"/>
    <m/>
    <m/>
    <x v="1"/>
    <n v="30"/>
    <s v="Rayneil Reas"/>
    <m/>
  </r>
  <r>
    <x v="410"/>
    <x v="0"/>
    <x v="2"/>
    <s v="CSCALA_1872$70_C56"/>
    <s v="H000000224"/>
    <s v="H000000224"/>
    <s v="Non-LFF"/>
    <s v=""/>
    <m/>
    <b v="1"/>
    <x v="1"/>
    <x v="0"/>
    <d v="2025-10-31T00:00:00"/>
    <m/>
    <m/>
    <x v="1"/>
    <n v="30"/>
    <s v="Rayneil Reas"/>
    <m/>
  </r>
  <r>
    <x v="410"/>
    <x v="0"/>
    <x v="2"/>
    <s v="PLEAN_X310201DK5030201 Fertility Commercial DK50 Other M&amp;S Regi"/>
    <s v="H000000218"/>
    <s v="H000000218"/>
    <s v="Non-LFF"/>
    <s v=""/>
    <m/>
    <b v="1"/>
    <x v="1"/>
    <x v="0"/>
    <d v="2025-10-31T00:00:00"/>
    <m/>
    <m/>
    <x v="1"/>
    <n v="30"/>
    <s v="Rayneil Reas"/>
    <m/>
  </r>
  <r>
    <x v="410"/>
    <x v="0"/>
    <x v="2"/>
    <s v="PLEAN_X310201NO5010201 Fertility Commercial NO50 Promo Material"/>
    <s v="H000000233"/>
    <s v="H000000233"/>
    <s v="Non-LFF"/>
    <s v=""/>
    <m/>
    <b v="1"/>
    <x v="1"/>
    <x v="0"/>
    <d v="2025-10-31T00:00:00"/>
    <m/>
    <m/>
    <x v="1"/>
    <n v="30"/>
    <s v="Rayneil Reas"/>
    <m/>
  </r>
  <r>
    <x v="410"/>
    <x v="0"/>
    <x v="2"/>
    <s v="PLEAN_X310511DK5030201 Mavenclad Commercial DK50 Other M&amp;S Regi"/>
    <s v="H000000218"/>
    <s v="H000000218"/>
    <s v="Non-LFF"/>
    <s v=""/>
    <m/>
    <b v="1"/>
    <x v="1"/>
    <x v="0"/>
    <d v="2025-10-31T00:00:00"/>
    <m/>
    <m/>
    <x v="1"/>
    <n v="30"/>
    <s v="Rayneil Reas"/>
    <m/>
  </r>
  <r>
    <x v="410"/>
    <x v="0"/>
    <x v="2"/>
    <s v="PLEAN_X310511EE5010201 Mavenclad Commercial EE50 Promo Material"/>
    <s v="H000000219"/>
    <s v="H000000219"/>
    <s v="Non-LFF"/>
    <s v=""/>
    <m/>
    <b v="1"/>
    <x v="1"/>
    <x v="0"/>
    <d v="2025-10-31T00:00:00"/>
    <m/>
    <m/>
    <x v="1"/>
    <n v="30"/>
    <s v="Rayneil Reas"/>
    <m/>
  </r>
  <r>
    <x v="410"/>
    <x v="0"/>
    <x v="2"/>
    <s v="PLEAN_X310181CZ5011201 Bavencio Commercial CZ50 Advertising Gen"/>
    <s v="H000002141"/>
    <s v="H000002141"/>
    <s v="Non-LFF"/>
    <s v=""/>
    <m/>
    <b v="1"/>
    <x v="1"/>
    <x v="0"/>
    <d v="2025-10-31T00:00:00"/>
    <m/>
    <m/>
    <x v="1"/>
    <n v="30"/>
    <s v="Rayneil Reas"/>
    <m/>
  </r>
  <r>
    <x v="410"/>
    <x v="0"/>
    <x v="2"/>
    <s v="PLEAN_X310941CZ5015205 Tepmetko Commercial CZ50 Other Promo and"/>
    <s v="H000002141"/>
    <s v="H000002141"/>
    <s v="Non-LFF"/>
    <s v=""/>
    <m/>
    <b v="1"/>
    <x v="1"/>
    <x v="0"/>
    <d v="2025-10-31T00:00:00"/>
    <m/>
    <m/>
    <x v="1"/>
    <n v="30"/>
    <s v="Rayneil Reas"/>
    <m/>
  </r>
  <r>
    <x v="410"/>
    <x v="0"/>
    <x v="2"/>
    <s v="PLEAN_X310942CZ5020202 Tepmetko Medical Non R&amp;D CZ50 Medical Ed"/>
    <s v="H000002141"/>
    <s v="H000002141"/>
    <s v="Non-LFF"/>
    <s v=""/>
    <m/>
    <b v="1"/>
    <x v="1"/>
    <x v="0"/>
    <d v="2025-10-31T00:00:00"/>
    <m/>
    <m/>
    <x v="1"/>
    <n v="30"/>
    <s v="Rayneil Reas"/>
    <m/>
  </r>
  <r>
    <x v="410"/>
    <x v="0"/>
    <x v="2"/>
    <s v="PLEAN_X370132AT5023200 RG Ezmekly Medical activities"/>
    <s v="H000004524"/>
    <s v="H000004524"/>
    <s v="Non-LFF"/>
    <s v=""/>
    <m/>
    <b v="1"/>
    <x v="1"/>
    <x v="0"/>
    <d v="2025-10-31T00:00:00"/>
    <m/>
    <m/>
    <x v="1"/>
    <n v="30"/>
    <s v="Rayneil Reas"/>
    <m/>
  </r>
  <r>
    <x v="410"/>
    <x v="0"/>
    <x v="2"/>
    <s v="CSCALA_1759$GHTE"/>
    <s v="H000003613"/>
    <s v="H000003613"/>
    <s v="Non-LFF"/>
    <s v=""/>
    <m/>
    <b v="1"/>
    <x v="1"/>
    <x v="0"/>
    <d v="2025-10-31T00:00:00"/>
    <m/>
    <m/>
    <x v="1"/>
    <n v="30"/>
    <s v="Rayneil Reas"/>
    <m/>
  </r>
  <r>
    <x v="410"/>
    <x v="0"/>
    <x v="2"/>
    <s v="CSCALA_1759$E352"/>
    <s v="H000003613"/>
    <s v="H000003613"/>
    <s v="Non-LFF"/>
    <s v=""/>
    <m/>
    <b v="1"/>
    <x v="1"/>
    <x v="0"/>
    <d v="2025-10-31T00:00:00"/>
    <m/>
    <m/>
    <x v="1"/>
    <n v="30"/>
    <s v="Rayneil Reas"/>
    <m/>
  </r>
  <r>
    <x v="410"/>
    <x v="0"/>
    <x v="2"/>
    <s v="CSCALA_1759$E353"/>
    <s v="H000003613"/>
    <s v="H000003613"/>
    <s v="Non-LFF"/>
    <s v=""/>
    <m/>
    <b v="1"/>
    <x v="1"/>
    <x v="0"/>
    <d v="2025-10-31T00:00:00"/>
    <m/>
    <m/>
    <x v="1"/>
    <n v="30"/>
    <s v="Rayneil Reas"/>
    <m/>
  </r>
  <r>
    <x v="410"/>
    <x v="0"/>
    <x v="2"/>
    <s v="CSCALA_1759$E354"/>
    <s v="H000003613"/>
    <s v="H000003613"/>
    <s v="Non-LFF"/>
    <s v=""/>
    <m/>
    <b v="1"/>
    <x v="1"/>
    <x v="0"/>
    <d v="2025-10-31T00:00:00"/>
    <m/>
    <m/>
    <x v="1"/>
    <n v="30"/>
    <s v="Rayneil Reas"/>
    <m/>
  </r>
  <r>
    <x v="410"/>
    <x v="0"/>
    <x v="2"/>
    <s v="CSCALA_1759$E355"/>
    <s v="H000003613"/>
    <s v="H000003613"/>
    <s v="Non-LFF"/>
    <s v=""/>
    <m/>
    <b v="1"/>
    <x v="1"/>
    <x v="0"/>
    <d v="2025-10-31T00:00:00"/>
    <m/>
    <m/>
    <x v="1"/>
    <n v="30"/>
    <s v="Rayneil Reas"/>
    <m/>
  </r>
  <r>
    <x v="410"/>
    <x v="0"/>
    <x v="2"/>
    <s v="CSCALA_1759$E356"/>
    <s v="H000003613"/>
    <s v="H000003613"/>
    <s v="Non-LFF"/>
    <s v=""/>
    <m/>
    <b v="1"/>
    <x v="1"/>
    <x v="0"/>
    <d v="2025-10-31T00:00:00"/>
    <m/>
    <m/>
    <x v="1"/>
    <n v="30"/>
    <s v="Rayneil Reas"/>
    <m/>
  </r>
  <r>
    <x v="410"/>
    <x v="0"/>
    <x v="2"/>
    <s v="CSCALA_1759$E357"/>
    <s v="H000003613"/>
    <s v="H000003613"/>
    <s v="Non-LFF"/>
    <s v=""/>
    <m/>
    <b v="1"/>
    <x v="1"/>
    <x v="0"/>
    <d v="2025-10-31T00:00:00"/>
    <m/>
    <m/>
    <x v="1"/>
    <n v="30"/>
    <s v="Rayneil Reas"/>
    <m/>
  </r>
  <r>
    <x v="410"/>
    <x v="0"/>
    <x v="2"/>
    <s v="CSCALA_1759$E358"/>
    <s v="H000003613"/>
    <s v="H000003613"/>
    <s v="Non-LFF"/>
    <s v=""/>
    <m/>
    <b v="1"/>
    <x v="1"/>
    <x v="0"/>
    <d v="2025-10-31T00:00:00"/>
    <m/>
    <m/>
    <x v="1"/>
    <n v="30"/>
    <s v="Rayneil Reas"/>
    <m/>
  </r>
  <r>
    <x v="410"/>
    <x v="0"/>
    <x v="2"/>
    <s v="CSCALA_1759$E359"/>
    <s v="H000003613"/>
    <s v="H000003613"/>
    <s v="Non-LFF"/>
    <s v=""/>
    <m/>
    <b v="1"/>
    <x v="1"/>
    <x v="0"/>
    <d v="2025-10-31T00:00:00"/>
    <m/>
    <m/>
    <x v="1"/>
    <n v="30"/>
    <s v="Rayneil Reas"/>
    <m/>
  </r>
  <r>
    <x v="410"/>
    <x v="0"/>
    <x v="2"/>
    <s v="CSCALA_1759$E360"/>
    <s v="H000003613"/>
    <s v="H000003613"/>
    <s v="Non-LFF"/>
    <s v=""/>
    <m/>
    <b v="1"/>
    <x v="1"/>
    <x v="0"/>
    <d v="2025-10-31T00:00:00"/>
    <m/>
    <m/>
    <x v="1"/>
    <n v="30"/>
    <s v="Rayneil Reas"/>
    <m/>
  </r>
  <r>
    <x v="410"/>
    <x v="0"/>
    <x v="2"/>
    <s v="CSCALA_1759$E361"/>
    <s v="H000003613"/>
    <s v="H000003613"/>
    <s v="Non-LFF"/>
    <s v=""/>
    <m/>
    <b v="1"/>
    <x v="1"/>
    <x v="0"/>
    <d v="2025-10-31T00:00:00"/>
    <m/>
    <m/>
    <x v="1"/>
    <n v="30"/>
    <s v="Rayneil Reas"/>
    <m/>
  </r>
  <r>
    <x v="410"/>
    <x v="0"/>
    <x v="2"/>
    <s v="CSCALA_1759$E362"/>
    <s v="H000003613"/>
    <s v="H000003613"/>
    <s v="Non-LFF"/>
    <s v=""/>
    <m/>
    <b v="1"/>
    <x v="1"/>
    <x v="0"/>
    <d v="2025-10-31T00:00:00"/>
    <m/>
    <m/>
    <x v="1"/>
    <n v="30"/>
    <s v="Rayneil Reas"/>
    <m/>
  </r>
  <r>
    <x v="410"/>
    <x v="0"/>
    <x v="2"/>
    <s v="CSCALA_1759$E363"/>
    <s v="H000003613"/>
    <s v="H000003613"/>
    <s v="Non-LFF"/>
    <s v=""/>
    <m/>
    <b v="1"/>
    <x v="1"/>
    <x v="0"/>
    <d v="2025-10-31T00:00:00"/>
    <m/>
    <m/>
    <x v="1"/>
    <n v="30"/>
    <s v="Rayneil Reas"/>
    <m/>
  </r>
  <r>
    <x v="410"/>
    <x v="0"/>
    <x v="2"/>
    <s v="CSCALA_1759$E364"/>
    <s v="H000003613"/>
    <s v="H000003613"/>
    <s v="Non-LFF"/>
    <s v=""/>
    <m/>
    <b v="1"/>
    <x v="1"/>
    <x v="0"/>
    <d v="2025-10-31T00:00:00"/>
    <m/>
    <m/>
    <x v="1"/>
    <n v="30"/>
    <s v="Rayneil Reas"/>
    <m/>
  </r>
  <r>
    <x v="410"/>
    <x v="0"/>
    <x v="2"/>
    <s v="CSCALA_1759$E365"/>
    <s v="H000003613"/>
    <s v="H000003613"/>
    <s v="Non-LFF"/>
    <s v=""/>
    <m/>
    <b v="1"/>
    <x v="1"/>
    <x v="0"/>
    <d v="2025-10-31T00:00:00"/>
    <m/>
    <m/>
    <x v="1"/>
    <n v="30"/>
    <s v="Rayneil Reas"/>
    <m/>
  </r>
  <r>
    <x v="410"/>
    <x v="0"/>
    <x v="2"/>
    <s v="CSCALA_1759$E366"/>
    <s v="H000003613"/>
    <s v="H000003613"/>
    <s v="Non-LFF"/>
    <s v=""/>
    <m/>
    <b v="1"/>
    <x v="1"/>
    <x v="0"/>
    <d v="2025-10-31T00:00:00"/>
    <m/>
    <m/>
    <x v="1"/>
    <n v="30"/>
    <s v="Rayneil Reas"/>
    <m/>
  </r>
  <r>
    <x v="410"/>
    <x v="0"/>
    <x v="2"/>
    <s v="CSCALA_1759$O454"/>
    <s v="H000003613"/>
    <s v="H000003613"/>
    <s v="Non-LFF"/>
    <s v=""/>
    <m/>
    <b v="1"/>
    <x v="1"/>
    <x v="0"/>
    <d v="2025-10-31T00:00:00"/>
    <m/>
    <m/>
    <x v="1"/>
    <n v="30"/>
    <s v="Rayneil Reas"/>
    <m/>
  </r>
  <r>
    <x v="410"/>
    <x v="0"/>
    <x v="2"/>
    <s v="CSCALA_1759$O633"/>
    <s v="H000003613"/>
    <s v="H000003613"/>
    <s v="Non-LFF"/>
    <s v=""/>
    <m/>
    <b v="1"/>
    <x v="1"/>
    <x v="0"/>
    <d v="2025-10-31T00:00:00"/>
    <m/>
    <m/>
    <x v="1"/>
    <n v="30"/>
    <s v="Rayneil Reas"/>
    <m/>
  </r>
  <r>
    <x v="410"/>
    <x v="0"/>
    <x v="2"/>
    <s v="CSCALA_1759$R111"/>
    <s v="H000003613"/>
    <s v="H000003613"/>
    <s v="Non-LFF"/>
    <s v=""/>
    <m/>
    <b v="1"/>
    <x v="1"/>
    <x v="0"/>
    <d v="2025-10-31T00:00:00"/>
    <m/>
    <m/>
    <x v="1"/>
    <n v="30"/>
    <s v="Rayneil Reas"/>
    <m/>
  </r>
  <r>
    <x v="410"/>
    <x v="0"/>
    <x v="2"/>
    <s v="CSCALA_1759$R112"/>
    <s v="H000003613"/>
    <s v="H000003613"/>
    <s v="Non-LFF"/>
    <s v=""/>
    <m/>
    <b v="1"/>
    <x v="1"/>
    <x v="0"/>
    <d v="2025-10-31T00:00:00"/>
    <m/>
    <m/>
    <x v="1"/>
    <n v="30"/>
    <s v="Rayneil Reas"/>
    <m/>
  </r>
  <r>
    <x v="410"/>
    <x v="0"/>
    <x v="2"/>
    <s v="CSCALA_1759$R113"/>
    <s v="H000003613"/>
    <s v="H000003613"/>
    <s v="Non-LFF"/>
    <s v=""/>
    <m/>
    <b v="1"/>
    <x v="1"/>
    <x v="0"/>
    <d v="2025-10-31T00:00:00"/>
    <m/>
    <m/>
    <x v="1"/>
    <n v="30"/>
    <s v="Rayneil Reas"/>
    <m/>
  </r>
  <r>
    <x v="410"/>
    <x v="0"/>
    <x v="2"/>
    <s v="CSCALA_1759$E351"/>
    <s v="H000003613"/>
    <s v="H000003613"/>
    <s v="Non-LFF"/>
    <s v=""/>
    <m/>
    <b v="1"/>
    <x v="1"/>
    <x v="0"/>
    <d v="2025-10-31T00:00:00"/>
    <m/>
    <m/>
    <x v="1"/>
    <n v="30"/>
    <s v="Rayneil Reas"/>
    <m/>
  </r>
  <r>
    <x v="410"/>
    <x v="0"/>
    <x v="2"/>
    <s v="CSCALA_1759$F916"/>
    <s v="H000003613"/>
    <s v="H000003613"/>
    <s v="Non-LFF"/>
    <s v=""/>
    <m/>
    <b v="1"/>
    <x v="1"/>
    <x v="0"/>
    <d v="2025-10-31T00:00:00"/>
    <m/>
    <m/>
    <x v="1"/>
    <n v="30"/>
    <s v="Rayneil Reas"/>
    <m/>
  </r>
  <r>
    <x v="410"/>
    <x v="0"/>
    <x v="2"/>
    <s v="CSCALA_1759$C218"/>
    <s v="H000003613"/>
    <s v="H000003613"/>
    <s v="Non-LFF"/>
    <s v=""/>
    <m/>
    <b v="1"/>
    <x v="1"/>
    <x v="0"/>
    <d v="2025-10-31T00:00:00"/>
    <m/>
    <m/>
    <x v="1"/>
    <n v="30"/>
    <s v="Rayneil Reas"/>
    <m/>
  </r>
  <r>
    <x v="410"/>
    <x v="0"/>
    <x v="2"/>
    <s v="CSCALA_1759$HACH"/>
    <s v="H000003613"/>
    <s v="H000003613"/>
    <s v="Non-LFF"/>
    <s v=""/>
    <m/>
    <b v="1"/>
    <x v="1"/>
    <x v="0"/>
    <d v="2025-10-31T00:00:00"/>
    <m/>
    <m/>
    <x v="1"/>
    <n v="30"/>
    <s v="Rayneil Reas"/>
    <m/>
  </r>
  <r>
    <x v="410"/>
    <x v="0"/>
    <x v="2"/>
    <s v="CSCALA_1759$RADI"/>
    <s v="H000003613"/>
    <s v="H000003613"/>
    <s v="Non-LFF"/>
    <s v=""/>
    <m/>
    <b v="1"/>
    <x v="1"/>
    <x v="0"/>
    <d v="2025-10-31T00:00:00"/>
    <m/>
    <m/>
    <x v="1"/>
    <n v="30"/>
    <s v="Rayneil Reas"/>
    <m/>
  </r>
  <r>
    <x v="410"/>
    <x v="0"/>
    <x v="2"/>
    <s v="CSCALA_1759$R109"/>
    <s v="H000003613"/>
    <s v="H000003613"/>
    <s v="Non-LFF"/>
    <s v=""/>
    <m/>
    <b v="1"/>
    <x v="1"/>
    <x v="0"/>
    <d v="2025-10-31T00:00:00"/>
    <m/>
    <m/>
    <x v="1"/>
    <n v="30"/>
    <s v="Rayneil Reas"/>
    <m/>
  </r>
  <r>
    <x v="410"/>
    <x v="0"/>
    <x v="2"/>
    <s v="CSCALA_1759$R110"/>
    <s v="H000003613"/>
    <s v="H000003613"/>
    <s v="Non-LFF"/>
    <s v=""/>
    <m/>
    <b v="1"/>
    <x v="1"/>
    <x v="0"/>
    <d v="2025-10-31T00:00:00"/>
    <m/>
    <m/>
    <x v="1"/>
    <n v="30"/>
    <s v="Rayneil Reas"/>
    <m/>
  </r>
  <r>
    <x v="410"/>
    <x v="0"/>
    <x v="2"/>
    <s v="PLEAN_X310201CH7613200 FER COM Consultancy (inkl. Adboards)"/>
    <s v="H000001998"/>
    <s v="H000001998"/>
    <s v="Non-LFF"/>
    <s v=""/>
    <m/>
    <b v="1"/>
    <x v="1"/>
    <x v="0"/>
    <d v="2025-10-31T00:00:00"/>
    <m/>
    <m/>
    <x v="1"/>
    <n v="30"/>
    <s v="Rayneil Reas"/>
    <m/>
  </r>
  <r>
    <x v="410"/>
    <x v="0"/>
    <x v="2"/>
    <s v="PLEAN_X310401CZ5015205 Saizen Commercial CZ50 Other Promo and A"/>
    <s v="H000002141"/>
    <s v="H000002141"/>
    <s v="Non-LFF"/>
    <s v=""/>
    <m/>
    <b v="1"/>
    <x v="1"/>
    <x v="0"/>
    <d v="2025-10-31T00:00:00"/>
    <m/>
    <m/>
    <x v="1"/>
    <n v="30"/>
    <s v="Rayneil Reas"/>
    <m/>
  </r>
  <r>
    <x v="410"/>
    <x v="0"/>
    <x v="2"/>
    <s v="PLEAN_X310511CZ5015205 Mavenclad Commercial CZ50 Other Promo an"/>
    <s v="H000002141"/>
    <s v="H000002141"/>
    <s v="Non-LFF"/>
    <s v=""/>
    <m/>
    <b v="1"/>
    <x v="1"/>
    <x v="0"/>
    <d v="2025-10-31T00:00:00"/>
    <m/>
    <m/>
    <x v="1"/>
    <n v="30"/>
    <s v="Rayneil Reas"/>
    <m/>
  </r>
  <r>
    <x v="411"/>
    <x v="0"/>
    <x v="2"/>
    <s v="CLFF_1000$$$CH01GFO001"/>
    <s v="G000000631"/>
    <s v="G000000631"/>
    <s v="LFF (MDG-F)"/>
    <s v="CH01GFO001"/>
    <m/>
    <b v="1"/>
    <x v="0"/>
    <x v="0"/>
    <d v="2025-10-31T00:00:00"/>
    <m/>
    <m/>
    <x v="1"/>
    <n v="30"/>
    <s v="Jojeff Tagnong"/>
    <m/>
  </r>
  <r>
    <x v="411"/>
    <x v="0"/>
    <x v="2"/>
    <s v="CLFF_1000$$$CH50GIT040"/>
    <s v="G000000631"/>
    <s v="G000000631"/>
    <s v="LFF (MDG-F)"/>
    <s v="CH50GIT040"/>
    <m/>
    <b v="1"/>
    <x v="0"/>
    <x v="0"/>
    <d v="2025-10-31T00:00:00"/>
    <m/>
    <m/>
    <x v="1"/>
    <n v="30"/>
    <s v="Jojeff Tagnong"/>
    <m/>
  </r>
  <r>
    <x v="411"/>
    <x v="0"/>
    <x v="2"/>
    <s v="CLFF_1000$$$CH50GM2100"/>
    <s v="G000000631"/>
    <s v="G000000631"/>
    <s v="LFF (MDG-F)"/>
    <s v="CH50GM2100"/>
    <m/>
    <b v="1"/>
    <x v="0"/>
    <x v="0"/>
    <d v="2025-10-31T00:00:00"/>
    <m/>
    <m/>
    <x v="1"/>
    <n v="30"/>
    <s v="Jojeff Tagnong"/>
    <m/>
  </r>
  <r>
    <x v="411"/>
    <x v="0"/>
    <x v="2"/>
    <s v="CLFF_1000$$$CH50GM2200"/>
    <s v="G000000631"/>
    <s v="G000000631"/>
    <s v="LFF (MDG-F)"/>
    <s v="CH50GM2200"/>
    <m/>
    <b v="1"/>
    <x v="0"/>
    <x v="0"/>
    <d v="2025-10-31T00:00:00"/>
    <m/>
    <m/>
    <x v="1"/>
    <n v="30"/>
    <s v="Jojeff Tagnong"/>
    <m/>
  </r>
  <r>
    <x v="411"/>
    <x v="0"/>
    <x v="2"/>
    <s v="CLFF_1000$$$CH50GM2201"/>
    <s v="G000000631"/>
    <s v="G000000631"/>
    <s v="LFF (MDG-F)"/>
    <s v="CH50GM2201"/>
    <m/>
    <b v="1"/>
    <x v="0"/>
    <x v="0"/>
    <d v="2025-10-31T00:00:00"/>
    <m/>
    <m/>
    <x v="1"/>
    <n v="30"/>
    <s v="Jojeff Tagnong"/>
    <m/>
  </r>
  <r>
    <x v="411"/>
    <x v="0"/>
    <x v="2"/>
    <s v="CLFF_1000$$$CH50L98043"/>
    <s v="G000000631"/>
    <s v="G000000631"/>
    <s v="LFF (MDG-F)"/>
    <s v="CH50L98043"/>
    <m/>
    <b v="1"/>
    <x v="0"/>
    <x v="0"/>
    <d v="2025-10-31T00:00:00"/>
    <m/>
    <m/>
    <x v="1"/>
    <n v="30"/>
    <s v="Jojeff Tagnong"/>
    <m/>
  </r>
  <r>
    <x v="411"/>
    <x v="0"/>
    <x v="2"/>
    <s v="CLFF_1000$$$CH65GIT022"/>
    <s v="G000000631"/>
    <s v="G000000631"/>
    <s v="LFF (MDG-F)"/>
    <s v="CH65GIT022"/>
    <m/>
    <b v="1"/>
    <x v="0"/>
    <x v="0"/>
    <d v="2025-10-31T00:00:00"/>
    <m/>
    <m/>
    <x v="1"/>
    <n v="30"/>
    <s v="Jojeff Tagnong"/>
    <m/>
  </r>
  <r>
    <x v="411"/>
    <x v="0"/>
    <x v="2"/>
    <s v="CLFF_1000$$$CH65GM2100"/>
    <s v="G000000631"/>
    <s v="G000000631"/>
    <s v="LFF (MDG-F)"/>
    <s v="CH65GM2100"/>
    <m/>
    <b v="1"/>
    <x v="0"/>
    <x v="0"/>
    <d v="2025-10-31T00:00:00"/>
    <m/>
    <m/>
    <x v="1"/>
    <n v="30"/>
    <s v="Jojeff Tagnong"/>
    <m/>
  </r>
  <r>
    <x v="411"/>
    <x v="0"/>
    <x v="2"/>
    <s v="CLFF_1000$$$CH65GM2201"/>
    <s v="G000000631"/>
    <s v="G000000631"/>
    <s v="LFF (MDG-F)"/>
    <s v="CH65GM2201"/>
    <m/>
    <b v="1"/>
    <x v="0"/>
    <x v="0"/>
    <d v="2025-10-31T00:00:00"/>
    <m/>
    <m/>
    <x v="1"/>
    <n v="30"/>
    <s v="Jojeff Tagnong"/>
    <m/>
  </r>
  <r>
    <x v="411"/>
    <x v="0"/>
    <x v="2"/>
    <s v="CLFF_1000$$$CH65GM4100"/>
    <s v="G000000631"/>
    <s v="G000000631"/>
    <s v="LFF (MDG-F)"/>
    <s v="CH65GM4100"/>
    <m/>
    <b v="1"/>
    <x v="0"/>
    <x v="0"/>
    <d v="2025-10-31T00:00:00"/>
    <m/>
    <m/>
    <x v="1"/>
    <n v="30"/>
    <s v="Jojeff Tagnong"/>
    <m/>
  </r>
  <r>
    <x v="411"/>
    <x v="0"/>
    <x v="2"/>
    <s v="CLFF_1000$$$CH75GIT040"/>
    <s v="G000000631"/>
    <s v="G000000631"/>
    <s v="LFF (MDG-F)"/>
    <s v="CH75GIT040"/>
    <m/>
    <b v="1"/>
    <x v="0"/>
    <x v="0"/>
    <d v="2025-10-31T00:00:00"/>
    <m/>
    <m/>
    <x v="1"/>
    <n v="30"/>
    <s v="Jojeff Tagnong"/>
    <m/>
  </r>
  <r>
    <x v="411"/>
    <x v="0"/>
    <x v="2"/>
    <s v="CLFF_1000$$$CH75GM2100"/>
    <s v="G000000631"/>
    <s v="G000000631"/>
    <s v="LFF (MDG-F)"/>
    <s v="CH75GM2100"/>
    <m/>
    <b v="1"/>
    <x v="0"/>
    <x v="0"/>
    <d v="2025-10-31T00:00:00"/>
    <m/>
    <m/>
    <x v="1"/>
    <n v="30"/>
    <s v="Jojeff Tagnong"/>
    <m/>
  </r>
  <r>
    <x v="411"/>
    <x v="0"/>
    <x v="2"/>
    <s v="CLFF_1000$$$CH75GM2200"/>
    <s v="G000000631"/>
    <s v="G000000631"/>
    <s v="LFF (MDG-F)"/>
    <s v="CH75GM2200"/>
    <m/>
    <b v="1"/>
    <x v="0"/>
    <x v="0"/>
    <d v="2025-10-31T00:00:00"/>
    <m/>
    <m/>
    <x v="1"/>
    <n v="30"/>
    <s v="Jojeff Tagnong"/>
    <m/>
  </r>
  <r>
    <x v="411"/>
    <x v="0"/>
    <x v="2"/>
    <s v="CLFF_1000$$$CH81GM2100"/>
    <s v="G000000631"/>
    <s v="G000000631"/>
    <s v="LFF (MDG-F)"/>
    <s v="CH81GM2100"/>
    <m/>
    <b v="1"/>
    <x v="0"/>
    <x v="0"/>
    <d v="2025-10-31T00:00:00"/>
    <m/>
    <m/>
    <x v="1"/>
    <n v="30"/>
    <s v="Jojeff Tagnong"/>
    <m/>
  </r>
  <r>
    <x v="411"/>
    <x v="0"/>
    <x v="2"/>
    <s v="CLFF_1000$$$CH82GM2100"/>
    <s v="G000000631"/>
    <s v="G000000631"/>
    <s v="LFF (MDG-F)"/>
    <s v="CH82GM2100"/>
    <m/>
    <b v="1"/>
    <x v="0"/>
    <x v="0"/>
    <d v="2025-10-31T00:00:00"/>
    <m/>
    <m/>
    <x v="1"/>
    <n v="30"/>
    <s v="Jojeff Tagnong"/>
    <m/>
  </r>
  <r>
    <x v="411"/>
    <x v="0"/>
    <x v="2"/>
    <s v="CLFF_1000$$$CH82GM2200"/>
    <s v="G000000631"/>
    <s v="G000000631"/>
    <s v="LFF (MDG-F)"/>
    <s v="CH82GM2200"/>
    <m/>
    <b v="1"/>
    <x v="0"/>
    <x v="0"/>
    <d v="2025-10-31T00:00:00"/>
    <m/>
    <m/>
    <x v="1"/>
    <n v="30"/>
    <s v="Jojeff Tagnong"/>
    <m/>
  </r>
  <r>
    <x v="411"/>
    <x v="0"/>
    <x v="2"/>
    <s v="CNOW_7210$$$0000051902"/>
    <s v="G000000631"/>
    <s v="G000000631"/>
    <s v="Non-LFF"/>
    <s v=""/>
    <m/>
    <b v="1"/>
    <x v="0"/>
    <x v="0"/>
    <d v="2025-10-31T00:00:00"/>
    <m/>
    <m/>
    <x v="1"/>
    <n v="30"/>
    <s v="Jojeff Tagnong"/>
    <m/>
  </r>
  <r>
    <x v="411"/>
    <x v="0"/>
    <x v="2"/>
    <s v="CNOW_7210$$$0000056400"/>
    <s v="G000000631"/>
    <s v="G000000631"/>
    <s v="Non-LFF"/>
    <s v=""/>
    <m/>
    <b v="1"/>
    <x v="0"/>
    <x v="0"/>
    <d v="2025-10-31T00:00:00"/>
    <m/>
    <m/>
    <x v="1"/>
    <n v="30"/>
    <s v="Jojeff Tagnong"/>
    <m/>
  </r>
  <r>
    <x v="411"/>
    <x v="0"/>
    <x v="2"/>
    <s v="CNOW_7210$$$0000056407"/>
    <s v="G000000631"/>
    <s v="G000000631"/>
    <s v="Non-LFF"/>
    <s v=""/>
    <m/>
    <b v="1"/>
    <x v="0"/>
    <x v="0"/>
    <d v="2025-10-31T00:00:00"/>
    <m/>
    <m/>
    <x v="1"/>
    <n v="30"/>
    <s v="Jojeff Tagnong"/>
    <m/>
  </r>
  <r>
    <x v="411"/>
    <x v="0"/>
    <x v="2"/>
    <s v="CNOW_7210$$$0000056440"/>
    <s v="G000000631"/>
    <s v="G000000631"/>
    <s v="Non-LFF"/>
    <s v=""/>
    <m/>
    <b v="1"/>
    <x v="0"/>
    <x v="0"/>
    <d v="2025-10-31T00:00:00"/>
    <m/>
    <m/>
    <x v="1"/>
    <n v="30"/>
    <s v="Jojeff Tagnong"/>
    <m/>
  </r>
  <r>
    <x v="411"/>
    <x v="0"/>
    <x v="2"/>
    <s v="CNOW_7210$$$0000056480"/>
    <s v="G000000631"/>
    <s v="G000000631"/>
    <s v="Non-LFF"/>
    <s v=""/>
    <m/>
    <b v="1"/>
    <x v="0"/>
    <x v="0"/>
    <d v="2025-10-31T00:00:00"/>
    <m/>
    <m/>
    <x v="1"/>
    <n v="30"/>
    <s v="Jojeff Tagnong"/>
    <m/>
  </r>
  <r>
    <x v="411"/>
    <x v="0"/>
    <x v="2"/>
    <s v="CNOW_7210$$$0000056971"/>
    <s v="G000000631"/>
    <s v="G000000631"/>
    <s v="Non-LFF"/>
    <s v=""/>
    <m/>
    <b v="1"/>
    <x v="0"/>
    <x v="0"/>
    <d v="2025-10-31T00:00:00"/>
    <m/>
    <m/>
    <x v="1"/>
    <n v="30"/>
    <s v="Jojeff Tagnong"/>
    <m/>
  </r>
  <r>
    <x v="411"/>
    <x v="0"/>
    <x v="2"/>
    <s v="CTEMPEU_1000CH70AD1L90"/>
    <s v="G000000631"/>
    <s v="G000000631"/>
    <s v="Non-LFF"/>
    <s v=""/>
    <m/>
    <b v="1"/>
    <x v="0"/>
    <x v="0"/>
    <d v="2025-10-31T00:00:00"/>
    <m/>
    <m/>
    <x v="1"/>
    <n v="30"/>
    <s v="Jojeff Tagnong"/>
    <m/>
  </r>
  <r>
    <x v="411"/>
    <x v="0"/>
    <x v="2"/>
    <s v="CTEMPEU_1000CH70ADF100"/>
    <s v="G000000631"/>
    <s v="G000000631"/>
    <s v="Non-LFF"/>
    <s v=""/>
    <m/>
    <b v="1"/>
    <x v="0"/>
    <x v="0"/>
    <d v="2025-10-31T00:00:00"/>
    <m/>
    <m/>
    <x v="1"/>
    <n v="30"/>
    <s v="Jojeff Tagnong"/>
    <m/>
  </r>
  <r>
    <x v="411"/>
    <x v="0"/>
    <x v="2"/>
    <s v="CLFF_1000$$$CH01GFO000 FO-CFO"/>
    <s v="G000000631"/>
    <s v="G000000631"/>
    <s v="LFF (MDG-F)"/>
    <s v="CH01GFO000"/>
    <m/>
    <b v="1"/>
    <x v="0"/>
    <x v="0"/>
    <d v="2025-10-31T00:00:00"/>
    <m/>
    <m/>
    <x v="1"/>
    <n v="30"/>
    <s v="Jojeff Tagnong"/>
    <m/>
  </r>
  <r>
    <x v="411"/>
    <x v="0"/>
    <x v="2"/>
    <s v="CLFF_1000$$$CH65GM2200 Finance Reporting,Compliance&amp;Controlling"/>
    <s v="G000000631"/>
    <s v="G000000631"/>
    <s v="LFF (MDG-F)"/>
    <s v="CH65GM2200"/>
    <m/>
    <b v="1"/>
    <x v="0"/>
    <x v="0"/>
    <d v="2025-10-31T00:00:00"/>
    <m/>
    <m/>
    <x v="1"/>
    <n v="30"/>
    <s v="Jojeff Tagnong"/>
    <m/>
  </r>
  <r>
    <x v="412"/>
    <x v="0"/>
    <x v="2"/>
    <s v="CITR_1000$$$1022APPL"/>
    <s v="G000000256"/>
    <s v="G000000256"/>
    <s v="Non-LFF"/>
    <s v=""/>
    <m/>
    <b v="1"/>
    <x v="0"/>
    <x v="0"/>
    <d v="2025-11-04T00:00:00"/>
    <m/>
    <m/>
    <x v="1"/>
    <n v="28"/>
    <s v="Jay-R Lizardo"/>
    <m/>
  </r>
  <r>
    <x v="412"/>
    <x v="0"/>
    <x v="8"/>
    <s v="CLFF_1000$$$DE65GIT032"/>
    <s v="G000000256"/>
    <s v="DFLTPGCOH_BF-C2_001242"/>
    <s v="LFF (MDG-F)"/>
    <s v="DE65GIT032"/>
    <s v="Won't be mapped til there are actuals"/>
    <b v="0"/>
    <x v="0"/>
    <x v="0"/>
    <d v="2025-11-04T00:00:00"/>
    <m/>
    <m/>
    <x v="1"/>
    <n v="28"/>
    <s v="Jay-R Lizardo"/>
    <m/>
  </r>
  <r>
    <x v="412"/>
    <x v="0"/>
    <x v="2"/>
    <s v="CLFF_1000$$$DE10GIT101"/>
    <s v="G000001446"/>
    <s v="G000001446"/>
    <s v="LFF (MDG-F)"/>
    <s v="DE10GIT101"/>
    <m/>
    <b v="1"/>
    <x v="0"/>
    <x v="0"/>
    <d v="2025-11-04T00:00:00"/>
    <m/>
    <m/>
    <x v="1"/>
    <n v="28"/>
    <s v="Jay-R Lizardo"/>
    <m/>
  </r>
  <r>
    <x v="412"/>
    <x v="0"/>
    <x v="2"/>
    <s v="CLFF_1000$$$DE10YIT014"/>
    <s v="G000001444"/>
    <s v="G000001444"/>
    <s v="LFF (MDG-F)"/>
    <s v="DE10YIT014"/>
    <m/>
    <b v="1"/>
    <x v="0"/>
    <x v="0"/>
    <d v="2025-11-04T00:00:00"/>
    <m/>
    <m/>
    <x v="1"/>
    <n v="28"/>
    <s v="Jay-R Lizardo"/>
    <m/>
  </r>
  <r>
    <x v="413"/>
    <x v="0"/>
    <x v="2"/>
    <s v="CLFF_1000$$$CN01TPAZ08"/>
    <s v="P000000571"/>
    <s v="P000000571"/>
    <s v="LFF (MDG-F)"/>
    <s v="CN01TPAZ08"/>
    <m/>
    <b v="1"/>
    <x v="3"/>
    <x v="0"/>
    <d v="2025-11-04T00:00:00"/>
    <m/>
    <m/>
    <x v="1"/>
    <n v="28"/>
    <s v="John Rowie Del Rosario"/>
    <m/>
  </r>
  <r>
    <x v="413"/>
    <x v="0"/>
    <x v="2"/>
    <s v="CLFF_1000$$$CN01OF0161"/>
    <s v="P000000571"/>
    <s v="P000000571"/>
    <s v="LFF (MDG-F)"/>
    <s v="CN01OF0161"/>
    <m/>
    <b v="1"/>
    <x v="3"/>
    <x v="0"/>
    <d v="2025-11-04T00:00:00"/>
    <m/>
    <m/>
    <x v="1"/>
    <n v="28"/>
    <s v="John Rowie Del Rosario"/>
    <m/>
  </r>
  <r>
    <x v="413"/>
    <x v="0"/>
    <x v="2"/>
    <s v="CLFF_1000$$$CN01TPAZ06"/>
    <s v="P000000571"/>
    <s v="P000000571"/>
    <s v="LFF (MDG-F)"/>
    <s v="CN01TPAZ06"/>
    <m/>
    <b v="1"/>
    <x v="3"/>
    <x v="0"/>
    <d v="2025-11-04T00:00:00"/>
    <m/>
    <m/>
    <x v="1"/>
    <n v="28"/>
    <s v="John Rowie Del Rosario"/>
    <m/>
  </r>
  <r>
    <x v="413"/>
    <x v="0"/>
    <x v="2"/>
    <s v="CLFF_1000$$$CN02TPZZ05"/>
    <s v="P000000571"/>
    <s v="P000000571"/>
    <s v="LFF (MDG-F)"/>
    <s v="CN02TPZZ05"/>
    <m/>
    <b v="1"/>
    <x v="3"/>
    <x v="0"/>
    <d v="2025-11-04T00:00:00"/>
    <m/>
    <m/>
    <x v="1"/>
    <n v="28"/>
    <s v="John Rowie Del Rosario"/>
    <m/>
  </r>
  <r>
    <x v="413"/>
    <x v="0"/>
    <x v="2"/>
    <s v="CLFF_1000$$$CN02TPZZ08"/>
    <s v="P000000571"/>
    <s v="P000000571"/>
    <s v="LFF (MDG-F)"/>
    <s v="CN02TPZZ08"/>
    <m/>
    <b v="1"/>
    <x v="3"/>
    <x v="0"/>
    <d v="2025-11-04T00:00:00"/>
    <m/>
    <m/>
    <x v="1"/>
    <n v="28"/>
    <s v="John Rowie Del Rosario"/>
    <m/>
  </r>
  <r>
    <x v="413"/>
    <x v="0"/>
    <x v="2"/>
    <s v="CLFF_1000$$$CN03TPZZ01"/>
    <s v="P000000571"/>
    <s v="P000000571"/>
    <s v="LFF (MDG-F)"/>
    <s v="CN03TPZZ01"/>
    <m/>
    <b v="1"/>
    <x v="3"/>
    <x v="0"/>
    <d v="2025-11-04T00:00:00"/>
    <m/>
    <m/>
    <x v="1"/>
    <n v="28"/>
    <s v="John Rowie Del Rosario"/>
    <m/>
  </r>
  <r>
    <x v="413"/>
    <x v="0"/>
    <x v="2"/>
    <s v="CLFF_1000$$$CN03TPZZ03"/>
    <s v="P000000571"/>
    <s v="P000000571"/>
    <s v="LFF (MDG-F)"/>
    <s v="CN03TPZZ03"/>
    <m/>
    <b v="1"/>
    <x v="3"/>
    <x v="0"/>
    <d v="2025-11-04T00:00:00"/>
    <m/>
    <m/>
    <x v="1"/>
    <n v="28"/>
    <s v="John Rowie Del Rosario"/>
    <m/>
  </r>
  <r>
    <x v="413"/>
    <x v="0"/>
    <x v="2"/>
    <s v="CLFF_1000$$$CN02TPZZ02"/>
    <s v="P000000571"/>
    <s v="P000000571"/>
    <s v="LFF (MDG-F)"/>
    <s v="CN02TPZZ02"/>
    <m/>
    <b v="1"/>
    <x v="3"/>
    <x v="0"/>
    <d v="2025-11-04T00:00:00"/>
    <m/>
    <m/>
    <x v="1"/>
    <n v="28"/>
    <s v="John Rowie Del Rosario"/>
    <m/>
  </r>
  <r>
    <x v="413"/>
    <x v="0"/>
    <x v="2"/>
    <s v="CLFF_1000$$$CN02TQ1001"/>
    <s v="P000000571"/>
    <s v="P000000571"/>
    <s v="LFF (MDG-F)"/>
    <s v="CN02TQ1001"/>
    <m/>
    <b v="1"/>
    <x v="3"/>
    <x v="0"/>
    <d v="2025-11-04T00:00:00"/>
    <m/>
    <m/>
    <x v="1"/>
    <n v="28"/>
    <s v="John Rowie Del Rosario"/>
    <m/>
  </r>
  <r>
    <x v="413"/>
    <x v="0"/>
    <x v="2"/>
    <s v="CLFF_1000$$$CN02TQ1002"/>
    <s v="P000000571"/>
    <s v="P000000571"/>
    <s v="LFF (MDG-F)"/>
    <s v="CN02TQ1002"/>
    <m/>
    <b v="1"/>
    <x v="3"/>
    <x v="0"/>
    <d v="2025-11-04T00:00:00"/>
    <m/>
    <m/>
    <x v="1"/>
    <n v="28"/>
    <s v="John Rowie Del Rosario"/>
    <m/>
  </r>
  <r>
    <x v="413"/>
    <x v="0"/>
    <x v="2"/>
    <s v="CLFF_1000$$$CN02TQ1003"/>
    <s v="P000000571"/>
    <s v="P000000571"/>
    <s v="LFF (MDG-F)"/>
    <s v="CN02TQ1003"/>
    <m/>
    <b v="1"/>
    <x v="3"/>
    <x v="0"/>
    <d v="2025-11-04T00:00:00"/>
    <m/>
    <m/>
    <x v="1"/>
    <n v="28"/>
    <s v="John Rowie Del Rosario"/>
    <m/>
  </r>
  <r>
    <x v="413"/>
    <x v="0"/>
    <x v="2"/>
    <s v="CLFF_1000$$$CN03TPZZ02"/>
    <s v="P000000571"/>
    <s v="P000000571"/>
    <s v="LFF (MDG-F)"/>
    <s v="CN03TPZZ02"/>
    <m/>
    <b v="1"/>
    <x v="3"/>
    <x v="0"/>
    <d v="2025-11-04T00:00:00"/>
    <m/>
    <m/>
    <x v="1"/>
    <n v="28"/>
    <s v="John Rowie Del Rosario"/>
    <m/>
  </r>
  <r>
    <x v="413"/>
    <x v="0"/>
    <x v="2"/>
    <s v="CLFF_VMCA$$$CN10DB1001"/>
    <s v="P000000571"/>
    <s v="P000000571"/>
    <s v="LFF (MDG-F)"/>
    <s v="CN10DB1001"/>
    <m/>
    <b v="1"/>
    <x v="3"/>
    <x v="0"/>
    <d v="2025-11-04T00:00:00"/>
    <m/>
    <m/>
    <x v="1"/>
    <n v="28"/>
    <s v="John Rowie Del Rosario"/>
    <m/>
  </r>
  <r>
    <x v="413"/>
    <x v="0"/>
    <x v="2"/>
    <s v="CLFF_VMCA$$$CN10DB1002"/>
    <s v="P000000571"/>
    <s v="P000000571"/>
    <s v="LFF (MDG-F)"/>
    <s v="CN10DB1002"/>
    <m/>
    <b v="1"/>
    <x v="3"/>
    <x v="0"/>
    <d v="2025-11-04T00:00:00"/>
    <m/>
    <m/>
    <x v="1"/>
    <n v="28"/>
    <s v="John Rowie Del Rosario"/>
    <m/>
  </r>
  <r>
    <x v="413"/>
    <x v="0"/>
    <x v="2"/>
    <s v="CLFF_VMCA$$$CN10DB1004"/>
    <s v="P000000571"/>
    <s v="P000000571"/>
    <s v="LFF (MDG-F)"/>
    <s v="CN10DB1004"/>
    <m/>
    <b v="1"/>
    <x v="3"/>
    <x v="0"/>
    <d v="2025-11-04T00:00:00"/>
    <m/>
    <m/>
    <x v="1"/>
    <n v="28"/>
    <s v="John Rowie Del Rosario"/>
    <m/>
  </r>
  <r>
    <x v="413"/>
    <x v="0"/>
    <x v="2"/>
    <s v="CLFF_VMCA$$$CN09DB3303"/>
    <s v="P000000571"/>
    <s v="P000000571"/>
    <s v="LFF (MDG-F)"/>
    <s v="CN09DB3303"/>
    <m/>
    <b v="1"/>
    <x v="3"/>
    <x v="0"/>
    <d v="2025-11-04T00:00:00"/>
    <m/>
    <m/>
    <x v="1"/>
    <n v="28"/>
    <s v="John Rowie Del Rosario"/>
    <m/>
  </r>
  <r>
    <x v="413"/>
    <x v="0"/>
    <x v="2"/>
    <s v="CLFF_VMCA$$$CN09DB3305"/>
    <s v="P000000571"/>
    <s v="P000000571"/>
    <s v="LFF (MDG-F)"/>
    <s v="CN09DB3305"/>
    <m/>
    <b v="1"/>
    <x v="3"/>
    <x v="0"/>
    <d v="2025-11-04T00:00:00"/>
    <m/>
    <m/>
    <x v="1"/>
    <n v="28"/>
    <s v="John Rowie Del Rosario"/>
    <m/>
  </r>
  <r>
    <x v="413"/>
    <x v="0"/>
    <x v="2"/>
    <s v="CLFF_VMCA$$$CN09TQ1001"/>
    <s v="P000000571"/>
    <s v="P000000571"/>
    <s v="LFF (MDG-F)"/>
    <s v="CN09TQ1001"/>
    <m/>
    <b v="1"/>
    <x v="3"/>
    <x v="0"/>
    <d v="2025-11-04T00:00:00"/>
    <m/>
    <m/>
    <x v="1"/>
    <n v="28"/>
    <s v="John Rowie Del Rosario"/>
    <m/>
  </r>
  <r>
    <x v="413"/>
    <x v="0"/>
    <x v="2"/>
    <s v="CLFF_VMCA$$$CN09TQ1002"/>
    <s v="P000000571"/>
    <s v="P000000571"/>
    <s v="LFF (MDG-F)"/>
    <s v="CN09TQ1002"/>
    <m/>
    <b v="1"/>
    <x v="3"/>
    <x v="0"/>
    <d v="2025-11-04T00:00:00"/>
    <m/>
    <m/>
    <x v="1"/>
    <n v="28"/>
    <s v="John Rowie Del Rosario"/>
    <m/>
  </r>
  <r>
    <x v="413"/>
    <x v="0"/>
    <x v="2"/>
    <s v="CLFF_VMCA$$$CN09TQ1003"/>
    <s v="P000000571"/>
    <s v="P000000571"/>
    <s v="LFF (MDG-F)"/>
    <s v="CN09TQ1003"/>
    <m/>
    <b v="1"/>
    <x v="3"/>
    <x v="0"/>
    <d v="2025-11-04T00:00:00"/>
    <m/>
    <m/>
    <x v="1"/>
    <n v="28"/>
    <s v="John Rowie Del Rosario"/>
    <m/>
  </r>
  <r>
    <x v="413"/>
    <x v="0"/>
    <x v="2"/>
    <s v="CLFF_VMCA$$$CN09DB3309"/>
    <s v="P000000571"/>
    <s v="P000000571"/>
    <s v="LFF (MDG-F)"/>
    <s v="CN09DB3309"/>
    <m/>
    <b v="1"/>
    <x v="3"/>
    <x v="0"/>
    <d v="2025-11-04T00:00:00"/>
    <m/>
    <m/>
    <x v="1"/>
    <n v="28"/>
    <s v="John Rowie Del Rosario"/>
    <m/>
  </r>
  <r>
    <x v="413"/>
    <x v="0"/>
    <x v="2"/>
    <s v="CLFF_VMCA$$$CN09DB3300"/>
    <s v="P000000571"/>
    <s v="P000000571"/>
    <s v="LFF (MDG-F)"/>
    <s v="CN09DB3300"/>
    <m/>
    <b v="1"/>
    <x v="3"/>
    <x v="0"/>
    <d v="2025-11-04T00:00:00"/>
    <m/>
    <m/>
    <x v="1"/>
    <n v="28"/>
    <s v="John Rowie Del Rosario"/>
    <m/>
  </r>
  <r>
    <x v="413"/>
    <x v="0"/>
    <x v="2"/>
    <s v="CLFF_VMCA$$$CN09TM3000"/>
    <s v="P000000571"/>
    <s v="P000000571"/>
    <s v="LFF (MDG-F)"/>
    <s v="CN09TM3000"/>
    <m/>
    <b v="1"/>
    <x v="3"/>
    <x v="0"/>
    <d v="2025-11-04T00:00:00"/>
    <m/>
    <m/>
    <x v="1"/>
    <n v="28"/>
    <s v="John Rowie Del Rosario"/>
    <m/>
  </r>
  <r>
    <x v="413"/>
    <x v="0"/>
    <x v="2"/>
    <s v="CLFF_VMCA$$$CN09DB3301"/>
    <s v="P000000571"/>
    <s v="P000000571"/>
    <s v="LFF (MDG-F)"/>
    <s v="CN09DB3301"/>
    <m/>
    <b v="1"/>
    <x v="3"/>
    <x v="0"/>
    <d v="2025-11-04T00:00:00"/>
    <m/>
    <m/>
    <x v="1"/>
    <n v="28"/>
    <s v="John Rowie Del Rosario"/>
    <m/>
  </r>
  <r>
    <x v="413"/>
    <x v="0"/>
    <x v="2"/>
    <s v="CLFF_VMCA$$$CN09DB3307"/>
    <s v="P000000571"/>
    <s v="P000000571"/>
    <s v="LFF (MDG-F)"/>
    <s v="CN09DB3307"/>
    <m/>
    <b v="1"/>
    <x v="3"/>
    <x v="0"/>
    <d v="2025-11-04T00:00:00"/>
    <m/>
    <m/>
    <x v="1"/>
    <n v="28"/>
    <s v="John Rowie Del Rosario"/>
    <m/>
  </r>
  <r>
    <x v="414"/>
    <x v="0"/>
    <x v="2"/>
    <s v="PLEAN_X310281DE6514800"/>
    <s v="H000001786"/>
    <s v="H000001786"/>
    <s v="Non-LFF"/>
    <s v=""/>
    <m/>
    <b v="1"/>
    <x v="1"/>
    <x v="0"/>
    <d v="2025-11-05T00:00:00"/>
    <m/>
    <m/>
    <x v="1"/>
    <n v="27"/>
    <s v="Rayneil Reas"/>
    <m/>
  </r>
  <r>
    <x v="415"/>
    <x v="0"/>
    <x v="2"/>
    <s v="CSCALA_1022$SQR "/>
    <s v="G000001272"/>
    <s v="G000001272"/>
    <s v="Non-LFF"/>
    <s v=""/>
    <m/>
    <b v="1"/>
    <x v="0"/>
    <x v="0"/>
    <d v="2025-11-07T00:00:00"/>
    <m/>
    <m/>
    <x v="1"/>
    <n v="25"/>
    <s v="Jojeff Tagnong"/>
    <m/>
  </r>
  <r>
    <x v="416"/>
    <x v="0"/>
    <x v="2"/>
    <s v="CSCALA_1022$ITR"/>
    <s v="G000001238"/>
    <s v="G000001238"/>
    <s v="Non-LFF"/>
    <s v=""/>
    <m/>
    <b v="1"/>
    <x v="0"/>
    <x v="0"/>
    <d v="2025-11-07T00:00:00"/>
    <m/>
    <m/>
    <x v="1"/>
    <n v="25"/>
    <s v="Jay-R Lizardo"/>
    <m/>
  </r>
  <r>
    <x v="417"/>
    <x v="0"/>
    <x v="2"/>
    <s v="CTEMPEU_1000GB10005256 SRO Costs"/>
    <s v="H000000947"/>
    <s v="H000000947"/>
    <s v="Non-LFF"/>
    <s v=""/>
    <m/>
    <b v="1"/>
    <x v="1"/>
    <x v="0"/>
    <d v="2025-11-07T00:00:00"/>
    <m/>
    <m/>
    <x v="1"/>
    <n v="25"/>
    <s v="Henry Ifurung Jr."/>
    <m/>
  </r>
  <r>
    <x v="418"/>
    <x v="0"/>
    <x v="2"/>
    <s v="CLFF_1000$$$DE07Z02182 Prem./Contrib./Fees M&amp;S"/>
    <s v="P000001335"/>
    <s v="P000001335"/>
    <s v="LFF (MDG-F)"/>
    <s v="DE07Z02182"/>
    <s v="P000001335"/>
    <b v="1"/>
    <x v="3"/>
    <x v="0"/>
    <d v="2025-11-12T00:00:00"/>
    <m/>
    <m/>
    <x v="1"/>
    <n v="22"/>
    <s v="John Rowie Del Rosario"/>
    <m/>
  </r>
  <r>
    <x v="418"/>
    <x v="0"/>
    <x v="2"/>
    <s v="CLFF_1000$$$HK01Z02181 XX_Prem/con/fees CoS"/>
    <s v="P000001335"/>
    <s v="P000001335"/>
    <s v="LFF (MDG-F)"/>
    <s v="HK01Z02181"/>
    <s v="P000001335"/>
    <b v="1"/>
    <x v="3"/>
    <x v="0"/>
    <d v="2025-11-12T00:00:00"/>
    <m/>
    <m/>
    <x v="1"/>
    <n v="22"/>
    <s v="John Rowie Del Rosario"/>
    <m/>
  </r>
  <r>
    <x v="418"/>
    <x v="0"/>
    <x v="2"/>
    <s v="CLFF_1000$$$HK01Z02182 XX_Prem/con/fees M&amp;S"/>
    <s v="P000001335"/>
    <s v="P000001335"/>
    <s v="LFF (MDG-F)"/>
    <s v="HK01Z02182"/>
    <s v="P000001335"/>
    <b v="1"/>
    <x v="3"/>
    <x v="0"/>
    <d v="2025-11-12T00:00:00"/>
    <m/>
    <m/>
    <x v="1"/>
    <n v="22"/>
    <s v="John Rowie Del Rosario"/>
    <m/>
  </r>
  <r>
    <x v="418"/>
    <x v="0"/>
    <x v="2"/>
    <s v="CLFF_1000$$$HK01Z02183 XX_Prem/con/fees Admin"/>
    <s v="P000001335"/>
    <s v="P000001335"/>
    <s v="LFF (MDG-F)"/>
    <s v="HK01Z02183"/>
    <s v="P000001335"/>
    <b v="1"/>
    <x v="3"/>
    <x v="0"/>
    <d v="2025-11-12T00:00:00"/>
    <m/>
    <m/>
    <x v="1"/>
    <n v="22"/>
    <s v="John Rowie Del Rosario"/>
    <m/>
  </r>
  <r>
    <x v="418"/>
    <x v="0"/>
    <x v="2"/>
    <s v="CLFF_1000$$$HK01Z02184 XX_Prem/con/fees R&amp;D"/>
    <s v="P000001335"/>
    <s v="P000001335"/>
    <s v="LFF (MDG-F)"/>
    <s v="HK01Z02184"/>
    <s v="P000001335"/>
    <b v="1"/>
    <x v="3"/>
    <x v="0"/>
    <d v="2025-11-12T00:00:00"/>
    <m/>
    <m/>
    <x v="1"/>
    <n v="22"/>
    <s v="John Rowie Del Rosario"/>
    <m/>
  </r>
  <r>
    <x v="418"/>
    <x v="0"/>
    <x v="2"/>
    <s v="CLFF_1000$$$HK01Z02185 XX_Prem/con/fees Oth"/>
    <s v="P000001335"/>
    <s v="P000001335"/>
    <s v="LFF (MDG-F)"/>
    <s v="HK01Z02185"/>
    <s v="P000001335"/>
    <b v="1"/>
    <x v="3"/>
    <x v="0"/>
    <d v="2025-11-12T00:00:00"/>
    <m/>
    <m/>
    <x v="1"/>
    <n v="22"/>
    <s v="John Rowie Del Rosario"/>
    <m/>
  </r>
  <r>
    <x v="418"/>
    <x v="0"/>
    <x v="2"/>
    <s v="CLFF_1000$$$IN01Z02181 XX_Prem/con/fees CoS"/>
    <s v="P000001335"/>
    <s v="P000001335"/>
    <s v="LFF (MDG-F)"/>
    <s v="IN01Z02181"/>
    <s v="P000001335"/>
    <b v="1"/>
    <x v="3"/>
    <x v="0"/>
    <d v="2025-11-12T00:00:00"/>
    <m/>
    <m/>
    <x v="1"/>
    <n v="22"/>
    <s v="John Rowie Del Rosario"/>
    <m/>
  </r>
  <r>
    <x v="418"/>
    <x v="0"/>
    <x v="2"/>
    <s v="CLFF_1000$$$IN01Z02182 XX_Prem/con/fees M&amp;S"/>
    <s v="P000001335"/>
    <s v="P000001335"/>
    <s v="LFF (MDG-F)"/>
    <s v="IN01Z02182"/>
    <s v="P000001335"/>
    <b v="1"/>
    <x v="3"/>
    <x v="0"/>
    <d v="2025-11-12T00:00:00"/>
    <m/>
    <m/>
    <x v="1"/>
    <n v="22"/>
    <s v="John Rowie Del Rosario"/>
    <m/>
  </r>
  <r>
    <x v="418"/>
    <x v="0"/>
    <x v="2"/>
    <s v="CLFF_1000$$$IN01Z02183 XX_Prem/con/fees Admin"/>
    <s v="P000001335"/>
    <s v="P000001335"/>
    <s v="LFF (MDG-F)"/>
    <s v="IN01Z02183"/>
    <s v="P000001335"/>
    <b v="1"/>
    <x v="3"/>
    <x v="0"/>
    <d v="2025-11-12T00:00:00"/>
    <m/>
    <m/>
    <x v="1"/>
    <n v="22"/>
    <s v="John Rowie Del Rosario"/>
    <m/>
  </r>
  <r>
    <x v="418"/>
    <x v="0"/>
    <x v="2"/>
    <s v="CLFF_1000$$$IN01Z02184 XX_Prem/con/fees R&amp;D"/>
    <s v="P000001335"/>
    <s v="P000001335"/>
    <s v="LFF (MDG-F)"/>
    <s v="IN01Z02184"/>
    <s v="P000001335"/>
    <b v="1"/>
    <x v="3"/>
    <x v="0"/>
    <d v="2025-11-12T00:00:00"/>
    <m/>
    <m/>
    <x v="1"/>
    <n v="22"/>
    <s v="John Rowie Del Rosario"/>
    <m/>
  </r>
  <r>
    <x v="418"/>
    <x v="0"/>
    <x v="2"/>
    <s v="CLFF_1000$$$JP01Z02181 XX_Prem/con/fees CoS"/>
    <s v="P000001335"/>
    <s v="P000001335"/>
    <s v="LFF (MDG-F)"/>
    <s v="JP01Z02181"/>
    <s v="P000001335"/>
    <b v="1"/>
    <x v="3"/>
    <x v="0"/>
    <d v="2025-11-12T00:00:00"/>
    <m/>
    <m/>
    <x v="1"/>
    <n v="22"/>
    <s v="John Rowie Del Rosario"/>
    <m/>
  </r>
  <r>
    <x v="418"/>
    <x v="0"/>
    <x v="2"/>
    <s v="CLFF_1000$$$JP01Z02184 XX_Prem/con/fees R&amp;D"/>
    <s v="P000001335"/>
    <s v="P000001335"/>
    <s v="LFF (MDG-F)"/>
    <s v="JP01Z02184"/>
    <s v="P000001335"/>
    <b v="1"/>
    <x v="3"/>
    <x v="0"/>
    <d v="2025-11-12T00:00:00"/>
    <m/>
    <m/>
    <x v="1"/>
    <n v="22"/>
    <s v="John Rowie Del Rosario"/>
    <m/>
  </r>
  <r>
    <x v="418"/>
    <x v="0"/>
    <x v="2"/>
    <s v="CLFF_1000$$$JP01Z02185 XX_Prem/con/fees Oth"/>
    <s v="P000001335"/>
    <s v="P000001335"/>
    <s v="LFF (MDG-F)"/>
    <s v="JP01Z02185"/>
    <s v="P000001335"/>
    <b v="1"/>
    <x v="3"/>
    <x v="0"/>
    <d v="2025-11-12T00:00:00"/>
    <m/>
    <m/>
    <x v="1"/>
    <n v="22"/>
    <s v="John Rowie Del Rosario"/>
    <m/>
  </r>
  <r>
    <x v="418"/>
    <x v="0"/>
    <x v="2"/>
    <s v="CLFF_1000$$$JP02Z02181 XX_Prem/con/fees CoS"/>
    <s v="P000001335"/>
    <s v="P000001335"/>
    <s v="LFF (MDG-F)"/>
    <s v="JP02Z02181"/>
    <s v="P000001335"/>
    <b v="1"/>
    <x v="3"/>
    <x v="0"/>
    <d v="2025-11-12T00:00:00"/>
    <m/>
    <m/>
    <x v="1"/>
    <n v="22"/>
    <s v="John Rowie Del Rosario"/>
    <m/>
  </r>
  <r>
    <x v="418"/>
    <x v="0"/>
    <x v="2"/>
    <s v="CLFF_1000$$$JP02Z02182 XX_Prem/con/fees M&amp;S"/>
    <s v="P000001335"/>
    <s v="P000001335"/>
    <s v="LFF (MDG-F)"/>
    <s v="JP02Z02182"/>
    <s v="P000001335"/>
    <b v="1"/>
    <x v="3"/>
    <x v="0"/>
    <d v="2025-11-12T00:00:00"/>
    <m/>
    <m/>
    <x v="1"/>
    <n v="22"/>
    <s v="John Rowie Del Rosario"/>
    <m/>
  </r>
  <r>
    <x v="418"/>
    <x v="0"/>
    <x v="2"/>
    <s v="CLFF_1000$$$JP02Z02183 Prem/con/fees Admin"/>
    <s v="P000001335"/>
    <s v="P000001335"/>
    <s v="LFF (MDG-F)"/>
    <s v="JP02Z02183"/>
    <s v="P000001335"/>
    <b v="1"/>
    <x v="3"/>
    <x v="0"/>
    <d v="2025-11-12T00:00:00"/>
    <m/>
    <m/>
    <x v="1"/>
    <n v="22"/>
    <s v="John Rowie Del Rosario"/>
    <m/>
  </r>
  <r>
    <x v="418"/>
    <x v="0"/>
    <x v="2"/>
    <s v="CLFF_1000$$$JP02Z02184 XX_Prem/con/fees R&amp;D"/>
    <s v="P000001335"/>
    <s v="P000001335"/>
    <s v="LFF (MDG-F)"/>
    <s v="JP02Z02184"/>
    <s v="P000001335"/>
    <b v="1"/>
    <x v="3"/>
    <x v="0"/>
    <d v="2025-11-12T00:00:00"/>
    <m/>
    <m/>
    <x v="1"/>
    <n v="22"/>
    <s v="John Rowie Del Rosario"/>
    <m/>
  </r>
  <r>
    <x v="418"/>
    <x v="0"/>
    <x v="2"/>
    <s v="CLFF_1000$$$JP02Z02185 XX_Prem/con/fees Oth"/>
    <s v="P000001335"/>
    <s v="P000001335"/>
    <s v="LFF (MDG-F)"/>
    <s v="JP02Z02185"/>
    <s v="P000001335"/>
    <b v="1"/>
    <x v="3"/>
    <x v="0"/>
    <d v="2025-11-12T00:00:00"/>
    <m/>
    <m/>
    <x v="1"/>
    <n v="22"/>
    <s v="John Rowie Del Rosario"/>
    <m/>
  </r>
  <r>
    <x v="418"/>
    <x v="0"/>
    <x v="2"/>
    <s v="CLFF_1000$$$KR02Z02181 XX_Prem/con/fees CoS"/>
    <s v="P000001335"/>
    <s v="P000001335"/>
    <s v="LFF (MDG-F)"/>
    <s v="KR02Z02181"/>
    <s v="P000001335"/>
    <b v="1"/>
    <x v="3"/>
    <x v="0"/>
    <d v="2025-11-12T00:00:00"/>
    <m/>
    <m/>
    <x v="1"/>
    <n v="22"/>
    <s v="John Rowie Del Rosario"/>
    <m/>
  </r>
  <r>
    <x v="418"/>
    <x v="0"/>
    <x v="2"/>
    <s v="CLFF_1000$$$KR02Z02182 XX_Prem/con/fees M&amp;S"/>
    <s v="P000001335"/>
    <s v="P000001335"/>
    <s v="LFF (MDG-F)"/>
    <s v="KR02Z02182"/>
    <s v="P000001335"/>
    <b v="1"/>
    <x v="3"/>
    <x v="0"/>
    <d v="2025-11-12T00:00:00"/>
    <m/>
    <m/>
    <x v="1"/>
    <n v="22"/>
    <s v="John Rowie Del Rosario"/>
    <m/>
  </r>
  <r>
    <x v="418"/>
    <x v="0"/>
    <x v="2"/>
    <s v="CLFF_1000$$$KR02Z02183 XX_Prem/con/fees Admin"/>
    <s v="P000001335"/>
    <s v="P000001335"/>
    <s v="LFF (MDG-F)"/>
    <s v="KR02Z02183"/>
    <s v="P000001335"/>
    <b v="1"/>
    <x v="3"/>
    <x v="0"/>
    <d v="2025-11-12T00:00:00"/>
    <m/>
    <m/>
    <x v="1"/>
    <n v="22"/>
    <s v="John Rowie Del Rosario"/>
    <m/>
  </r>
  <r>
    <x v="418"/>
    <x v="0"/>
    <x v="2"/>
    <s v="CLFF_1000$$$KR02Z02184 XX_Prem/con/fees R&amp;D"/>
    <s v="P000001335"/>
    <s v="P000001335"/>
    <s v="LFF (MDG-F)"/>
    <s v="KR02Z02184"/>
    <s v="P000001335"/>
    <b v="1"/>
    <x v="3"/>
    <x v="0"/>
    <d v="2025-11-12T00:00:00"/>
    <m/>
    <m/>
    <x v="1"/>
    <n v="22"/>
    <s v="John Rowie Del Rosario"/>
    <m/>
  </r>
  <r>
    <x v="418"/>
    <x v="0"/>
    <x v="2"/>
    <s v="CLFF_1000$$$SG09Z02181 XX_Prem/con/fees CoS"/>
    <s v="P000001335"/>
    <s v="P000001335"/>
    <s v="LFF (MDG-F)"/>
    <s v="SG09Z02181"/>
    <s v="P000001335"/>
    <b v="1"/>
    <x v="3"/>
    <x v="0"/>
    <d v="2025-11-12T00:00:00"/>
    <m/>
    <m/>
    <x v="1"/>
    <n v="22"/>
    <s v="John Rowie Del Rosario"/>
    <m/>
  </r>
  <r>
    <x v="418"/>
    <x v="0"/>
    <x v="2"/>
    <s v="CLFF_1000$$$SG09Z02182 Prem/con/fees M&amp;S"/>
    <s v="P000001335"/>
    <s v="P000001335"/>
    <s v="LFF (MDG-F)"/>
    <s v="SG09Z02182"/>
    <s v="P000001335"/>
    <b v="1"/>
    <x v="3"/>
    <x v="0"/>
    <d v="2025-11-12T00:00:00"/>
    <m/>
    <m/>
    <x v="1"/>
    <n v="22"/>
    <s v="John Rowie Del Rosario"/>
    <m/>
  </r>
  <r>
    <x v="418"/>
    <x v="0"/>
    <x v="2"/>
    <s v="CLFF_1000$$$SG09Z02183 XX_Prem/con/fees Admin"/>
    <s v="P000001335"/>
    <s v="P000001335"/>
    <s v="LFF (MDG-F)"/>
    <s v="SG09Z02183"/>
    <s v="P000001335"/>
    <b v="1"/>
    <x v="3"/>
    <x v="0"/>
    <d v="2025-11-12T00:00:00"/>
    <m/>
    <m/>
    <x v="1"/>
    <n v="22"/>
    <s v="John Rowie Del Rosario"/>
    <m/>
  </r>
  <r>
    <x v="418"/>
    <x v="0"/>
    <x v="2"/>
    <s v="CLFF_1000$$$SG09Z02184 XX_Prem/con/fees Oth"/>
    <s v="P000001335"/>
    <s v="P000001335"/>
    <s v="LFF (MDG-F)"/>
    <s v="SG09Z02184"/>
    <s v="P000001335"/>
    <b v="1"/>
    <x v="3"/>
    <x v="0"/>
    <d v="2025-11-12T00:00:00"/>
    <m/>
    <m/>
    <x v="1"/>
    <n v="22"/>
    <s v="John Rowie Del Rosario"/>
    <m/>
  </r>
  <r>
    <x v="418"/>
    <x v="0"/>
    <x v="2"/>
    <s v="CLFF_1000$$$TW02Z02183 XX_Prem/con/fees Admin"/>
    <s v="P000001335"/>
    <s v="P000001335"/>
    <s v="LFF (MDG-F)"/>
    <s v="TW02Z02183"/>
    <s v="P000001335"/>
    <b v="1"/>
    <x v="3"/>
    <x v="0"/>
    <d v="2025-11-12T00:00:00"/>
    <m/>
    <m/>
    <x v="1"/>
    <n v="22"/>
    <s v="John Rowie Del Rosario"/>
    <m/>
  </r>
  <r>
    <x v="418"/>
    <x v="0"/>
    <x v="2"/>
    <s v="CLFF_1000$$$TW02Z02184 XX_Prem/con/fees R&amp;D"/>
    <s v="P000001335"/>
    <s v="P000001335"/>
    <s v="LFF (MDG-F)"/>
    <s v="TW02Z02184"/>
    <s v="P000001335"/>
    <b v="1"/>
    <x v="3"/>
    <x v="0"/>
    <d v="2025-11-12T00:00:00"/>
    <m/>
    <m/>
    <x v="1"/>
    <n v="22"/>
    <s v="John Rowie Del Rosario"/>
    <m/>
  </r>
  <r>
    <x v="418"/>
    <x v="0"/>
    <x v="2"/>
    <s v="CLFF_1000$$$TW03Z02184 XX_Prem/con/fees R&amp;D"/>
    <s v="P000001335"/>
    <s v="P000001335"/>
    <s v="LFF (MDG-F)"/>
    <s v="TW03Z02184"/>
    <s v="P000001335"/>
    <b v="1"/>
    <x v="3"/>
    <x v="0"/>
    <d v="2025-11-12T00:00:00"/>
    <m/>
    <m/>
    <x v="1"/>
    <n v="22"/>
    <s v="John Rowie Del Rosario"/>
    <m/>
  </r>
  <r>
    <x v="418"/>
    <x v="0"/>
    <x v="2"/>
    <s v="CLFF_KR00$$$KR03Z02181 XX_Prem/con/fees CoS"/>
    <s v="P000001335"/>
    <s v="P000001335"/>
    <s v="LFF (MDG-F)"/>
    <s v="KR03Z02181"/>
    <s v="P000001335"/>
    <b v="1"/>
    <x v="3"/>
    <x v="0"/>
    <d v="2025-11-12T00:00:00"/>
    <m/>
    <m/>
    <x v="1"/>
    <n v="22"/>
    <s v="John Rowie Del Rosario"/>
    <m/>
  </r>
  <r>
    <x v="418"/>
    <x v="0"/>
    <x v="2"/>
    <s v="CLFF_KR00$$$KR03Z02182 XX_Prem/con/fees M&amp;S"/>
    <s v="P000001335"/>
    <s v="P000001335"/>
    <s v="LFF (MDG-F)"/>
    <s v="KR03Z02182"/>
    <s v="P000001335"/>
    <b v="1"/>
    <x v="3"/>
    <x v="0"/>
    <d v="2025-11-12T00:00:00"/>
    <m/>
    <m/>
    <x v="1"/>
    <n v="22"/>
    <s v="John Rowie Del Rosario"/>
    <m/>
  </r>
  <r>
    <x v="418"/>
    <x v="0"/>
    <x v="2"/>
    <s v="CLFF_KR00$$$KR03Z02183 XX_Prem/con/fees Admin"/>
    <s v="P000001335"/>
    <s v="P000001335"/>
    <s v="LFF (MDG-F)"/>
    <s v="KR03Z02183"/>
    <s v="P000001335"/>
    <b v="1"/>
    <x v="3"/>
    <x v="0"/>
    <d v="2025-11-12T00:00:00"/>
    <m/>
    <m/>
    <x v="1"/>
    <n v="22"/>
    <s v="John Rowie Del Rosario"/>
    <m/>
  </r>
  <r>
    <x v="418"/>
    <x v="0"/>
    <x v="2"/>
    <s v="CLFF_KR00$$$KR03Z02184 XX_Prem/con/fees R&amp;D"/>
    <s v="P000001335"/>
    <s v="P000001335"/>
    <s v="LFF (MDG-F)"/>
    <s v="KR03Z02184"/>
    <s v="P000001335"/>
    <b v="1"/>
    <x v="3"/>
    <x v="0"/>
    <d v="2025-11-12T00:00:00"/>
    <m/>
    <m/>
    <x v="1"/>
    <n v="22"/>
    <s v="John Rowie Del Rosario"/>
    <m/>
  </r>
  <r>
    <x v="418"/>
    <x v="0"/>
    <x v="2"/>
    <s v="CLFF_1000$$$CN01OF0083 PM GoGlobal Trainee"/>
    <s v="P000001336"/>
    <s v="P000001336"/>
    <s v="LFF (MDG-F)"/>
    <s v="CN01OF0083"/>
    <s v="P000001336"/>
    <b v="1"/>
    <x v="3"/>
    <x v="0"/>
    <d v="2025-11-12T00:00:00"/>
    <m/>
    <m/>
    <x v="1"/>
    <n v="22"/>
    <s v="John Rowie Del Rosario"/>
    <m/>
  </r>
  <r>
    <x v="418"/>
    <x v="0"/>
    <x v="2"/>
    <s v="CLFF_1000$$$US01OF0103 GOglobal Trainee PM-USA"/>
    <s v="P000001336"/>
    <s v="P000001336"/>
    <s v="LFF (MDG-F)"/>
    <s v="US01OF0103"/>
    <s v="P000001336"/>
    <b v="1"/>
    <x v="3"/>
    <x v="0"/>
    <d v="2025-11-12T00:00:00"/>
    <m/>
    <m/>
    <x v="1"/>
    <n v="22"/>
    <s v="John Rowie Del Rosario"/>
    <m/>
  </r>
  <r>
    <x v="418"/>
    <x v="0"/>
    <x v="2"/>
    <s v="CLFF_KR00$$$KR03L80000 GoGlobal Korea"/>
    <s v="P000001336"/>
    <s v="P000001336"/>
    <s v="LFF (MDG-F)"/>
    <s v="KR03L80000"/>
    <s v="P000001336"/>
    <b v="1"/>
    <x v="3"/>
    <x v="0"/>
    <d v="2025-11-12T00:00:00"/>
    <m/>
    <m/>
    <x v="1"/>
    <n v="22"/>
    <s v="John Rowie Del Rosario"/>
    <m/>
  </r>
  <r>
    <x v="418"/>
    <x v="0"/>
    <x v="2"/>
    <s v="CLFF_VMCA$$$TW10OF6016 GOglobal Trainee Program"/>
    <s v="P000001336"/>
    <s v="P000001336"/>
    <s v="LFF (MDG-F)"/>
    <s v="TW10OF6016"/>
    <s v="P000001336"/>
    <b v="1"/>
    <x v="3"/>
    <x v="0"/>
    <d v="2025-11-12T00:00:00"/>
    <m/>
    <m/>
    <x v="1"/>
    <n v="22"/>
    <s v="John Rowie Del Rosario"/>
    <m/>
  </r>
  <r>
    <x v="418"/>
    <x v="0"/>
    <x v="2"/>
    <s v="CLFF_VMCA$$$US10OF6070 GOglobal Trainee Program"/>
    <s v="P000001336"/>
    <s v="P000001336"/>
    <s v="LFF (MDG-F)"/>
    <s v="US10OF6070"/>
    <s v="P000001336"/>
    <b v="1"/>
    <x v="3"/>
    <x v="0"/>
    <d v="2025-11-12T00:00:00"/>
    <m/>
    <m/>
    <x v="1"/>
    <n v="22"/>
    <s v="John Rowie Del Rosario"/>
    <m/>
  </r>
  <r>
    <x v="419"/>
    <x v="0"/>
    <x v="2"/>
    <s v="CNOW_7210$$$0000052362"/>
    <s v="L000009356"/>
    <s v="L000009356"/>
    <s v="Non-LFF"/>
    <s v=""/>
    <m/>
    <b v="1"/>
    <x v="2"/>
    <x v="0"/>
    <d v="2025-11-12T00:00:00"/>
    <m/>
    <m/>
    <x v="1"/>
    <n v="22"/>
    <s v="Ruby Grace Garcia"/>
    <m/>
  </r>
  <r>
    <x v="419"/>
    <x v="0"/>
    <x v="2"/>
    <s v="CNOW_7210$$$0000015217"/>
    <s v="L000010037"/>
    <s v="L000010037"/>
    <s v="Non-LFF"/>
    <s v=""/>
    <m/>
    <b v="1"/>
    <x v="2"/>
    <x v="0"/>
    <d v="2025-11-12T00:00:00"/>
    <m/>
    <m/>
    <x v="1"/>
    <n v="22"/>
    <s v="Ruby Grace Garcia"/>
    <m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22"/>
    <s v="Ruby Grace Garcia"/>
    <m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22"/>
    <s v="Ruby Grace Garcia"/>
    <m/>
  </r>
  <r>
    <x v="419"/>
    <x v="0"/>
    <x v="2"/>
    <s v="CNOW_7210$$$0000015222"/>
    <s v="L000010037"/>
    <s v="L000010037"/>
    <s v="Non-LFF"/>
    <s v=""/>
    <m/>
    <b v="1"/>
    <x v="2"/>
    <x v="0"/>
    <d v="2025-11-12T00:00:00"/>
    <m/>
    <m/>
    <x v="1"/>
    <n v="22"/>
    <s v="Ruby Grace Garcia"/>
    <m/>
  </r>
  <r>
    <x v="419"/>
    <x v="0"/>
    <x v="2"/>
    <s v="CNOW_7210$$$0000015223"/>
    <s v="L000012340"/>
    <s v="L000012340"/>
    <s v="Non-LFF"/>
    <s v=""/>
    <m/>
    <b v="1"/>
    <x v="2"/>
    <x v="0"/>
    <d v="2025-11-12T00:00:00"/>
    <m/>
    <m/>
    <x v="1"/>
    <n v="22"/>
    <s v="Ruby Grace Garcia"/>
    <m/>
  </r>
  <r>
    <x v="419"/>
    <x v="0"/>
    <x v="2"/>
    <s v="CNOW_7210$$$0000222106"/>
    <s v="L000013405"/>
    <s v="L000013405"/>
    <s v="Non-LFF"/>
    <s v=""/>
    <m/>
    <b v="1"/>
    <x v="2"/>
    <x v="0"/>
    <d v="2025-11-12T00:00:00"/>
    <m/>
    <m/>
    <x v="1"/>
    <n v="22"/>
    <s v="Ruby Grace Garcia"/>
    <m/>
  </r>
  <r>
    <x v="419"/>
    <x v="0"/>
    <x v="2"/>
    <s v="CNOW_7210$$$0000222107"/>
    <s v="L000013405"/>
    <s v="L000013405"/>
    <s v="Non-LFF"/>
    <s v=""/>
    <m/>
    <b v="1"/>
    <x v="2"/>
    <x v="0"/>
    <d v="2025-11-12T00:00:00"/>
    <m/>
    <m/>
    <x v="1"/>
    <n v="22"/>
    <s v="Ruby Grace Garcia"/>
    <m/>
  </r>
  <r>
    <x v="419"/>
    <x v="0"/>
    <x v="2"/>
    <s v="CNOW_7210$$$0000222108"/>
    <s v="L000013405"/>
    <s v="L000013405"/>
    <s v="Non-LFF"/>
    <s v=""/>
    <m/>
    <b v="1"/>
    <x v="2"/>
    <x v="0"/>
    <d v="2025-11-12T00:00:00"/>
    <m/>
    <m/>
    <x v="1"/>
    <n v="22"/>
    <s v="Ruby Grace Garcia"/>
    <m/>
  </r>
  <r>
    <x v="419"/>
    <x v="0"/>
    <x v="2"/>
    <s v="CNOW_7210$$$0000222109"/>
    <s v="L000013405"/>
    <s v="L000013405"/>
    <s v="Non-LFF"/>
    <s v=""/>
    <m/>
    <b v="1"/>
    <x v="2"/>
    <x v="0"/>
    <d v="2025-11-12T00:00:00"/>
    <m/>
    <m/>
    <x v="1"/>
    <n v="22"/>
    <s v="Ruby Grace Garcia"/>
    <m/>
  </r>
  <r>
    <x v="419"/>
    <x v="0"/>
    <x v="2"/>
    <s v="CNOW_7210$$$0000250045"/>
    <s v="L000013405"/>
    <s v="L000013405"/>
    <s v="Non-LFF"/>
    <s v=""/>
    <m/>
    <b v="1"/>
    <x v="2"/>
    <x v="0"/>
    <d v="2025-11-12T00:00:00"/>
    <m/>
    <m/>
    <x v="1"/>
    <n v="22"/>
    <s v="Ruby Grace Garcia"/>
    <m/>
  </r>
  <r>
    <x v="419"/>
    <x v="0"/>
    <x v="2"/>
    <s v="CNOW_7210$$$0000010275"/>
    <s v="L000013900"/>
    <s v="L000013900"/>
    <s v="Non-LFF"/>
    <s v=""/>
    <m/>
    <b v="1"/>
    <x v="2"/>
    <x v="0"/>
    <d v="2025-11-12T00:00:00"/>
    <m/>
    <m/>
    <x v="1"/>
    <n v="22"/>
    <s v="Ruby Grace Garcia"/>
    <m/>
  </r>
  <r>
    <x v="419"/>
    <x v="0"/>
    <x v="2"/>
    <s v="CNOW_7210$$$0000040960"/>
    <s v="L000012329"/>
    <s v="L000012329"/>
    <s v="Non-LFF"/>
    <s v=""/>
    <m/>
    <b v="1"/>
    <x v="2"/>
    <x v="0"/>
    <d v="2025-11-12T00:00:00"/>
    <m/>
    <m/>
    <x v="1"/>
    <n v="22"/>
    <s v="Ruby Grace Garcia"/>
    <m/>
  </r>
  <r>
    <x v="419"/>
    <x v="0"/>
    <x v="2"/>
    <s v="CNOW_7210$$$0000265323"/>
    <s v="L000011379"/>
    <s v="L000011379"/>
    <s v="Non-LFF"/>
    <s v=""/>
    <m/>
    <b v="1"/>
    <x v="2"/>
    <x v="0"/>
    <d v="2025-11-12T00:00:00"/>
    <m/>
    <m/>
    <x v="1"/>
    <n v="22"/>
    <s v="Ruby Grace Garcia"/>
    <m/>
  </r>
  <r>
    <x v="419"/>
    <x v="0"/>
    <x v="2"/>
    <s v="CNOW_7210$$$0000031534"/>
    <s v="L000013758"/>
    <s v="L000013758"/>
    <s v="Non-LFF"/>
    <s v=""/>
    <m/>
    <b v="1"/>
    <x v="2"/>
    <x v="0"/>
    <d v="2025-11-12T00:00:00"/>
    <m/>
    <m/>
    <x v="1"/>
    <n v="22"/>
    <s v="Ruby Grace Garcia"/>
    <m/>
  </r>
  <r>
    <x v="419"/>
    <x v="0"/>
    <x v="2"/>
    <s v="ITEMPEU_003200004220"/>
    <s v="L000011242"/>
    <s v="L000011242"/>
    <s v="Non-LFF"/>
    <s v=""/>
    <m/>
    <b v="1"/>
    <x v="2"/>
    <x v="0"/>
    <d v="2025-11-12T00:00:00"/>
    <m/>
    <m/>
    <x v="1"/>
    <n v="22"/>
    <s v="Ruby Grace Garcia"/>
    <m/>
  </r>
  <r>
    <x v="419"/>
    <x v="0"/>
    <x v="2"/>
    <s v="CORAERP_MMOR1945.ZXQD"/>
    <s v="L000013461"/>
    <s v="L000013461"/>
    <s v="Non-LFF"/>
    <s v=""/>
    <m/>
    <b v="1"/>
    <x v="2"/>
    <x v="0"/>
    <d v="2025-11-12T00:00:00"/>
    <m/>
    <m/>
    <x v="1"/>
    <n v="22"/>
    <s v="Ruby Grace Garcia"/>
    <m/>
  </r>
  <r>
    <x v="419"/>
    <x v="0"/>
    <x v="2"/>
    <s v="CFLTFLE_13060000000030"/>
    <s v="L000010274"/>
    <s v="L000010274"/>
    <s v="Non-LFF"/>
    <s v=""/>
    <m/>
    <b v="1"/>
    <x v="2"/>
    <x v="0"/>
    <d v="2025-11-12T00:00:00"/>
    <m/>
    <m/>
    <x v="1"/>
    <n v="22"/>
    <s v="Ruby Grace Garcia"/>
    <m/>
  </r>
  <r>
    <x v="419"/>
    <x v="0"/>
    <x v="2"/>
    <s v="ITEMPEU_AT40AA0014"/>
    <s v="L000009832"/>
    <s v="L000009832"/>
    <s v="Non-LFF"/>
    <s v=""/>
    <m/>
    <b v="1"/>
    <x v="2"/>
    <x v="0"/>
    <d v="2025-11-12T00:00:00"/>
    <m/>
    <m/>
    <x v="1"/>
    <n v="22"/>
    <s v="Ruby Grace Garcia"/>
    <m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22"/>
    <s v="Ruby Grace Garcia"/>
    <m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22"/>
    <s v="Ruby Grace Garcia"/>
    <m/>
  </r>
  <r>
    <x v="420"/>
    <x v="0"/>
    <x v="2"/>
    <s v="PLEAN_X310324CH6815011 Cardio GBF Digital"/>
    <s v="H000002265"/>
    <s v="H000002265"/>
    <s v="Non-LFF"/>
    <s v=""/>
    <m/>
    <b v="1"/>
    <x v="1"/>
    <x v="0"/>
    <d v="2025-11-17T00:00:00"/>
    <m/>
    <m/>
    <x v="1"/>
    <n v="19"/>
    <s v="Estela Belda Menendez"/>
    <m/>
  </r>
  <r>
    <x v="420"/>
    <x v="0"/>
    <x v="2"/>
    <s v="PLEAN_X310304DE5015404 DIA FRA PROM OTH GBF GSI"/>
    <s v="H000002264"/>
    <s v="H000002264"/>
    <s v="Non-LFF"/>
    <s v=""/>
    <m/>
    <b v="1"/>
    <x v="1"/>
    <x v="0"/>
    <d v="2025-11-17T00:00:00"/>
    <m/>
    <m/>
    <x v="1"/>
    <n v="19"/>
    <s v="Estela Belda Menendez"/>
    <m/>
  </r>
  <r>
    <x v="420"/>
    <x v="0"/>
    <x v="2"/>
    <s v="PLEAN_X310324DE5015403 CAR FRA PROM OTH GBF GCD"/>
    <s v="H000002265"/>
    <s v="H000002265"/>
    <s v="Non-LFF"/>
    <s v=""/>
    <m/>
    <b v="1"/>
    <x v="1"/>
    <x v="0"/>
    <d v="2025-11-17T00:00:00"/>
    <m/>
    <m/>
    <x v="1"/>
    <n v="19"/>
    <s v="Estela Belda Menendez"/>
    <m/>
  </r>
  <r>
    <x v="420"/>
    <x v="0"/>
    <x v="2"/>
    <s v="PLEAN_X310324DE5015404 CAR FRA PROM OTH GBF GSI"/>
    <s v="H000002265"/>
    <s v="H000002265"/>
    <s v="Non-LFF"/>
    <s v=""/>
    <m/>
    <b v="1"/>
    <x v="1"/>
    <x v="0"/>
    <d v="2025-11-17T00:00:00"/>
    <m/>
    <m/>
    <x v="1"/>
    <n v="19"/>
    <s v="Estela Belda Menendez"/>
    <m/>
  </r>
  <r>
    <x v="420"/>
    <x v="0"/>
    <x v="2"/>
    <s v="PLEAN_X310334CH6815011 Thyroids GBF Digital"/>
    <s v="H000002266"/>
    <s v="H000002266"/>
    <s v="Non-LFF"/>
    <s v=""/>
    <m/>
    <b v="1"/>
    <x v="1"/>
    <x v="0"/>
    <d v="2025-11-17T00:00:00"/>
    <m/>
    <m/>
    <x v="1"/>
    <n v="19"/>
    <s v="Estela Belda Menendez"/>
    <m/>
  </r>
  <r>
    <x v="420"/>
    <x v="0"/>
    <x v="2"/>
    <s v="PLEAN_X310404CH6815011 Endo GBF Digital"/>
    <s v="H000002267"/>
    <s v="H000002267"/>
    <s v="Non-LFF"/>
    <s v=""/>
    <m/>
    <b v="1"/>
    <x v="1"/>
    <x v="0"/>
    <d v="2025-11-17T00:00:00"/>
    <m/>
    <m/>
    <x v="1"/>
    <n v="19"/>
    <s v="Estela Belda Menendez"/>
    <m/>
  </r>
  <r>
    <x v="420"/>
    <x v="0"/>
    <x v="2"/>
    <s v="ITEMPLA_001520001165 Cardio Summit 2025"/>
    <s v="H000002265"/>
    <s v="H000002265"/>
    <s v="Non-LFF"/>
    <s v=""/>
    <m/>
    <b v="1"/>
    <x v="1"/>
    <x v="0"/>
    <d v="2025-11-17T00:00:00"/>
    <m/>
    <m/>
    <x v="1"/>
    <n v="19"/>
    <s v="Estela Belda Menendez"/>
    <m/>
  </r>
  <r>
    <x v="421"/>
    <x v="0"/>
    <x v="2"/>
    <s v="CNOW_7210$$$0000498035 "/>
    <s v="G000000633"/>
    <s v="G000000633"/>
    <s v="Non-LFF"/>
    <s v=""/>
    <m/>
    <b v="1"/>
    <x v="0"/>
    <x v="0"/>
    <d v="2025-11-17T00:00:00"/>
    <m/>
    <m/>
    <x v="1"/>
    <n v="19"/>
    <s v="Jojeff Tagnong"/>
    <m/>
  </r>
  <r>
    <x v="422"/>
    <x v="0"/>
    <x v="2"/>
    <s v="PLEAN_X310201VN5011200 FD COM Advertising"/>
    <s v="H000001318"/>
    <s v="H000001318"/>
    <s v="Non-LFF"/>
    <s v=""/>
    <s v="check"/>
    <b v="1"/>
    <x v="1"/>
    <x v="0"/>
    <d v="2025-11-17T00:00:00"/>
    <m/>
    <m/>
    <x v="1"/>
    <n v="19"/>
    <s v="Maria Rosario Go"/>
    <m/>
  </r>
  <r>
    <x v="423"/>
    <x v="0"/>
    <x v="2"/>
    <s v="CFLTFLE_1044BPOE BP - Others  ISS"/>
    <s v="H000001115"/>
    <s v="H000001115"/>
    <s v="Non-LFF"/>
    <s v=""/>
    <s v="check"/>
    <b v="1"/>
    <x v="1"/>
    <x v="0"/>
    <d v="2025-11-17T00:00:00"/>
    <m/>
    <m/>
    <x v="1"/>
    <n v="19"/>
    <s v="Carlo Umali"/>
    <m/>
  </r>
  <r>
    <x v="424"/>
    <x v="0"/>
    <x v="2"/>
    <s v="PLEAN_X310301DE6215305 1401_LK_B4_DIA_PROMO OTH"/>
    <s v="H000000417"/>
    <s v="H000000417"/>
    <s v="Non-LFF"/>
    <s v=""/>
    <m/>
    <b v="1"/>
    <x v="1"/>
    <x v="0"/>
    <d v="2025-11-17T00:00:00"/>
    <m/>
    <m/>
    <x v="1"/>
    <n v="19"/>
    <s v="Maria Rosario Go"/>
    <m/>
  </r>
  <r>
    <x v="425"/>
    <x v="0"/>
    <x v="2"/>
    <s v="PLEAN_X310113CN5043301 O59 R&amp;D R&amp;D OTH TGCT Trials or RWS proje"/>
    <s v="H000004393"/>
    <s v="H000004393"/>
    <s v="Non-LFF"/>
    <s v=""/>
    <m/>
    <b v="1"/>
    <x v="1"/>
    <x v="0"/>
    <d v="2025-11-17T00:00:00"/>
    <m/>
    <m/>
    <x v="1"/>
    <n v="19"/>
    <s v="John Poulie Borromeo"/>
    <m/>
  </r>
  <r>
    <x v="425"/>
    <x v="0"/>
    <x v="2"/>
    <s v="PLEAN_X310282CN5020301 PIMI MED MED EDU DSA to HCP: Medical edu"/>
    <s v="H000004392"/>
    <s v="H000004392"/>
    <s v="Non-LFF"/>
    <s v=""/>
    <m/>
    <b v="1"/>
    <x v="1"/>
    <x v="0"/>
    <d v="2025-11-17T00:00:00"/>
    <m/>
    <m/>
    <x v="1"/>
    <n v="19"/>
    <s v="John Poulie Borromeo"/>
    <m/>
  </r>
  <r>
    <x v="425"/>
    <x v="0"/>
    <x v="2"/>
    <s v="PLEAN_X310282CN5020303 PIMI MED MED EDU DSA to HCP: Medical edu"/>
    <s v="H000004392"/>
    <s v="H000004392"/>
    <s v="Non-LFF"/>
    <s v=""/>
    <m/>
    <b v="1"/>
    <x v="1"/>
    <x v="0"/>
    <d v="2025-11-17T00:00:00"/>
    <m/>
    <m/>
    <x v="1"/>
    <n v="19"/>
    <s v="John Poulie Borromeo"/>
    <m/>
  </r>
  <r>
    <x v="425"/>
    <x v="0"/>
    <x v="2"/>
    <s v="PLEAN_X310282CN5020304 PIMI MED MED EDU DSA to HCP: Medical edu"/>
    <s v="H000004392"/>
    <s v="H000004392"/>
    <s v="Non-LFF"/>
    <s v=""/>
    <m/>
    <b v="1"/>
    <x v="1"/>
    <x v="0"/>
    <d v="2025-11-17T00:00:00"/>
    <m/>
    <m/>
    <x v="1"/>
    <n v="19"/>
    <s v="John Poulie Borromeo"/>
    <m/>
  </r>
  <r>
    <x v="425"/>
    <x v="0"/>
    <x v="2"/>
    <s v="PLEAN_X310282CN5023305 PIMI MED MED OTH ESMO Campaign"/>
    <s v="H000004392"/>
    <s v="H000004392"/>
    <s v="Non-LFF"/>
    <s v=""/>
    <m/>
    <b v="1"/>
    <x v="1"/>
    <x v="0"/>
    <d v="2025-11-17T00:00:00"/>
    <m/>
    <m/>
    <x v="1"/>
    <n v="19"/>
    <s v="John Poulie Borromeo"/>
    <m/>
  </r>
  <r>
    <x v="425"/>
    <x v="0"/>
    <x v="2"/>
    <s v="PLEAN_X310282CN5023306 PIMI MED MED OTH ESMO Campaign"/>
    <s v="H000004392"/>
    <s v="H000004392"/>
    <s v="Non-LFF"/>
    <s v=""/>
    <m/>
    <b v="1"/>
    <x v="1"/>
    <x v="0"/>
    <d v="2025-11-17T00:00:00"/>
    <m/>
    <m/>
    <x v="1"/>
    <n v="19"/>
    <s v="John Poulie Borromeo"/>
    <m/>
  </r>
  <r>
    <x v="425"/>
    <x v="0"/>
    <x v="2"/>
    <s v="PLEAN_X310282CN5023309 PIMI MED MED OTH Content development"/>
    <s v="H000004392"/>
    <s v="H000004392"/>
    <s v="Non-LFF"/>
    <s v=""/>
    <m/>
    <b v="1"/>
    <x v="1"/>
    <x v="0"/>
    <d v="2025-11-17T00:00:00"/>
    <m/>
    <m/>
    <x v="1"/>
    <n v="19"/>
    <s v="John Poulie Borromeo"/>
    <m/>
  </r>
  <r>
    <x v="425"/>
    <x v="0"/>
    <x v="2"/>
    <s v="PLEAN_X310431CN5015212 THYB COM PROM OTH Zebra"/>
    <s v="H000001382"/>
    <s v="H000001382"/>
    <s v="Non-LFF"/>
    <s v=""/>
    <m/>
    <b v="1"/>
    <x v="1"/>
    <x v="0"/>
    <d v="2025-11-17T00:00:00"/>
    <m/>
    <m/>
    <x v="1"/>
    <n v="19"/>
    <s v="John Poulie Borromeo"/>
    <m/>
  </r>
  <r>
    <x v="425"/>
    <x v="0"/>
    <x v="2"/>
    <s v="PLEAN_X310432CN5020104 Thy MED CN50 MED EDU Thyrotropin"/>
    <s v="H000001505"/>
    <s v="H000001505"/>
    <s v="Non-LFF"/>
    <s v=""/>
    <m/>
    <b v="1"/>
    <x v="1"/>
    <x v="0"/>
    <d v="2025-11-17T00:00:00"/>
    <m/>
    <m/>
    <x v="1"/>
    <n v="19"/>
    <s v="John Poulie Borromeo"/>
    <m/>
  </r>
  <r>
    <x v="425"/>
    <x v="0"/>
    <x v="2"/>
    <s v="PLEAN_X310111CN5015500 O59 COM PROM OTH Global funding-Pimi"/>
    <s v="H000004390"/>
    <s v="H000004390"/>
    <s v="Non-LFF"/>
    <s v=""/>
    <m/>
    <b v="1"/>
    <x v="1"/>
    <x v="0"/>
    <d v="2025-11-17T00:00:00"/>
    <m/>
    <m/>
    <x v="1"/>
    <n v="19"/>
    <s v="John Poulie Borromeo"/>
    <m/>
  </r>
  <r>
    <x v="425"/>
    <x v="0"/>
    <x v="2"/>
    <s v="PLEAN_X310101CN5013354 ERB COM C&amp;E ONC H&amp;N MOD"/>
    <s v="H000001422"/>
    <s v="H000001422"/>
    <s v="Non-LFF"/>
    <s v=""/>
    <m/>
    <b v="1"/>
    <x v="1"/>
    <x v="0"/>
    <d v="2025-11-17T00:00:00"/>
    <m/>
    <m/>
    <x v="1"/>
    <n v="19"/>
    <s v="John Poulie Borromeo"/>
    <m/>
  </r>
  <r>
    <x v="425"/>
    <x v="0"/>
    <x v="2"/>
    <s v="PLEAN_X310201DE5015018 Project for Cross Charge"/>
    <s v="H000004199"/>
    <s v="H000004199"/>
    <s v="Non-LFF"/>
    <s v=""/>
    <m/>
    <b v="1"/>
    <x v="1"/>
    <x v="0"/>
    <d v="2025-11-17T00:00:00"/>
    <m/>
    <m/>
    <x v="1"/>
    <n v="19"/>
    <s v="John Poulie Borromeo"/>
    <m/>
  </r>
  <r>
    <x v="426"/>
    <x v="0"/>
    <x v="2"/>
    <s v="CTEMPLA_1000BR10200572 [MED] - Med Consultants - Tepmetko"/>
    <s v="H000002595"/>
    <s v="H000002595"/>
    <s v="Non-LFF"/>
    <s v=""/>
    <m/>
    <b v="1"/>
    <x v="1"/>
    <x v="0"/>
    <d v="2025-11-17T00:00:00"/>
    <m/>
    <m/>
    <x v="1"/>
    <n v="19"/>
    <s v="Natasha Hazel Aliado"/>
    <m/>
  </r>
  <r>
    <x v="427"/>
    <x v="0"/>
    <x v="2"/>
    <s v="CTEMPLA_1000PA10PA3E25 Medical non R&amp;D Thyroids"/>
    <s v="H000000369"/>
    <s v="H000000369"/>
    <s v="Non-LFF"/>
    <s v=""/>
    <m/>
    <b v="1"/>
    <x v="1"/>
    <x v="0"/>
    <d v="2025-11-18T00:00:00"/>
    <m/>
    <m/>
    <x v="1"/>
    <n v="18"/>
    <s v="Natasha Hazel Aliado"/>
    <m/>
  </r>
  <r>
    <x v="427"/>
    <x v="0"/>
    <x v="2"/>
    <s v="CTEMPLA_1000PA10PA3B25 Medical non R&amp;D Fertility"/>
    <s v="H000000369"/>
    <s v="H000000369"/>
    <s v="Non-LFF"/>
    <s v=""/>
    <m/>
    <b v="1"/>
    <x v="1"/>
    <x v="0"/>
    <d v="2025-11-18T00:00:00"/>
    <m/>
    <m/>
    <x v="1"/>
    <n v="18"/>
    <s v="Natasha Hazel Aliado"/>
    <m/>
  </r>
  <r>
    <x v="428"/>
    <x v="0"/>
    <x v="2"/>
    <s v="PSCALA_X54 Tepmetko Launch"/>
    <s v="H000000423"/>
    <s v="H000000423"/>
    <s v="Non-LFF"/>
    <s v=""/>
    <m/>
    <b v="1"/>
    <x v="1"/>
    <x v="0"/>
    <d v="2025-11-18T00:00:00"/>
    <m/>
    <m/>
    <x v="1"/>
    <n v="18"/>
    <s v="Carlo Umali"/>
    <m/>
  </r>
  <r>
    <x v="429"/>
    <x v="0"/>
    <x v="2"/>
    <s v="CSCALA_1042$ONPM_O28"/>
    <s v="H000000423"/>
    <s v="H000000423"/>
    <s v="Non-LFF"/>
    <s v=""/>
    <m/>
    <b v="1"/>
    <x v="1"/>
    <x v="0"/>
    <d v="2025-11-18T00:00:00"/>
    <m/>
    <m/>
    <x v="1"/>
    <n v="18"/>
    <s v="Carlo Umali"/>
    <m/>
  </r>
  <r>
    <x v="430"/>
    <x v="0"/>
    <x v="2"/>
    <s v="CSCALA_1042$ONPM_X51"/>
    <s v="H000000423"/>
    <s v="H000000423"/>
    <s v="Non-LFF"/>
    <s v=""/>
    <m/>
    <b v="1"/>
    <x v="1"/>
    <x v="0"/>
    <d v="2025-11-18T00:00:00"/>
    <m/>
    <m/>
    <x v="1"/>
    <n v="18"/>
    <s v="Carlo Umali"/>
    <m/>
  </r>
  <r>
    <x v="431"/>
    <x v="0"/>
    <x v="2"/>
    <s v="CSCALA_1042$ONPM_X54"/>
    <s v="H000000423"/>
    <s v="H000000423"/>
    <s v="Non-LFF"/>
    <s v=""/>
    <m/>
    <b v="1"/>
    <x v="1"/>
    <x v="0"/>
    <d v="2025-11-18T00:00:00"/>
    <m/>
    <m/>
    <x v="1"/>
    <n v="18"/>
    <s v="Carlo Umali"/>
    <m/>
  </r>
  <r>
    <x v="432"/>
    <x v="0"/>
    <x v="2"/>
    <s v="CSCALA_1042$MSMS_E09"/>
    <s v="H000000423"/>
    <s v="H000000423"/>
    <s v="Non-LFF"/>
    <s v=""/>
    <m/>
    <b v="1"/>
    <x v="1"/>
    <x v="0"/>
    <d v="2025-11-18T00:00:00"/>
    <m/>
    <m/>
    <x v="1"/>
    <n v="18"/>
    <s v="Carlo Umali"/>
    <m/>
  </r>
  <r>
    <x v="433"/>
    <x v="0"/>
    <x v="2"/>
    <s v="CSCALA_1042$MSPM_E81"/>
    <s v="H000000423"/>
    <s v="H000000423"/>
    <s v="Non-LFF"/>
    <s v=""/>
    <m/>
    <b v="1"/>
    <x v="1"/>
    <x v="0"/>
    <d v="2025-11-18T00:00:00"/>
    <m/>
    <m/>
    <x v="1"/>
    <n v="18"/>
    <s v="Carlo Umali"/>
    <m/>
  </r>
  <r>
    <x v="434"/>
    <x v="0"/>
    <x v="2"/>
    <s v="CSCALA_1042$MSMS_D19"/>
    <s v="H000000423"/>
    <s v="H000000423"/>
    <s v="Non-LFF"/>
    <s v=""/>
    <m/>
    <b v="1"/>
    <x v="1"/>
    <x v="0"/>
    <d v="2025-11-18T00:00:00"/>
    <m/>
    <m/>
    <x v="1"/>
    <n v="18"/>
    <s v="Carlo Umali"/>
    <m/>
  </r>
  <r>
    <x v="435"/>
    <x v="0"/>
    <x v="2"/>
    <s v="CSCALA_1042$MSMS_O12"/>
    <s v="H000000423"/>
    <s v="H000000423"/>
    <s v="Non-LFF"/>
    <s v=""/>
    <m/>
    <b v="1"/>
    <x v="1"/>
    <x v="0"/>
    <d v="2025-11-18T00:00:00"/>
    <m/>
    <m/>
    <x v="1"/>
    <n v="18"/>
    <s v="Carlo Umali"/>
    <m/>
  </r>
  <r>
    <x v="436"/>
    <x v="0"/>
    <x v="2"/>
    <s v="CSCALA_1042$ONPM_X65"/>
    <s v="H000000423"/>
    <s v="H000000423"/>
    <s v="Non-LFF"/>
    <s v=""/>
    <m/>
    <b v="1"/>
    <x v="1"/>
    <x v="0"/>
    <d v="2025-11-18T00:00:00"/>
    <m/>
    <m/>
    <x v="1"/>
    <n v="18"/>
    <s v="Carlo Umali"/>
    <m/>
  </r>
  <r>
    <x v="437"/>
    <x v="0"/>
    <x v="2"/>
    <s v="CFLTFLE_10548-191A ISS - OTHER"/>
    <s v="H000000429"/>
    <s v="H000000429"/>
    <s v="Non-LFF"/>
    <s v=""/>
    <m/>
    <b v="1"/>
    <x v="1"/>
    <x v="0"/>
    <d v="2025-11-18T00:00:00"/>
    <m/>
    <m/>
    <x v="1"/>
    <n v="18"/>
    <s v="Carlo Umali"/>
    <m/>
  </r>
  <r>
    <x v="438"/>
    <x v="0"/>
    <x v="2"/>
    <s v="PLEAN_X310201VN5011200 FD COM Advertising"/>
    <s v="H000001318"/>
    <s v="H000001318"/>
    <s v="Non-LFF"/>
    <s v=""/>
    <m/>
    <b v="1"/>
    <x v="1"/>
    <x v="0"/>
    <d v="2025-11-18T00:00:00"/>
    <m/>
    <m/>
    <x v="1"/>
    <n v="18"/>
    <s v="Carlo Umali"/>
    <m/>
  </r>
  <r>
    <x v="423"/>
    <x v="0"/>
    <x v="2"/>
    <s v="CFLTFLE_1044BPOE BP - Others  ISS"/>
    <s v="H000001115"/>
    <s v="H000001115"/>
    <s v="Non-LFF"/>
    <s v=""/>
    <m/>
    <b v="1"/>
    <x v="1"/>
    <x v="0"/>
    <d v="2025-11-18T00:00:00"/>
    <m/>
    <m/>
    <x v="1"/>
    <n v="18"/>
    <s v="Carlo Umali"/>
    <m/>
  </r>
  <r>
    <x v="439"/>
    <x v="0"/>
    <x v="2"/>
    <s v="CORAERP_MMOR1945.9032"/>
    <s v="G000001176"/>
    <s v="G000001176"/>
    <s v="Non-LFF"/>
    <s v=""/>
    <m/>
    <b v="1"/>
    <x v="0"/>
    <x v="0"/>
    <d v="2025-11-20T00:00:00"/>
    <m/>
    <m/>
    <x v="1"/>
    <n v="16"/>
    <s v="Jojeff Tagnong"/>
    <m/>
  </r>
  <r>
    <x v="439"/>
    <x v="0"/>
    <x v="2"/>
    <s v="CTEMPEU_1000PL80GFO011"/>
    <s v="G000001263"/>
    <s v="G000001263"/>
    <s v="Non-LFF"/>
    <s v=""/>
    <m/>
    <b v="1"/>
    <x v="0"/>
    <x v="0"/>
    <d v="2025-11-20T00:00:00"/>
    <m/>
    <m/>
    <x v="1"/>
    <n v="16"/>
    <s v="Jojeff Tagnong"/>
    <m/>
  </r>
  <r>
    <x v="439"/>
    <x v="0"/>
    <x v="2"/>
    <s v="CTEMPEU_1000PL80GFO013"/>
    <s v="G000001176"/>
    <s v="G000001176"/>
    <s v="Non-LFF"/>
    <s v=""/>
    <m/>
    <b v="1"/>
    <x v="0"/>
    <x v="0"/>
    <d v="2025-11-20T00:00:00"/>
    <m/>
    <m/>
    <x v="1"/>
    <n v="16"/>
    <s v="Jojeff Tagnong"/>
    <m/>
  </r>
  <r>
    <x v="439"/>
    <x v="0"/>
    <x v="2"/>
    <s v="CTEMPEU_1000PL80GFO015"/>
    <s v="G000001176"/>
    <s v="G000001176"/>
    <s v="Non-LFF"/>
    <s v=""/>
    <m/>
    <b v="1"/>
    <x v="0"/>
    <x v="0"/>
    <d v="2025-11-20T00:00:00"/>
    <m/>
    <m/>
    <x v="1"/>
    <n v="16"/>
    <s v="Jojeff Tagnong"/>
    <m/>
  </r>
  <r>
    <x v="439"/>
    <x v="0"/>
    <x v="2"/>
    <s v="CORAERP_MMOR1945.9115"/>
    <s v="G000001263"/>
    <s v="G000001263"/>
    <s v="Non-LFF"/>
    <s v=""/>
    <m/>
    <b v="1"/>
    <x v="0"/>
    <x v="0"/>
    <d v="2025-11-20T00:00:00"/>
    <m/>
    <m/>
    <x v="1"/>
    <n v="16"/>
    <s v="Jojeff Tagnong"/>
    <m/>
  </r>
  <r>
    <x v="439"/>
    <x v="0"/>
    <x v="2"/>
    <s v="CLFF_1000$$$DE10G69660"/>
    <s v="G000001263"/>
    <s v="G000001263"/>
    <s v="LFF (MDG-F)"/>
    <s v="DE10G69660"/>
    <m/>
    <b v="1"/>
    <x v="0"/>
    <x v="0"/>
    <d v="2025-11-20T00:00:00"/>
    <m/>
    <m/>
    <x v="1"/>
    <n v="16"/>
    <s v="Jojeff Tagnong"/>
    <m/>
  </r>
  <r>
    <x v="439"/>
    <x v="0"/>
    <x v="2"/>
    <s v="CTEMPEU_1000PL80GFO018"/>
    <s v="G000001176"/>
    <s v="G000001176"/>
    <s v="Non-LFF"/>
    <s v=""/>
    <m/>
    <b v="1"/>
    <x v="0"/>
    <x v="0"/>
    <d v="2025-11-20T00:00:00"/>
    <m/>
    <m/>
    <x v="1"/>
    <n v="16"/>
    <s v="Jojeff Tagnong"/>
    <m/>
  </r>
  <r>
    <x v="440"/>
    <x v="0"/>
    <x v="2"/>
    <s v="ITEMPEU_AT40AA0014"/>
    <s v="L000009832"/>
    <s v="L000009832"/>
    <s v="Non-LFF"/>
    <s v=""/>
    <m/>
    <b v="1"/>
    <x v="2"/>
    <x v="0"/>
    <d v="2025-11-22T00:00:00"/>
    <m/>
    <m/>
    <x v="1"/>
    <n v="14"/>
    <s v="Ruby Grace Garcia"/>
    <m/>
  </r>
  <r>
    <x v="440"/>
    <x v="0"/>
    <x v="2"/>
    <s v="CNOW_7210$$$0000015218"/>
    <s v="L000010037"/>
    <s v="L000010037"/>
    <s v="Non-LFF"/>
    <s v=""/>
    <m/>
    <b v="1"/>
    <x v="2"/>
    <x v="0"/>
    <d v="2025-11-22T00:00:00"/>
    <m/>
    <m/>
    <x v="1"/>
    <n v="14"/>
    <s v="Ruby Grace Garcia"/>
    <m/>
  </r>
  <r>
    <x v="440"/>
    <x v="0"/>
    <x v="2"/>
    <s v="CNOW_7210$$$0000015219"/>
    <s v="L000010037"/>
    <s v="L000010037"/>
    <s v="Non-LFF"/>
    <s v=""/>
    <m/>
    <b v="1"/>
    <x v="2"/>
    <x v="0"/>
    <d v="2025-11-22T00:00:00"/>
    <m/>
    <m/>
    <x v="1"/>
    <n v="14"/>
    <s v="Ruby Grace Garcia"/>
    <m/>
  </r>
  <r>
    <x v="440"/>
    <x v="0"/>
    <x v="2"/>
    <s v="CTEMPLA_1000GT10ZZ0Q18"/>
    <s v="L000011585"/>
    <s v="L000011585"/>
    <s v="Non-LFF"/>
    <s v=""/>
    <m/>
    <b v="1"/>
    <x v="2"/>
    <x v="0"/>
    <d v="2025-11-22T00:00:00"/>
    <m/>
    <m/>
    <x v="1"/>
    <n v="14"/>
    <s v="Ruby Grace Garcia"/>
    <m/>
  </r>
  <r>
    <x v="440"/>
    <x v="0"/>
    <x v="2"/>
    <s v="D30013700000000"/>
    <s v="L000011403"/>
    <s v="L000011403"/>
    <s v="Non-LFF"/>
    <s v=""/>
    <m/>
    <b v="1"/>
    <x v="2"/>
    <x v="0"/>
    <d v="2025-11-22T00:00:00"/>
    <m/>
    <m/>
    <x v="1"/>
    <n v="14"/>
    <s v="Ruby Grace Garcia"/>
    <m/>
  </r>
  <r>
    <x v="440"/>
    <x v="0"/>
    <x v="2"/>
    <s v="CORAERP_MMOR1945.6306"/>
    <s v="L000012347"/>
    <s v="L000012347"/>
    <s v="Non-LFF"/>
    <s v=""/>
    <m/>
    <b v="1"/>
    <x v="2"/>
    <x v="0"/>
    <d v="2025-11-22T00:00:00"/>
    <m/>
    <m/>
    <x v="1"/>
    <n v="14"/>
    <s v="Ruby Grace Garcia"/>
    <m/>
  </r>
  <r>
    <x v="441"/>
    <x v="0"/>
    <x v="2"/>
    <s v="CORAERP_MMOR1975.5598 Marketing - Hardware &amp; Systems"/>
    <s v="L000013558"/>
    <s v="L000013558"/>
    <s v="Non-LFF"/>
    <s v=""/>
    <m/>
    <b v="1"/>
    <x v="2"/>
    <x v="0"/>
    <d v="2025-11-22T00:00:00"/>
    <m/>
    <m/>
    <x v="1"/>
    <n v="14"/>
    <s v="Ruby Grace Garcia"/>
    <m/>
  </r>
  <r>
    <x v="441"/>
    <x v="0"/>
    <x v="2"/>
    <s v="CORAERP_MMOR1945.3541 Quality PS Field Service"/>
    <s v="L000013846"/>
    <s v="L000013846"/>
    <s v="Non-LFF"/>
    <s v=""/>
    <m/>
    <b v="1"/>
    <x v="2"/>
    <x v="0"/>
    <d v="2025-11-22T00:00:00"/>
    <m/>
    <m/>
    <x v="1"/>
    <n v="14"/>
    <s v="Ruby Grace Garcia"/>
    <m/>
  </r>
  <r>
    <x v="441"/>
    <x v="0"/>
    <x v="2"/>
    <s v="CORAERP_MMOR1975.5776 US Strategy and Execution DSP"/>
    <s v="L000013859"/>
    <s v="L000013859"/>
    <s v="Non-LFF"/>
    <s v=""/>
    <m/>
    <b v="1"/>
    <x v="2"/>
    <x v="0"/>
    <d v="2025-11-22T00:00:00"/>
    <m/>
    <m/>
    <x v="1"/>
    <n v="14"/>
    <s v="Ruby Grace Garcia"/>
    <m/>
  </r>
  <r>
    <x v="441"/>
    <x v="0"/>
    <x v="2"/>
    <s v="CPHOENX_01010000699404 DE DSP Strategy and Execution"/>
    <s v="L000013859"/>
    <s v="L000013859"/>
    <s v="Non-LFF"/>
    <s v=""/>
    <m/>
    <b v="1"/>
    <x v="2"/>
    <x v="0"/>
    <d v="2025-11-22T00:00:00"/>
    <m/>
    <m/>
    <x v="1"/>
    <n v="14"/>
    <s v="Ruby Grace Garcia"/>
    <m/>
  </r>
  <r>
    <x v="441"/>
    <x v="0"/>
    <x v="2"/>
    <s v="CTEMPEU_1000CH70404040 Strategy and Execution CH DSP"/>
    <s v="L000013859"/>
    <s v="L000013859"/>
    <s v="Non-LFF"/>
    <s v=""/>
    <m/>
    <b v="1"/>
    <x v="2"/>
    <x v="0"/>
    <d v="2025-11-22T00:00:00"/>
    <m/>
    <m/>
    <x v="1"/>
    <n v="14"/>
    <s v="Ruby Grace Garcia"/>
    <m/>
  </r>
  <r>
    <x v="441"/>
    <x v="0"/>
    <x v="2"/>
    <s v="CORAERP_MMOR1945.P3SW BL P3 Systems Hardware - SW"/>
    <s v="L000006552"/>
    <s v="L000006552"/>
    <s v="Non-LFF"/>
    <s v=""/>
    <m/>
    <b v="1"/>
    <x v="2"/>
    <x v="0"/>
    <d v="2025-11-22T00:00:00"/>
    <m/>
    <m/>
    <x v="1"/>
    <n v="14"/>
    <s v="Ruby Grace Garcia"/>
    <m/>
  </r>
  <r>
    <x v="441"/>
    <x v="0"/>
    <x v="2"/>
    <s v="CORAERP_MMOR1975.5074 BioP Upstream Business Line Headcount"/>
    <s v="L000006593"/>
    <s v="L000006593"/>
    <s v="Non-LFF"/>
    <s v=""/>
    <m/>
    <b v="1"/>
    <x v="2"/>
    <x v="0"/>
    <d v="2025-11-22T00:00:00"/>
    <m/>
    <m/>
    <x v="1"/>
    <n v="14"/>
    <s v="Ruby Grace Garcia"/>
    <m/>
  </r>
  <r>
    <x v="441"/>
    <x v="0"/>
    <x v="2"/>
    <s v="CNOW_7210$$$0000015019 PSC - Central EU (GESA)"/>
    <s v="L000013915"/>
    <s v="L000013915"/>
    <s v="Non-LFF"/>
    <s v=""/>
    <m/>
    <b v="1"/>
    <x v="2"/>
    <x v="0"/>
    <d v="2025-11-22T00:00:00"/>
    <m/>
    <m/>
    <x v="1"/>
    <n v="14"/>
    <s v="Ruby Grace Garcia"/>
    <m/>
  </r>
  <r>
    <x v="441"/>
    <x v="0"/>
    <x v="2"/>
    <s v="IPHOENX_000400763813 CCV PFM Other Arevi Thyrosin"/>
    <s v="L000013563"/>
    <s v="L000013563"/>
    <s v="Non-LFF"/>
    <s v=""/>
    <m/>
    <b v="1"/>
    <x v="2"/>
    <x v="0"/>
    <d v="2025-11-22T00:00:00"/>
    <m/>
    <m/>
    <x v="1"/>
    <n v="14"/>
    <s v="Ruby Grace Garcia"/>
    <m/>
  </r>
  <r>
    <x v="441"/>
    <x v="0"/>
    <x v="2"/>
    <s v="CFLTFLE_1106T95000 Marketing"/>
    <s v="L000013845"/>
    <s v="L000013845"/>
    <s v="Non-LFF"/>
    <s v=""/>
    <m/>
    <b v="1"/>
    <x v="2"/>
    <x v="0"/>
    <d v="2025-11-22T00:00:00"/>
    <m/>
    <m/>
    <x v="1"/>
    <n v="14"/>
    <s v="Ruby Grace Garcia"/>
    <m/>
  </r>
  <r>
    <x v="441"/>
    <x v="0"/>
    <x v="2"/>
    <s v="CEMERAL_70006101P13201 PS Market Intelligence China"/>
    <s v="L000013514"/>
    <s v="L000013514"/>
    <s v="Non-LFF"/>
    <s v=""/>
    <m/>
    <b v="1"/>
    <x v="2"/>
    <x v="0"/>
    <d v="2025-11-22T00:00:00"/>
    <m/>
    <m/>
    <x v="1"/>
    <n v="14"/>
    <s v="Ruby Grace Garcia"/>
    <m/>
  </r>
  <r>
    <x v="441"/>
    <x v="0"/>
    <x v="2"/>
    <s v="ITEMPEU_003200001428 CH70 Freight Outbound 3110410000 SH"/>
    <s v="L000009539"/>
    <s v="L000009539"/>
    <s v="Non-LFF"/>
    <s v=""/>
    <m/>
    <b v="1"/>
    <x v="2"/>
    <x v="0"/>
    <d v="2025-11-22T00:00:00"/>
    <m/>
    <m/>
    <x v="1"/>
    <n v="14"/>
    <s v="Ruby Grace Garcia"/>
    <m/>
  </r>
  <r>
    <x v="441"/>
    <x v="0"/>
    <x v="2"/>
    <s v="ITEMPEU_CH70AA0011 Freight Outbound 3110410000"/>
    <s v="L000009407"/>
    <s v="L000009407"/>
    <s v="Non-LFF"/>
    <s v=""/>
    <m/>
    <b v="1"/>
    <x v="2"/>
    <x v="0"/>
    <d v="2025-11-22T00:00:00"/>
    <m/>
    <m/>
    <x v="1"/>
    <n v="14"/>
    <s v="Ruby Grace Garcia"/>
    <m/>
  </r>
  <r>
    <x v="441"/>
    <x v="0"/>
    <x v="2"/>
    <s v="CNOW_7210$$$0000051972 Buchs Outbound Freight"/>
    <s v="L000009413"/>
    <s v="L000009413"/>
    <s v="Non-LFF"/>
    <s v=""/>
    <m/>
    <b v="1"/>
    <x v="2"/>
    <x v="0"/>
    <d v="2025-11-22T00:00:00"/>
    <m/>
    <m/>
    <x v="1"/>
    <n v="14"/>
    <s v="Ruby Grace Garcia"/>
    <m/>
  </r>
  <r>
    <x v="441"/>
    <x v="0"/>
    <x v="2"/>
    <s v="CNOW_7210$$$0000051924 SP General COS Steinheim"/>
    <s v="L000010212"/>
    <s v="L000010212"/>
    <s v="Non-LFF"/>
    <s v=""/>
    <m/>
    <b v="1"/>
    <x v="2"/>
    <x v="0"/>
    <d v="2025-11-22T00:00:00"/>
    <m/>
    <m/>
    <x v="1"/>
    <n v="14"/>
    <s v="Ruby Grace Garcia"/>
    <m/>
  </r>
  <r>
    <x v="441"/>
    <x v="0"/>
    <x v="2"/>
    <s v="CFLTFLE_1106T41000 Sales"/>
    <s v="L000009437"/>
    <s v="L000009437"/>
    <s v="Non-LFF"/>
    <s v=""/>
    <m/>
    <b v="1"/>
    <x v="2"/>
    <x v="0"/>
    <d v="2025-11-22T00:00:00"/>
    <m/>
    <m/>
    <x v="1"/>
    <n v="14"/>
    <s v="Ruby Grace Garcia"/>
    <m/>
  </r>
  <r>
    <x v="441"/>
    <x v="0"/>
    <x v="2"/>
    <s v="CFLTFLE_1106T62100 Logistic"/>
    <s v="L000009437"/>
    <s v="L000009437"/>
    <s v="Non-LFF"/>
    <s v=""/>
    <m/>
    <b v="1"/>
    <x v="2"/>
    <x v="0"/>
    <d v="2025-11-22T00:00:00"/>
    <m/>
    <m/>
    <x v="1"/>
    <n v="14"/>
    <s v="Ruby Grace Garcia"/>
    <m/>
  </r>
  <r>
    <x v="441"/>
    <x v="0"/>
    <x v="2"/>
    <s v="CLFF_7210$$$2125C03326 IL inbound freight"/>
    <s v="L000009657"/>
    <s v="L000009657"/>
    <s v="LFF (MDG-F)"/>
    <s v="2125C03326"/>
    <m/>
    <b v="1"/>
    <x v="2"/>
    <x v="0"/>
    <d v="2025-11-22T00:00:00"/>
    <m/>
    <m/>
    <x v="1"/>
    <n v="14"/>
    <s v="Ruby Grace Garcia"/>
    <m/>
  </r>
  <r>
    <x v="441"/>
    <x v="0"/>
    <x v="2"/>
    <s v="CLFF_7210$$$2022TQAZ93 IE Arklow freight"/>
    <s v="L000009485"/>
    <s v="L000009485"/>
    <s v="LFF (MDG-F)"/>
    <s v="2022TQAZ93"/>
    <m/>
    <b v="1"/>
    <x v="2"/>
    <x v="0"/>
    <d v="2025-11-22T00:00:00"/>
    <m/>
    <m/>
    <x v="1"/>
    <n v="14"/>
    <s v="Ruby Grace Garcia"/>
    <m/>
  </r>
  <r>
    <x v="441"/>
    <x v="0"/>
    <x v="2"/>
    <s v="CORAERP_MMOR1917.4165 Outbound IC Freight UK"/>
    <s v="L000009556"/>
    <s v="L000009556"/>
    <s v="Non-LFF"/>
    <s v=""/>
    <m/>
    <b v="1"/>
    <x v="2"/>
    <x v="0"/>
    <d v="2025-11-22T00:00:00"/>
    <m/>
    <m/>
    <x v="1"/>
    <n v="14"/>
    <s v="Ruby Grace Garcia"/>
    <m/>
  </r>
  <r>
    <x v="441"/>
    <x v="0"/>
    <x v="2"/>
    <s v="CORAERP_MMOR1917.4167 Outbound 3rd Party Freight UK"/>
    <s v="L000009556"/>
    <s v="L000009556"/>
    <s v="Non-LFF"/>
    <s v=""/>
    <m/>
    <b v="1"/>
    <x v="2"/>
    <x v="0"/>
    <d v="2025-11-22T00:00:00"/>
    <m/>
    <m/>
    <x v="1"/>
    <n v="14"/>
    <s v="Ruby Grace Garcia"/>
    <m/>
  </r>
  <r>
    <x v="441"/>
    <x v="0"/>
    <x v="2"/>
    <s v="CLFF_7210$$$1937TQCZ91 EI outbound freight"/>
    <s v="L000010287"/>
    <s v="L000010287"/>
    <s v="LFF (MDG-F)"/>
    <s v="1937TQCZ91"/>
    <m/>
    <b v="1"/>
    <x v="2"/>
    <x v="0"/>
    <d v="2025-11-22T00:00:00"/>
    <m/>
    <m/>
    <x v="1"/>
    <n v="14"/>
    <s v="Ruby Grace Garcia"/>
    <m/>
  </r>
  <r>
    <x v="441"/>
    <x v="0"/>
    <x v="2"/>
    <s v="CNOW_7210$$$0000040056 Distribution Advancement &amp; Systems"/>
    <s v="L000009969"/>
    <s v="L000009969"/>
    <s v="Non-LFF"/>
    <s v=""/>
    <m/>
    <b v="1"/>
    <x v="2"/>
    <x v="0"/>
    <d v="2025-11-22T00:00:00"/>
    <m/>
    <m/>
    <x v="1"/>
    <n v="14"/>
    <s v="Ruby Grace Garcia"/>
    <m/>
  </r>
  <r>
    <x v="441"/>
    <x v="0"/>
    <x v="2"/>
    <s v="CLFF_7210$$$1937TMCZ9J Global Engineering and SME's"/>
    <s v="L000013867"/>
    <s v="L000013867"/>
    <s v="LFF (MDG-F)"/>
    <s v="1937TMCZ9J"/>
    <m/>
    <b v="1"/>
    <x v="2"/>
    <x v="0"/>
    <d v="2025-11-22T00:00:00"/>
    <m/>
    <m/>
    <x v="1"/>
    <n v="14"/>
    <s v="Ruby Grace Garcia"/>
    <m/>
  </r>
  <r>
    <x v="442"/>
    <x v="0"/>
    <x v="2"/>
    <s v="CSCALA_1826$302_ST"/>
    <s v="G000000765"/>
    <s v="G000000765"/>
    <s v="Non-LFF"/>
    <s v=""/>
    <m/>
    <b v="1"/>
    <x v="0"/>
    <x v="0"/>
    <d v="2025-11-24T00:00:00"/>
    <m/>
    <m/>
    <x v="1"/>
    <n v="14"/>
    <s v="Jojeff Tagnong"/>
    <m/>
  </r>
  <r>
    <x v="442"/>
    <x v="0"/>
    <x v="2"/>
    <s v="CSCALA_1826$301_MV"/>
    <s v="G000000152"/>
    <s v="G000000152"/>
    <s v="Non-LFF"/>
    <s v=""/>
    <m/>
    <b v="1"/>
    <x v="0"/>
    <x v="0"/>
    <d v="2025-11-24T00:00:00"/>
    <m/>
    <m/>
    <x v="1"/>
    <n v="14"/>
    <s v="Jojeff Tagnong"/>
    <m/>
  </r>
  <r>
    <x v="442"/>
    <x v="0"/>
    <x v="2"/>
    <s v="CSCALA_1826$350_MV"/>
    <s v="G000000152"/>
    <s v="G000000152"/>
    <s v="Non-LFF"/>
    <s v=""/>
    <m/>
    <b v="1"/>
    <x v="0"/>
    <x v="0"/>
    <d v="2025-11-24T00:00:00"/>
    <m/>
    <m/>
    <x v="1"/>
    <n v="14"/>
    <s v="Jojeff Tagnong"/>
    <m/>
  </r>
  <r>
    <x v="443"/>
    <x v="0"/>
    <x v="2"/>
    <s v="CLFF_1000$$$CN01TPAZ08"/>
    <s v="P000001380"/>
    <s v="P000001380"/>
    <s v="LFF (MDG-F)"/>
    <s v="CN01TPAZ08"/>
    <m/>
    <b v="1"/>
    <x v="3"/>
    <x v="0"/>
    <d v="2025-11-24T00:00:00"/>
    <m/>
    <m/>
    <x v="1"/>
    <n v="14"/>
    <s v="John Rowie Del Rosario"/>
    <m/>
  </r>
  <r>
    <x v="443"/>
    <x v="0"/>
    <x v="2"/>
    <s v="CLFF_1000$$$CN01OF0161"/>
    <s v="P000001380"/>
    <s v="P000001380"/>
    <s v="LFF (MDG-F)"/>
    <s v="CN01OF0161"/>
    <m/>
    <b v="1"/>
    <x v="3"/>
    <x v="0"/>
    <d v="2025-11-24T00:00:00"/>
    <m/>
    <m/>
    <x v="1"/>
    <n v="14"/>
    <s v="John Rowie Del Rosario"/>
    <m/>
  </r>
  <r>
    <x v="443"/>
    <x v="0"/>
    <x v="2"/>
    <s v="CLFF_1000$$$CN01TPAZ06"/>
    <s v="P000001380"/>
    <s v="P000001380"/>
    <s v="LFF (MDG-F)"/>
    <s v="CN01TPAZ06"/>
    <m/>
    <b v="1"/>
    <x v="3"/>
    <x v="0"/>
    <d v="2025-11-24T00:00:00"/>
    <m/>
    <m/>
    <x v="1"/>
    <n v="14"/>
    <s v="John Rowie Del Rosario"/>
    <m/>
  </r>
  <r>
    <x v="443"/>
    <x v="0"/>
    <x v="2"/>
    <s v="CLFF_1000$$$CN02TPZZ05"/>
    <s v="P000001380"/>
    <s v="P000001380"/>
    <s v="LFF (MDG-F)"/>
    <s v="CN02TPZZ05"/>
    <m/>
    <b v="1"/>
    <x v="3"/>
    <x v="0"/>
    <d v="2025-11-24T00:00:00"/>
    <m/>
    <m/>
    <x v="1"/>
    <n v="14"/>
    <s v="John Rowie Del Rosario"/>
    <m/>
  </r>
  <r>
    <x v="443"/>
    <x v="0"/>
    <x v="2"/>
    <s v="CLFF_1000$$$CN02TPZZ08"/>
    <s v="P000001380"/>
    <s v="P000001380"/>
    <s v="LFF (MDG-F)"/>
    <s v="CN02TPZZ08"/>
    <m/>
    <b v="1"/>
    <x v="3"/>
    <x v="0"/>
    <d v="2025-11-24T00:00:00"/>
    <m/>
    <m/>
    <x v="1"/>
    <n v="14"/>
    <s v="John Rowie Del Rosario"/>
    <m/>
  </r>
  <r>
    <x v="443"/>
    <x v="0"/>
    <x v="2"/>
    <s v="CLFF_1000$$$CN03TPZZ01"/>
    <s v="P000001380"/>
    <s v="P000001380"/>
    <s v="LFF (MDG-F)"/>
    <s v="CN03TPZZ01"/>
    <m/>
    <b v="1"/>
    <x v="3"/>
    <x v="0"/>
    <d v="2025-11-24T00:00:00"/>
    <m/>
    <m/>
    <x v="1"/>
    <n v="14"/>
    <s v="John Rowie Del Rosario"/>
    <m/>
  </r>
  <r>
    <x v="443"/>
    <x v="0"/>
    <x v="2"/>
    <s v="CLFF_1000$$$CN03TPZZ03"/>
    <s v="P000001380"/>
    <s v="P000001380"/>
    <s v="LFF (MDG-F)"/>
    <s v="CN03TPZZ03"/>
    <m/>
    <b v="1"/>
    <x v="3"/>
    <x v="0"/>
    <d v="2025-11-24T00:00:00"/>
    <m/>
    <m/>
    <x v="1"/>
    <n v="14"/>
    <s v="John Rowie Del Rosario"/>
    <m/>
  </r>
  <r>
    <x v="443"/>
    <x v="0"/>
    <x v="2"/>
    <s v="CLFF_1000$$$CN02TPZZ02"/>
    <s v="P000001380"/>
    <s v="P000001380"/>
    <s v="LFF (MDG-F)"/>
    <s v="CN02TPZZ02"/>
    <m/>
    <b v="1"/>
    <x v="3"/>
    <x v="0"/>
    <d v="2025-11-24T00:00:00"/>
    <m/>
    <m/>
    <x v="1"/>
    <n v="14"/>
    <s v="John Rowie Del Rosario"/>
    <m/>
  </r>
  <r>
    <x v="443"/>
    <x v="0"/>
    <x v="2"/>
    <s v="CLFF_1000$$$CN02TQ1001"/>
    <s v="P000001380"/>
    <s v="P000001380"/>
    <s v="LFF (MDG-F)"/>
    <s v="CN02TQ1001"/>
    <m/>
    <b v="1"/>
    <x v="3"/>
    <x v="0"/>
    <d v="2025-11-24T00:00:00"/>
    <m/>
    <m/>
    <x v="1"/>
    <n v="14"/>
    <s v="John Rowie Del Rosario"/>
    <m/>
  </r>
  <r>
    <x v="443"/>
    <x v="0"/>
    <x v="2"/>
    <s v="CLFF_1000$$$CN02TQ1002"/>
    <s v="P000001380"/>
    <s v="P000001380"/>
    <s v="LFF (MDG-F)"/>
    <s v="CN02TQ1002"/>
    <m/>
    <b v="1"/>
    <x v="3"/>
    <x v="0"/>
    <d v="2025-11-24T00:00:00"/>
    <m/>
    <m/>
    <x v="1"/>
    <n v="14"/>
    <s v="John Rowie Del Rosario"/>
    <m/>
  </r>
  <r>
    <x v="443"/>
    <x v="0"/>
    <x v="2"/>
    <s v="CLFF_1000$$$CN02TQ1003"/>
    <s v="P000001380"/>
    <s v="P000001380"/>
    <s v="LFF (MDG-F)"/>
    <s v="CN02TQ1003"/>
    <m/>
    <b v="1"/>
    <x v="3"/>
    <x v="0"/>
    <d v="2025-11-24T00:00:00"/>
    <m/>
    <m/>
    <x v="1"/>
    <n v="14"/>
    <s v="John Rowie Del Rosario"/>
    <m/>
  </r>
  <r>
    <x v="443"/>
    <x v="0"/>
    <x v="2"/>
    <s v="CLFF_1000$$$CN03TPZZ02"/>
    <s v="P000001380"/>
    <s v="P000001380"/>
    <s v="LFF (MDG-F)"/>
    <s v="CN03TPZZ02"/>
    <m/>
    <b v="1"/>
    <x v="3"/>
    <x v="0"/>
    <d v="2025-11-24T00:00:00"/>
    <m/>
    <m/>
    <x v="1"/>
    <n v="14"/>
    <s v="John Rowie Del Rosario"/>
    <m/>
  </r>
  <r>
    <x v="443"/>
    <x v="0"/>
    <x v="2"/>
    <s v="CLFF_VMCA$$$CN10DB1001"/>
    <s v="P000001380"/>
    <s v="P000001380"/>
    <s v="LFF (MDG-F)"/>
    <s v="CN10DB1001"/>
    <m/>
    <b v="1"/>
    <x v="3"/>
    <x v="0"/>
    <d v="2025-11-24T00:00:00"/>
    <m/>
    <m/>
    <x v="1"/>
    <n v="14"/>
    <s v="John Rowie Del Rosario"/>
    <m/>
  </r>
  <r>
    <x v="443"/>
    <x v="0"/>
    <x v="2"/>
    <s v="CLFF_VMCA$$$CN10DB1002"/>
    <s v="P000001380"/>
    <s v="P000001380"/>
    <s v="LFF (MDG-F)"/>
    <s v="CN10DB1002"/>
    <m/>
    <b v="1"/>
    <x v="3"/>
    <x v="0"/>
    <d v="2025-11-24T00:00:00"/>
    <m/>
    <m/>
    <x v="1"/>
    <n v="14"/>
    <s v="John Rowie Del Rosario"/>
    <m/>
  </r>
  <r>
    <x v="443"/>
    <x v="0"/>
    <x v="2"/>
    <s v="CLFF_VMCA$$$CN10DB1004"/>
    <s v="P000001380"/>
    <s v="P000001380"/>
    <s v="LFF (MDG-F)"/>
    <s v="CN10DB1004"/>
    <m/>
    <b v="1"/>
    <x v="3"/>
    <x v="0"/>
    <d v="2025-11-24T00:00:00"/>
    <m/>
    <m/>
    <x v="1"/>
    <n v="14"/>
    <s v="John Rowie Del Rosario"/>
    <m/>
  </r>
  <r>
    <x v="443"/>
    <x v="0"/>
    <x v="2"/>
    <s v="CLFF_VMCA$$$CN09DB3303"/>
    <s v="P000001380"/>
    <s v="P000001380"/>
    <s v="LFF (MDG-F)"/>
    <s v="CN09DB3303"/>
    <m/>
    <b v="1"/>
    <x v="3"/>
    <x v="0"/>
    <d v="2025-11-24T00:00:00"/>
    <m/>
    <m/>
    <x v="1"/>
    <n v="14"/>
    <s v="John Rowie Del Rosario"/>
    <m/>
  </r>
  <r>
    <x v="443"/>
    <x v="0"/>
    <x v="2"/>
    <s v="CLFF_VMCA$$$CN09DB3305"/>
    <s v="P000001380"/>
    <s v="P000001380"/>
    <s v="LFF (MDG-F)"/>
    <s v="CN09DB3305"/>
    <m/>
    <b v="1"/>
    <x v="3"/>
    <x v="0"/>
    <d v="2025-11-24T00:00:00"/>
    <m/>
    <m/>
    <x v="1"/>
    <n v="14"/>
    <s v="John Rowie Del Rosario"/>
    <m/>
  </r>
  <r>
    <x v="443"/>
    <x v="0"/>
    <x v="2"/>
    <s v="CLFF_VMCA$$$CN09TQ1001"/>
    <s v="P000001380"/>
    <s v="P000001380"/>
    <s v="LFF (MDG-F)"/>
    <s v="CN09TQ1001"/>
    <m/>
    <b v="1"/>
    <x v="3"/>
    <x v="0"/>
    <d v="2025-11-24T00:00:00"/>
    <m/>
    <m/>
    <x v="1"/>
    <n v="14"/>
    <s v="John Rowie Del Rosario"/>
    <m/>
  </r>
  <r>
    <x v="443"/>
    <x v="0"/>
    <x v="2"/>
    <s v="CLFF_VMCA$$$CN09TQ1002"/>
    <s v="P000001380"/>
    <s v="P000001380"/>
    <s v="LFF (MDG-F)"/>
    <s v="CN09TQ1002"/>
    <m/>
    <b v="1"/>
    <x v="3"/>
    <x v="0"/>
    <d v="2025-11-24T00:00:00"/>
    <m/>
    <m/>
    <x v="1"/>
    <n v="14"/>
    <s v="John Rowie Del Rosario"/>
    <m/>
  </r>
  <r>
    <x v="443"/>
    <x v="0"/>
    <x v="2"/>
    <s v="CLFF_VMCA$$$CN09TQ1003"/>
    <s v="P000001380"/>
    <s v="P000001380"/>
    <s v="LFF (MDG-F)"/>
    <s v="CN09TQ1003"/>
    <m/>
    <b v="1"/>
    <x v="3"/>
    <x v="0"/>
    <d v="2025-11-24T00:00:00"/>
    <m/>
    <m/>
    <x v="1"/>
    <n v="14"/>
    <s v="John Rowie Del Rosario"/>
    <m/>
  </r>
  <r>
    <x v="443"/>
    <x v="0"/>
    <x v="2"/>
    <s v="CLFF_VMCA$$$CN09DB3309"/>
    <s v="P000001380"/>
    <s v="P000001380"/>
    <s v="LFF (MDG-F)"/>
    <s v="CN09DB3309"/>
    <m/>
    <b v="1"/>
    <x v="3"/>
    <x v="0"/>
    <d v="2025-11-24T00:00:00"/>
    <m/>
    <m/>
    <x v="1"/>
    <n v="14"/>
    <s v="John Rowie Del Rosario"/>
    <m/>
  </r>
  <r>
    <x v="443"/>
    <x v="0"/>
    <x v="2"/>
    <s v="CLFF_VMCA$$$CN09DB3300"/>
    <s v="P000001380"/>
    <s v="P000001380"/>
    <s v="LFF (MDG-F)"/>
    <s v="CN09DB3300"/>
    <m/>
    <b v="1"/>
    <x v="3"/>
    <x v="0"/>
    <d v="2025-11-24T00:00:00"/>
    <m/>
    <m/>
    <x v="1"/>
    <n v="14"/>
    <s v="John Rowie Del Rosario"/>
    <m/>
  </r>
  <r>
    <x v="443"/>
    <x v="0"/>
    <x v="2"/>
    <s v="CLFF_VMCA$$$CN09TM3000"/>
    <s v="P000001380"/>
    <s v="P000001380"/>
    <s v="LFF (MDG-F)"/>
    <s v="CN09TM3000"/>
    <m/>
    <b v="1"/>
    <x v="3"/>
    <x v="0"/>
    <d v="2025-11-24T00:00:00"/>
    <m/>
    <m/>
    <x v="1"/>
    <n v="14"/>
    <s v="John Rowie Del Rosario"/>
    <m/>
  </r>
  <r>
    <x v="443"/>
    <x v="0"/>
    <x v="2"/>
    <s v="CLFF_VMCA$$$CN09DB3301"/>
    <s v="P000001380"/>
    <s v="P000001380"/>
    <s v="LFF (MDG-F)"/>
    <s v="CN09DB3301"/>
    <m/>
    <b v="1"/>
    <x v="3"/>
    <x v="0"/>
    <d v="2025-11-24T00:00:00"/>
    <m/>
    <m/>
    <x v="1"/>
    <n v="14"/>
    <s v="John Rowie Del Rosario"/>
    <m/>
  </r>
  <r>
    <x v="443"/>
    <x v="0"/>
    <x v="2"/>
    <s v="CLFF_VMCA$$$CN09DB3307"/>
    <s v="P000001380"/>
    <s v="P000001380"/>
    <s v="LFF (MDG-F)"/>
    <s v="CN09DB3307"/>
    <m/>
    <b v="1"/>
    <x v="3"/>
    <x v="0"/>
    <d v="2025-11-24T00:00:00"/>
    <m/>
    <m/>
    <x v="1"/>
    <n v="14"/>
    <s v="John Rowie Del Rosario"/>
    <m/>
  </r>
  <r>
    <x v="444"/>
    <x v="0"/>
    <x v="2"/>
    <s v="PLEAN_X310511TN5013218 SMASEP MAVENCLAD"/>
    <s v="H000000286"/>
    <s v="H000000286"/>
    <s v="Non-LFF"/>
    <s v=""/>
    <m/>
    <b v="1"/>
    <x v="1"/>
    <x v="0"/>
    <d v="2025-11-24T00:00:00"/>
    <m/>
    <m/>
    <x v="1"/>
    <n v="14"/>
    <s v="Daniella Sasa"/>
    <m/>
  </r>
  <r>
    <x v="444"/>
    <x v="0"/>
    <x v="2"/>
    <s v="PLEAN_X310002TN5013200 FERT-NA-ESHRE"/>
    <s v="H000000262"/>
    <s v="H000000262"/>
    <s v="Non-LFF"/>
    <s v=""/>
    <m/>
    <b v="1"/>
    <x v="1"/>
    <x v="0"/>
    <d v="2025-11-24T00:00:00"/>
    <m/>
    <m/>
    <x v="1"/>
    <n v="14"/>
    <s v="Daniella Sasa"/>
    <m/>
  </r>
  <r>
    <x v="444"/>
    <x v="0"/>
    <x v="2"/>
    <s v="PLEAN_X310201MA5013200 Morocco Local congresses (MA50)"/>
    <s v="H000000286"/>
    <s v="H000000286"/>
    <s v="Non-LFF"/>
    <s v=""/>
    <m/>
    <b v="1"/>
    <x v="1"/>
    <x v="0"/>
    <d v="2025-11-24T00:00:00"/>
    <m/>
    <m/>
    <x v="1"/>
    <n v="14"/>
    <s v="Daniella Sasa"/>
    <m/>
  </r>
  <r>
    <x v="444"/>
    <x v="0"/>
    <x v="2"/>
    <s v="PLEAN_X310301MA5015200 Projet Maroc : Sobrus"/>
    <s v="H000000286"/>
    <s v="H000000286"/>
    <s v="Non-LFF"/>
    <s v=""/>
    <m/>
    <b v="1"/>
    <x v="1"/>
    <x v="0"/>
    <d v="2025-11-24T00:00:00"/>
    <m/>
    <m/>
    <x v="1"/>
    <n v="14"/>
    <s v="Daniella Sasa"/>
    <m/>
  </r>
  <r>
    <x v="444"/>
    <x v="0"/>
    <x v="2"/>
    <s v="PLEAN_X310511MA5013221 Merck event Neuro MA&amp;SA-fees"/>
    <s v="H000000286"/>
    <s v="H000000286"/>
    <s v="Non-LFF"/>
    <s v=""/>
    <m/>
    <b v="1"/>
    <x v="1"/>
    <x v="0"/>
    <d v="2025-11-24T00:00:00"/>
    <m/>
    <m/>
    <x v="1"/>
    <n v="14"/>
    <s v="Daniella Sasa"/>
    <m/>
  </r>
  <r>
    <x v="444"/>
    <x v="0"/>
    <x v="2"/>
    <s v="PLEAN_X310201TN6013221 SMART XXI Regional Standalone"/>
    <s v="H000000318"/>
    <s v="H000000318"/>
    <s v="Non-LFF"/>
    <s v=""/>
    <m/>
    <b v="1"/>
    <x v="1"/>
    <x v="0"/>
    <d v="2025-11-24T00:00:00"/>
    <m/>
    <m/>
    <x v="1"/>
    <n v="14"/>
    <s v="Daniella Sasa"/>
    <m/>
  </r>
  <r>
    <x v="445"/>
    <x v="0"/>
    <x v="2"/>
    <s v="PLEAN_X310802ZA5020505 MED  NON R&amp;D-ZA-CME-EDUCATION"/>
    <s v="H000000325"/>
    <s v="H000000325"/>
    <s v="Non-LFF"/>
    <s v=""/>
    <m/>
    <b v="1"/>
    <x v="4"/>
    <x v="0"/>
    <d v="2025-11-25T00:00:00"/>
    <m/>
    <m/>
    <x v="1"/>
    <n v="13"/>
    <s v="Kristel Joyce Manalese"/>
    <m/>
  </r>
  <r>
    <x v="445"/>
    <x v="0"/>
    <x v="2"/>
    <s v="PLEAN_X310801AE5015209 SP DIGITAL-Shared-AE"/>
    <s v="H000002956"/>
    <s v="H000002956"/>
    <s v="Non-LFF"/>
    <s v=""/>
    <m/>
    <b v="1"/>
    <x v="4"/>
    <x v="0"/>
    <d v="2025-11-25T00:00:00"/>
    <m/>
    <m/>
    <x v="1"/>
    <n v="13"/>
    <s v="Kristel Joyce Manalese"/>
    <m/>
  </r>
  <r>
    <x v="445"/>
    <x v="0"/>
    <x v="2"/>
    <s v="PLEAN_X310171DE6230104 1891_BY_V9_BAV_M&amp;S OTH"/>
    <s v="H000000254"/>
    <s v="H000000254"/>
    <s v="Non-LFF"/>
    <s v=""/>
    <m/>
    <b v="1"/>
    <x v="4"/>
    <x v="0"/>
    <d v="2025-11-25T00:00:00"/>
    <m/>
    <m/>
    <x v="1"/>
    <n v="13"/>
    <s v="Kristel Joyce Manalese"/>
    <m/>
  </r>
  <r>
    <x v="445"/>
    <x v="0"/>
    <x v="2"/>
    <s v="PLEAN_X310201AE5011203 SP ADVT-KW-FERT"/>
    <s v="H000002969"/>
    <s v="H000002969"/>
    <s v="Non-LFF"/>
    <s v=""/>
    <m/>
    <b v="1"/>
    <x v="4"/>
    <x v="0"/>
    <d v="2025-11-25T00:00:00"/>
    <m/>
    <m/>
    <x v="1"/>
    <n v="13"/>
    <s v="Kristel Joyce Manalese"/>
    <m/>
  </r>
  <r>
    <x v="446"/>
    <x v="0"/>
    <x v="2"/>
    <s v="CLFF_1000$$$ES50Y54321 GES BGL L&amp;D PDP"/>
    <s v="G000001450"/>
    <s v="G000001450"/>
    <s v="LFF (MDG-F)"/>
    <s v="ES50Y54321"/>
    <m/>
    <b v="1"/>
    <x v="0"/>
    <x v="0"/>
    <d v="2025-11-25T00:00:00"/>
    <m/>
    <m/>
    <x v="1"/>
    <n v="13"/>
    <s v="Jojeff Tagnong"/>
    <m/>
  </r>
  <r>
    <x v="446"/>
    <x v="0"/>
    <x v="2"/>
    <s v="CLFF_1000$$$IT50Y54321 GES BGL L&amp;D PDP"/>
    <s v="G000001450"/>
    <s v="G000001450"/>
    <s v="LFF (MDG-F)"/>
    <s v="IT50Y54321"/>
    <m/>
    <b v="1"/>
    <x v="0"/>
    <x v="0"/>
    <d v="2025-11-25T00:00:00"/>
    <m/>
    <m/>
    <x v="1"/>
    <n v="13"/>
    <s v="Jojeff Tagnong"/>
    <m/>
  </r>
  <r>
    <x v="446"/>
    <x v="0"/>
    <x v="2"/>
    <s v="CLFF_7210$$$2123Y54321 GES BGL L&amp;D PDP"/>
    <s v="G000001450"/>
    <s v="G000001450"/>
    <s v="LFF (MDG-F)"/>
    <s v="2123Y54321"/>
    <m/>
    <b v="1"/>
    <x v="0"/>
    <x v="0"/>
    <d v="2025-11-25T00:00:00"/>
    <m/>
    <m/>
    <x v="1"/>
    <n v="13"/>
    <s v="Jojeff Tagnong"/>
    <m/>
  </r>
  <r>
    <x v="446"/>
    <x v="0"/>
    <x v="2"/>
    <s v="CEMERAL_70006502GM4020 MBS FS ES L&amp;D PDP activities"/>
    <s v="G000001450"/>
    <s v="G000001450"/>
    <s v="Non-LFF"/>
    <s v=""/>
    <m/>
    <b v="1"/>
    <x v="0"/>
    <x v="0"/>
    <d v="2025-11-25T00:00:00"/>
    <m/>
    <m/>
    <x v="1"/>
    <n v="13"/>
    <s v="Jojeff Tagnong"/>
    <m/>
  </r>
  <r>
    <x v="446"/>
    <x v="0"/>
    <x v="2"/>
    <s v="CEMERAL_64016401GM4021 MBS FS ES L&amp;D PDP activities"/>
    <s v="G000001450"/>
    <s v="G000001450"/>
    <s v="Non-LFF"/>
    <s v=""/>
    <m/>
    <b v="1"/>
    <x v="0"/>
    <x v="0"/>
    <d v="2025-11-25T00:00:00"/>
    <m/>
    <m/>
    <x v="1"/>
    <n v="13"/>
    <s v="Jojeff Tagnong"/>
    <m/>
  </r>
  <r>
    <x v="447"/>
    <x v="0"/>
    <x v="2"/>
    <s v="CNOW_7210$$$0000040055 DxRM - R&amp;D Chemical Synthesis Lab SK"/>
    <s v="L000008415"/>
    <s v="L000008415"/>
    <s v="Non-LFF"/>
    <s v=""/>
    <m/>
    <b v="1"/>
    <x v="2"/>
    <x v="0"/>
    <d v="2025-11-25T00:00:00"/>
    <m/>
    <m/>
    <x v="1"/>
    <n v="13"/>
    <s v="Ruby Grace Garcia"/>
    <m/>
  </r>
  <r>
    <x v="448"/>
    <x v="0"/>
    <x v="2"/>
    <s v="CLFF_1000$$$DE10F27300"/>
    <s v="G000000847"/>
    <s v="G000000847"/>
    <s v="LFF (MDG-F)"/>
    <s v="DE10F27300"/>
    <m/>
    <b v="1"/>
    <x v="0"/>
    <x v="0"/>
    <d v="2025-11-27T00:00:00"/>
    <m/>
    <m/>
    <x v="1"/>
    <n v="11"/>
    <s v="Manuel Walther"/>
    <m/>
  </r>
  <r>
    <x v="448"/>
    <x v="0"/>
    <x v="2"/>
    <s v="CLFF_1000$$$DE10566115"/>
    <s v="G000000431"/>
    <s v="G000000431"/>
    <s v="LFF (MDG-F)"/>
    <s v="DE10566115"/>
    <m/>
    <b v="1"/>
    <x v="0"/>
    <x v="0"/>
    <d v="2025-11-27T00:00:00"/>
    <m/>
    <m/>
    <x v="1"/>
    <n v="11"/>
    <s v="Manuel Walther"/>
    <m/>
  </r>
  <r>
    <x v="448"/>
    <x v="0"/>
    <x v="2"/>
    <s v="CLFF_1000$$$DE10566116"/>
    <s v="G000000431"/>
    <s v="G000000431"/>
    <s v="LFF (MDG-F)"/>
    <s v="DE10566116"/>
    <m/>
    <b v="1"/>
    <x v="0"/>
    <x v="0"/>
    <d v="2025-11-27T00:00:00"/>
    <m/>
    <m/>
    <x v="1"/>
    <n v="11"/>
    <s v="Manuel Walther"/>
    <m/>
  </r>
  <r>
    <x v="448"/>
    <x v="0"/>
    <x v="2"/>
    <s v="CLFF_1000$$$DE10566118"/>
    <s v="G000000431"/>
    <s v="G000000431"/>
    <s v="LFF (MDG-F)"/>
    <s v="DE10566118"/>
    <m/>
    <b v="1"/>
    <x v="0"/>
    <x v="0"/>
    <d v="2025-11-27T00:00:00"/>
    <m/>
    <m/>
    <x v="1"/>
    <n v="11"/>
    <s v="Manuel Walther"/>
    <m/>
  </r>
  <r>
    <x v="448"/>
    <x v="0"/>
    <x v="2"/>
    <s v="CLFF_1000$$$DE10566120"/>
    <s v="G000000431"/>
    <s v="G000000431"/>
    <s v="LFF (MDG-F)"/>
    <s v="DE10566120"/>
    <m/>
    <b v="1"/>
    <x v="0"/>
    <x v="0"/>
    <d v="2025-11-27T00:00:00"/>
    <m/>
    <m/>
    <x v="1"/>
    <n v="11"/>
    <s v="Manuel Walther"/>
    <m/>
  </r>
  <r>
    <x v="448"/>
    <x v="0"/>
    <x v="2"/>
    <s v="CLFF_1000$$$DE10566121"/>
    <s v="G000000431"/>
    <s v="G000000431"/>
    <s v="LFF (MDG-F)"/>
    <s v="DE10566121"/>
    <m/>
    <b v="1"/>
    <x v="0"/>
    <x v="0"/>
    <d v="2025-11-27T00:00:00"/>
    <m/>
    <m/>
    <x v="1"/>
    <n v="11"/>
    <s v="Manuel Walther"/>
    <m/>
  </r>
  <r>
    <x v="448"/>
    <x v="0"/>
    <x v="2"/>
    <s v="CLFF_1000$$$DE10566122"/>
    <s v="G000000431"/>
    <s v="G000000431"/>
    <s v="LFF (MDG-F)"/>
    <s v="DE10566122"/>
    <m/>
    <b v="1"/>
    <x v="0"/>
    <x v="0"/>
    <d v="2025-11-27T00:00:00"/>
    <m/>
    <m/>
    <x v="1"/>
    <n v="11"/>
    <s v="Manuel Walther"/>
    <m/>
  </r>
  <r>
    <x v="448"/>
    <x v="0"/>
    <x v="2"/>
    <s v="CLFF_1000$$$DE10566125"/>
    <s v="G000000431"/>
    <s v="G000000431"/>
    <s v="LFF (MDG-F)"/>
    <s v="DE10566125"/>
    <m/>
    <b v="1"/>
    <x v="0"/>
    <x v="0"/>
    <d v="2025-11-27T00:00:00"/>
    <m/>
    <m/>
    <x v="1"/>
    <n v="11"/>
    <s v="Manuel Walther"/>
    <m/>
  </r>
  <r>
    <x v="448"/>
    <x v="0"/>
    <x v="2"/>
    <s v="CLFF_1000$$$DE10566127"/>
    <s v="G000000431"/>
    <s v="G000000431"/>
    <s v="LFF (MDG-F)"/>
    <s v="DE10566127"/>
    <m/>
    <b v="1"/>
    <x v="0"/>
    <x v="0"/>
    <d v="2025-11-27T00:00:00"/>
    <m/>
    <m/>
    <x v="1"/>
    <n v="11"/>
    <s v="Manuel Walther"/>
    <m/>
  </r>
  <r>
    <x v="448"/>
    <x v="0"/>
    <x v="2"/>
    <s v="CLFF_1000$$$DE10E16300"/>
    <s v="G000000847"/>
    <s v="G000000847"/>
    <s v="LFF (MDG-F)"/>
    <s v="DE10E16300"/>
    <m/>
    <b v="1"/>
    <x v="0"/>
    <x v="0"/>
    <d v="2025-11-27T00:00:00"/>
    <m/>
    <m/>
    <x v="1"/>
    <n v="11"/>
    <s v="Manuel Walther"/>
    <m/>
  </r>
  <r>
    <x v="448"/>
    <x v="0"/>
    <x v="2"/>
    <s v="CLFF_1000$$$DE10E16600"/>
    <s v="G000000847"/>
    <s v="G000000847"/>
    <s v="LFF (MDG-F)"/>
    <s v="DE10E16600"/>
    <m/>
    <b v="1"/>
    <x v="0"/>
    <x v="0"/>
    <d v="2025-11-27T00:00:00"/>
    <m/>
    <m/>
    <x v="1"/>
    <n v="11"/>
    <s v="Manuel Walther"/>
    <m/>
  </r>
  <r>
    <x v="448"/>
    <x v="0"/>
    <x v="2"/>
    <s v="CLFF_1000$$$DE10E38020"/>
    <s v="G000000847"/>
    <s v="G000000847"/>
    <s v="LFF (MDG-F)"/>
    <s v="DE10E38020"/>
    <m/>
    <b v="1"/>
    <x v="0"/>
    <x v="0"/>
    <d v="2025-11-27T00:00:00"/>
    <m/>
    <m/>
    <x v="1"/>
    <n v="11"/>
    <s v="Manuel Walther"/>
    <m/>
  </r>
  <r>
    <x v="448"/>
    <x v="0"/>
    <x v="2"/>
    <s v="CLFF_1000$$$DE10E38800"/>
    <s v="G000000848"/>
    <s v="G000000848"/>
    <s v="LFF (MDG-F)"/>
    <s v="DE10E38800"/>
    <m/>
    <b v="1"/>
    <x v="0"/>
    <x v="0"/>
    <d v="2025-11-27T00:00:00"/>
    <m/>
    <m/>
    <x v="1"/>
    <n v="11"/>
    <s v="Manuel Walther"/>
    <m/>
  </r>
  <r>
    <x v="448"/>
    <x v="0"/>
    <x v="2"/>
    <s v="CLFF_1000$$$DE10E38810"/>
    <s v="G000000847"/>
    <s v="G000000847"/>
    <s v="LFF (MDG-F)"/>
    <s v="DE10E38810"/>
    <m/>
    <b v="1"/>
    <x v="0"/>
    <x v="0"/>
    <d v="2025-11-27T00:00:00"/>
    <m/>
    <m/>
    <x v="1"/>
    <n v="11"/>
    <s v="Manuel Walther"/>
    <m/>
  </r>
  <r>
    <x v="448"/>
    <x v="0"/>
    <x v="2"/>
    <s v="CLFF_1000$$$DE10E61000"/>
    <s v="G000000847"/>
    <s v="G000000847"/>
    <s v="LFF (MDG-F)"/>
    <s v="DE10E61000"/>
    <m/>
    <b v="1"/>
    <x v="0"/>
    <x v="0"/>
    <d v="2025-11-27T00:00:00"/>
    <m/>
    <m/>
    <x v="1"/>
    <n v="11"/>
    <s v="Manuel Walther"/>
    <m/>
  </r>
  <r>
    <x v="448"/>
    <x v="0"/>
    <x v="2"/>
    <s v="CLFF_1000$$$DE10E61100"/>
    <s v="G000000847"/>
    <s v="G000000847"/>
    <s v="LFF (MDG-F)"/>
    <s v="DE10E61100"/>
    <m/>
    <b v="1"/>
    <x v="0"/>
    <x v="0"/>
    <d v="2025-11-27T00:00:00"/>
    <m/>
    <m/>
    <x v="1"/>
    <n v="11"/>
    <s v="Manuel Walther"/>
    <m/>
  </r>
  <r>
    <x v="448"/>
    <x v="0"/>
    <x v="2"/>
    <s v="CLFF_1000$$$DE10E61200"/>
    <s v="G000000847"/>
    <s v="G000000847"/>
    <s v="LFF (MDG-F)"/>
    <s v="DE10E61200"/>
    <m/>
    <b v="1"/>
    <x v="0"/>
    <x v="0"/>
    <d v="2025-11-27T00:00:00"/>
    <m/>
    <m/>
    <x v="1"/>
    <n v="11"/>
    <s v="Manuel Walther"/>
    <m/>
  </r>
  <r>
    <x v="448"/>
    <x v="0"/>
    <x v="2"/>
    <s v="CLFF_1000$$$DE10E61900"/>
    <s v="G000000847"/>
    <s v="G000000847"/>
    <s v="LFF (MDG-F)"/>
    <s v="DE10E61900"/>
    <m/>
    <b v="1"/>
    <x v="0"/>
    <x v="0"/>
    <d v="2025-11-27T00:00:00"/>
    <m/>
    <m/>
    <x v="1"/>
    <n v="11"/>
    <s v="Manuel Walther"/>
    <m/>
  </r>
  <r>
    <x v="448"/>
    <x v="0"/>
    <x v="2"/>
    <s v="CLFF_1000$$$DE10F11900"/>
    <s v="G000000847"/>
    <s v="G000000847"/>
    <s v="LFF (MDG-F)"/>
    <s v="DE10F11900"/>
    <m/>
    <b v="1"/>
    <x v="0"/>
    <x v="0"/>
    <d v="2025-11-27T00:00:00"/>
    <m/>
    <m/>
    <x v="1"/>
    <n v="11"/>
    <s v="Manuel Walther"/>
    <m/>
  </r>
  <r>
    <x v="448"/>
    <x v="0"/>
    <x v="2"/>
    <s v="CLFF_1000$$$DE10F16000"/>
    <s v="G000000848"/>
    <s v="G000000848"/>
    <s v="LFF (MDG-F)"/>
    <s v="DE10F16000"/>
    <m/>
    <b v="1"/>
    <x v="0"/>
    <x v="0"/>
    <d v="2025-11-27T00:00:00"/>
    <m/>
    <m/>
    <x v="1"/>
    <n v="11"/>
    <s v="Manuel Walther"/>
    <m/>
  </r>
  <r>
    <x v="448"/>
    <x v="0"/>
    <x v="2"/>
    <s v="CLFF_1000$$$DE10F16010"/>
    <s v="G000000847"/>
    <s v="G000000847"/>
    <s v="LFF (MDG-F)"/>
    <s v="DE10F16010"/>
    <m/>
    <b v="1"/>
    <x v="0"/>
    <x v="0"/>
    <d v="2025-11-27T00:00:00"/>
    <m/>
    <m/>
    <x v="1"/>
    <n v="11"/>
    <s v="Manuel Walther"/>
    <m/>
  </r>
  <r>
    <x v="448"/>
    <x v="0"/>
    <x v="2"/>
    <s v="CLFF_1000$$$DE10F16100"/>
    <s v="G000000847"/>
    <s v="G000000847"/>
    <s v="LFF (MDG-F)"/>
    <s v="DE10F16100"/>
    <m/>
    <b v="1"/>
    <x v="0"/>
    <x v="0"/>
    <d v="2025-11-27T00:00:00"/>
    <m/>
    <m/>
    <x v="1"/>
    <n v="11"/>
    <s v="Manuel Walther"/>
    <m/>
  </r>
  <r>
    <x v="448"/>
    <x v="0"/>
    <x v="2"/>
    <s v="CLFF_1000$$$DE10F16200"/>
    <s v="G000000847"/>
    <s v="G000000847"/>
    <s v="LFF (MDG-F)"/>
    <s v="DE10F16200"/>
    <m/>
    <b v="1"/>
    <x v="0"/>
    <x v="0"/>
    <d v="2025-11-27T00:00:00"/>
    <m/>
    <m/>
    <x v="1"/>
    <n v="11"/>
    <s v="Manuel Walther"/>
    <m/>
  </r>
  <r>
    <x v="448"/>
    <x v="0"/>
    <x v="2"/>
    <s v="CLFF_1000$$$DE10F16300"/>
    <s v="G000000847"/>
    <s v="G000000847"/>
    <s v="LFF (MDG-F)"/>
    <s v="DE10F16300"/>
    <m/>
    <b v="1"/>
    <x v="0"/>
    <x v="0"/>
    <d v="2025-11-27T00:00:00"/>
    <m/>
    <m/>
    <x v="1"/>
    <n v="11"/>
    <s v="Manuel Walther"/>
    <m/>
  </r>
  <r>
    <x v="448"/>
    <x v="0"/>
    <x v="2"/>
    <s v="CLFF_1000$$$DE10F16500"/>
    <s v="G000000847"/>
    <s v="G000000847"/>
    <s v="LFF (MDG-F)"/>
    <s v="DE10F16500"/>
    <m/>
    <b v="1"/>
    <x v="0"/>
    <x v="0"/>
    <d v="2025-11-27T00:00:00"/>
    <m/>
    <m/>
    <x v="1"/>
    <n v="11"/>
    <s v="Manuel Walther"/>
    <m/>
  </r>
  <r>
    <x v="448"/>
    <x v="0"/>
    <x v="2"/>
    <s v="CLFF_1000$$$DE10F16600"/>
    <s v="G000000847"/>
    <s v="G000000847"/>
    <s v="LFF (MDG-F)"/>
    <s v="DE10F16600"/>
    <m/>
    <b v="1"/>
    <x v="0"/>
    <x v="0"/>
    <d v="2025-11-27T00:00:00"/>
    <m/>
    <m/>
    <x v="1"/>
    <n v="11"/>
    <s v="Manuel Walther"/>
    <m/>
  </r>
  <r>
    <x v="448"/>
    <x v="0"/>
    <x v="2"/>
    <s v="CLFF_1000$$$DE10F16700"/>
    <s v="G000000847"/>
    <s v="G000000847"/>
    <s v="LFF (MDG-F)"/>
    <s v="DE10F16700"/>
    <m/>
    <b v="1"/>
    <x v="0"/>
    <x v="0"/>
    <d v="2025-11-27T00:00:00"/>
    <m/>
    <m/>
    <x v="1"/>
    <n v="11"/>
    <s v="Manuel Walther"/>
    <m/>
  </r>
  <r>
    <x v="448"/>
    <x v="0"/>
    <x v="2"/>
    <s v="CLFF_1000$$$DE10F27301"/>
    <s v="G000000848"/>
    <s v="G000000848"/>
    <s v="LFF (MDG-F)"/>
    <s v="DE10F27301"/>
    <m/>
    <b v="1"/>
    <x v="0"/>
    <x v="0"/>
    <d v="2025-11-27T00:00:00"/>
    <m/>
    <m/>
    <x v="1"/>
    <n v="11"/>
    <s v="Manuel Walther"/>
    <m/>
  </r>
  <r>
    <x v="448"/>
    <x v="0"/>
    <x v="2"/>
    <s v="CLFF_1000$$$DE10E09200"/>
    <s v="G000000848"/>
    <s v="G000000848"/>
    <s v="LFF (MDG-F)"/>
    <s v="DE10E09200"/>
    <m/>
    <b v="1"/>
    <x v="0"/>
    <x v="0"/>
    <d v="2025-11-27T00:00:00"/>
    <m/>
    <m/>
    <x v="1"/>
    <n v="11"/>
    <s v="Manuel Walther"/>
    <m/>
  </r>
  <r>
    <x v="448"/>
    <x v="0"/>
    <x v="2"/>
    <s v="CLFF_1000$$$DE10E47200"/>
    <s v="G000000847"/>
    <s v="G000000847"/>
    <s v="LFF (MDG-F)"/>
    <s v="DE10E47200"/>
    <m/>
    <b v="1"/>
    <x v="0"/>
    <x v="0"/>
    <d v="2025-11-27T00:00:00"/>
    <m/>
    <m/>
    <x v="1"/>
    <n v="11"/>
    <s v="Manuel Walther"/>
    <m/>
  </r>
  <r>
    <x v="448"/>
    <x v="0"/>
    <x v="2"/>
    <s v="CLFF_1000$$$DE10F10600"/>
    <s v="G000000847"/>
    <s v="G000000847"/>
    <s v="LFF (MDG-F)"/>
    <s v="DE10F10600"/>
    <m/>
    <b v="1"/>
    <x v="0"/>
    <x v="0"/>
    <d v="2025-11-27T00:00:00"/>
    <m/>
    <m/>
    <x v="1"/>
    <n v="11"/>
    <s v="Manuel Walther"/>
    <m/>
  </r>
  <r>
    <x v="448"/>
    <x v="0"/>
    <x v="2"/>
    <s v="CLFF_1000$$$DE10F10900"/>
    <s v="G000000847"/>
    <s v="G000000847"/>
    <s v="LFF (MDG-F)"/>
    <s v="DE10F10900"/>
    <m/>
    <b v="1"/>
    <x v="0"/>
    <x v="0"/>
    <d v="2025-11-27T00:00:00"/>
    <m/>
    <m/>
    <x v="1"/>
    <n v="11"/>
    <s v="Manuel Walther"/>
    <m/>
  </r>
  <r>
    <x v="448"/>
    <x v="0"/>
    <x v="2"/>
    <s v="CLFF_1000$$$DE10F15400"/>
    <s v="G000000848"/>
    <s v="G000000848"/>
    <s v="LFF (MDG-F)"/>
    <s v="DE10F15400"/>
    <m/>
    <b v="1"/>
    <x v="0"/>
    <x v="0"/>
    <d v="2025-11-27T00:00:00"/>
    <m/>
    <m/>
    <x v="1"/>
    <n v="11"/>
    <s v="Manuel Walther"/>
    <m/>
  </r>
  <r>
    <x v="448"/>
    <x v="0"/>
    <x v="2"/>
    <s v="CLFF_1000$$$DE10F15410"/>
    <s v="G000000847"/>
    <s v="G000000847"/>
    <s v="LFF (MDG-F)"/>
    <s v="DE10F15410"/>
    <m/>
    <b v="1"/>
    <x v="0"/>
    <x v="0"/>
    <d v="2025-11-27T00:00:00"/>
    <m/>
    <m/>
    <x v="1"/>
    <n v="11"/>
    <s v="Manuel Walther"/>
    <m/>
  </r>
  <r>
    <x v="449"/>
    <x v="0"/>
    <x v="2"/>
    <s v="CLFF_1000$$$SG09OF0504 Customer Service &amp; Material Planning"/>
    <s v="P000001349"/>
    <s v="P000001349"/>
    <s v="LFF (MDG-F)"/>
    <s v="SG09OF0504"/>
    <s v="P000001349"/>
    <b v="1"/>
    <x v="3"/>
    <x v="0"/>
    <d v="2025-11-28T00:00:00"/>
    <m/>
    <m/>
    <x v="1"/>
    <n v="10"/>
    <s v="John Rowie Del Rosario"/>
    <m/>
  </r>
  <r>
    <x v="449"/>
    <x v="0"/>
    <x v="2"/>
    <s v="CLFF_1000$$$TW02OF0321 Customer Services"/>
    <s v="P000001349"/>
    <s v="P000001349"/>
    <s v="LFF (MDG-F)"/>
    <s v="TW02OF0321"/>
    <s v="P000001349"/>
    <b v="1"/>
    <x v="3"/>
    <x v="0"/>
    <d v="2025-11-28T00:00:00"/>
    <m/>
    <m/>
    <x v="1"/>
    <n v="10"/>
    <s v="John Rowie Del Rosario"/>
    <m/>
  </r>
  <r>
    <x v="449"/>
    <x v="0"/>
    <x v="2"/>
    <s v="CLFF_1000$$$TW02OF0322 Customer Service_Semiconductor"/>
    <s v="P000001349"/>
    <s v="P000001349"/>
    <s v="LFF (MDG-F)"/>
    <s v="TW02OF0322"/>
    <s v="P000001349"/>
    <b v="1"/>
    <x v="3"/>
    <x v="0"/>
    <d v="2025-11-28T00:00:00"/>
    <m/>
    <m/>
    <x v="1"/>
    <n v="10"/>
    <s v="John Rowie Del Rosario"/>
    <m/>
  </r>
  <r>
    <x v="449"/>
    <x v="0"/>
    <x v="2"/>
    <s v="CLFF_VMCA$$$SG10DB3305 Singapore Customer Service"/>
    <s v="P000001349"/>
    <s v="P000001349"/>
    <s v="LFF (MDG-F)"/>
    <s v="SG10DB3305"/>
    <s v="P000001349"/>
    <b v="1"/>
    <x v="3"/>
    <x v="0"/>
    <d v="2025-11-28T00:00:00"/>
    <m/>
    <m/>
    <x v="1"/>
    <n v="10"/>
    <s v="John Rowie Del Rosario"/>
    <m/>
  </r>
  <r>
    <x v="449"/>
    <x v="0"/>
    <x v="2"/>
    <s v="CLFF_VMCA$$$TW10DB3308 Taiwan Customer Service"/>
    <s v="P000001349"/>
    <s v="P000001349"/>
    <s v="LFF (MDG-F)"/>
    <s v="TW10DB3308"/>
    <s v="P000001349"/>
    <b v="1"/>
    <x v="3"/>
    <x v="0"/>
    <d v="2025-11-28T00:00:00"/>
    <m/>
    <m/>
    <x v="1"/>
    <n v="10"/>
    <s v="John Rowie Del Rosario"/>
    <m/>
  </r>
  <r>
    <x v="449"/>
    <x v="0"/>
    <x v="2"/>
    <s v="CLFF_1000$$$SG09TPX001 ACW 3PL Warehouse"/>
    <s v="P000001346"/>
    <s v="P000001346"/>
    <s v="LFF (MDG-F)"/>
    <s v="SG09TPX001"/>
    <s v="P000001346"/>
    <b v="1"/>
    <x v="3"/>
    <x v="0"/>
    <d v="2025-11-28T00:00:00"/>
    <m/>
    <m/>
    <x v="1"/>
    <n v="10"/>
    <s v="John Rowie Del Rosario"/>
    <m/>
  </r>
  <r>
    <x v="449"/>
    <x v="0"/>
    <x v="2"/>
    <s v="CLFF_VMCA$$$MY10DB3301 MY10 3PL Cylinder Storage"/>
    <s v="P000001346"/>
    <s v="P000001346"/>
    <s v="LFF (MDG-F)"/>
    <s v="MY10DB3301"/>
    <s v="P000001346"/>
    <b v="1"/>
    <x v="3"/>
    <x v="0"/>
    <d v="2025-11-28T00:00:00"/>
    <m/>
    <m/>
    <x v="1"/>
    <n v="10"/>
    <s v="John Rowie Del Rosario"/>
    <m/>
  </r>
  <r>
    <x v="449"/>
    <x v="0"/>
    <x v="2"/>
    <s v="CLFF_VMCA$$$SG10DB3300 Tuas Warehouse"/>
    <s v="P000001346"/>
    <s v="P000001346"/>
    <s v="LFF (MDG-F)"/>
    <s v="SG10DB3300"/>
    <s v="P000001346"/>
    <b v="1"/>
    <x v="3"/>
    <x v="0"/>
    <d v="2025-11-28T00:00:00"/>
    <m/>
    <m/>
    <x v="1"/>
    <n v="10"/>
    <s v="John Rowie Del Rosario"/>
    <m/>
  </r>
  <r>
    <x v="449"/>
    <x v="0"/>
    <x v="2"/>
    <s v="CLFF_VMCA$$$SG10DB3301 SG10 PTC 3PL Warehouse"/>
    <s v="P000001346"/>
    <s v="P000001346"/>
    <s v="LFF (MDG-F)"/>
    <s v="SG10DB3301"/>
    <s v="P000001346"/>
    <b v="1"/>
    <x v="3"/>
    <x v="0"/>
    <d v="2025-11-28T00:00:00"/>
    <m/>
    <m/>
    <x v="1"/>
    <n v="10"/>
    <s v="John Rowie Del Rosario"/>
    <m/>
  </r>
  <r>
    <x v="449"/>
    <x v="0"/>
    <x v="2"/>
    <s v="CLFF_VMCA$$$SG10DB3302 SG10 Asia Industrial Gases 3PL Warehouse"/>
    <s v="P000001346"/>
    <s v="P000001346"/>
    <s v="LFF (MDG-F)"/>
    <s v="SG10DB3302"/>
    <s v="P000001346"/>
    <b v="1"/>
    <x v="3"/>
    <x v="0"/>
    <d v="2025-11-28T00:00:00"/>
    <m/>
    <m/>
    <x v="1"/>
    <n v="10"/>
    <s v="John Rowie Del Rosario"/>
    <m/>
  </r>
  <r>
    <x v="449"/>
    <x v="0"/>
    <x v="2"/>
    <s v="CLFF_VMCA$$$TW10DB3303 Taichung Warehouse"/>
    <s v="P000001346"/>
    <s v="P000001346"/>
    <s v="LFF (MDG-F)"/>
    <s v="TW10DB3303"/>
    <s v="P000001346"/>
    <b v="1"/>
    <x v="3"/>
    <x v="0"/>
    <d v="2025-11-28T00:00:00"/>
    <m/>
    <m/>
    <x v="1"/>
    <n v="10"/>
    <s v="John Rowie Del Rosario"/>
    <m/>
  </r>
  <r>
    <x v="449"/>
    <x v="0"/>
    <x v="2"/>
    <s v="CLFF_VMCA$$$TW10DB3307 CTW Qionglin 3PL Warehouse"/>
    <s v="P000001346"/>
    <s v="P000001346"/>
    <s v="LFF (MDG-F)"/>
    <s v="TW10DB3307"/>
    <s v="P000001346"/>
    <b v="1"/>
    <x v="3"/>
    <x v="0"/>
    <d v="2025-11-28T00:00:00"/>
    <m/>
    <m/>
    <x v="1"/>
    <n v="10"/>
    <s v="John Rowie Del Rosario"/>
    <m/>
  </r>
  <r>
    <x v="449"/>
    <x v="0"/>
    <x v="2"/>
    <s v="CLFF_VMCA$$$TW10TQ1001 Tainan Rinchem 3PL Warehouse"/>
    <s v="P000001346"/>
    <s v="P000001346"/>
    <s v="LFF (MDG-F)"/>
    <s v="TW10TQ1001"/>
    <s v="P000001346"/>
    <b v="1"/>
    <x v="3"/>
    <x v="0"/>
    <d v="2025-11-28T00:00:00"/>
    <m/>
    <m/>
    <x v="1"/>
    <n v="10"/>
    <s v="John Rowie Del Rosario"/>
    <m/>
  </r>
  <r>
    <x v="449"/>
    <x v="0"/>
    <x v="2"/>
    <s v="CLFF_VMCA$$$TW10TQ1002 Hsinchu Leemark Logistics 3PL WH"/>
    <s v="P000001346"/>
    <s v="P000001346"/>
    <s v="LFF (MDG-F)"/>
    <s v="TW10TQ1002"/>
    <s v="P000001346"/>
    <b v="1"/>
    <x v="3"/>
    <x v="0"/>
    <d v="2025-11-28T00:00:00"/>
    <m/>
    <m/>
    <x v="1"/>
    <n v="10"/>
    <s v="John Rowie Del Rosario"/>
    <m/>
  </r>
  <r>
    <x v="449"/>
    <x v="0"/>
    <x v="2"/>
    <s v="CLFF_VMCA$$$TW10TQ1003"/>
    <s v="P000001346"/>
    <s v="P000001346"/>
    <s v="LFF (MDG-F)"/>
    <s v="TW10TQ1003"/>
    <s v="P000001346"/>
    <b v="1"/>
    <x v="3"/>
    <x v="0"/>
    <d v="2025-11-28T00:00:00"/>
    <m/>
    <m/>
    <x v="1"/>
    <n v="10"/>
    <s v="John Rowie Del Rosario"/>
    <m/>
  </r>
  <r>
    <x v="449"/>
    <x v="0"/>
    <x v="2"/>
    <s v="CLFF_VMCA$$$TW91DB3301 TW91 Tainan Warehouse"/>
    <s v="P000001346"/>
    <s v="P000001346"/>
    <s v="LFF (MDG-F)"/>
    <s v="TW91DB3301"/>
    <s v="P000001346"/>
    <b v="1"/>
    <x v="3"/>
    <x v="0"/>
    <d v="2025-11-28T00:00:00"/>
    <m/>
    <m/>
    <x v="1"/>
    <n v="10"/>
    <s v="John Rowie Del Rosario"/>
    <m/>
  </r>
  <r>
    <x v="449"/>
    <x v="0"/>
    <x v="2"/>
    <s v="CLFF_VMCA$$$TW91TQ1001 CTW Qionglin Warehouse"/>
    <s v="P000001346"/>
    <s v="P000001346"/>
    <s v="LFF (MDG-F)"/>
    <s v="TW91TQ1001"/>
    <s v="P000001346"/>
    <b v="1"/>
    <x v="3"/>
    <x v="0"/>
    <d v="2025-11-28T00:00:00"/>
    <m/>
    <m/>
    <x v="1"/>
    <n v="10"/>
    <s v="John Rowie Del Rosario"/>
    <m/>
  </r>
  <r>
    <x v="449"/>
    <x v="0"/>
    <x v="2"/>
    <s v="CLFF_VMCA$$$TW91TQ1002 Sanfu Chemical Warehouse"/>
    <s v="P000001346"/>
    <s v="P000001346"/>
    <s v="LFF (MDG-F)"/>
    <s v="TW91TQ1002"/>
    <s v="P000001346"/>
    <b v="1"/>
    <x v="3"/>
    <x v="0"/>
    <d v="2025-11-28T00:00:00"/>
    <m/>
    <m/>
    <x v="1"/>
    <n v="10"/>
    <s v="John Rowie Del Rosario"/>
    <m/>
  </r>
  <r>
    <x v="449"/>
    <x v="0"/>
    <x v="2"/>
    <s v="CLFF_VMCA$$$MY10TQ1000"/>
    <s v="P000001346"/>
    <s v="P000001346"/>
    <s v="LFF (MDG-F)"/>
    <s v="MY10TQ1000"/>
    <s v="P000001346"/>
    <b v="1"/>
    <x v="3"/>
    <x v="0"/>
    <d v="2025-11-28T00:00:00"/>
    <m/>
    <m/>
    <x v="1"/>
    <n v="10"/>
    <s v="John Rowie Del Rosario"/>
    <m/>
  </r>
  <r>
    <x v="449"/>
    <x v="0"/>
    <x v="4"/>
    <s v="CLFF_VMCA$$$SG10TQ1001"/>
    <s v="P000001346"/>
    <n v="0"/>
    <s v="LFF (MDG-F)"/>
    <s v="SG10TQ1001"/>
    <s v="P000001346"/>
    <b v="0"/>
    <x v="3"/>
    <x v="0"/>
    <d v="2025-11-28T00:00:00"/>
    <m/>
    <m/>
    <x v="1"/>
    <n v="10"/>
    <s v="John Rowie Del Rosario"/>
    <m/>
  </r>
  <r>
    <x v="449"/>
    <x v="0"/>
    <x v="4"/>
    <s v="CLFF_VMCA$$$SG10TQ1002"/>
    <s v="P000001346"/>
    <n v="0"/>
    <s v="LFF (MDG-F)"/>
    <s v="SG10TQ1002"/>
    <s v="P000001346"/>
    <b v="0"/>
    <x v="3"/>
    <x v="0"/>
    <d v="2025-11-28T00:00:00"/>
    <m/>
    <m/>
    <x v="1"/>
    <n v="10"/>
    <s v="John Rowie Del Rosario"/>
    <m/>
  </r>
  <r>
    <x v="449"/>
    <x v="0"/>
    <x v="4"/>
    <s v="CLFF_VMCA$$$SG10TQ1003"/>
    <s v="P000001346"/>
    <n v="0"/>
    <s v="LFF (MDG-F)"/>
    <s v="SG10TQ1003"/>
    <s v="P000001346"/>
    <b v="0"/>
    <x v="3"/>
    <x v="0"/>
    <d v="2025-11-28T00:00:00"/>
    <m/>
    <m/>
    <x v="1"/>
    <n v="10"/>
    <s v="John Rowie Del Rosario"/>
    <m/>
  </r>
  <r>
    <x v="449"/>
    <x v="0"/>
    <x v="2"/>
    <s v="CLFF_1000$$$TW02TPHZ06"/>
    <s v="P000001346"/>
    <s v="P000001346"/>
    <s v="LFF (MDG-F)"/>
    <s v="TW02TPHZ06"/>
    <s v="P000001346"/>
    <b v="1"/>
    <x v="3"/>
    <x v="0"/>
    <d v="2025-11-28T00:00:00"/>
    <m/>
    <m/>
    <x v="1"/>
    <n v="10"/>
    <s v="John Rowie Del Rosario"/>
    <m/>
  </r>
  <r>
    <x v="449"/>
    <x v="0"/>
    <x v="2"/>
    <s v="CLFF_VMCA$$$TW10TQ1004"/>
    <s v="P000001346"/>
    <s v="P000001346"/>
    <s v="LFF (MDG-F)"/>
    <s v="TW10TQ1004"/>
    <s v="P000001346"/>
    <b v="1"/>
    <x v="3"/>
    <x v="0"/>
    <d v="2025-11-28T00:00:00"/>
    <m/>
    <m/>
    <x v="1"/>
    <n v="10"/>
    <s v="John Rowie Del Rosario"/>
    <m/>
  </r>
  <r>
    <x v="449"/>
    <x v="0"/>
    <x v="2"/>
    <s v="CLFF_VMCA$$$TW10TQ1005"/>
    <s v="P000001346"/>
    <s v="P000001346"/>
    <s v="LFF (MDG-F)"/>
    <s v="TW10TQ1005"/>
    <s v="P000001346"/>
    <b v="1"/>
    <x v="3"/>
    <x v="0"/>
    <d v="2025-11-28T00:00:00"/>
    <m/>
    <m/>
    <x v="1"/>
    <n v="10"/>
    <s v="John Rowie Del Rosario"/>
    <m/>
  </r>
  <r>
    <x v="449"/>
    <x v="0"/>
    <x v="2"/>
    <s v="CLFF_VMCA$$$TW10TQ1006"/>
    <s v="P000001346"/>
    <s v="P000001346"/>
    <s v="LFF (MDG-F)"/>
    <s v="TW10TQ1006"/>
    <s v="P000001346"/>
    <b v="1"/>
    <x v="3"/>
    <x v="0"/>
    <d v="2025-11-28T00:00:00"/>
    <m/>
    <m/>
    <x v="1"/>
    <n v="10"/>
    <s v="John Rowie Del Rosario"/>
    <m/>
  </r>
  <r>
    <x v="449"/>
    <x v="0"/>
    <x v="2"/>
    <s v="CLFF_1000$$$SG09TPX003 Outbound Freight"/>
    <s v="P000001344"/>
    <s v="P000001344"/>
    <s v="LFF (MDG-F)"/>
    <s v="SG09TPX003"/>
    <s v="P000001344"/>
    <b v="1"/>
    <x v="3"/>
    <x v="0"/>
    <d v="2025-11-28T00:00:00"/>
    <m/>
    <m/>
    <x v="1"/>
    <n v="10"/>
    <s v="John Rowie Del Rosario"/>
    <m/>
  </r>
  <r>
    <x v="449"/>
    <x v="0"/>
    <x v="2"/>
    <s v="CLFF_1000$$$TW02TPHZ21 Outbound freight_PMD_Hsinchu"/>
    <s v="P000001344"/>
    <s v="P000001344"/>
    <s v="LFF (MDG-F)"/>
    <s v="TW02TPHZ21"/>
    <s v="P000001344"/>
    <b v="1"/>
    <x v="3"/>
    <x v="0"/>
    <d v="2025-11-28T00:00:00"/>
    <m/>
    <m/>
    <x v="1"/>
    <n v="10"/>
    <s v="John Rowie Del Rosario"/>
    <m/>
  </r>
  <r>
    <x v="449"/>
    <x v="0"/>
    <x v="2"/>
    <s v="CLFF_1000$$$TW02TPHZ22 Outbound freight_PMI_Hsinchu"/>
    <s v="P000001344"/>
    <s v="P000001344"/>
    <s v="LFF (MDG-F)"/>
    <s v="TW02TPHZ22"/>
    <s v="P000001344"/>
    <b v="1"/>
    <x v="3"/>
    <x v="0"/>
    <d v="2025-11-28T00:00:00"/>
    <m/>
    <m/>
    <x v="1"/>
    <n v="10"/>
    <s v="John Rowie Del Rosario"/>
    <m/>
  </r>
  <r>
    <x v="449"/>
    <x v="0"/>
    <x v="2"/>
    <s v="CLFF_1000$$$TW02TPHZ23 Outbound freight_Asia Hub"/>
    <s v="P000001344"/>
    <s v="P000001344"/>
    <s v="LFF (MDG-F)"/>
    <s v="TW02TPHZ23"/>
    <s v="P000001344"/>
    <b v="1"/>
    <x v="3"/>
    <x v="0"/>
    <d v="2025-11-28T00:00:00"/>
    <m/>
    <m/>
    <x v="1"/>
    <n v="10"/>
    <s v="John Rowie Del Rosario"/>
    <m/>
  </r>
  <r>
    <x v="449"/>
    <x v="0"/>
    <x v="2"/>
    <s v="CLFF_1000$$$TW02TPTA21 Outbound freight_PMD_Taoyuan"/>
    <s v="P000001344"/>
    <s v="P000001344"/>
    <s v="LFF (MDG-F)"/>
    <s v="TW02TPTA21"/>
    <s v="P000001344"/>
    <b v="1"/>
    <x v="3"/>
    <x v="0"/>
    <d v="2025-11-28T00:00:00"/>
    <m/>
    <m/>
    <x v="1"/>
    <n v="10"/>
    <s v="John Rowie Del Rosario"/>
    <m/>
  </r>
  <r>
    <x v="449"/>
    <x v="0"/>
    <x v="2"/>
    <s v="CLFF_1000$$$TW02TPTA22 Outbound freight_PMA_Taoyuan"/>
    <s v="P000001344"/>
    <s v="P000001344"/>
    <s v="LFF (MDG-F)"/>
    <s v="TW02TPTA22"/>
    <s v="P000001344"/>
    <b v="1"/>
    <x v="3"/>
    <x v="0"/>
    <d v="2025-11-28T00:00:00"/>
    <m/>
    <m/>
    <x v="1"/>
    <n v="10"/>
    <s v="John Rowie Del Rosario"/>
    <m/>
  </r>
  <r>
    <x v="449"/>
    <x v="0"/>
    <x v="2"/>
    <s v="CLFF_1000$$$TW03TQKZ22 Outbound freight_PMI_Kaohsiung"/>
    <s v="P000001344"/>
    <s v="P000001344"/>
    <s v="LFF (MDG-F)"/>
    <s v="TW03TQKZ22"/>
    <s v="P000001344"/>
    <b v="1"/>
    <x v="3"/>
    <x v="0"/>
    <d v="2025-11-28T00:00:00"/>
    <m/>
    <m/>
    <x v="1"/>
    <n v="10"/>
    <s v="John Rowie Del Rosario"/>
    <m/>
  </r>
  <r>
    <x v="449"/>
    <x v="0"/>
    <x v="2"/>
    <s v="CLFF_1000$$$SG09TPX004 SG09 Customer Fulfillment Admin Mgmt"/>
    <s v="P000001347"/>
    <s v="P000001347"/>
    <s v="LFF (MDG-F)"/>
    <s v="SG09TPX004"/>
    <s v="P000001347"/>
    <b v="1"/>
    <x v="3"/>
    <x v="0"/>
    <d v="2025-11-28T00:00:00"/>
    <m/>
    <m/>
    <x v="1"/>
    <n v="10"/>
    <s v="John Rowie Del Rosario"/>
    <m/>
  </r>
  <r>
    <x v="449"/>
    <x v="0"/>
    <x v="2"/>
    <s v="CLFF_1000$$$TW02TQMZ02 Transportation Management"/>
    <s v="P000001347"/>
    <s v="P000001347"/>
    <s v="LFF (MDG-F)"/>
    <s v="TW02TQMZ02"/>
    <s v="P000001347"/>
    <b v="1"/>
    <x v="3"/>
    <x v="0"/>
    <d v="2025-11-28T00:00:00"/>
    <m/>
    <m/>
    <x v="1"/>
    <n v="10"/>
    <s v="John Rowie Del Rosario"/>
    <m/>
  </r>
  <r>
    <x v="449"/>
    <x v="0"/>
    <x v="2"/>
    <s v="CLFF_1000$$$TW03TQKZ12 Transportation Management"/>
    <s v="P000001347"/>
    <s v="P000001347"/>
    <s v="LFF (MDG-F)"/>
    <s v="TW03TQKZ12"/>
    <s v="P000001347"/>
    <b v="1"/>
    <x v="3"/>
    <x v="0"/>
    <d v="2025-11-28T00:00:00"/>
    <m/>
    <m/>
    <x v="1"/>
    <n v="10"/>
    <s v="John Rowie Del Rosario"/>
    <m/>
  </r>
  <r>
    <x v="449"/>
    <x v="0"/>
    <x v="2"/>
    <s v="CLFF_VMCA$$$MY10DB3300 Malaysia DIstribution"/>
    <s v="P000001347"/>
    <s v="P000001347"/>
    <s v="LFF (MDG-F)"/>
    <s v="MY10DB3300"/>
    <s v="P000001347"/>
    <b v="1"/>
    <x v="3"/>
    <x v="0"/>
    <d v="2025-11-28T00:00:00"/>
    <m/>
    <m/>
    <x v="1"/>
    <n v="10"/>
    <s v="John Rowie Del Rosario"/>
    <m/>
  </r>
  <r>
    <x v="449"/>
    <x v="0"/>
    <x v="2"/>
    <s v="CLFF_VMCA$$$SG10TM3000 SG10 Customer Fulfillment Admin Mgmt"/>
    <s v="P000001347"/>
    <s v="P000001347"/>
    <s v="LFF (MDG-F)"/>
    <s v="SG10TM3000"/>
    <s v="P000001347"/>
    <b v="1"/>
    <x v="3"/>
    <x v="0"/>
    <d v="2025-11-28T00:00:00"/>
    <m/>
    <m/>
    <x v="1"/>
    <n v="10"/>
    <s v="John Rowie Del Rosario"/>
    <m/>
  </r>
  <r>
    <x v="449"/>
    <x v="0"/>
    <x v="2"/>
    <s v="CLFF_VMCA$$$TW10DB3300 TW Transportation Management"/>
    <s v="P000001347"/>
    <s v="P000001347"/>
    <s v="LFF (MDG-F)"/>
    <s v="TW10DB3300"/>
    <s v="P000001347"/>
    <b v="1"/>
    <x v="3"/>
    <x v="0"/>
    <d v="2025-11-28T00:00:00"/>
    <m/>
    <m/>
    <x v="1"/>
    <n v="10"/>
    <s v="John Rowie Del Rosario"/>
    <m/>
  </r>
  <r>
    <x v="449"/>
    <x v="0"/>
    <x v="2"/>
    <s v="CLFF_VMCA$$$TW10DB3301 TW10 Customs/Duties Spec Gas"/>
    <s v="P000001348"/>
    <s v="P000001348"/>
    <s v="LFF (MDG-F)"/>
    <s v="TW10DB3301"/>
    <s v="P000001348"/>
    <b v="1"/>
    <x v="3"/>
    <x v="0"/>
    <d v="2025-11-28T00:00:00"/>
    <m/>
    <m/>
    <x v="1"/>
    <n v="10"/>
    <s v="John Rowie Del Rosario"/>
    <m/>
  </r>
  <r>
    <x v="449"/>
    <x v="0"/>
    <x v="2"/>
    <s v="CLFF_VMCA$$$TW10DB3305 AM Transportation"/>
    <s v="P000001348"/>
    <s v="P000001348"/>
    <s v="LFF (MDG-F)"/>
    <s v="TW10DB3305"/>
    <s v="P000001348"/>
    <b v="1"/>
    <x v="3"/>
    <x v="0"/>
    <d v="2025-11-28T00:00:00"/>
    <m/>
    <m/>
    <x v="1"/>
    <n v="10"/>
    <s v="John Rowie Del Rosario"/>
    <m/>
  </r>
  <r>
    <x v="449"/>
    <x v="0"/>
    <x v="2"/>
    <s v="CLFF_VMCA$$$MY10TM4000"/>
    <s v="P000001348"/>
    <s v="P000001348"/>
    <s v="LFF (MDG-F)"/>
    <s v="MY10TM4000"/>
    <s v="P000001348"/>
    <b v="1"/>
    <x v="3"/>
    <x v="0"/>
    <d v="2025-11-28T00:00:00"/>
    <m/>
    <m/>
    <x v="1"/>
    <n v="10"/>
    <s v="John Rowie Del Rosario"/>
    <m/>
  </r>
  <r>
    <x v="449"/>
    <x v="0"/>
    <x v="2"/>
    <s v="CLFF_VMCA$$$SG10TM4000"/>
    <s v="P000001348"/>
    <s v="P000001348"/>
    <s v="LFF (MDG-F)"/>
    <s v="SG10TM4000"/>
    <s v="P000001348"/>
    <b v="1"/>
    <x v="3"/>
    <x v="0"/>
    <d v="2025-11-28T00:00:00"/>
    <m/>
    <m/>
    <x v="1"/>
    <n v="10"/>
    <s v="John Rowie Del Rosario"/>
    <m/>
  </r>
  <r>
    <x v="449"/>
    <x v="0"/>
    <x v="2"/>
    <s v="CLFF_VMCA$$$TW10TM4001"/>
    <s v="P000001348"/>
    <s v="P000001348"/>
    <s v="LFF (MDG-F)"/>
    <s v="TW10TM4001"/>
    <s v="P000001348"/>
    <b v="1"/>
    <x v="3"/>
    <x v="0"/>
    <d v="2025-11-28T00:00:00"/>
    <m/>
    <m/>
    <x v="1"/>
    <n v="10"/>
    <s v="John Rowie Del Rosario"/>
    <m/>
  </r>
  <r>
    <x v="449"/>
    <x v="0"/>
    <x v="2"/>
    <s v="CLFF_VMCA$$$TW10TM4002"/>
    <s v="P000001348"/>
    <s v="P000001348"/>
    <s v="LFF (MDG-F)"/>
    <s v="TW10TM4002"/>
    <s v="P000001348"/>
    <b v="1"/>
    <x v="3"/>
    <x v="0"/>
    <d v="2025-11-28T00:00:00"/>
    <m/>
    <m/>
    <x v="1"/>
    <n v="10"/>
    <s v="John Rowie Del Rosario"/>
    <m/>
  </r>
  <r>
    <x v="449"/>
    <x v="0"/>
    <x v="2"/>
    <s v="CLFF_VMCA$$$TW91TM4000"/>
    <s v="P000001348"/>
    <s v="P000001348"/>
    <s v="LFF (MDG-F)"/>
    <s v="TW91TM4000"/>
    <s v="P000001348"/>
    <b v="1"/>
    <x v="3"/>
    <x v="0"/>
    <d v="2025-11-28T00:00:00"/>
    <m/>
    <m/>
    <x v="1"/>
    <n v="10"/>
    <s v="John Rowie Del Rosario"/>
    <m/>
  </r>
  <r>
    <x v="449"/>
    <x v="0"/>
    <x v="2"/>
    <s v="CLFF_VMCA$$$TW91TM4001"/>
    <s v="P000001348"/>
    <s v="P000001348"/>
    <s v="LFF (MDG-F)"/>
    <s v="TW91TM4001"/>
    <s v="P000001348"/>
    <b v="1"/>
    <x v="3"/>
    <x v="0"/>
    <d v="2025-11-28T00:00:00"/>
    <m/>
    <m/>
    <x v="1"/>
    <n v="10"/>
    <s v="John Rowie Del Rosario"/>
    <m/>
  </r>
  <r>
    <x v="449"/>
    <x v="0"/>
    <x v="2"/>
    <s v="CLFF_VMCA$$$TW91TM4002"/>
    <s v="P000001348"/>
    <s v="P000001348"/>
    <s v="LFF (MDG-F)"/>
    <s v="TW91TM4002"/>
    <s v="P000001348"/>
    <b v="1"/>
    <x v="3"/>
    <x v="0"/>
    <d v="2025-11-28T00:00:00"/>
    <m/>
    <m/>
    <x v="1"/>
    <n v="10"/>
    <s v="John Rowie Del Rosario"/>
    <m/>
  </r>
  <r>
    <x v="449"/>
    <x v="0"/>
    <x v="2"/>
    <s v="CLFF_VMCA$$$SG10TM2000"/>
    <s v="P000001344"/>
    <s v="P000001344"/>
    <s v="LFF (MDG-F)"/>
    <s v="SG10TM2000"/>
    <s v="P000001344"/>
    <b v="1"/>
    <x v="3"/>
    <x v="0"/>
    <d v="2025-11-28T00:00:00"/>
    <m/>
    <m/>
    <x v="1"/>
    <n v="10"/>
    <s v="John Rowie Del Rosario"/>
    <m/>
  </r>
  <r>
    <x v="449"/>
    <x v="0"/>
    <x v="2"/>
    <s v="CLFF_1000$$$JP02C0M111 Customer Service Display and Semi"/>
    <s v="P000001355"/>
    <s v="P000001355"/>
    <s v="LFF (MDG-F)"/>
    <s v="JP02C0M111"/>
    <s v="P000001355"/>
    <b v="1"/>
    <x v="3"/>
    <x v="0"/>
    <d v="2025-11-28T00:00:00"/>
    <m/>
    <m/>
    <x v="1"/>
    <n v="10"/>
    <s v="John Rowie Del Rosario"/>
    <m/>
  </r>
  <r>
    <x v="449"/>
    <x v="0"/>
    <x v="2"/>
    <s v="CLFF_KR00$$$KR03OF0303 Customer Service"/>
    <s v="P000001355"/>
    <s v="P000001355"/>
    <s v="LFF (MDG-F)"/>
    <s v="KR03OF0303"/>
    <s v="P000001355"/>
    <b v="1"/>
    <x v="3"/>
    <x v="0"/>
    <d v="2025-11-28T00:00:00"/>
    <m/>
    <m/>
    <x v="1"/>
    <n v="10"/>
    <s v="John Rowie Del Rosario"/>
    <m/>
  </r>
  <r>
    <x v="449"/>
    <x v="0"/>
    <x v="2"/>
    <s v="CLFF_VMCA$$$KR07DB3310 Korea Customer Service"/>
    <s v="P000001355"/>
    <s v="P000001355"/>
    <s v="LFF (MDG-F)"/>
    <s v="KR07DB3310"/>
    <s v="P000001355"/>
    <b v="1"/>
    <x v="3"/>
    <x v="0"/>
    <d v="2025-11-28T00:00:00"/>
    <m/>
    <m/>
    <x v="1"/>
    <n v="10"/>
    <s v="John Rowie Del Rosario"/>
    <m/>
  </r>
  <r>
    <x v="449"/>
    <x v="0"/>
    <x v="2"/>
    <s v="CLFF_1000$$$JP02TQAZ01 Atsugi DC"/>
    <s v="P000001352"/>
    <s v="P000001352"/>
    <s v="LFF (MDG-F)"/>
    <s v="JP02TQAZ01"/>
    <s v="P000001352"/>
    <b v="1"/>
    <x v="3"/>
    <x v="0"/>
    <d v="2025-11-28T00:00:00"/>
    <m/>
    <m/>
    <x v="1"/>
    <n v="10"/>
    <s v="John Rowie Del Rosario"/>
    <m/>
  </r>
  <r>
    <x v="449"/>
    <x v="0"/>
    <x v="2"/>
    <s v="CLFF_1000$$$JP02TQSZ01 Shizuoka DC"/>
    <s v="P000001352"/>
    <s v="P000001352"/>
    <s v="LFF (MDG-F)"/>
    <s v="JP02TQSZ01"/>
    <s v="P000001352"/>
    <b v="1"/>
    <x v="3"/>
    <x v="0"/>
    <d v="2025-11-28T00:00:00"/>
    <m/>
    <m/>
    <x v="1"/>
    <n v="10"/>
    <s v="John Rowie Del Rosario"/>
    <m/>
  </r>
  <r>
    <x v="449"/>
    <x v="0"/>
    <x v="2"/>
    <s v="CLFF_KR00$$$KR03TPPZ14 W/H Expense from MEM"/>
    <s v="P000001352"/>
    <s v="P000001352"/>
    <s v="LFF (MDG-F)"/>
    <s v="KR03TPPZ14"/>
    <s v="P000001352"/>
    <b v="1"/>
    <x v="3"/>
    <x v="0"/>
    <d v="2025-11-28T00:00:00"/>
    <m/>
    <m/>
    <x v="1"/>
    <n v="10"/>
    <s v="John Rowie Del Rosario"/>
    <m/>
  </r>
  <r>
    <x v="449"/>
    <x v="0"/>
    <x v="2"/>
    <s v="CLFF_VMCA$$$KR07DB3306 AM Warehouse/3PL"/>
    <s v="P000001352"/>
    <s v="P000001352"/>
    <s v="LFF (MDG-F)"/>
    <s v="KR07DB3306"/>
    <s v="P000001352"/>
    <b v="1"/>
    <x v="3"/>
    <x v="0"/>
    <d v="2025-11-28T00:00:00"/>
    <m/>
    <m/>
    <x v="1"/>
    <n v="10"/>
    <s v="John Rowie Del Rosario"/>
    <m/>
  </r>
  <r>
    <x v="449"/>
    <x v="0"/>
    <x v="2"/>
    <s v="CLFF_VMCA$$$KR07DB3308 PM 3PL Warehouse"/>
    <s v="P000001352"/>
    <s v="P000001352"/>
    <s v="LFF (MDG-F)"/>
    <s v="KR07DB3308"/>
    <s v="P000001352"/>
    <b v="1"/>
    <x v="3"/>
    <x v="0"/>
    <d v="2025-11-28T00:00:00"/>
    <m/>
    <m/>
    <x v="1"/>
    <n v="10"/>
    <s v="John Rowie Del Rosario"/>
    <m/>
  </r>
  <r>
    <x v="449"/>
    <x v="0"/>
    <x v="2"/>
    <s v="CLFF_VMCA$$$KR15DB3301 Ulsan NH3 Distribution"/>
    <s v="P000001352"/>
    <s v="P000001352"/>
    <s v="LFF (MDG-F)"/>
    <s v="KR15DB3301"/>
    <s v="P000001352"/>
    <b v="1"/>
    <x v="3"/>
    <x v="0"/>
    <d v="2025-11-28T00:00:00"/>
    <m/>
    <m/>
    <x v="1"/>
    <n v="10"/>
    <s v="John Rowie Del Rosario"/>
    <m/>
  </r>
  <r>
    <x v="449"/>
    <x v="0"/>
    <x v="2"/>
    <s v="CLFF_1000$$$JP02TQ1001"/>
    <s v="P000001352"/>
    <s v="P000001352"/>
    <s v="LFF (MDG-F)"/>
    <s v="JP02TQ1001"/>
    <s v="P000001352"/>
    <b v="1"/>
    <x v="3"/>
    <x v="0"/>
    <d v="2025-11-28T00:00:00"/>
    <m/>
    <m/>
    <x v="1"/>
    <n v="10"/>
    <s v="John Rowie Del Rosario"/>
    <m/>
  </r>
  <r>
    <x v="449"/>
    <x v="0"/>
    <x v="2"/>
    <s v="CLFF_1000$$$JP02TQ1002"/>
    <s v="P000001352"/>
    <s v="P000001352"/>
    <s v="LFF (MDG-F)"/>
    <s v="JP02TQ1002"/>
    <s v="P000001352"/>
    <b v="1"/>
    <x v="3"/>
    <x v="0"/>
    <d v="2025-11-28T00:00:00"/>
    <m/>
    <m/>
    <x v="1"/>
    <n v="10"/>
    <s v="John Rowie Del Rosario"/>
    <m/>
  </r>
  <r>
    <x v="449"/>
    <x v="0"/>
    <x v="2"/>
    <s v="CLFF_1000$$$JP02TQ1003"/>
    <s v="P000001352"/>
    <s v="P000001352"/>
    <s v="LFF (MDG-F)"/>
    <s v="JP02TQ1003"/>
    <s v="P000001352"/>
    <b v="1"/>
    <x v="3"/>
    <x v="0"/>
    <d v="2025-11-28T00:00:00"/>
    <m/>
    <m/>
    <x v="1"/>
    <n v="10"/>
    <s v="John Rowie Del Rosario"/>
    <m/>
  </r>
  <r>
    <x v="449"/>
    <x v="0"/>
    <x v="2"/>
    <s v="CLFF_1000$$$JP02TQ1004"/>
    <s v="P000001352"/>
    <s v="P000001352"/>
    <s v="LFF (MDG-F)"/>
    <s v="JP02TQ1004"/>
    <s v="P000001352"/>
    <b v="1"/>
    <x v="3"/>
    <x v="0"/>
    <d v="2025-11-28T00:00:00"/>
    <m/>
    <m/>
    <x v="1"/>
    <n v="10"/>
    <s v="John Rowie Del Rosario"/>
    <m/>
  </r>
  <r>
    <x v="449"/>
    <x v="0"/>
    <x v="2"/>
    <s v="CLFF_1000$$$JP02TQ1005"/>
    <s v="P000001352"/>
    <s v="P000001352"/>
    <s v="LFF (MDG-F)"/>
    <s v="JP02TQ1005"/>
    <s v="P000001352"/>
    <b v="1"/>
    <x v="3"/>
    <x v="0"/>
    <d v="2025-11-28T00:00:00"/>
    <m/>
    <m/>
    <x v="1"/>
    <n v="10"/>
    <s v="John Rowie Del Rosario"/>
    <m/>
  </r>
  <r>
    <x v="449"/>
    <x v="0"/>
    <x v="2"/>
    <s v="CLFF_1000$$$JP02TQ1006"/>
    <s v="P000001352"/>
    <s v="P000001352"/>
    <s v="LFF (MDG-F)"/>
    <s v="JP02TQ1006"/>
    <s v="P000001352"/>
    <b v="1"/>
    <x v="3"/>
    <x v="0"/>
    <d v="2025-11-28T00:00:00"/>
    <m/>
    <m/>
    <x v="1"/>
    <n v="10"/>
    <s v="John Rowie Del Rosario"/>
    <m/>
  </r>
  <r>
    <x v="449"/>
    <x v="0"/>
    <x v="2"/>
    <s v="CLFF_1000$$$JP02TQ1007"/>
    <s v="P000001352"/>
    <s v="P000001352"/>
    <s v="LFF (MDG-F)"/>
    <s v="JP02TQ1007"/>
    <s v="P000001352"/>
    <b v="1"/>
    <x v="3"/>
    <x v="0"/>
    <d v="2025-11-28T00:00:00"/>
    <m/>
    <m/>
    <x v="1"/>
    <n v="10"/>
    <s v="John Rowie Del Rosario"/>
    <m/>
  </r>
  <r>
    <x v="449"/>
    <x v="0"/>
    <x v="2"/>
    <s v="CLFF_1000$$$JP02TQ1008"/>
    <s v="P000001352"/>
    <s v="P000001352"/>
    <s v="LFF (MDG-F)"/>
    <s v="JP02TQ1008"/>
    <s v="P000001352"/>
    <b v="1"/>
    <x v="3"/>
    <x v="0"/>
    <d v="2025-11-28T00:00:00"/>
    <m/>
    <m/>
    <x v="1"/>
    <n v="10"/>
    <s v="John Rowie Del Rosario"/>
    <m/>
  </r>
  <r>
    <x v="449"/>
    <x v="0"/>
    <x v="2"/>
    <s v="CLFF_1000$$$JP02TQ1009"/>
    <s v="P000001352"/>
    <s v="P000001352"/>
    <s v="LFF (MDG-F)"/>
    <s v="JP02TQ1009"/>
    <s v="P000001352"/>
    <b v="1"/>
    <x v="3"/>
    <x v="0"/>
    <d v="2025-11-28T00:00:00"/>
    <m/>
    <m/>
    <x v="1"/>
    <n v="10"/>
    <s v="John Rowie Del Rosario"/>
    <m/>
  </r>
  <r>
    <x v="449"/>
    <x v="0"/>
    <x v="2"/>
    <s v="CLFF_1000$$$JP02TQ1010"/>
    <s v="P000001352"/>
    <s v="P000001352"/>
    <s v="LFF (MDG-F)"/>
    <s v="JP02TQ1010"/>
    <s v="P000001352"/>
    <b v="1"/>
    <x v="3"/>
    <x v="0"/>
    <d v="2025-11-28T00:00:00"/>
    <m/>
    <m/>
    <x v="1"/>
    <n v="10"/>
    <s v="John Rowie Del Rosario"/>
    <m/>
  </r>
  <r>
    <x v="449"/>
    <x v="0"/>
    <x v="2"/>
    <s v="CLFF_1000$$$JP02TQ1011"/>
    <s v="P000001352"/>
    <s v="P000001352"/>
    <s v="LFF (MDG-F)"/>
    <s v="JP02TQ1011"/>
    <s v="P000001352"/>
    <b v="1"/>
    <x v="3"/>
    <x v="0"/>
    <d v="2025-11-28T00:00:00"/>
    <m/>
    <m/>
    <x v="1"/>
    <n v="10"/>
    <s v="John Rowie Del Rosario"/>
    <m/>
  </r>
  <r>
    <x v="449"/>
    <x v="0"/>
    <x v="2"/>
    <s v="CLFF_1000$$$JP02TQ1012"/>
    <s v="P000001352"/>
    <s v="P000001352"/>
    <s v="LFF (MDG-F)"/>
    <s v="JP02TQ1012"/>
    <s v="P000001352"/>
    <b v="1"/>
    <x v="3"/>
    <x v="0"/>
    <d v="2025-11-28T00:00:00"/>
    <m/>
    <m/>
    <x v="1"/>
    <n v="10"/>
    <s v="John Rowie Del Rosario"/>
    <m/>
  </r>
  <r>
    <x v="449"/>
    <x v="0"/>
    <x v="2"/>
    <s v="CLFF_1000$$$JP02TQ1013"/>
    <s v="P000001352"/>
    <s v="P000001352"/>
    <s v="LFF (MDG-F)"/>
    <s v="JP02TQ1013"/>
    <s v="P000001352"/>
    <b v="1"/>
    <x v="3"/>
    <x v="0"/>
    <d v="2025-11-28T00:00:00"/>
    <m/>
    <m/>
    <x v="1"/>
    <n v="10"/>
    <s v="John Rowie Del Rosario"/>
    <m/>
  </r>
  <r>
    <x v="449"/>
    <x v="0"/>
    <x v="2"/>
    <s v="CLFF_1000$$$JP02TQ1014"/>
    <s v="P000001352"/>
    <s v="P000001352"/>
    <s v="LFF (MDG-F)"/>
    <s v="JP02TQ1014"/>
    <s v="P000001352"/>
    <b v="1"/>
    <x v="3"/>
    <x v="0"/>
    <d v="2025-11-28T00:00:00"/>
    <m/>
    <m/>
    <x v="1"/>
    <n v="10"/>
    <s v="John Rowie Del Rosario"/>
    <m/>
  </r>
  <r>
    <x v="449"/>
    <x v="0"/>
    <x v="2"/>
    <s v="CLFF_1000$$$KR02TQ1000"/>
    <s v="P000001352"/>
    <s v="P000001352"/>
    <s v="LFF (MDG-F)"/>
    <s v="KR02TQ1000"/>
    <s v="P000001352"/>
    <b v="1"/>
    <x v="3"/>
    <x v="0"/>
    <d v="2025-11-28T00:00:00"/>
    <m/>
    <m/>
    <x v="1"/>
    <n v="10"/>
    <s v="John Rowie Del Rosario"/>
    <m/>
  </r>
  <r>
    <x v="449"/>
    <x v="0"/>
    <x v="2"/>
    <s v="CLFF_KR00$$$KR03TQ1011"/>
    <s v="P000001352"/>
    <s v="P000001352"/>
    <s v="LFF (MDG-F)"/>
    <s v="KR03TQ1011"/>
    <s v="P000001352"/>
    <b v="1"/>
    <x v="3"/>
    <x v="0"/>
    <d v="2025-11-28T00:00:00"/>
    <m/>
    <m/>
    <x v="1"/>
    <n v="10"/>
    <s v="John Rowie Del Rosario"/>
    <m/>
  </r>
  <r>
    <x v="449"/>
    <x v="0"/>
    <x v="2"/>
    <s v="CLFF_KR00$$$KR03TQ1012"/>
    <s v="P000001352"/>
    <s v="P000001352"/>
    <s v="LFF (MDG-F)"/>
    <s v="KR03TQ1012"/>
    <s v="P000001352"/>
    <b v="1"/>
    <x v="3"/>
    <x v="0"/>
    <d v="2025-11-28T00:00:00"/>
    <m/>
    <m/>
    <x v="1"/>
    <n v="10"/>
    <s v="John Rowie Del Rosario"/>
    <m/>
  </r>
  <r>
    <x v="449"/>
    <x v="0"/>
    <x v="2"/>
    <s v="CLFF_VMCA$$$KR07TQ1001"/>
    <s v="P000001352"/>
    <s v="P000001352"/>
    <s v="LFF (MDG-F)"/>
    <s v="KR07TQ1001"/>
    <s v="P000001352"/>
    <b v="1"/>
    <x v="3"/>
    <x v="0"/>
    <d v="2025-11-28T00:00:00"/>
    <m/>
    <m/>
    <x v="1"/>
    <n v="10"/>
    <s v="John Rowie Del Rosario"/>
    <m/>
  </r>
  <r>
    <x v="449"/>
    <x v="0"/>
    <x v="2"/>
    <s v="CLFF_VMCA$$$KR07TQ1002"/>
    <s v="P000001352"/>
    <s v="P000001352"/>
    <s v="LFF (MDG-F)"/>
    <s v="KR07TQ1002"/>
    <s v="P000001352"/>
    <b v="1"/>
    <x v="3"/>
    <x v="0"/>
    <d v="2025-11-28T00:00:00"/>
    <m/>
    <m/>
    <x v="1"/>
    <n v="10"/>
    <s v="John Rowie Del Rosario"/>
    <m/>
  </r>
  <r>
    <x v="449"/>
    <x v="0"/>
    <x v="2"/>
    <s v="CLFF_VMCA$$$KR07TQ1003"/>
    <s v="P000001352"/>
    <s v="P000001352"/>
    <s v="LFF (MDG-F)"/>
    <s v="KR07TQ1003"/>
    <s v="P000001352"/>
    <b v="1"/>
    <x v="3"/>
    <x v="0"/>
    <d v="2025-11-28T00:00:00"/>
    <m/>
    <m/>
    <x v="1"/>
    <n v="10"/>
    <s v="John Rowie Del Rosario"/>
    <m/>
  </r>
  <r>
    <x v="449"/>
    <x v="0"/>
    <x v="2"/>
    <s v="CLFF_VMCA$$$KR07TQ1004"/>
    <s v="P000001352"/>
    <s v="P000001352"/>
    <s v="LFF (MDG-F)"/>
    <s v="KR07TQ1004"/>
    <s v="P000001352"/>
    <b v="1"/>
    <x v="3"/>
    <x v="0"/>
    <d v="2025-11-28T00:00:00"/>
    <m/>
    <m/>
    <x v="1"/>
    <n v="10"/>
    <s v="John Rowie Del Rosario"/>
    <m/>
  </r>
  <r>
    <x v="449"/>
    <x v="0"/>
    <x v="2"/>
    <s v="CLFF_VMCA$$$KR07TQ1005"/>
    <s v="P000001352"/>
    <s v="P000001352"/>
    <s v="LFF (MDG-F)"/>
    <s v="KR07TQ1005"/>
    <s v="P000001352"/>
    <b v="1"/>
    <x v="3"/>
    <x v="0"/>
    <d v="2025-11-28T00:00:00"/>
    <m/>
    <m/>
    <x v="1"/>
    <n v="10"/>
    <s v="John Rowie Del Rosario"/>
    <m/>
  </r>
  <r>
    <x v="449"/>
    <x v="0"/>
    <x v="2"/>
    <s v="CLFF_VMCA$$$KR07TQ1006"/>
    <s v="P000001352"/>
    <s v="P000001352"/>
    <s v="LFF (MDG-F)"/>
    <s v="KR07TQ1006"/>
    <s v="P000001352"/>
    <b v="1"/>
    <x v="3"/>
    <x v="0"/>
    <d v="2025-11-28T00:00:00"/>
    <m/>
    <m/>
    <x v="1"/>
    <n v="10"/>
    <s v="John Rowie Del Rosario"/>
    <m/>
  </r>
  <r>
    <x v="449"/>
    <x v="0"/>
    <x v="2"/>
    <s v="CLFF_VMCA$$$KR11TQ1001"/>
    <s v="P000001352"/>
    <s v="P000001352"/>
    <s v="LFF (MDG-F)"/>
    <s v="KR11TQ1001"/>
    <s v="P000001352"/>
    <b v="1"/>
    <x v="3"/>
    <x v="0"/>
    <d v="2025-11-28T00:00:00"/>
    <m/>
    <m/>
    <x v="1"/>
    <n v="10"/>
    <s v="John Rowie Del Rosario"/>
    <m/>
  </r>
  <r>
    <x v="449"/>
    <x v="0"/>
    <x v="2"/>
    <s v="CLFF_VMCA$$$KR11TQ1002"/>
    <s v="P000001352"/>
    <s v="P000001352"/>
    <s v="LFF (MDG-F)"/>
    <s v="KR11TQ1002"/>
    <s v="P000001352"/>
    <b v="1"/>
    <x v="3"/>
    <x v="0"/>
    <d v="2025-11-28T00:00:00"/>
    <m/>
    <m/>
    <x v="1"/>
    <n v="10"/>
    <s v="John Rowie Del Rosario"/>
    <m/>
  </r>
  <r>
    <x v="449"/>
    <x v="0"/>
    <x v="2"/>
    <s v="CLFF_VMCA$$$KR11TQ1003"/>
    <s v="P000001352"/>
    <s v="P000001352"/>
    <s v="LFF (MDG-F)"/>
    <s v="KR11TQ1003"/>
    <s v="P000001352"/>
    <b v="1"/>
    <x v="3"/>
    <x v="0"/>
    <d v="2025-11-28T00:00:00"/>
    <m/>
    <m/>
    <x v="1"/>
    <n v="10"/>
    <s v="John Rowie Del Rosario"/>
    <m/>
  </r>
  <r>
    <x v="449"/>
    <x v="0"/>
    <x v="2"/>
    <s v="CLFF_VMCA$$$KR11TQ1004"/>
    <s v="P000001352"/>
    <s v="P000001352"/>
    <s v="LFF (MDG-F)"/>
    <s v="KR11TQ1004"/>
    <s v="P000001352"/>
    <b v="1"/>
    <x v="3"/>
    <x v="0"/>
    <d v="2025-11-28T00:00:00"/>
    <m/>
    <m/>
    <x v="1"/>
    <n v="10"/>
    <s v="John Rowie Del Rosario"/>
    <m/>
  </r>
  <r>
    <x v="449"/>
    <x v="0"/>
    <x v="2"/>
    <s v="CLFF_VMCA$$$KR15TQ1001"/>
    <s v="P000001352"/>
    <s v="P000001352"/>
    <s v="LFF (MDG-F)"/>
    <s v="KR15TQ1001"/>
    <s v="P000001352"/>
    <b v="1"/>
    <x v="3"/>
    <x v="0"/>
    <d v="2025-11-28T00:00:00"/>
    <m/>
    <m/>
    <x v="1"/>
    <n v="10"/>
    <s v="John Rowie Del Rosario"/>
    <m/>
  </r>
  <r>
    <x v="449"/>
    <x v="0"/>
    <x v="2"/>
    <s v="CLFF_VMCA$$$KR16TQ1001"/>
    <s v="P000001352"/>
    <s v="P000001352"/>
    <s v="LFF (MDG-F)"/>
    <s v="KR16TQ1001"/>
    <s v="P000001352"/>
    <b v="1"/>
    <x v="3"/>
    <x v="0"/>
    <d v="2025-11-28T00:00:00"/>
    <m/>
    <m/>
    <x v="1"/>
    <n v="10"/>
    <s v="John Rowie Del Rosario"/>
    <m/>
  </r>
  <r>
    <x v="449"/>
    <x v="0"/>
    <x v="2"/>
    <s v="CLFF_VMCA$$$KR16TQ1002"/>
    <s v="P000001352"/>
    <s v="P000001352"/>
    <s v="LFF (MDG-F)"/>
    <s v="KR16TQ1002"/>
    <s v="P000001352"/>
    <b v="1"/>
    <x v="3"/>
    <x v="0"/>
    <d v="2025-11-28T00:00:00"/>
    <m/>
    <m/>
    <x v="1"/>
    <n v="10"/>
    <s v="John Rowie Del Rosario"/>
    <m/>
  </r>
  <r>
    <x v="449"/>
    <x v="0"/>
    <x v="2"/>
    <s v="CLFF_1000$$$JP02TQMZ01 PM Logistics"/>
    <s v="P000001353"/>
    <s v="P000001353"/>
    <s v="LFF (MDG-F)"/>
    <s v="JP02TQMZ01"/>
    <s v="P000001353"/>
    <b v="1"/>
    <x v="3"/>
    <x v="0"/>
    <d v="2025-11-28T00:00:00"/>
    <m/>
    <m/>
    <x v="1"/>
    <n v="10"/>
    <s v="John Rowie Del Rosario"/>
    <m/>
  </r>
  <r>
    <x v="449"/>
    <x v="0"/>
    <x v="2"/>
    <s v="CLFF_KR00$$$KR03TPPZ04 SD - Logistics PM"/>
    <s v="P000001353"/>
    <s v="P000001353"/>
    <s v="LFF (MDG-F)"/>
    <s v="KR03TPPZ04"/>
    <s v="P000001353"/>
    <b v="1"/>
    <x v="3"/>
    <x v="0"/>
    <d v="2025-11-28T00:00:00"/>
    <m/>
    <m/>
    <x v="1"/>
    <n v="10"/>
    <s v="John Rowie Del Rosario"/>
    <m/>
  </r>
  <r>
    <x v="449"/>
    <x v="0"/>
    <x v="2"/>
    <s v="CLFF_VMCA$$$KR07DB3300 Transportation Management"/>
    <s v="P000001353"/>
    <s v="P000001353"/>
    <s v="LFF (MDG-F)"/>
    <s v="KR07DB3300"/>
    <s v="P000001353"/>
    <b v="1"/>
    <x v="3"/>
    <x v="0"/>
    <d v="2025-11-28T00:00:00"/>
    <m/>
    <m/>
    <x v="1"/>
    <n v="10"/>
    <s v="John Rowie Del Rosario"/>
    <m/>
  </r>
  <r>
    <x v="449"/>
    <x v="0"/>
    <x v="2"/>
    <s v="CLFF_VMCA$$$KR15TM3000"/>
    <s v="P000001353"/>
    <s v="P000001353"/>
    <s v="LFF (MDG-F)"/>
    <s v="KR15TM3000"/>
    <s v="P000001353"/>
    <b v="1"/>
    <x v="3"/>
    <x v="0"/>
    <d v="2025-11-28T00:00:00"/>
    <m/>
    <m/>
    <x v="1"/>
    <n v="10"/>
    <s v="John Rowie Del Rosario"/>
    <m/>
  </r>
  <r>
    <x v="449"/>
    <x v="0"/>
    <x v="2"/>
    <s v="CLFF_1000$$$KR02TPAZ02 SD - Warehousing/distribution Asia/Pacif"/>
    <s v="P000001354"/>
    <s v="P000001354"/>
    <s v="LFF (MDG-F)"/>
    <s v="KR02TPAZ02"/>
    <s v="P000001354"/>
    <b v="1"/>
    <x v="3"/>
    <x v="0"/>
    <d v="2025-11-28T00:00:00"/>
    <m/>
    <m/>
    <x v="1"/>
    <n v="10"/>
    <s v="John Rowie Del Rosario"/>
    <m/>
  </r>
  <r>
    <x v="449"/>
    <x v="0"/>
    <x v="2"/>
    <s v="CLFF_VMCA$$$KR07DB3301 PM Distribution"/>
    <s v="P000001354"/>
    <s v="P000001354"/>
    <s v="LFF (MDG-F)"/>
    <s v="KR07DB3301"/>
    <s v="P000001354"/>
    <b v="1"/>
    <x v="3"/>
    <x v="0"/>
    <d v="2025-11-28T00:00:00"/>
    <m/>
    <m/>
    <x v="1"/>
    <n v="10"/>
    <s v="John Rowie Del Rosario"/>
    <m/>
  </r>
  <r>
    <x v="449"/>
    <x v="0"/>
    <x v="2"/>
    <s v="CLFF_VMCA$$$KR07DB3302 AM Distribution"/>
    <s v="P000001354"/>
    <s v="P000001354"/>
    <s v="LFF (MDG-F)"/>
    <s v="KR07DB3302"/>
    <s v="P000001354"/>
    <b v="1"/>
    <x v="3"/>
    <x v="0"/>
    <d v="2025-11-28T00:00:00"/>
    <m/>
    <m/>
    <x v="1"/>
    <n v="10"/>
    <s v="John Rowie Del Rosario"/>
    <m/>
  </r>
  <r>
    <x v="449"/>
    <x v="0"/>
    <x v="2"/>
    <s v="CLFF_VMCA$$$KR11DB2111 Surf, Prep &amp; Clean Distribution"/>
    <s v="P000001354"/>
    <s v="P000001354"/>
    <s v="LFF (MDG-F)"/>
    <s v="KR11DB2111"/>
    <s v="P000001354"/>
    <b v="1"/>
    <x v="3"/>
    <x v="0"/>
    <d v="2025-11-28T00:00:00"/>
    <m/>
    <m/>
    <x v="1"/>
    <n v="10"/>
    <s v="John Rowie Del Rosario"/>
    <m/>
  </r>
  <r>
    <x v="449"/>
    <x v="0"/>
    <x v="2"/>
    <s v="CLFF_VMCA$$$KR11DB2112 Planarization Distribution"/>
    <s v="P000001354"/>
    <s v="P000001354"/>
    <s v="LFF (MDG-F)"/>
    <s v="KR11DB2112"/>
    <s v="P000001354"/>
    <b v="1"/>
    <x v="3"/>
    <x v="0"/>
    <d v="2025-11-28T00:00:00"/>
    <m/>
    <m/>
    <x v="1"/>
    <n v="10"/>
    <s v="John Rowie Del Rosario"/>
    <m/>
  </r>
  <r>
    <x v="449"/>
    <x v="0"/>
    <x v="2"/>
    <s v="CLFF_VMCA$$$KR15DB3303 Ulsan NF3 Distribution"/>
    <s v="P000001354"/>
    <s v="P000001354"/>
    <s v="LFF (MDG-F)"/>
    <s v="KR15DB3303"/>
    <s v="P000001354"/>
    <b v="1"/>
    <x v="3"/>
    <x v="0"/>
    <d v="2025-11-28T00:00:00"/>
    <m/>
    <m/>
    <x v="1"/>
    <n v="10"/>
    <s v="John Rowie Del Rosario"/>
    <m/>
  </r>
  <r>
    <x v="449"/>
    <x v="0"/>
    <x v="2"/>
    <s v="CLFF_VMCA$$$KR16DB3300 KR16 Transportation"/>
    <s v="P000001354"/>
    <s v="P000001354"/>
    <s v="LFF (MDG-F)"/>
    <s v="KR16DB3300"/>
    <s v="P000001354"/>
    <b v="1"/>
    <x v="3"/>
    <x v="0"/>
    <d v="2025-11-28T00:00:00"/>
    <m/>
    <m/>
    <x v="1"/>
    <n v="10"/>
    <s v="John Rowie Del Rosario"/>
    <m/>
  </r>
  <r>
    <x v="449"/>
    <x v="0"/>
    <x v="2"/>
    <s v="CLFF_1000$$$US01C01305 Customer Service US"/>
    <s v="P000001361"/>
    <s v="P000001361"/>
    <s v="LFF (MDG-F)"/>
    <s v="US01C01305"/>
    <s v="P000001361"/>
    <b v="1"/>
    <x v="3"/>
    <x v="0"/>
    <d v="2025-11-28T00:00:00"/>
    <m/>
    <m/>
    <x v="1"/>
    <n v="10"/>
    <s v="John Rowie Del Rosario"/>
    <m/>
  </r>
  <r>
    <x v="449"/>
    <x v="0"/>
    <x v="2"/>
    <s v="CLFF_VMCA$$$US10DB3021 US Customer Service"/>
    <s v="P000001361"/>
    <s v="P000001361"/>
    <s v="LFF (MDG-F)"/>
    <s v="US10DB3021"/>
    <s v="P000001361"/>
    <b v="1"/>
    <x v="3"/>
    <x v="0"/>
    <d v="2025-11-28T00:00:00"/>
    <m/>
    <m/>
    <x v="1"/>
    <n v="10"/>
    <s v="John Rowie Del Rosario"/>
    <m/>
  </r>
  <r>
    <x v="449"/>
    <x v="0"/>
    <x v="2"/>
    <s v="CLFF_1000$$$US01TPBZ03 FG Warehouse - (BRB)"/>
    <s v="P000001358"/>
    <s v="P000001358"/>
    <s v="LFF (MDG-F)"/>
    <s v="US01TPBZ03"/>
    <s v="P000001358"/>
    <b v="1"/>
    <x v="3"/>
    <x v="0"/>
    <d v="2025-11-28T00:00:00"/>
    <m/>
    <m/>
    <x v="1"/>
    <n v="10"/>
    <s v="John Rowie Del Rosario"/>
    <m/>
  </r>
  <r>
    <x v="449"/>
    <x v="0"/>
    <x v="2"/>
    <s v="CLFF_VMCA$$$US10DB3004 Tualatin ELE Warehouse"/>
    <s v="P000001358"/>
    <s v="P000001358"/>
    <s v="LFF (MDG-F)"/>
    <s v="US10DB3004"/>
    <s v="P000001358"/>
    <b v="1"/>
    <x v="3"/>
    <x v="0"/>
    <d v="2025-11-28T00:00:00"/>
    <m/>
    <m/>
    <x v="1"/>
    <n v="10"/>
    <s v="John Rowie Del Rosario"/>
    <m/>
  </r>
  <r>
    <x v="449"/>
    <x v="0"/>
    <x v="2"/>
    <s v="CLFF_VMCA$$$US10DB3005 Austin Warehouse"/>
    <s v="P000001358"/>
    <s v="P000001358"/>
    <s v="LFF (MDG-F)"/>
    <s v="US10DB3005"/>
    <s v="P000001358"/>
    <b v="1"/>
    <x v="3"/>
    <x v="0"/>
    <d v="2025-11-28T00:00:00"/>
    <m/>
    <m/>
    <x v="1"/>
    <n v="10"/>
    <s v="John Rowie Del Rosario"/>
    <m/>
  </r>
  <r>
    <x v="449"/>
    <x v="0"/>
    <x v="2"/>
    <s v="CLFF_VMCA$$$US10DB3006 Phoenix Warehouse"/>
    <s v="P000001358"/>
    <s v="P000001358"/>
    <s v="LFF (MDG-F)"/>
    <s v="US10DB3006"/>
    <s v="P000001358"/>
    <b v="1"/>
    <x v="3"/>
    <x v="0"/>
    <d v="2025-11-28T00:00:00"/>
    <m/>
    <m/>
    <x v="1"/>
    <n v="10"/>
    <s v="John Rowie Del Rosario"/>
    <m/>
  </r>
  <r>
    <x v="449"/>
    <x v="0"/>
    <x v="2"/>
    <s v="CLFF_VMCA$$$US10DB3011 3rd Party AM Whse"/>
    <s v="P000001358"/>
    <s v="P000001358"/>
    <s v="LFF (MDG-F)"/>
    <s v="US10DB3011"/>
    <s v="P000001358"/>
    <b v="1"/>
    <x v="3"/>
    <x v="0"/>
    <d v="2025-11-28T00:00:00"/>
    <m/>
    <m/>
    <x v="1"/>
    <n v="10"/>
    <s v="John Rowie Del Rosario"/>
    <m/>
  </r>
  <r>
    <x v="449"/>
    <x v="0"/>
    <x v="2"/>
    <s v="CLFF_1000$$$US01TQ1001"/>
    <s v="P000001358"/>
    <s v="P000001358"/>
    <s v="LFF (MDG-F)"/>
    <s v="US01TQ1001"/>
    <s v="P000001358"/>
    <b v="1"/>
    <x v="3"/>
    <x v="0"/>
    <d v="2025-11-28T00:00:00"/>
    <m/>
    <m/>
    <x v="1"/>
    <n v="10"/>
    <s v="John Rowie Del Rosario"/>
    <m/>
  </r>
  <r>
    <x v="449"/>
    <x v="0"/>
    <x v="2"/>
    <s v="CLFF_1000$$$US01TQ1002"/>
    <s v="P000001358"/>
    <s v="P000001358"/>
    <s v="LFF (MDG-F)"/>
    <s v="US01TQ1002"/>
    <s v="P000001358"/>
    <b v="1"/>
    <x v="3"/>
    <x v="0"/>
    <d v="2025-11-28T00:00:00"/>
    <m/>
    <m/>
    <x v="1"/>
    <n v="10"/>
    <s v="John Rowie Del Rosario"/>
    <m/>
  </r>
  <r>
    <x v="449"/>
    <x v="0"/>
    <x v="2"/>
    <s v="CLFF_1000$$$US01TQ1003"/>
    <s v="P000001358"/>
    <s v="P000001358"/>
    <s v="LFF (MDG-F)"/>
    <s v="US01TQ1003"/>
    <s v="P000001358"/>
    <b v="1"/>
    <x v="3"/>
    <x v="0"/>
    <d v="2025-11-28T00:00:00"/>
    <m/>
    <m/>
    <x v="1"/>
    <n v="10"/>
    <s v="John Rowie Del Rosario"/>
    <m/>
  </r>
  <r>
    <x v="449"/>
    <x v="0"/>
    <x v="2"/>
    <s v="CLFF_1000$$$US01TQ1004"/>
    <s v="P000001358"/>
    <s v="P000001358"/>
    <s v="LFF (MDG-F)"/>
    <s v="US01TQ1004"/>
    <s v="P000001358"/>
    <b v="1"/>
    <x v="3"/>
    <x v="0"/>
    <d v="2025-11-28T00:00:00"/>
    <m/>
    <m/>
    <x v="1"/>
    <n v="10"/>
    <s v="John Rowie Del Rosario"/>
    <m/>
  </r>
  <r>
    <x v="449"/>
    <x v="0"/>
    <x v="2"/>
    <s v="CLFF_1000$$$US01TQ1005"/>
    <s v="P000001358"/>
    <s v="P000001358"/>
    <s v="LFF (MDG-F)"/>
    <s v="US01TQ1005"/>
    <s v="P000001358"/>
    <b v="1"/>
    <x v="3"/>
    <x v="0"/>
    <d v="2025-11-28T00:00:00"/>
    <m/>
    <m/>
    <x v="1"/>
    <n v="10"/>
    <s v="John Rowie Del Rosario"/>
    <m/>
  </r>
  <r>
    <x v="449"/>
    <x v="0"/>
    <x v="2"/>
    <s v="CLFF_1000$$$US01TQ1006"/>
    <s v="P000001358"/>
    <s v="P000001358"/>
    <s v="LFF (MDG-F)"/>
    <s v="US01TQ1006"/>
    <s v="P000001358"/>
    <b v="1"/>
    <x v="3"/>
    <x v="0"/>
    <d v="2025-11-28T00:00:00"/>
    <m/>
    <m/>
    <x v="1"/>
    <n v="10"/>
    <s v="John Rowie Del Rosario"/>
    <m/>
  </r>
  <r>
    <x v="449"/>
    <x v="0"/>
    <x v="2"/>
    <s v="CLFF_1000$$$US01TQ1007"/>
    <s v="P000001358"/>
    <s v="P000001358"/>
    <s v="LFF (MDG-F)"/>
    <s v="US01TQ1007"/>
    <s v="P000001358"/>
    <b v="1"/>
    <x v="3"/>
    <x v="0"/>
    <d v="2025-11-28T00:00:00"/>
    <m/>
    <m/>
    <x v="1"/>
    <n v="10"/>
    <s v="John Rowie Del Rosario"/>
    <m/>
  </r>
  <r>
    <x v="449"/>
    <x v="0"/>
    <x v="2"/>
    <s v="CLFF_1000$$$US01TQ1008"/>
    <s v="P000001358"/>
    <s v="P000001358"/>
    <s v="LFF (MDG-F)"/>
    <s v="US01TQ1008"/>
    <s v="P000001358"/>
    <b v="1"/>
    <x v="3"/>
    <x v="0"/>
    <d v="2025-11-28T00:00:00"/>
    <m/>
    <m/>
    <x v="1"/>
    <n v="10"/>
    <s v="John Rowie Del Rosario"/>
    <m/>
  </r>
  <r>
    <x v="449"/>
    <x v="0"/>
    <x v="2"/>
    <s v="CLFF_1000$$$US01TQ1009"/>
    <s v="P000001358"/>
    <s v="P000001358"/>
    <s v="LFF (MDG-F)"/>
    <s v="US01TQ1009"/>
    <s v="P000001358"/>
    <b v="1"/>
    <x v="3"/>
    <x v="0"/>
    <d v="2025-11-28T00:00:00"/>
    <m/>
    <m/>
    <x v="1"/>
    <n v="10"/>
    <s v="John Rowie Del Rosario"/>
    <m/>
  </r>
  <r>
    <x v="449"/>
    <x v="0"/>
    <x v="2"/>
    <s v="CLFF_VMCA$$$US10TQ1001"/>
    <s v="P000001358"/>
    <s v="P000001358"/>
    <s v="LFF (MDG-F)"/>
    <s v="US10TQ1001"/>
    <s v="P000001358"/>
    <b v="1"/>
    <x v="3"/>
    <x v="0"/>
    <d v="2025-11-28T00:00:00"/>
    <m/>
    <m/>
    <x v="1"/>
    <n v="10"/>
    <s v="John Rowie Del Rosario"/>
    <m/>
  </r>
  <r>
    <x v="449"/>
    <x v="0"/>
    <x v="2"/>
    <s v="CLFF_VMCA$$$US10TQ1002"/>
    <s v="P000001358"/>
    <s v="P000001358"/>
    <s v="LFF (MDG-F)"/>
    <s v="US10TQ1002"/>
    <s v="P000001358"/>
    <b v="1"/>
    <x v="3"/>
    <x v="0"/>
    <d v="2025-11-28T00:00:00"/>
    <m/>
    <m/>
    <x v="1"/>
    <n v="10"/>
    <s v="John Rowie Del Rosario"/>
    <m/>
  </r>
  <r>
    <x v="449"/>
    <x v="0"/>
    <x v="2"/>
    <s v="CLFF_VMCA$$$US10TQ1003"/>
    <s v="P000001358"/>
    <s v="P000001358"/>
    <s v="LFF (MDG-F)"/>
    <s v="US10TQ1003"/>
    <s v="P000001358"/>
    <b v="1"/>
    <x v="3"/>
    <x v="0"/>
    <d v="2025-11-28T00:00:00"/>
    <m/>
    <m/>
    <x v="1"/>
    <n v="10"/>
    <s v="John Rowie Del Rosario"/>
    <m/>
  </r>
  <r>
    <x v="449"/>
    <x v="0"/>
    <x v="2"/>
    <s v="CLFF_VMCA$$$US10TQ1004"/>
    <s v="P000001358"/>
    <s v="P000001358"/>
    <s v="LFF (MDG-F)"/>
    <s v="US10TQ1004"/>
    <s v="P000001358"/>
    <b v="1"/>
    <x v="3"/>
    <x v="0"/>
    <d v="2025-11-28T00:00:00"/>
    <m/>
    <m/>
    <x v="1"/>
    <n v="10"/>
    <s v="John Rowie Del Rosario"/>
    <m/>
  </r>
  <r>
    <x v="449"/>
    <x v="0"/>
    <x v="2"/>
    <s v="CLFF_VMCA$$$US10TQ1005"/>
    <s v="P000001358"/>
    <s v="P000001358"/>
    <s v="LFF (MDG-F)"/>
    <s v="US10TQ1005"/>
    <s v="P000001358"/>
    <b v="1"/>
    <x v="3"/>
    <x v="0"/>
    <d v="2025-11-28T00:00:00"/>
    <m/>
    <m/>
    <x v="1"/>
    <n v="10"/>
    <s v="John Rowie Del Rosario"/>
    <m/>
  </r>
  <r>
    <x v="449"/>
    <x v="0"/>
    <x v="2"/>
    <s v="CLFF_VMCA$$$US10TQ1006"/>
    <s v="P000001358"/>
    <s v="P000001358"/>
    <s v="LFF (MDG-F)"/>
    <s v="US10TQ1006"/>
    <s v="P000001358"/>
    <b v="1"/>
    <x v="3"/>
    <x v="0"/>
    <d v="2025-11-28T00:00:00"/>
    <m/>
    <m/>
    <x v="1"/>
    <n v="10"/>
    <s v="John Rowie Del Rosario"/>
    <m/>
  </r>
  <r>
    <x v="449"/>
    <x v="0"/>
    <x v="2"/>
    <s v="CLFF_VMCA$$$US10TQ1007"/>
    <s v="P000001358"/>
    <s v="P000001358"/>
    <s v="LFF (MDG-F)"/>
    <s v="US10TQ1007"/>
    <s v="P000001358"/>
    <b v="1"/>
    <x v="3"/>
    <x v="0"/>
    <d v="2025-11-28T00:00:00"/>
    <m/>
    <m/>
    <x v="1"/>
    <n v="10"/>
    <s v="John Rowie Del Rosario"/>
    <m/>
  </r>
  <r>
    <x v="449"/>
    <x v="0"/>
    <x v="2"/>
    <s v="CLFF_VMCA$$$US10TQ1008"/>
    <s v="P000001358"/>
    <s v="P000001358"/>
    <s v="LFF (MDG-F)"/>
    <s v="US10TQ1008"/>
    <s v="P000001358"/>
    <b v="1"/>
    <x v="3"/>
    <x v="0"/>
    <d v="2025-11-28T00:00:00"/>
    <m/>
    <m/>
    <x v="1"/>
    <n v="10"/>
    <s v="John Rowie Del Rosario"/>
    <m/>
  </r>
  <r>
    <x v="449"/>
    <x v="0"/>
    <x v="2"/>
    <s v="CLFF_VMCA$$$US10TQ1009"/>
    <s v="P000001358"/>
    <s v="P000001358"/>
    <s v="LFF (MDG-F)"/>
    <s v="US10TQ1009"/>
    <s v="P000001358"/>
    <b v="1"/>
    <x v="3"/>
    <x v="0"/>
    <d v="2025-11-28T00:00:00"/>
    <m/>
    <m/>
    <x v="1"/>
    <n v="10"/>
    <s v="John Rowie Del Rosario"/>
    <m/>
  </r>
  <r>
    <x v="449"/>
    <x v="0"/>
    <x v="2"/>
    <s v="CLFF_VMCA$$$US10TQ1010"/>
    <s v="P000001358"/>
    <s v="P000001358"/>
    <s v="LFF (MDG-F)"/>
    <s v="US10TQ1010"/>
    <s v="P000001358"/>
    <b v="1"/>
    <x v="3"/>
    <x v="0"/>
    <d v="2025-11-28T00:00:00"/>
    <m/>
    <m/>
    <x v="1"/>
    <n v="10"/>
    <s v="John Rowie Del Rosario"/>
    <m/>
  </r>
  <r>
    <x v="449"/>
    <x v="0"/>
    <x v="2"/>
    <s v="CLFF_VMCA$$$US10TQ1011"/>
    <s v="P000001358"/>
    <s v="P000001358"/>
    <s v="LFF (MDG-F)"/>
    <s v="US10TQ1011"/>
    <s v="P000001358"/>
    <b v="1"/>
    <x v="3"/>
    <x v="0"/>
    <d v="2025-11-28T00:00:00"/>
    <m/>
    <m/>
    <x v="1"/>
    <n v="10"/>
    <s v="John Rowie Del Rosario"/>
    <m/>
  </r>
  <r>
    <x v="449"/>
    <x v="0"/>
    <x v="2"/>
    <s v="CLFF_VMCA$$$US10TQ1012"/>
    <s v="P000001358"/>
    <s v="P000001358"/>
    <s v="LFF (MDG-F)"/>
    <s v="US10TQ1012"/>
    <s v="P000001358"/>
    <b v="1"/>
    <x v="3"/>
    <x v="0"/>
    <d v="2025-11-28T00:00:00"/>
    <m/>
    <m/>
    <x v="1"/>
    <n v="10"/>
    <s v="John Rowie Del Rosario"/>
    <m/>
  </r>
  <r>
    <x v="449"/>
    <x v="0"/>
    <x v="2"/>
    <s v="CLFF_VMCA$$$US10TQ1013"/>
    <s v="P000001358"/>
    <s v="P000001358"/>
    <s v="LFF (MDG-F)"/>
    <s v="US10TQ1013"/>
    <s v="P000001358"/>
    <b v="1"/>
    <x v="3"/>
    <x v="0"/>
    <d v="2025-11-28T00:00:00"/>
    <m/>
    <m/>
    <x v="1"/>
    <n v="10"/>
    <s v="John Rowie Del Rosario"/>
    <m/>
  </r>
  <r>
    <x v="449"/>
    <x v="0"/>
    <x v="2"/>
    <s v="CLFF_1000$$$US01TPBZ01 Freight Collector - Inbound (BRB)"/>
    <s v="P000001356"/>
    <s v="P000001356"/>
    <s v="LFF (MDG-F)"/>
    <s v="US01TPBZ01"/>
    <s v="P000001356"/>
    <b v="1"/>
    <x v="3"/>
    <x v="0"/>
    <d v="2025-11-28T00:00:00"/>
    <m/>
    <m/>
    <x v="1"/>
    <n v="10"/>
    <s v="John Rowie Del Rosario"/>
    <m/>
  </r>
  <r>
    <x v="449"/>
    <x v="0"/>
    <x v="2"/>
    <s v="CLFF_1000$$$US01TPBZ02 Freight Collector - Outbound (BRB)"/>
    <s v="P000001356"/>
    <s v="P000001356"/>
    <s v="LFF (MDG-F)"/>
    <s v="US01TPBZ02"/>
    <s v="P000001356"/>
    <b v="1"/>
    <x v="3"/>
    <x v="0"/>
    <d v="2025-11-28T00:00:00"/>
    <m/>
    <m/>
    <x v="1"/>
    <n v="10"/>
    <s v="John Rowie Del Rosario"/>
    <m/>
  </r>
  <r>
    <x v="449"/>
    <x v="0"/>
    <x v="2"/>
    <s v="CLFF_1000$$$US01TQBZ01 BRB IC Outbound Freight Expense"/>
    <s v="P000001356"/>
    <s v="P000001356"/>
    <s v="LFF (MDG-F)"/>
    <s v="US01TQBZ01"/>
    <s v="P000001356"/>
    <b v="1"/>
    <x v="3"/>
    <x v="0"/>
    <d v="2025-11-28T00:00:00"/>
    <m/>
    <m/>
    <x v="1"/>
    <n v="10"/>
    <s v="John Rowie Del Rosario"/>
    <m/>
  </r>
  <r>
    <x v="449"/>
    <x v="0"/>
    <x v="2"/>
    <s v="CLFF_1000$$$US01TQHZ01 Sheboygan Outbound Freight"/>
    <s v="P000001356"/>
    <s v="P000001356"/>
    <s v="LFF (MDG-F)"/>
    <s v="US01TQHZ01"/>
    <s v="P000001356"/>
    <b v="1"/>
    <x v="3"/>
    <x v="0"/>
    <d v="2025-11-28T00:00:00"/>
    <m/>
    <m/>
    <x v="1"/>
    <n v="10"/>
    <s v="John Rowie Del Rosario"/>
    <m/>
  </r>
  <r>
    <x v="449"/>
    <x v="0"/>
    <x v="2"/>
    <s v="CLFF_1000$$$US01TQHZ03 Sheboygan IC Outbound Freight Expense"/>
    <s v="P000001356"/>
    <s v="P000001356"/>
    <s v="LFF (MDG-F)"/>
    <s v="US01TQHZ03"/>
    <s v="P000001356"/>
    <b v="1"/>
    <x v="3"/>
    <x v="0"/>
    <d v="2025-11-28T00:00:00"/>
    <m/>
    <m/>
    <x v="1"/>
    <n v="10"/>
    <s v="John Rowie Del Rosario"/>
    <m/>
  </r>
  <r>
    <x v="449"/>
    <x v="0"/>
    <x v="2"/>
    <s v="CLFF_VMCA$$$US10DB3000 Catoosa Shipping"/>
    <s v="P000001356"/>
    <s v="P000001356"/>
    <s v="LFF (MDG-F)"/>
    <s v="US10DB3000"/>
    <s v="P000001356"/>
    <b v="1"/>
    <x v="3"/>
    <x v="0"/>
    <d v="2025-11-28T00:00:00"/>
    <m/>
    <m/>
    <x v="1"/>
    <n v="10"/>
    <s v="John Rowie Del Rosario"/>
    <m/>
  </r>
  <r>
    <x v="449"/>
    <x v="0"/>
    <x v="2"/>
    <s v="CLFF_VMCA$$$US10DB3012 Carlsbad Shipping"/>
    <s v="P000001356"/>
    <s v="P000001356"/>
    <s v="LFF (MDG-F)"/>
    <s v="US10DB3012"/>
    <s v="P000001356"/>
    <b v="1"/>
    <x v="3"/>
    <x v="0"/>
    <d v="2025-11-28T00:00:00"/>
    <m/>
    <m/>
    <x v="1"/>
    <n v="10"/>
    <s v="John Rowie Del Rosario"/>
    <m/>
  </r>
  <r>
    <x v="449"/>
    <x v="0"/>
    <x v="2"/>
    <s v="CLFF_VMCA$$$US10DB3013 Hometown PM Shipping"/>
    <s v="P000001356"/>
    <s v="P000001356"/>
    <s v="LFF (MDG-F)"/>
    <s v="US10DB3013"/>
    <s v="P000001356"/>
    <b v="1"/>
    <x v="3"/>
    <x v="0"/>
    <d v="2025-11-28T00:00:00"/>
    <m/>
    <m/>
    <x v="1"/>
    <n v="10"/>
    <s v="John Rowie Del Rosario"/>
    <m/>
  </r>
  <r>
    <x v="449"/>
    <x v="0"/>
    <x v="2"/>
    <s v="CLFF_VMCA$$$US10DB3016 Tempe AM Shipping"/>
    <s v="P000001356"/>
    <s v="P000001356"/>
    <s v="LFF (MDG-F)"/>
    <s v="US10DB3016"/>
    <s v="P000001356"/>
    <b v="1"/>
    <x v="3"/>
    <x v="0"/>
    <d v="2025-11-28T00:00:00"/>
    <m/>
    <m/>
    <x v="1"/>
    <n v="10"/>
    <s v="John Rowie Del Rosario"/>
    <m/>
  </r>
  <r>
    <x v="449"/>
    <x v="0"/>
    <x v="2"/>
    <s v="CLFF_VMCA$$$US10DB3017 Dallas AM Shipping"/>
    <s v="P000001356"/>
    <s v="P000001356"/>
    <s v="LFF (MDG-F)"/>
    <s v="US10DB3017"/>
    <s v="P000001356"/>
    <b v="1"/>
    <x v="3"/>
    <x v="0"/>
    <d v="2025-11-28T00:00:00"/>
    <m/>
    <m/>
    <x v="1"/>
    <n v="10"/>
    <s v="John Rowie Del Rosario"/>
    <m/>
  </r>
  <r>
    <x v="449"/>
    <x v="0"/>
    <x v="2"/>
    <s v="CLFF_1000$$$US01TM2001"/>
    <s v="P000001356"/>
    <s v="P000001356"/>
    <s v="LFF (MDG-F)"/>
    <s v="US01TM2001"/>
    <s v="P000001356"/>
    <b v="1"/>
    <x v="3"/>
    <x v="0"/>
    <d v="2025-11-28T00:00:00"/>
    <m/>
    <m/>
    <x v="1"/>
    <n v="10"/>
    <s v="John Rowie Del Rosario"/>
    <m/>
  </r>
  <r>
    <x v="449"/>
    <x v="0"/>
    <x v="2"/>
    <s v="CLFF_VMCA$$$US10TM2010"/>
    <s v="P000001356"/>
    <s v="P000001356"/>
    <s v="LFF (MDG-F)"/>
    <s v="US10TM2010"/>
    <s v="P000001356"/>
    <b v="1"/>
    <x v="3"/>
    <x v="0"/>
    <d v="2025-11-28T00:00:00"/>
    <m/>
    <m/>
    <x v="1"/>
    <n v="10"/>
    <s v="John Rowie Del Rosario"/>
    <m/>
  </r>
  <r>
    <x v="449"/>
    <x v="0"/>
    <x v="2"/>
    <s v="CLFF_1000$$$US01TPPZ04 PM-US Logistics Organization"/>
    <s v="P000001359"/>
    <s v="P000001359"/>
    <s v="LFF (MDG-F)"/>
    <s v="US01TPPZ04"/>
    <s v="P000001359"/>
    <b v="1"/>
    <x v="3"/>
    <x v="0"/>
    <d v="2025-11-28T00:00:00"/>
    <m/>
    <m/>
    <x v="1"/>
    <n v="10"/>
    <s v="John Rowie Del Rosario"/>
    <m/>
  </r>
  <r>
    <x v="449"/>
    <x v="0"/>
    <x v="2"/>
    <s v="CLFF_VMCA$$$US10DB3003 US Customer Fulfillment"/>
    <s v="P000001359"/>
    <s v="P000001359"/>
    <s v="LFF (MDG-F)"/>
    <s v="US10DB3003"/>
    <s v="P000001359"/>
    <b v="1"/>
    <x v="3"/>
    <x v="0"/>
    <d v="2025-11-28T00:00:00"/>
    <m/>
    <m/>
    <x v="1"/>
    <n v="10"/>
    <s v="John Rowie Del Rosario"/>
    <m/>
  </r>
  <r>
    <x v="449"/>
    <x v="0"/>
    <x v="2"/>
    <s v="CLFF_VMCA$$$US10TM3001"/>
    <s v="P000001359"/>
    <s v="P000001359"/>
    <s v="LFF (MDG-F)"/>
    <s v="US10TM3001"/>
    <s v="P000001359"/>
    <b v="1"/>
    <x v="3"/>
    <x v="0"/>
    <d v="2025-11-28T00:00:00"/>
    <m/>
    <m/>
    <x v="1"/>
    <n v="10"/>
    <s v="John Rowie Del Rosario"/>
    <m/>
  </r>
  <r>
    <x v="449"/>
    <x v="0"/>
    <x v="2"/>
    <s v="CLFF_VMCA$$$US10TM3002"/>
    <s v="P000001359"/>
    <s v="P000001359"/>
    <s v="LFF (MDG-F)"/>
    <s v="US10TM3002"/>
    <s v="P000001359"/>
    <b v="1"/>
    <x v="3"/>
    <x v="0"/>
    <d v="2025-11-28T00:00:00"/>
    <m/>
    <m/>
    <x v="1"/>
    <n v="10"/>
    <s v="John Rowie Del Rosario"/>
    <m/>
  </r>
  <r>
    <x v="449"/>
    <x v="0"/>
    <x v="2"/>
    <s v="CLFF_VMCA$$$US10DB3014 3PL Customs &amp; Duties"/>
    <s v="P000001360"/>
    <s v="P000001360"/>
    <s v="LFF (MDG-F)"/>
    <s v="US10DB3014"/>
    <s v="P000001360"/>
    <b v="1"/>
    <x v="3"/>
    <x v="0"/>
    <d v="2025-11-28T00:00:00"/>
    <m/>
    <m/>
    <x v="1"/>
    <n v="10"/>
    <s v="John Rowie Del Rosario"/>
    <m/>
  </r>
  <r>
    <x v="450"/>
    <x v="0"/>
    <x v="2"/>
    <s v="CLFF_1000$$$DE10B08450"/>
    <s v="L000013429"/>
    <s v="L000013429"/>
    <s v="LFF (MDG-F)"/>
    <s v="DE10B08450"/>
    <m/>
    <b v="1"/>
    <x v="5"/>
    <x v="0"/>
    <d v="2025-12-01T00:00:00"/>
    <m/>
    <m/>
    <x v="1"/>
    <n v="9"/>
    <s v="Analyn Ayson"/>
    <m/>
  </r>
  <r>
    <x v="450"/>
    <x v="0"/>
    <x v="2"/>
    <s v="CLFF_1000$$$DE10A48610"/>
    <s v="G000000877"/>
    <s v="G000000877"/>
    <s v="LFF (MDG-F)"/>
    <s v="DE10A48610"/>
    <m/>
    <b v="1"/>
    <x v="5"/>
    <x v="0"/>
    <d v="2025-12-01T00:00:00"/>
    <m/>
    <m/>
    <x v="1"/>
    <n v="9"/>
    <s v="Analyn Ayson"/>
    <m/>
  </r>
  <r>
    <x v="450"/>
    <x v="0"/>
    <x v="2"/>
    <s v="CLFF_1000$$$DE10A48607"/>
    <s v="G000000877"/>
    <s v="G000000877"/>
    <s v="LFF (MDG-F)"/>
    <s v="DE10A48607"/>
    <m/>
    <b v="1"/>
    <x v="5"/>
    <x v="0"/>
    <d v="2025-12-01T00:00:00"/>
    <m/>
    <m/>
    <x v="1"/>
    <n v="9"/>
    <s v="Analyn Ayson"/>
    <m/>
  </r>
  <r>
    <x v="450"/>
    <x v="0"/>
    <x v="2"/>
    <s v="CLFF_1000$$$DE10538392"/>
    <s v="G000001084"/>
    <s v="G000001084"/>
    <s v="LFF (MDG-F)"/>
    <s v="DE10538392"/>
    <m/>
    <b v="1"/>
    <x v="5"/>
    <x v="0"/>
    <d v="2025-12-01T00:00:00"/>
    <m/>
    <m/>
    <x v="1"/>
    <n v="9"/>
    <s v="Analyn Ayson"/>
    <m/>
  </r>
  <r>
    <x v="450"/>
    <x v="0"/>
    <x v="2"/>
    <s v="CLFF_1000$$$DE20700060"/>
    <s v="G000000544"/>
    <s v="G000000544"/>
    <s v="LFF (MDG-F)"/>
    <s v="DE20700060"/>
    <m/>
    <b v="1"/>
    <x v="5"/>
    <x v="0"/>
    <d v="2025-12-01T00:00:00"/>
    <m/>
    <m/>
    <x v="1"/>
    <n v="9"/>
    <s v="Analyn Ayson"/>
    <m/>
  </r>
  <r>
    <x v="451"/>
    <x v="0"/>
    <x v="2"/>
    <s v="PLEAN_X370121DE6514800 RT Ogsiveo Oth.Prom. MAP HTA"/>
    <s v="H000004415"/>
    <s v="H000004415"/>
    <s v="Non-LFF"/>
    <s v=""/>
    <s v="H000004415"/>
    <b v="1"/>
    <x v="1"/>
    <x v="0"/>
    <d v="2025-12-01T00:00:00"/>
    <m/>
    <m/>
    <x v="1"/>
    <n v="9"/>
    <s v="Rayneil Reas"/>
    <m/>
  </r>
  <r>
    <x v="451"/>
    <x v="0"/>
    <x v="2"/>
    <s v="PLEAN_X370131DE6514800 RT Ezmekly Oth.Prom. MAP HTA"/>
    <s v="H000004416"/>
    <s v="H000004416"/>
    <s v="Non-LFF"/>
    <s v=""/>
    <s v="H000004416"/>
    <b v="1"/>
    <x v="1"/>
    <x v="0"/>
    <d v="2025-12-01T00:00:00"/>
    <m/>
    <m/>
    <x v="1"/>
    <n v="9"/>
    <s v="Rayneil Reas"/>
    <m/>
  </r>
  <r>
    <x v="451"/>
    <x v="0"/>
    <x v="2"/>
    <s v="PLEAN_X310181DK5015201 Bavencio Commercial DK50 Other Promo and"/>
    <s v="H000000218"/>
    <s v="H000000218"/>
    <s v="Non-LFF"/>
    <s v=""/>
    <m/>
    <b v="1"/>
    <x v="1"/>
    <x v="0"/>
    <d v="2025-12-01T00:00:00"/>
    <m/>
    <m/>
    <x v="1"/>
    <n v="9"/>
    <s v="Rayneil Reas"/>
    <m/>
  </r>
  <r>
    <x v="451"/>
    <x v="0"/>
    <x v="2"/>
    <s v="PLEAN_X370122AT5023200"/>
    <s v="H000004527"/>
    <s v="H000004527"/>
    <s v="Non-LFF"/>
    <s v=""/>
    <s v="H000004527"/>
    <b v="1"/>
    <x v="1"/>
    <x v="0"/>
    <d v="2025-12-01T00:00:00"/>
    <m/>
    <m/>
    <x v="1"/>
    <n v="9"/>
    <s v="Rayneil Reas"/>
    <m/>
  </r>
  <r>
    <x v="451"/>
    <x v="0"/>
    <x v="2"/>
    <s v="PLEAN_X370131AT5015200"/>
    <s v="H000004517"/>
    <s v="H000004517"/>
    <s v="Non-LFF"/>
    <s v=""/>
    <s v="H000004517"/>
    <b v="1"/>
    <x v="1"/>
    <x v="0"/>
    <d v="2025-12-01T00:00:00"/>
    <m/>
    <m/>
    <x v="1"/>
    <n v="9"/>
    <s v="Rayneil Reas"/>
    <m/>
  </r>
  <r>
    <x v="451"/>
    <x v="0"/>
    <x v="2"/>
    <s v="PLEAN_X370231CH7610201 RT Ezmekly COM Promo"/>
    <s v="H000004515"/>
    <s v="H000004515"/>
    <s v="Non-LFF"/>
    <s v=""/>
    <m/>
    <b v="1"/>
    <x v="1"/>
    <x v="0"/>
    <d v="2025-12-01T00:00:00"/>
    <m/>
    <m/>
    <x v="1"/>
    <n v="9"/>
    <s v="Rayneil Reas"/>
    <m/>
  </r>
  <r>
    <x v="451"/>
    <x v="0"/>
    <x v="2"/>
    <s v="PLEAN_X370232AT5023200 RG Ezmekly Medical activities"/>
    <s v="H000004528"/>
    <s v="H000004528"/>
    <s v="Non-LFF"/>
    <s v=""/>
    <m/>
    <b v="1"/>
    <x v="1"/>
    <x v="0"/>
    <d v="2025-12-01T00:00:00"/>
    <m/>
    <m/>
    <x v="1"/>
    <n v="9"/>
    <s v="Rayneil Reas"/>
    <m/>
  </r>
  <r>
    <x v="451"/>
    <x v="0"/>
    <x v="2"/>
    <s v="CSCALA_1759$E375"/>
    <s v="H000003613"/>
    <s v="H000003613"/>
    <s v="Non-LFF"/>
    <s v=""/>
    <m/>
    <b v="1"/>
    <x v="1"/>
    <x v="0"/>
    <d v="2025-12-01T00:00:00"/>
    <m/>
    <m/>
    <x v="1"/>
    <n v="9"/>
    <s v="Rayneil Reas"/>
    <m/>
  </r>
  <r>
    <x v="451"/>
    <x v="0"/>
    <x v="2"/>
    <s v="CSCALA_1759$E376"/>
    <s v="H000003613"/>
    <s v="H000003613"/>
    <s v="Non-LFF"/>
    <s v=""/>
    <m/>
    <b v="1"/>
    <x v="1"/>
    <x v="0"/>
    <d v="2025-12-01T00:00:00"/>
    <m/>
    <m/>
    <x v="1"/>
    <n v="9"/>
    <s v="Rayneil Reas"/>
    <m/>
  </r>
  <r>
    <x v="451"/>
    <x v="0"/>
    <x v="2"/>
    <s v="CSCALA_1759$O209"/>
    <s v="H000003613"/>
    <s v="H000003613"/>
    <s v="Non-LFF"/>
    <s v=""/>
    <m/>
    <b v="1"/>
    <x v="1"/>
    <x v="0"/>
    <d v="2025-12-01T00:00:00"/>
    <m/>
    <m/>
    <x v="1"/>
    <n v="9"/>
    <s v="Rayneil Reas"/>
    <m/>
  </r>
  <r>
    <x v="451"/>
    <x v="0"/>
    <x v="2"/>
    <s v="CSCALA_1759$C229"/>
    <s v="H000003613"/>
    <s v="H000003613"/>
    <s v="Non-LFF"/>
    <s v=""/>
    <m/>
    <b v="1"/>
    <x v="1"/>
    <x v="0"/>
    <d v="2025-12-01T00:00:00"/>
    <m/>
    <m/>
    <x v="1"/>
    <n v="9"/>
    <s v="Rayneil Reas"/>
    <m/>
  </r>
  <r>
    <x v="451"/>
    <x v="0"/>
    <x v="2"/>
    <s v="CSCALA_1759$C219"/>
    <s v="H000003613"/>
    <s v="H000003613"/>
    <s v="Non-LFF"/>
    <s v=""/>
    <m/>
    <b v="1"/>
    <x v="1"/>
    <x v="0"/>
    <d v="2025-12-01T00:00:00"/>
    <m/>
    <m/>
    <x v="1"/>
    <n v="9"/>
    <s v="Rayneil Reas"/>
    <m/>
  </r>
  <r>
    <x v="451"/>
    <x v="0"/>
    <x v="2"/>
    <s v="CSCALA_1759$C220"/>
    <s v="H000003613"/>
    <s v="H000003613"/>
    <s v="Non-LFF"/>
    <s v=""/>
    <m/>
    <b v="1"/>
    <x v="1"/>
    <x v="0"/>
    <d v="2025-12-01T00:00:00"/>
    <m/>
    <m/>
    <x v="1"/>
    <n v="9"/>
    <s v="Rayneil Reas"/>
    <m/>
  </r>
  <r>
    <x v="451"/>
    <x v="0"/>
    <x v="2"/>
    <s v="CSCALA_1759$C221"/>
    <s v="H000003613"/>
    <s v="H000003613"/>
    <s v="Non-LFF"/>
    <s v=""/>
    <m/>
    <b v="1"/>
    <x v="1"/>
    <x v="0"/>
    <d v="2025-12-01T00:00:00"/>
    <m/>
    <m/>
    <x v="1"/>
    <n v="9"/>
    <s v="Rayneil Reas"/>
    <m/>
  </r>
  <r>
    <x v="451"/>
    <x v="0"/>
    <x v="2"/>
    <s v="CSCALA_1759$C222"/>
    <s v="H000003613"/>
    <s v="H000003613"/>
    <s v="Non-LFF"/>
    <s v=""/>
    <m/>
    <b v="1"/>
    <x v="1"/>
    <x v="0"/>
    <d v="2025-12-01T00:00:00"/>
    <m/>
    <m/>
    <x v="1"/>
    <n v="9"/>
    <s v="Rayneil Reas"/>
    <m/>
  </r>
  <r>
    <x v="451"/>
    <x v="0"/>
    <x v="2"/>
    <s v="CSCALA_1759$C223"/>
    <s v="H000003613"/>
    <s v="H000003613"/>
    <s v="Non-LFF"/>
    <s v=""/>
    <m/>
    <b v="1"/>
    <x v="1"/>
    <x v="0"/>
    <d v="2025-12-01T00:00:00"/>
    <m/>
    <m/>
    <x v="1"/>
    <n v="9"/>
    <s v="Rayneil Reas"/>
    <m/>
  </r>
  <r>
    <x v="451"/>
    <x v="0"/>
    <x v="2"/>
    <s v="CSCALA_1759$C224"/>
    <s v="H000003613"/>
    <s v="H000003613"/>
    <s v="Non-LFF"/>
    <s v=""/>
    <m/>
    <b v="1"/>
    <x v="1"/>
    <x v="0"/>
    <d v="2025-12-01T00:00:00"/>
    <m/>
    <m/>
    <x v="1"/>
    <n v="9"/>
    <s v="Rayneil Reas"/>
    <m/>
  </r>
  <r>
    <x v="451"/>
    <x v="0"/>
    <x v="2"/>
    <s v="CSCALA_1759$C225"/>
    <s v="H000003613"/>
    <s v="H000003613"/>
    <s v="Non-LFF"/>
    <s v=""/>
    <m/>
    <b v="1"/>
    <x v="1"/>
    <x v="0"/>
    <d v="2025-12-01T00:00:00"/>
    <m/>
    <m/>
    <x v="1"/>
    <n v="9"/>
    <s v="Rayneil Reas"/>
    <m/>
  </r>
  <r>
    <x v="451"/>
    <x v="0"/>
    <x v="2"/>
    <s v="CSCALA_1759$C226"/>
    <s v="H000003613"/>
    <s v="H000003613"/>
    <s v="Non-LFF"/>
    <s v=""/>
    <m/>
    <b v="1"/>
    <x v="1"/>
    <x v="0"/>
    <d v="2025-12-01T00:00:00"/>
    <m/>
    <m/>
    <x v="1"/>
    <n v="9"/>
    <s v="Rayneil Reas"/>
    <m/>
  </r>
  <r>
    <x v="451"/>
    <x v="0"/>
    <x v="2"/>
    <s v="CSCALA_1759$C227"/>
    <s v="H000003613"/>
    <s v="H000003613"/>
    <s v="Non-LFF"/>
    <s v=""/>
    <m/>
    <b v="1"/>
    <x v="1"/>
    <x v="0"/>
    <d v="2025-12-01T00:00:00"/>
    <m/>
    <m/>
    <x v="1"/>
    <n v="9"/>
    <s v="Rayneil Reas"/>
    <m/>
  </r>
  <r>
    <x v="451"/>
    <x v="0"/>
    <x v="2"/>
    <s v="CSCALA_1759$C228"/>
    <s v="H000003613"/>
    <s v="H000003613"/>
    <s v="Non-LFF"/>
    <s v=""/>
    <m/>
    <b v="1"/>
    <x v="1"/>
    <x v="0"/>
    <d v="2025-12-01T00:00:00"/>
    <m/>
    <m/>
    <x v="1"/>
    <n v="9"/>
    <s v="Rayneil Reas"/>
    <m/>
  </r>
  <r>
    <x v="451"/>
    <x v="0"/>
    <x v="2"/>
    <s v="CSCALA_1759$C231"/>
    <s v="H000003613"/>
    <s v="H000003613"/>
    <s v="Non-LFF"/>
    <s v=""/>
    <m/>
    <b v="1"/>
    <x v="1"/>
    <x v="0"/>
    <d v="2025-12-01T00:00:00"/>
    <m/>
    <m/>
    <x v="1"/>
    <n v="9"/>
    <s v="Rayneil Reas"/>
    <m/>
  </r>
  <r>
    <x v="451"/>
    <x v="0"/>
    <x v="2"/>
    <s v="CSCALA_1759$G233"/>
    <s v="H000003613"/>
    <s v="H000003613"/>
    <s v="Non-LFF"/>
    <s v=""/>
    <m/>
    <b v="1"/>
    <x v="1"/>
    <x v="0"/>
    <d v="2025-12-01T00:00:00"/>
    <m/>
    <m/>
    <x v="1"/>
    <n v="9"/>
    <s v="Rayneil Reas"/>
    <m/>
  </r>
  <r>
    <x v="452"/>
    <x v="0"/>
    <x v="2"/>
    <s v="CSCALA_1022$ITR"/>
    <s v="G000001238"/>
    <s v="G000001238"/>
    <s v="Non-LFF"/>
    <s v=""/>
    <m/>
    <b v="1"/>
    <x v="0"/>
    <x v="0"/>
    <d v="2025-12-02T00:00:00"/>
    <m/>
    <m/>
    <x v="1"/>
    <n v="8"/>
    <s v="Jay-R Lizardo"/>
    <m/>
  </r>
  <r>
    <x v="452"/>
    <x v="0"/>
    <x v="2"/>
    <s v="CLFF_1000$$$CN90GM4004"/>
    <s v="G000001457"/>
    <s v="G000001457"/>
    <s v="LFF (MDG-F)"/>
    <s v="CN90GM4004"/>
    <s v="G000001457"/>
    <b v="1"/>
    <x v="0"/>
    <x v="0"/>
    <d v="2025-12-02T00:00:00"/>
    <m/>
    <m/>
    <x v="1"/>
    <n v="8"/>
    <s v="Jay-R Lizardo"/>
    <m/>
  </r>
  <r>
    <x v="452"/>
    <x v="0"/>
    <x v="2"/>
    <s v="CTEMPEU_1000PL80GFO045"/>
    <s v="G000001458"/>
    <s v="G000001458"/>
    <s v="Non-LFF"/>
    <s v=""/>
    <s v="G000001458"/>
    <b v="1"/>
    <x v="0"/>
    <x v="0"/>
    <d v="2025-12-02T00:00:00"/>
    <m/>
    <m/>
    <x v="1"/>
    <n v="8"/>
    <s v="Jay-R Lizardo"/>
    <m/>
  </r>
  <r>
    <x v="452"/>
    <x v="0"/>
    <x v="2"/>
    <s v="CTEMPEU_1000PL80GMS040"/>
    <s v="G000001459"/>
    <s v="G000001459"/>
    <s v="Non-LFF"/>
    <s v=""/>
    <s v="G000001459"/>
    <b v="1"/>
    <x v="0"/>
    <x v="0"/>
    <d v="2025-12-02T00:00:00"/>
    <m/>
    <m/>
    <x v="1"/>
    <n v="8"/>
    <s v="Jay-R Lizardo"/>
    <m/>
  </r>
  <r>
    <x v="452"/>
    <x v="0"/>
    <x v="2"/>
    <s v="CTEMPNA_1000PH80GFO026"/>
    <s v="G000001460"/>
    <s v="G000001460"/>
    <s v="Non-LFF"/>
    <s v=""/>
    <s v="G000001460"/>
    <b v="1"/>
    <x v="0"/>
    <x v="0"/>
    <d v="2025-12-02T00:00:00"/>
    <m/>
    <m/>
    <x v="1"/>
    <n v="8"/>
    <s v="Jay-R Lizardo"/>
    <m/>
  </r>
  <r>
    <x v="452"/>
    <x v="0"/>
    <x v="2"/>
    <s v="CTEMPNA_1000PH80GFO120"/>
    <s v="G000001457"/>
    <s v="G000001457"/>
    <s v="Non-LFF"/>
    <s v=""/>
    <s v="G000001457"/>
    <b v="1"/>
    <x v="0"/>
    <x v="0"/>
    <d v="2025-12-02T00:00:00"/>
    <m/>
    <m/>
    <x v="1"/>
    <n v="8"/>
    <s v="Jay-R Lizardo"/>
    <m/>
  </r>
  <r>
    <x v="452"/>
    <x v="0"/>
    <x v="2"/>
    <s v="CLFF_1000$$$DE10GMS041"/>
    <s v="G000001459"/>
    <s v="G000001459"/>
    <s v="LFF (MDG-F)"/>
    <s v="DE10GMS041"/>
    <s v="G000001459"/>
    <b v="1"/>
    <x v="0"/>
    <x v="0"/>
    <d v="2025-12-02T00:00:00"/>
    <m/>
    <m/>
    <x v="1"/>
    <n v="8"/>
    <s v="Jay-R Lizardo"/>
    <m/>
  </r>
  <r>
    <x v="452"/>
    <x v="0"/>
    <x v="2"/>
    <s v="CLFF_1000$$$DE10GMS070"/>
    <s v="G000001460"/>
    <s v="G000001460"/>
    <s v="LFF (MDG-F)"/>
    <s v="DE10GMS070"/>
    <s v="G000001460"/>
    <b v="1"/>
    <x v="0"/>
    <x v="0"/>
    <d v="2025-12-02T00:00:00"/>
    <m/>
    <m/>
    <x v="1"/>
    <n v="8"/>
    <s v="Jay-R Lizardo"/>
    <m/>
  </r>
  <r>
    <x v="452"/>
    <x v="0"/>
    <x v="2"/>
    <s v="CLFF_1000$$$DE10669632"/>
    <s v="G000001459"/>
    <s v="G000001459"/>
    <s v="LFF (MDG-F)"/>
    <s v="DE10669632"/>
    <s v="G000001459"/>
    <b v="1"/>
    <x v="0"/>
    <x v="0"/>
    <d v="2025-12-02T00:00:00"/>
    <m/>
    <m/>
    <x v="1"/>
    <n v="8"/>
    <s v="Jay-R Lizardo"/>
    <m/>
  </r>
  <r>
    <x v="452"/>
    <x v="0"/>
    <x v="2"/>
    <s v="CTEMPLA_1000UY10100040"/>
    <s v="G000001457"/>
    <s v="G000001457"/>
    <s v="Non-LFF"/>
    <s v=""/>
    <s v="G000001457"/>
    <b v="1"/>
    <x v="0"/>
    <x v="0"/>
    <d v="2025-12-02T00:00:00"/>
    <m/>
    <m/>
    <x v="1"/>
    <n v="8"/>
    <s v="Jay-R Lizardo"/>
    <m/>
  </r>
  <r>
    <x v="452"/>
    <x v="0"/>
    <x v="2"/>
    <s v="CNOW_7210$$$0000021361"/>
    <s v="G000000736"/>
    <s v="G000000736"/>
    <s v="Non-LFF"/>
    <s v=""/>
    <s v="G000000736"/>
    <b v="1"/>
    <x v="0"/>
    <x v="0"/>
    <d v="2025-12-02T00:00:00"/>
    <m/>
    <m/>
    <x v="1"/>
    <n v="8"/>
    <s v="Jay-R Lizardo"/>
    <m/>
  </r>
  <r>
    <x v="453"/>
    <x v="0"/>
    <x v="2"/>
    <s v="CSCALA_1248$VR00_L36"/>
    <s v="H000004401"/>
    <s v="H000004401"/>
    <s v="Non-LFF"/>
    <s v=""/>
    <m/>
    <b v="1"/>
    <x v="1"/>
    <x v="0"/>
    <d v="2025-12-03T00:00:00"/>
    <m/>
    <m/>
    <x v="1"/>
    <n v="7"/>
    <s v="Erjo Miguel Tagle"/>
    <m/>
  </r>
  <r>
    <x v="453"/>
    <x v="0"/>
    <x v="2"/>
    <s v="CSCALA_1248$VR00_L37"/>
    <s v="H000004401"/>
    <s v="H000004401"/>
    <s v="Non-LFF"/>
    <s v=""/>
    <m/>
    <b v="1"/>
    <x v="1"/>
    <x v="0"/>
    <d v="2025-12-03T00:00:00"/>
    <m/>
    <m/>
    <x v="1"/>
    <n v="7"/>
    <s v="Erjo Miguel Tagle"/>
    <m/>
  </r>
  <r>
    <x v="453"/>
    <x v="0"/>
    <x v="2"/>
    <s v="CSCALA_1248$VR00_L38"/>
    <s v="H000004401"/>
    <s v="H000004401"/>
    <s v="Non-LFF"/>
    <s v=""/>
    <m/>
    <b v="1"/>
    <x v="1"/>
    <x v="0"/>
    <d v="2025-12-03T00:00:00"/>
    <m/>
    <m/>
    <x v="1"/>
    <n v="7"/>
    <s v="Erjo Miguel Tagle"/>
    <m/>
  </r>
  <r>
    <x v="454"/>
    <x v="0"/>
    <x v="2"/>
    <s v="CSCALA_1248$A350_L40"/>
    <s v="H000004401"/>
    <s v="H000004401"/>
    <s v="Non-LFF"/>
    <s v=""/>
    <m/>
    <b v="1"/>
    <x v="1"/>
    <x v="0"/>
    <d v="2025-12-03T00:00:00"/>
    <m/>
    <m/>
    <x v="1"/>
    <n v="7"/>
    <s v="Erjo Miguel Tagle"/>
    <m/>
  </r>
  <r>
    <x v="454"/>
    <x v="0"/>
    <x v="2"/>
    <s v="CSCALA_1248$A350"/>
    <s v="H000004401"/>
    <s v="H000004401"/>
    <s v="Non-LFF"/>
    <s v=""/>
    <m/>
    <b v="1"/>
    <x v="1"/>
    <x v="0"/>
    <d v="2025-12-03T00:00:00"/>
    <m/>
    <m/>
    <x v="1"/>
    <n v="7"/>
    <s v="Erjo Miguel Tagle"/>
    <m/>
  </r>
  <r>
    <x v="454"/>
    <x v="0"/>
    <x v="2"/>
    <s v="CSCALA_1248$A350_L05"/>
    <s v="H000004401"/>
    <s v="H000004401"/>
    <s v="Non-LFF"/>
    <s v=""/>
    <m/>
    <b v="1"/>
    <x v="1"/>
    <x v="0"/>
    <d v="2025-12-03T00:00:00"/>
    <m/>
    <m/>
    <x v="1"/>
    <n v="7"/>
    <s v="Erjo Miguel Tagle"/>
    <m/>
  </r>
  <r>
    <x v="454"/>
    <x v="0"/>
    <x v="2"/>
    <s v="CSCALA_1248$A350_L09"/>
    <s v="H000004401"/>
    <s v="H000004401"/>
    <s v="Non-LFF"/>
    <s v=""/>
    <m/>
    <b v="1"/>
    <x v="1"/>
    <x v="0"/>
    <d v="2025-12-03T00:00:00"/>
    <m/>
    <m/>
    <x v="1"/>
    <n v="7"/>
    <s v="Erjo Miguel Tagle"/>
    <m/>
  </r>
  <r>
    <x v="454"/>
    <x v="0"/>
    <x v="2"/>
    <s v="CSCALA_1248$A350_L11"/>
    <s v="H000004401"/>
    <s v="H000004401"/>
    <s v="Non-LFF"/>
    <s v=""/>
    <m/>
    <b v="1"/>
    <x v="1"/>
    <x v="0"/>
    <d v="2025-12-03T00:00:00"/>
    <m/>
    <m/>
    <x v="1"/>
    <n v="7"/>
    <s v="Erjo Miguel Tagle"/>
    <m/>
  </r>
  <r>
    <x v="454"/>
    <x v="0"/>
    <x v="2"/>
    <s v="CSCALA_1248$A350_L33"/>
    <s v="H000004401"/>
    <s v="H000004401"/>
    <s v="Non-LFF"/>
    <s v=""/>
    <m/>
    <b v="1"/>
    <x v="1"/>
    <x v="0"/>
    <d v="2025-12-03T00:00:00"/>
    <m/>
    <m/>
    <x v="1"/>
    <n v="7"/>
    <s v="Erjo Miguel Tagle"/>
    <m/>
  </r>
  <r>
    <x v="455"/>
    <x v="0"/>
    <x v="4"/>
    <s v="PEMERAL_6403H2018040201__1001 SI_Project Chronos/H.20180402.01.1001"/>
    <s v="RDC0000993 Others"/>
    <s v="DFLTPGCOH_000000"/>
    <s v="Non-LFF"/>
    <s v=""/>
    <m/>
    <b v="0"/>
    <x v="1"/>
    <x v="0"/>
    <d v="2025-12-03T00:00:00"/>
    <m/>
    <m/>
    <x v="1"/>
    <n v="7"/>
    <s v="Erjo Miguel Tagle"/>
    <m/>
  </r>
  <r>
    <x v="455"/>
    <x v="0"/>
    <x v="2"/>
    <s v="CSCALA_1022$RDG_L39"/>
    <s v="H000001088"/>
    <s v="H000001088"/>
    <s v="Non-LFF"/>
    <s v=""/>
    <m/>
    <b v="1"/>
    <x v="1"/>
    <x v="0"/>
    <d v="2025-12-03T00:00:00"/>
    <m/>
    <m/>
    <x v="1"/>
    <n v="7"/>
    <s v="Erjo Miguel Tagle"/>
    <m/>
  </r>
  <r>
    <x v="455"/>
    <x v="0"/>
    <x v="2"/>
    <s v="CSCALA_1022$RDG_L38"/>
    <s v="H000001088"/>
    <s v="H000001088"/>
    <s v="Non-LFF"/>
    <s v=""/>
    <m/>
    <b v="1"/>
    <x v="1"/>
    <x v="0"/>
    <d v="2025-12-03T00:00:00"/>
    <m/>
    <m/>
    <x v="1"/>
    <n v="7"/>
    <s v="Erjo Miguel Tagle"/>
    <m/>
  </r>
  <r>
    <x v="455"/>
    <x v="0"/>
    <x v="2"/>
    <s v="CSCALA_1022$RDG_L35"/>
    <s v="H000001088"/>
    <s v="H000001088"/>
    <s v="Non-LFF"/>
    <s v=""/>
    <m/>
    <b v="1"/>
    <x v="1"/>
    <x v="0"/>
    <d v="2025-12-03T00:00:00"/>
    <m/>
    <m/>
    <x v="1"/>
    <n v="7"/>
    <s v="Erjo Miguel Tagle"/>
    <m/>
  </r>
  <r>
    <x v="455"/>
    <x v="0"/>
    <x v="2"/>
    <s v="CSCALA_1022$RDG_L36"/>
    <s v="H000001088"/>
    <s v="H000001088"/>
    <s v="Non-LFF"/>
    <s v=""/>
    <m/>
    <b v="1"/>
    <x v="1"/>
    <x v="0"/>
    <d v="2025-12-03T00:00:00"/>
    <m/>
    <m/>
    <x v="1"/>
    <n v="7"/>
    <s v="Erjo Miguel Tagle"/>
    <m/>
  </r>
  <r>
    <x v="455"/>
    <x v="0"/>
    <x v="2"/>
    <s v="CSCALA_1022$RDG_L37"/>
    <s v="H000001088"/>
    <s v="H000001088"/>
    <s v="Non-LFF"/>
    <s v=""/>
    <m/>
    <b v="1"/>
    <x v="1"/>
    <x v="0"/>
    <d v="2025-12-03T00:00:00"/>
    <m/>
    <m/>
    <x v="1"/>
    <n v="7"/>
    <s v="Erjo Miguel Tagle"/>
    <m/>
  </r>
  <r>
    <x v="455"/>
    <x v="0"/>
    <x v="2"/>
    <s v="CSCALA_1022$PVS_L40"/>
    <s v="H000001086"/>
    <s v="H000001086"/>
    <s v="Non-LFF"/>
    <s v=""/>
    <m/>
    <b v="1"/>
    <x v="1"/>
    <x v="0"/>
    <d v="2025-12-03T00:00:00"/>
    <m/>
    <m/>
    <x v="1"/>
    <n v="7"/>
    <s v="Erjo Miguel Tagle"/>
    <m/>
  </r>
  <r>
    <x v="455"/>
    <x v="0"/>
    <x v="2"/>
    <s v="CSCALA_1248$6528_L40"/>
    <s v="H000000923"/>
    <s v="H000000923"/>
    <s v="Non-LFF"/>
    <s v=""/>
    <m/>
    <b v="1"/>
    <x v="1"/>
    <x v="0"/>
    <d v="2025-12-03T00:00:00"/>
    <m/>
    <m/>
    <x v="1"/>
    <n v="7"/>
    <s v="Erjo Miguel Tagle"/>
    <m/>
  </r>
  <r>
    <x v="455"/>
    <x v="0"/>
    <x v="2"/>
    <s v="CSCALA_1248$6528_L39"/>
    <s v="H000000923"/>
    <s v="H000000923"/>
    <s v="Non-LFF"/>
    <s v=""/>
    <m/>
    <b v="1"/>
    <x v="1"/>
    <x v="0"/>
    <d v="2025-12-03T00:00:00"/>
    <m/>
    <m/>
    <x v="1"/>
    <n v="7"/>
    <s v="Erjo Miguel Tagle"/>
    <m/>
  </r>
  <r>
    <x v="455"/>
    <x v="0"/>
    <x v="2"/>
    <s v="CSCALA_1248$VR00_V03"/>
    <s v="H000004401"/>
    <s v="H000004401"/>
    <s v="Non-LFF"/>
    <s v=""/>
    <m/>
    <b v="1"/>
    <x v="1"/>
    <x v="0"/>
    <d v="2025-12-03T00:00:00"/>
    <m/>
    <m/>
    <x v="1"/>
    <n v="7"/>
    <s v="Erjo Miguel Tagle"/>
    <m/>
  </r>
  <r>
    <x v="455"/>
    <x v="0"/>
    <x v="2"/>
    <s v="CSCALA_1248$A350_L40"/>
    <s v="H000000729"/>
    <s v="H000000729"/>
    <s v="Non-LFF"/>
    <s v=""/>
    <m/>
    <b v="1"/>
    <x v="1"/>
    <x v="0"/>
    <d v="2025-12-03T00:00:00"/>
    <m/>
    <m/>
    <x v="1"/>
    <n v="7"/>
    <s v="Erjo Miguel Tagle"/>
    <m/>
  </r>
  <r>
    <x v="455"/>
    <x v="0"/>
    <x v="2"/>
    <s v="CSCALA_1872$195_GCQ"/>
    <s v="H000000907"/>
    <s v="H000000907"/>
    <s v="Non-LFF"/>
    <s v=""/>
    <m/>
    <b v="1"/>
    <x v="1"/>
    <x v="0"/>
    <d v="2025-12-03T00:00:00"/>
    <m/>
    <m/>
    <x v="1"/>
    <n v="7"/>
    <s v="Erjo Miguel Tagle"/>
    <m/>
  </r>
  <r>
    <x v="456"/>
    <x v="0"/>
    <x v="2"/>
    <s v="CSCALA_1248$A351"/>
    <s v="H000004401"/>
    <s v="H000004401"/>
    <s v="Non-LFF"/>
    <s v=""/>
    <m/>
    <b v="1"/>
    <x v="1"/>
    <x v="0"/>
    <d v="2025-12-03T00:00:00"/>
    <m/>
    <m/>
    <x v="1"/>
    <n v="7"/>
    <s v="Erjo Miguel Tagle"/>
    <m/>
  </r>
  <r>
    <x v="456"/>
    <x v="0"/>
    <x v="2"/>
    <s v="CSCALA_1248$A351_L05"/>
    <s v="H000004401"/>
    <s v="H000004401"/>
    <s v="Non-LFF"/>
    <s v=""/>
    <m/>
    <b v="1"/>
    <x v="1"/>
    <x v="0"/>
    <d v="2025-12-03T00:00:00"/>
    <m/>
    <m/>
    <x v="1"/>
    <n v="7"/>
    <s v="Erjo Miguel Tagle"/>
    <m/>
  </r>
  <r>
    <x v="456"/>
    <x v="0"/>
    <x v="2"/>
    <s v="CSCALA_1248$A351_L12"/>
    <s v="H000004401"/>
    <s v="H000004401"/>
    <s v="Non-LFF"/>
    <s v=""/>
    <m/>
    <b v="1"/>
    <x v="1"/>
    <x v="0"/>
    <d v="2025-12-03T00:00:00"/>
    <m/>
    <m/>
    <x v="1"/>
    <n v="7"/>
    <s v="Erjo Miguel Tagle"/>
    <m/>
  </r>
  <r>
    <x v="456"/>
    <x v="0"/>
    <x v="2"/>
    <s v="CSCALA_1248$A351_L33"/>
    <s v="H000004401"/>
    <s v="H000004401"/>
    <s v="Non-LFF"/>
    <s v=""/>
    <m/>
    <b v="1"/>
    <x v="1"/>
    <x v="0"/>
    <d v="2025-12-03T00:00:00"/>
    <m/>
    <m/>
    <x v="1"/>
    <n v="7"/>
    <s v="Erjo Miguel Tagle"/>
    <m/>
  </r>
  <r>
    <x v="456"/>
    <x v="0"/>
    <x v="2"/>
    <s v="CSCALA_1248$A351_L34"/>
    <s v="H000004401"/>
    <s v="H000004401"/>
    <s v="Non-LFF"/>
    <s v=""/>
    <m/>
    <b v="1"/>
    <x v="1"/>
    <x v="0"/>
    <d v="2025-12-03T00:00:00"/>
    <m/>
    <m/>
    <x v="1"/>
    <n v="7"/>
    <s v="Erjo Miguel Tagle"/>
    <m/>
  </r>
  <r>
    <x v="457"/>
    <x v="0"/>
    <x v="2"/>
    <s v="CFLTFLE_10548-151-RA REGULATORY AFFAIRS"/>
    <s v="H000000719"/>
    <s v="H000000719"/>
    <s v="Non-LFF"/>
    <s v=""/>
    <m/>
    <b v="1"/>
    <x v="1"/>
    <x v="0"/>
    <d v="2025-12-04T00:00:00"/>
    <m/>
    <m/>
    <x v="1"/>
    <n v="6"/>
    <s v="Gay Geanuza del Mundo"/>
    <m/>
  </r>
  <r>
    <x v="458"/>
    <x v="0"/>
    <x v="2"/>
    <s v="CSCALA_1022$ITS_T02"/>
    <s v="G000000895"/>
    <s v="G000000895"/>
    <s v="Non-LFF"/>
    <s v=""/>
    <m/>
    <b v="1"/>
    <x v="0"/>
    <x v="0"/>
    <d v="2025-12-04T00:00:00"/>
    <m/>
    <m/>
    <x v="1"/>
    <n v="6"/>
    <s v="Jay-R Lizardo"/>
    <m/>
  </r>
  <r>
    <x v="459"/>
    <x v="0"/>
    <x v="2"/>
    <s v="CSCALA_1820$Q319_AQ2"/>
    <s v="H000004399"/>
    <s v="H000004399"/>
    <s v="Non-LFF"/>
    <s v=""/>
    <m/>
    <b v="1"/>
    <x v="1"/>
    <x v="0"/>
    <d v="2025-12-05T00:00:00"/>
    <m/>
    <m/>
    <x v="0"/>
    <n v="5"/>
    <s v="Erjo Miguel Tagle"/>
    <m/>
  </r>
  <r>
    <x v="459"/>
    <x v="0"/>
    <x v="2"/>
    <s v="CSCALA_1025$25DS_B01"/>
    <s v="H000001085"/>
    <s v="H000001085"/>
    <s v="Non-LFF"/>
    <s v=""/>
    <m/>
    <b v="1"/>
    <x v="1"/>
    <x v="0"/>
    <d v="2025-12-05T00:00:00"/>
    <m/>
    <m/>
    <x v="0"/>
    <n v="5"/>
    <s v="Erjo Miguel Tagle"/>
    <m/>
  </r>
  <r>
    <x v="459"/>
    <x v="0"/>
    <x v="2"/>
    <s v="CSCALA_1025$25RA_B05"/>
    <s v="H000001074"/>
    <s v="H000001074"/>
    <s v="Non-LFF"/>
    <s v=""/>
    <m/>
    <b v="1"/>
    <x v="1"/>
    <x v="0"/>
    <d v="2025-12-05T00:00:00"/>
    <m/>
    <m/>
    <x v="0"/>
    <n v="5"/>
    <s v="Erjo Miguel Tagle"/>
    <m/>
  </r>
  <r>
    <x v="459"/>
    <x v="0"/>
    <x v="2"/>
    <s v="CSCALA_1042$MSRG_P19"/>
    <s v="H000000723"/>
    <s v="H000000723"/>
    <s v="Non-LFF"/>
    <s v=""/>
    <m/>
    <b v="1"/>
    <x v="1"/>
    <x v="0"/>
    <d v="2025-12-05T00:00:00"/>
    <m/>
    <m/>
    <x v="0"/>
    <n v="5"/>
    <s v="Erjo Miguel Tagle"/>
    <m/>
  </r>
  <r>
    <x v="459"/>
    <x v="0"/>
    <x v="2"/>
    <s v="CSCALA_1042$MSRG_P48"/>
    <s v="H000000723"/>
    <s v="H000000723"/>
    <s v="Non-LFF"/>
    <s v=""/>
    <m/>
    <b v="1"/>
    <x v="1"/>
    <x v="0"/>
    <d v="2025-12-05T00:00:00"/>
    <m/>
    <m/>
    <x v="0"/>
    <n v="5"/>
    <s v="Erjo Miguel Tagle"/>
    <m/>
  </r>
  <r>
    <x v="459"/>
    <x v="0"/>
    <x v="2"/>
    <s v="CSCALA_1248$A353_L33"/>
    <s v="H000000802"/>
    <s v="H000000802"/>
    <s v="Non-LFF"/>
    <s v=""/>
    <m/>
    <b v="1"/>
    <x v="1"/>
    <x v="0"/>
    <d v="2025-12-05T00:00:00"/>
    <m/>
    <m/>
    <x v="0"/>
    <n v="5"/>
    <s v="Erjo Miguel Tagle"/>
    <m/>
  </r>
  <r>
    <x v="459"/>
    <x v="0"/>
    <x v="2"/>
    <s v="CSCALA_1248$A353_L12"/>
    <s v="H000000802"/>
    <s v="H000000802"/>
    <s v="Non-LFF"/>
    <s v=""/>
    <m/>
    <b v="1"/>
    <x v="1"/>
    <x v="0"/>
    <d v="2025-12-05T00:00:00"/>
    <m/>
    <m/>
    <x v="0"/>
    <n v="5"/>
    <s v="Erjo Miguel Tagle"/>
    <m/>
  </r>
  <r>
    <x v="459"/>
    <x v="0"/>
    <x v="2"/>
    <s v="CSCALA_1248$A353_L05"/>
    <s v="H000000802"/>
    <s v="H000000802"/>
    <s v="Non-LFF"/>
    <s v=""/>
    <m/>
    <b v="1"/>
    <x v="1"/>
    <x v="0"/>
    <d v="2025-12-05T00:00:00"/>
    <m/>
    <m/>
    <x v="0"/>
    <n v="5"/>
    <s v="Erjo Miguel Tagle"/>
    <m/>
  </r>
  <r>
    <x v="459"/>
    <x v="0"/>
    <x v="2"/>
    <s v="CSCALA_1248$A353_L34"/>
    <s v="H000000802"/>
    <s v="H000000802"/>
    <s v="Non-LFF"/>
    <s v=""/>
    <m/>
    <b v="1"/>
    <x v="1"/>
    <x v="0"/>
    <d v="2025-12-05T00:00:00"/>
    <m/>
    <m/>
    <x v="0"/>
    <n v="5"/>
    <s v="Erjo Miguel Tagle"/>
    <m/>
  </r>
  <r>
    <x v="459"/>
    <x v="0"/>
    <x v="2"/>
    <s v="CSCALA_1248$A353 LPSO GPS"/>
    <s v="H000000802"/>
    <s v="H000000802"/>
    <s v="Non-LFF"/>
    <s v=""/>
    <m/>
    <b v="1"/>
    <x v="1"/>
    <x v="0"/>
    <d v="2025-12-05T00:00:00"/>
    <m/>
    <m/>
    <x v="0"/>
    <n v="5"/>
    <s v="Erjo Miguel Tagle"/>
    <m/>
  </r>
  <r>
    <x v="460"/>
    <x v="0"/>
    <x v="2"/>
    <s v="CSCALA_1248$A350"/>
    <s v="H000000726"/>
    <s v="H000000726"/>
    <s v="Non-LFF"/>
    <s v=""/>
    <m/>
    <b v="1"/>
    <x v="1"/>
    <x v="0"/>
    <d v="2025-12-05T00:00:00"/>
    <m/>
    <m/>
    <x v="0"/>
    <n v="5"/>
    <s v="Erjo Miguel Tagle"/>
    <m/>
  </r>
  <r>
    <x v="460"/>
    <x v="0"/>
    <x v="2"/>
    <s v="CSCALA_1248$A350_L05"/>
    <s v="H000000726"/>
    <s v="H000000726"/>
    <s v="Non-LFF"/>
    <s v=""/>
    <m/>
    <b v="1"/>
    <x v="1"/>
    <x v="0"/>
    <d v="2025-12-05T00:00:00"/>
    <m/>
    <m/>
    <x v="0"/>
    <n v="5"/>
    <s v="Erjo Miguel Tagle"/>
    <m/>
  </r>
  <r>
    <x v="460"/>
    <x v="0"/>
    <x v="2"/>
    <s v="CSCALA_1248$A350_L09"/>
    <s v="H000000726"/>
    <s v="H000000726"/>
    <s v="Non-LFF"/>
    <s v=""/>
    <m/>
    <b v="1"/>
    <x v="1"/>
    <x v="0"/>
    <d v="2025-12-05T00:00:00"/>
    <m/>
    <m/>
    <x v="0"/>
    <n v="5"/>
    <s v="Erjo Miguel Tagle"/>
    <m/>
  </r>
  <r>
    <x v="460"/>
    <x v="0"/>
    <x v="2"/>
    <s v="CSCALA_1248$A350_L11"/>
    <s v="H000000726"/>
    <s v="H000000726"/>
    <s v="Non-LFF"/>
    <s v=""/>
    <m/>
    <b v="1"/>
    <x v="1"/>
    <x v="0"/>
    <d v="2025-12-05T00:00:00"/>
    <m/>
    <m/>
    <x v="0"/>
    <n v="5"/>
    <s v="Erjo Miguel Tagle"/>
    <m/>
  </r>
  <r>
    <x v="460"/>
    <x v="0"/>
    <x v="2"/>
    <s v="CSCALA_1248$A350_L33"/>
    <s v="H000000726"/>
    <s v="H000000726"/>
    <s v="Non-LFF"/>
    <s v=""/>
    <m/>
    <b v="1"/>
    <x v="1"/>
    <x v="0"/>
    <d v="2025-12-05T00:00:00"/>
    <m/>
    <m/>
    <x v="0"/>
    <n v="5"/>
    <s v="Erjo Miguel Tagle"/>
    <m/>
  </r>
  <r>
    <x v="460"/>
    <x v="0"/>
    <x v="2"/>
    <s v="CSCALA_1248$A351"/>
    <s v="H000000802"/>
    <s v="H000000802"/>
    <s v="Non-LFF"/>
    <s v=""/>
    <m/>
    <b v="1"/>
    <x v="1"/>
    <x v="0"/>
    <d v="2025-12-05T00:00:00"/>
    <m/>
    <m/>
    <x v="0"/>
    <n v="5"/>
    <s v="Erjo Miguel Tagle"/>
    <m/>
  </r>
  <r>
    <x v="460"/>
    <x v="0"/>
    <x v="2"/>
    <s v="CSCALA_1248$A351_L05"/>
    <s v="H000000802"/>
    <s v="H000000802"/>
    <s v="Non-LFF"/>
    <s v=""/>
    <m/>
    <b v="1"/>
    <x v="1"/>
    <x v="0"/>
    <d v="2025-12-05T00:00:00"/>
    <m/>
    <m/>
    <x v="0"/>
    <n v="5"/>
    <s v="Erjo Miguel Tagle"/>
    <m/>
  </r>
  <r>
    <x v="460"/>
    <x v="0"/>
    <x v="2"/>
    <s v="CSCALA_1248$A351_L12"/>
    <s v="H000000802"/>
    <s v="H000000802"/>
    <s v="Non-LFF"/>
    <s v=""/>
    <m/>
    <b v="1"/>
    <x v="1"/>
    <x v="0"/>
    <d v="2025-12-05T00:00:00"/>
    <m/>
    <m/>
    <x v="0"/>
    <n v="5"/>
    <s v="Erjo Miguel Tagle"/>
    <m/>
  </r>
  <r>
    <x v="460"/>
    <x v="0"/>
    <x v="2"/>
    <s v="CSCALA_1248$A351_L33"/>
    <s v="H000000802"/>
    <s v="H000000802"/>
    <s v="Non-LFF"/>
    <s v=""/>
    <m/>
    <b v="1"/>
    <x v="1"/>
    <x v="0"/>
    <d v="2025-12-05T00:00:00"/>
    <m/>
    <m/>
    <x v="0"/>
    <n v="5"/>
    <s v="Erjo Miguel Tagle"/>
    <m/>
  </r>
  <r>
    <x v="460"/>
    <x v="0"/>
    <x v="2"/>
    <s v="CSCALA_1248$A351_L34"/>
    <s v="H000000802"/>
    <s v="H000000802"/>
    <s v="Non-LFF"/>
    <s v=""/>
    <m/>
    <b v="1"/>
    <x v="1"/>
    <x v="0"/>
    <d v="2025-12-05T00:00:00"/>
    <m/>
    <m/>
    <x v="0"/>
    <n v="5"/>
    <s v="Erjo Miguel Tagle"/>
    <m/>
  </r>
  <r>
    <x v="461"/>
    <x v="0"/>
    <x v="2"/>
    <s v="CSCALA_1042$MSRG_P19"/>
    <s v="H000000725"/>
    <s v="H000000725"/>
    <s v="Non-LFF"/>
    <s v=""/>
    <m/>
    <b v="1"/>
    <x v="1"/>
    <x v="0"/>
    <d v="2025-12-08T00:00:00"/>
    <m/>
    <m/>
    <x v="0"/>
    <n v="4"/>
    <s v="Erjo Miguel Tagle"/>
    <m/>
  </r>
  <r>
    <x v="461"/>
    <x v="0"/>
    <x v="2"/>
    <s v="CSCALA_1042$MSRG_P48"/>
    <s v="H000000725"/>
    <s v="H000000725"/>
    <s v="Non-LFF"/>
    <s v=""/>
    <m/>
    <b v="1"/>
    <x v="1"/>
    <x v="0"/>
    <d v="2025-12-08T00:00:00"/>
    <m/>
    <m/>
    <x v="0"/>
    <n v="4"/>
    <s v="Erjo Miguel Tagle"/>
    <m/>
  </r>
  <r>
    <x v="462"/>
    <x v="0"/>
    <x v="2"/>
    <s v="CPHOENX_01010000648924 "/>
    <s v="L000013461"/>
    <s v="L000013461"/>
    <s v="Non-LFF"/>
    <s v=""/>
    <m/>
    <b v="1"/>
    <x v="2"/>
    <x v="0"/>
    <d v="2025-12-08T00:00:00"/>
    <m/>
    <m/>
    <x v="0"/>
    <n v="4"/>
    <s v="Ruby Grace Garcia"/>
    <m/>
  </r>
  <r>
    <x v="462"/>
    <x v="0"/>
    <x v="2"/>
    <s v="CNOW_7210$$$0000008099"/>
    <s v="L000009635"/>
    <s v="L000009635"/>
    <s v="Non-LFF"/>
    <s v=""/>
    <m/>
    <b v="1"/>
    <x v="2"/>
    <x v="0"/>
    <d v="2025-12-08T00:00:00"/>
    <m/>
    <m/>
    <x v="0"/>
    <n v="4"/>
    <s v="Ruby Grace Garcia"/>
    <m/>
  </r>
  <r>
    <x v="462"/>
    <x v="0"/>
    <x v="2"/>
    <s v="CNOW_7210$$$0000010313"/>
    <s v="L000013359"/>
    <s v="L000013359"/>
    <s v="Non-LFF"/>
    <s v=""/>
    <m/>
    <b v="1"/>
    <x v="2"/>
    <x v="0"/>
    <d v="2025-12-08T00:00:00"/>
    <m/>
    <m/>
    <x v="0"/>
    <n v="4"/>
    <s v="Ruby Grace Garcia"/>
    <m/>
  </r>
  <r>
    <x v="462"/>
    <x v="0"/>
    <x v="2"/>
    <s v="CNOW_7210$$$0000015417"/>
    <s v="L000010020"/>
    <s v="L000010020"/>
    <s v="Non-LFF"/>
    <s v=""/>
    <m/>
    <b v="1"/>
    <x v="2"/>
    <x v="0"/>
    <d v="2025-12-08T00:00:00"/>
    <m/>
    <m/>
    <x v="0"/>
    <n v="4"/>
    <s v="Ruby Grace Garcia"/>
    <m/>
  </r>
  <r>
    <x v="462"/>
    <x v="0"/>
    <x v="2"/>
    <s v="CNOW_7210$$$0000057267"/>
    <s v="L000010037"/>
    <s v="L000010037"/>
    <s v="Non-LFF"/>
    <s v=""/>
    <m/>
    <b v="1"/>
    <x v="2"/>
    <x v="0"/>
    <d v="2025-12-08T00:00:00"/>
    <m/>
    <m/>
    <x v="0"/>
    <n v="4"/>
    <s v="Ruby Grace Garcia"/>
    <m/>
  </r>
  <r>
    <x v="462"/>
    <x v="0"/>
    <x v="2"/>
    <s v="CNOW_7210$$$0000020734"/>
    <s v="L000005341"/>
    <s v="L000005341"/>
    <s v="Non-LFF"/>
    <s v=""/>
    <m/>
    <b v="1"/>
    <x v="2"/>
    <x v="0"/>
    <d v="2025-12-08T00:00:00"/>
    <m/>
    <m/>
    <x v="0"/>
    <n v="4"/>
    <s v="Ruby Grace Garcia"/>
    <m/>
  </r>
  <r>
    <x v="462"/>
    <x v="0"/>
    <x v="2"/>
    <s v="CNOW_7210$$$0000020735"/>
    <s v="L000007080"/>
    <s v="L000007080"/>
    <s v="Non-LFF"/>
    <s v=""/>
    <m/>
    <b v="1"/>
    <x v="2"/>
    <x v="0"/>
    <d v="2025-12-08T00:00:00"/>
    <m/>
    <m/>
    <x v="0"/>
    <n v="4"/>
    <s v="Ruby Grace Garcia"/>
    <m/>
  </r>
  <r>
    <x v="462"/>
    <x v="0"/>
    <x v="2"/>
    <s v="CNOW_7210$$$0000040066"/>
    <s v="L000013317"/>
    <s v="L000013317"/>
    <s v="Non-LFF"/>
    <s v=""/>
    <m/>
    <b v="1"/>
    <x v="2"/>
    <x v="0"/>
    <d v="2025-12-08T00:00:00"/>
    <m/>
    <m/>
    <x v="0"/>
    <n v="4"/>
    <s v="Ruby Grace Garcia"/>
    <m/>
  </r>
  <r>
    <x v="462"/>
    <x v="0"/>
    <x v="2"/>
    <s v="CNOW_7210$$$0000020741"/>
    <s v="L000013227"/>
    <s v="L000013227"/>
    <s v="Non-LFF"/>
    <s v=""/>
    <m/>
    <b v="1"/>
    <x v="2"/>
    <x v="0"/>
    <d v="2025-12-08T00:00:00"/>
    <m/>
    <m/>
    <x v="0"/>
    <n v="4"/>
    <s v="Ruby Grace Garcia"/>
    <m/>
  </r>
  <r>
    <x v="462"/>
    <x v="0"/>
    <x v="2"/>
    <s v="CNOW_7210$$$0000020736"/>
    <s v="L000011186"/>
    <s v="L000011186"/>
    <s v="Non-LFF"/>
    <s v=""/>
    <m/>
    <b v="1"/>
    <x v="2"/>
    <x v="0"/>
    <d v="2025-12-08T00:00:00"/>
    <m/>
    <m/>
    <x v="0"/>
    <n v="4"/>
    <s v="Ruby Grace Garcia"/>
    <m/>
  </r>
  <r>
    <x v="462"/>
    <x v="0"/>
    <x v="2"/>
    <s v="CNOW_7210$$$0000020737"/>
    <s v="L000011186"/>
    <s v="L000011186"/>
    <s v="Non-LFF"/>
    <s v=""/>
    <m/>
    <b v="1"/>
    <x v="2"/>
    <x v="0"/>
    <d v="2025-12-08T00:00:00"/>
    <m/>
    <m/>
    <x v="0"/>
    <n v="4"/>
    <s v="Ruby Grace Garcia"/>
    <m/>
  </r>
  <r>
    <x v="462"/>
    <x v="0"/>
    <x v="2"/>
    <s v="CNOW_7210$$$0000020738"/>
    <s v="L000011185"/>
    <s v="L000011185"/>
    <s v="Non-LFF"/>
    <s v=""/>
    <m/>
    <b v="1"/>
    <x v="2"/>
    <x v="0"/>
    <d v="2025-12-08T00:00:00"/>
    <m/>
    <m/>
    <x v="0"/>
    <n v="4"/>
    <s v="Ruby Grace Garcia"/>
    <m/>
  </r>
  <r>
    <x v="462"/>
    <x v="0"/>
    <x v="2"/>
    <s v="CNOW_7210$$$0000020739"/>
    <s v="L000011185"/>
    <s v="L000011185"/>
    <s v="Non-LFF"/>
    <s v=""/>
    <m/>
    <b v="1"/>
    <x v="2"/>
    <x v="0"/>
    <d v="2025-12-08T00:00:00"/>
    <m/>
    <m/>
    <x v="0"/>
    <n v="4"/>
    <s v="Ruby Grace Garcia"/>
    <m/>
  </r>
  <r>
    <x v="462"/>
    <x v="0"/>
    <x v="2"/>
    <s v="CNOW_7210$$$0000025508"/>
    <s v="L000013915"/>
    <s v="L000013915"/>
    <s v="Non-LFF"/>
    <s v=""/>
    <m/>
    <b v="1"/>
    <x v="2"/>
    <x v="0"/>
    <d v="2025-12-08T00:00:00"/>
    <m/>
    <m/>
    <x v="0"/>
    <n v="4"/>
    <s v="Ruby Grace Garcia"/>
    <m/>
  </r>
  <r>
    <x v="462"/>
    <x v="0"/>
    <x v="2"/>
    <s v="CNOW_7210$$$0000057566"/>
    <s v="L000009119"/>
    <s v="L000009119"/>
    <s v="Non-LFF"/>
    <s v=""/>
    <m/>
    <b v="1"/>
    <x v="2"/>
    <x v="0"/>
    <d v="2025-12-08T00:00:00"/>
    <m/>
    <m/>
    <x v="0"/>
    <n v="4"/>
    <s v="Ruby Grace Garcia"/>
    <m/>
  </r>
  <r>
    <x v="462"/>
    <x v="0"/>
    <x v="2"/>
    <s v="CNOW_7210$$$0000269903"/>
    <s v="L000009119"/>
    <s v="L000009119"/>
    <s v="Non-LFF"/>
    <s v=""/>
    <m/>
    <b v="1"/>
    <x v="2"/>
    <x v="0"/>
    <d v="2025-12-08T00:00:00"/>
    <m/>
    <m/>
    <x v="0"/>
    <n v="4"/>
    <s v="Ruby Grace Garcia"/>
    <m/>
  </r>
  <r>
    <x v="462"/>
    <x v="0"/>
    <x v="2"/>
    <s v="CNOW_7210$$$0000009003"/>
    <s v="L000009119"/>
    <s v="L000009119"/>
    <s v="Non-LFF"/>
    <s v=""/>
    <m/>
    <b v="1"/>
    <x v="2"/>
    <x v="0"/>
    <d v="2025-12-08T00:00:00"/>
    <m/>
    <m/>
    <x v="0"/>
    <n v="4"/>
    <s v="Ruby Grace Garcia"/>
    <m/>
  </r>
  <r>
    <x v="462"/>
    <x v="0"/>
    <x v="2"/>
    <s v="CNOW_7210$$$0000025537"/>
    <s v="L000009119"/>
    <s v="L000009119"/>
    <s v="Non-LFF"/>
    <s v=""/>
    <m/>
    <b v="1"/>
    <x v="2"/>
    <x v="0"/>
    <d v="2025-12-08T00:00:00"/>
    <m/>
    <m/>
    <x v="0"/>
    <n v="4"/>
    <s v="Ruby Grace Garcia"/>
    <m/>
  </r>
  <r>
    <x v="462"/>
    <x v="0"/>
    <x v="2"/>
    <s v="CNOW_7210$$$0000020428"/>
    <s v="L000009119"/>
    <s v="L000009119"/>
    <s v="Non-LFF"/>
    <s v=""/>
    <m/>
    <b v="1"/>
    <x v="2"/>
    <x v="0"/>
    <d v="2025-12-08T00:00:00"/>
    <m/>
    <m/>
    <x v="0"/>
    <n v="4"/>
    <s v="Ruby Grace Garcia"/>
    <m/>
  </r>
  <r>
    <x v="462"/>
    <x v="0"/>
    <x v="2"/>
    <s v="CNOW_7210$$$0000020429"/>
    <s v="L000009119"/>
    <s v="L000009119"/>
    <s v="Non-LFF"/>
    <s v=""/>
    <m/>
    <b v="1"/>
    <x v="2"/>
    <x v="0"/>
    <d v="2025-12-08T00:00:00"/>
    <m/>
    <m/>
    <x v="0"/>
    <n v="4"/>
    <s v="Ruby Grace Garcia"/>
    <m/>
  </r>
  <r>
    <x v="462"/>
    <x v="0"/>
    <x v="2"/>
    <s v="CNOW_7210$$$0000040593"/>
    <s v="L000009119"/>
    <s v="L000009119"/>
    <s v="Non-LFF"/>
    <s v=""/>
    <m/>
    <b v="1"/>
    <x v="2"/>
    <x v="0"/>
    <d v="2025-12-08T00:00:00"/>
    <m/>
    <m/>
    <x v="0"/>
    <n v="4"/>
    <s v="Ruby Grace Garcia"/>
    <m/>
  </r>
  <r>
    <x v="462"/>
    <x v="0"/>
    <x v="2"/>
    <s v="CNOW_7210$$$0000020750"/>
    <s v="L000009119"/>
    <s v="L000009119"/>
    <s v="Non-LFF"/>
    <s v=""/>
    <m/>
    <b v="1"/>
    <x v="2"/>
    <x v="0"/>
    <d v="2025-12-08T00:00:00"/>
    <m/>
    <m/>
    <x v="0"/>
    <n v="4"/>
    <s v="Ruby Grace Garcia"/>
    <m/>
  </r>
  <r>
    <x v="462"/>
    <x v="0"/>
    <x v="2"/>
    <s v="CNOW_7210$$$0000497199"/>
    <s v="L000005269"/>
    <s v="L000005269"/>
    <s v="Non-LFF"/>
    <s v=""/>
    <m/>
    <b v="1"/>
    <x v="2"/>
    <x v="0"/>
    <d v="2025-12-08T00:00:00"/>
    <m/>
    <m/>
    <x v="0"/>
    <n v="4"/>
    <s v="Ruby Grace Garcia"/>
    <m/>
  </r>
  <r>
    <x v="462"/>
    <x v="0"/>
    <x v="2"/>
    <s v="CNOW_7210$$$0000008063"/>
    <s v="L000011184"/>
    <s v="L000011184"/>
    <s v="Non-LFF"/>
    <s v=""/>
    <m/>
    <b v="1"/>
    <x v="2"/>
    <x v="0"/>
    <d v="2025-12-08T00:00:00"/>
    <m/>
    <m/>
    <x v="0"/>
    <n v="4"/>
    <s v="Ruby Grace Garcia"/>
    <m/>
  </r>
  <r>
    <x v="462"/>
    <x v="0"/>
    <x v="2"/>
    <s v="CNOW_7210$$$0000008064"/>
    <s v="L000011188"/>
    <s v="L000011188"/>
    <s v="Non-LFF"/>
    <s v=""/>
    <m/>
    <b v="1"/>
    <x v="2"/>
    <x v="0"/>
    <d v="2025-12-08T00:00:00"/>
    <m/>
    <m/>
    <x v="0"/>
    <n v="4"/>
    <s v="Ruby Grace Garcia"/>
    <m/>
  </r>
  <r>
    <x v="462"/>
    <x v="0"/>
    <x v="2"/>
    <s v="D30012000000000 "/>
    <s v="L000011451"/>
    <s v="L000011451"/>
    <s v="Non-LFF"/>
    <s v=""/>
    <m/>
    <b v="1"/>
    <x v="2"/>
    <x v="0"/>
    <d v="2025-12-08T00:00:00"/>
    <m/>
    <m/>
    <x v="0"/>
    <n v="4"/>
    <s v="Ruby Grace Garcia"/>
    <m/>
  </r>
  <r>
    <x v="463"/>
    <x v="1"/>
    <x v="5"/>
    <s v="RDC0000095"/>
    <s v="H000004396"/>
    <s v="DFLTPGCOH_MISSING_NODES"/>
    <s v="Non-LFF"/>
    <s v=""/>
    <m/>
    <b v="0"/>
    <x v="1"/>
    <x v="0"/>
    <d v="2025-12-08T00:00:00"/>
    <m/>
    <m/>
    <x v="0"/>
    <n v="4"/>
    <s v="Erjo Miguel Tagle"/>
    <m/>
  </r>
  <r>
    <x v="464"/>
    <x v="0"/>
    <x v="2"/>
    <s v="CEMERAL_70006101LSCORE LS China Core and Capabilities"/>
    <s v="L000013903"/>
    <s v="L000013903"/>
    <s v="Non-LFF"/>
    <s v=""/>
    <m/>
    <b v="1"/>
    <x v="2"/>
    <x v="0"/>
    <d v="2025-12-08T00:00:00"/>
    <m/>
    <m/>
    <x v="0"/>
    <n v="4"/>
    <s v="Ruby Grace Garcia"/>
    <m/>
  </r>
  <r>
    <x v="464"/>
    <x v="0"/>
    <x v="2"/>
    <s v="CLFF_1000$$$DE10Z0319A LS Project Eagle"/>
    <s v="L000013905"/>
    <s v="L000013905"/>
    <s v="LFF (MDG-F)"/>
    <s v="DE10Z0319A"/>
    <m/>
    <b v="1"/>
    <x v="2"/>
    <x v="0"/>
    <d v="2025-12-08T00:00:00"/>
    <m/>
    <m/>
    <x v="0"/>
    <n v="4"/>
    <s v="Ruby Grace Garcia"/>
    <m/>
  </r>
  <r>
    <x v="464"/>
    <x v="0"/>
    <x v="2"/>
    <s v="CORAERP_MMOR1975.9114 LS Project Eagle"/>
    <s v="L000013905"/>
    <s v="L000013905"/>
    <s v="Non-LFF"/>
    <s v=""/>
    <m/>
    <b v="1"/>
    <x v="2"/>
    <x v="0"/>
    <d v="2025-12-08T00:00:00"/>
    <m/>
    <m/>
    <x v="0"/>
    <n v="4"/>
    <s v="Ruby Grace Garcia"/>
    <m/>
  </r>
  <r>
    <x v="464"/>
    <x v="0"/>
    <x v="2"/>
    <s v="CPHOENX_01010000697001 Project Eagle"/>
    <s v="L000013905"/>
    <s v="L000013905"/>
    <s v="Non-LFF"/>
    <s v=""/>
    <m/>
    <b v="1"/>
    <x v="2"/>
    <x v="0"/>
    <d v="2025-12-08T00:00:00"/>
    <m/>
    <m/>
    <x v="0"/>
    <n v="4"/>
    <s v="Ruby Grace Garcia"/>
    <m/>
  </r>
  <r>
    <x v="464"/>
    <x v="0"/>
    <x v="2"/>
    <s v="CNOW_7210$$$0000021307 Applied Solutions Mgmt"/>
    <s v="L000005321"/>
    <s v="L000005321"/>
    <s v="Non-LFF"/>
    <s v=""/>
    <m/>
    <b v="1"/>
    <x v="2"/>
    <x v="0"/>
    <d v="2025-12-08T00:00:00"/>
    <m/>
    <m/>
    <x v="0"/>
    <n v="4"/>
    <s v="Ruby Grace Garcia"/>
    <m/>
  </r>
  <r>
    <x v="465"/>
    <x v="0"/>
    <x v="2"/>
    <s v="D00134300000000 EUV Rinse G5 – Samsung SF1.4"/>
    <s v="P000001013"/>
    <s v="P000001013"/>
    <s v="Non-LFF"/>
    <s v=""/>
    <m/>
    <b v="1"/>
    <x v="3"/>
    <x v="0"/>
    <d v="2025-12-10T00:00:00"/>
    <m/>
    <m/>
    <x v="0"/>
    <n v="2"/>
    <s v="John Rowie Del Rosario"/>
    <m/>
  </r>
  <r>
    <x v="465"/>
    <x v="0"/>
    <x v="2"/>
    <s v="D00134400000000 EUV Rinse G5 – Intel A14"/>
    <s v="P000001013"/>
    <s v="P000001013"/>
    <s v="Non-LFF"/>
    <s v=""/>
    <m/>
    <b v="1"/>
    <x v="3"/>
    <x v="0"/>
    <d v="2025-12-10T00:00:00"/>
    <m/>
    <m/>
    <x v="0"/>
    <n v="2"/>
    <s v="John Rowie Del Rosario"/>
    <m/>
  </r>
  <r>
    <x v="465"/>
    <x v="0"/>
    <x v="2"/>
    <s v="D00134000000000 PFAS-free KrF Resist"/>
    <s v="P000001013"/>
    <s v="P000001013"/>
    <s v="Non-LFF"/>
    <m/>
    <m/>
    <b v="1"/>
    <x v="3"/>
    <x v="0"/>
    <d v="2025-12-10T00:00:00"/>
    <m/>
    <m/>
    <x v="0"/>
    <n v="2"/>
    <s v="John Rowie Del Rosario"/>
    <m/>
  </r>
  <r>
    <x v="465"/>
    <x v="0"/>
    <x v="2"/>
    <s v="D00134100000000 EUV Rinse G5 – Micron 180s"/>
    <s v="P000001013"/>
    <s v="P000001013"/>
    <s v="Non-LFF"/>
    <s v=""/>
    <m/>
    <b v="1"/>
    <x v="3"/>
    <x v="0"/>
    <d v="2025-12-10T00:00:00"/>
    <m/>
    <m/>
    <x v="0"/>
    <n v="2"/>
    <s v="John Rowie Del Rosario"/>
    <m/>
  </r>
  <r>
    <x v="465"/>
    <x v="0"/>
    <x v="2"/>
    <s v="D00133900000000 PFAS-free i-line Resists"/>
    <s v="P000001013"/>
    <s v="P000001013"/>
    <s v="Non-LFF"/>
    <s v=""/>
    <m/>
    <b v="1"/>
    <x v="3"/>
    <x v="0"/>
    <d v="2025-12-10T00:00:00"/>
    <m/>
    <m/>
    <x v="0"/>
    <n v="2"/>
    <s v="John Rowie Del Rosario"/>
    <m/>
  </r>
  <r>
    <x v="465"/>
    <x v="0"/>
    <x v="2"/>
    <s v="D00134700000000 FZero Sensitizer tBuDHN"/>
    <s v="P000001013"/>
    <s v="P000001013"/>
    <s v="Non-LFF"/>
    <s v=""/>
    <m/>
    <b v="1"/>
    <x v="3"/>
    <x v="0"/>
    <d v="2025-12-10T00:00:00"/>
    <m/>
    <m/>
    <x v="0"/>
    <n v="2"/>
    <s v="John Rowie Del Rosario"/>
    <m/>
  </r>
  <r>
    <x v="465"/>
    <x v="0"/>
    <x v="2"/>
    <s v="D00134200000000 EUV Rinse G5 – SK Hynix D1d"/>
    <s v="P000001013"/>
    <s v="P000001013"/>
    <s v="Non-LFF"/>
    <s v=""/>
    <m/>
    <b v="1"/>
    <x v="3"/>
    <x v="0"/>
    <d v="2025-12-10T00:00:00"/>
    <m/>
    <m/>
    <x v="0"/>
    <n v="2"/>
    <s v="John Rowie Del Rosario"/>
    <m/>
  </r>
  <r>
    <x v="465"/>
    <x v="0"/>
    <x v="2"/>
    <s v="DP000009000000 HPD8701/8720 for Intel Adv. Packaging"/>
    <s v="P000001013"/>
    <s v="P000001013"/>
    <s v="Non-LFF"/>
    <s v=""/>
    <m/>
    <b v="1"/>
    <x v="3"/>
    <x v="0"/>
    <d v="2025-12-10T00:00:00"/>
    <m/>
    <m/>
    <x v="0"/>
    <n v="2"/>
    <s v="John Rowie Del Rosario"/>
    <m/>
  </r>
  <r>
    <x v="466"/>
    <x v="1"/>
    <x v="5"/>
    <s v="CFLTFLE_2152IMIPEVOL01"/>
    <s v="P000000411"/>
    <m/>
    <s v="Non-LFF"/>
    <s v=""/>
    <m/>
    <b v="0"/>
    <x v="3"/>
    <x v="0"/>
    <d v="2025-12-12T00:00:00"/>
    <m/>
    <m/>
    <x v="0"/>
    <n v="0"/>
    <s v="Roselle Delos Angeles"/>
    <m/>
  </r>
  <r>
    <x v="466"/>
    <x v="1"/>
    <x v="8"/>
    <s v="CFLTFLE_2152IMIPPCRD01"/>
    <s v="P000000540"/>
    <m/>
    <s v="Non-LFF"/>
    <s v=""/>
    <m/>
    <b v="0"/>
    <x v="3"/>
    <x v="0"/>
    <d v="2025-12-12T00:00:00"/>
    <m/>
    <m/>
    <x v="0"/>
    <n v="0"/>
    <s v="Roselle Delos Angeles"/>
    <m/>
  </r>
  <r>
    <x v="466"/>
    <x v="1"/>
    <x v="6"/>
    <s v="CLFF_1000$$$DE04OF1000 R&amp;D Europe GoGlobal Trainee"/>
    <s v="P000001336"/>
    <m/>
    <s v="LFF (MDG-F)"/>
    <s v="DE04OF1000"/>
    <s v="to be done for 2026 as well"/>
    <b v="0"/>
    <x v="3"/>
    <x v="0"/>
    <d v="2025-12-12T00:00:00"/>
    <m/>
    <m/>
    <x v="0"/>
    <n v="0"/>
    <s v="Roselle Delos Angeles"/>
    <m/>
  </r>
  <r>
    <x v="466"/>
    <x v="1"/>
    <x v="6"/>
    <s v="CLFF_1000$$$DE01OF0304 PM-OES Supply Chain 4.0"/>
    <s v="P000000575"/>
    <m/>
    <s v="LFF (MDG-F)"/>
    <s v="DE01OF0304"/>
    <s v="to be done for 2026 as well"/>
    <b v="0"/>
    <x v="3"/>
    <x v="0"/>
    <d v="2025-12-12T00:00:00"/>
    <m/>
    <m/>
    <x v="0"/>
    <n v="0"/>
    <s v="Roselle Delos Angeles"/>
    <m/>
  </r>
  <r>
    <x v="466"/>
    <x v="1"/>
    <x v="6"/>
    <s v="CLFF_1000$$$TW02TPTA14 PM-OES Supply Chain 4.0"/>
    <s v="P000000575"/>
    <m/>
    <s v="LFF (MDG-F)"/>
    <s v="TW02TPTA14"/>
    <s v="to be done for 2026 as well"/>
    <b v="0"/>
    <x v="3"/>
    <x v="0"/>
    <d v="2025-12-12T00:00:00"/>
    <m/>
    <m/>
    <x v="0"/>
    <n v="0"/>
    <s v="Roselle Delos Angeles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31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2">
        <item sd="0" m="1" x="8"/>
        <item sd="0" m="1" x="6"/>
        <item sd="0" m="1" x="7"/>
        <item x="0"/>
        <item m="1" x="9"/>
        <item sd="0" m="1" x="10"/>
        <item x="2"/>
        <item x="1"/>
        <item x="3"/>
        <item x="4"/>
        <item x="5"/>
        <item t="default" sd="0"/>
      </items>
    </pivotField>
    <pivotField axis="axisPage" multipleItemSelectionAllowed="1" showAll="0">
      <items count="6">
        <item x="0"/>
        <item h="1" x="1"/>
        <item m="1" x="4"/>
        <item h="1" x="2"/>
        <item h="1"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8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>
      <x v="7"/>
    </i>
    <i r="1">
      <x/>
    </i>
    <i r="1">
      <x v="3"/>
    </i>
    <i r="1">
      <x v="10"/>
    </i>
    <i r="1">
      <x v="13"/>
    </i>
    <i>
      <x v="8"/>
    </i>
    <i r="1">
      <x/>
    </i>
    <i r="1">
      <x v="3"/>
    </i>
    <i r="1">
      <x v="10"/>
    </i>
    <i r="1">
      <x v="11"/>
    </i>
    <i r="1">
      <x v="13"/>
    </i>
    <i>
      <x v="9"/>
    </i>
    <i r="1">
      <x/>
    </i>
    <i>
      <x v="10"/>
    </i>
    <i r="1">
      <x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15" firstHeaderRow="1" firstDataRow="1" firstDataCol="1" rowPageCount="1" colPageCount="1"/>
  <pivotFields count="19">
    <pivotField axis="axisRow" showAll="0" sortType="ascending">
      <items count="1649">
        <item m="1" x="1033"/>
        <item x="0"/>
        <item m="1" x="1103"/>
        <item m="1" x="1524"/>
        <item m="1" x="686"/>
        <item m="1" x="1541"/>
        <item m="1" x="1063"/>
        <item m="1" x="1153"/>
        <item m="1" x="1574"/>
        <item m="1" x="1368"/>
        <item m="1" x="1056"/>
        <item m="1" x="1640"/>
        <item m="1" x="1386"/>
        <item m="1" x="1630"/>
        <item m="1" x="1004"/>
        <item m="1" x="905"/>
        <item m="1" x="609"/>
        <item m="1" x="870"/>
        <item m="1" x="1594"/>
        <item m="1" x="662"/>
        <item m="1" x="970"/>
        <item m="1" x="1338"/>
        <item m="1" x="1053"/>
        <item m="1" x="1146"/>
        <item m="1" x="1442"/>
        <item m="1" x="1627"/>
        <item m="1" x="1088"/>
        <item m="1" x="1110"/>
        <item m="1" x="875"/>
        <item m="1" x="1276"/>
        <item m="1" x="1035"/>
        <item m="1" x="1581"/>
        <item m="1" x="1238"/>
        <item m="1" x="671"/>
        <item m="1" x="779"/>
        <item m="1" x="1566"/>
        <item m="1" x="1330"/>
        <item m="1" x="584"/>
        <item m="1" x="1416"/>
        <item m="1" x="1082"/>
        <item m="1" x="1377"/>
        <item m="1" x="963"/>
        <item m="1" x="1315"/>
        <item m="1" x="574"/>
        <item m="1" x="604"/>
        <item m="1" x="1643"/>
        <item m="1" x="1322"/>
        <item m="1" x="1390"/>
        <item m="1" x="1497"/>
        <item m="1" x="1266"/>
        <item m="1" x="1364"/>
        <item m="1" x="1203"/>
        <item m="1" x="658"/>
        <item m="1" x="849"/>
        <item m="1" x="1625"/>
        <item m="1" x="1193"/>
        <item m="1" x="1333"/>
        <item m="1" x="861"/>
        <item m="1" x="822"/>
        <item m="1" x="1114"/>
        <item m="1" x="1006"/>
        <item m="1" x="1039"/>
        <item m="1" x="598"/>
        <item m="1" x="737"/>
        <item m="1" x="1399"/>
        <item m="1" x="1616"/>
        <item m="1" x="802"/>
        <item m="1" x="1207"/>
        <item m="1" x="1217"/>
        <item m="1" x="1394"/>
        <item m="1" x="1504"/>
        <item m="1" x="1382"/>
        <item m="1" x="677"/>
        <item m="1" x="1525"/>
        <item m="1" x="1255"/>
        <item m="1" x="1242"/>
        <item m="1" x="777"/>
        <item m="1" x="1130"/>
        <item m="1" x="1477"/>
        <item m="1" x="595"/>
        <item m="1" x="1174"/>
        <item m="1" x="1527"/>
        <item m="1" x="1365"/>
        <item m="1" x="1100"/>
        <item m="1" x="1142"/>
        <item m="1" x="1023"/>
        <item m="1" x="1258"/>
        <item m="1" x="1070"/>
        <item m="1" x="1302"/>
        <item m="1" x="786"/>
        <item m="1" x="1615"/>
        <item m="1" x="1140"/>
        <item m="1" x="1426"/>
        <item m="1" x="503"/>
        <item m="1" x="1631"/>
        <item m="1" x="1167"/>
        <item m="1" x="1456"/>
        <item m="1" x="1369"/>
        <item m="1" x="1147"/>
        <item m="1" x="657"/>
        <item m="1" x="664"/>
        <item m="1" x="704"/>
        <item m="1" x="886"/>
        <item m="1" x="1310"/>
        <item m="1" x="1071"/>
        <item m="1" x="1187"/>
        <item m="1" x="1250"/>
        <item m="1" x="1397"/>
        <item m="1" x="1480"/>
        <item m="1" x="1042"/>
        <item m="1" x="763"/>
        <item m="1" x="606"/>
        <item m="1" x="749"/>
        <item m="1" x="1624"/>
        <item m="1" x="781"/>
        <item m="1" x="1462"/>
        <item m="1" x="1391"/>
        <item m="1" x="1009"/>
        <item m="1" x="1081"/>
        <item m="1" x="947"/>
        <item m="1" x="1204"/>
        <item m="1" x="1579"/>
        <item m="1" x="755"/>
        <item m="1" x="703"/>
        <item m="1" x="638"/>
        <item m="1" x="1304"/>
        <item m="1" x="1564"/>
        <item m="1" x="1492"/>
        <item m="1" x="1149"/>
        <item m="1" x="673"/>
        <item m="1" x="1398"/>
        <item m="1" x="850"/>
        <item m="1" x="1104"/>
        <item m="1" x="1279"/>
        <item m="1" x="1387"/>
        <item m="1" x="507"/>
        <item m="1" x="1336"/>
        <item m="1" x="1299"/>
        <item m="1" x="740"/>
        <item m="1" x="1188"/>
        <item m="1" x="1076"/>
        <item m="1" x="1029"/>
        <item m="1" x="762"/>
        <item m="1" x="698"/>
        <item m="1" x="938"/>
        <item m="1" x="1125"/>
        <item m="1" x="532"/>
        <item m="1" x="871"/>
        <item m="1" x="730"/>
        <item m="1" x="472"/>
        <item m="1" x="982"/>
        <item m="1" x="1183"/>
        <item m="1" x="1065"/>
        <item m="1" x="1111"/>
        <item m="1" x="1430"/>
        <item m="1" x="1012"/>
        <item m="1" x="1538"/>
        <item m="1" x="1262"/>
        <item m="1" x="1201"/>
        <item m="1" x="715"/>
        <item m="1" x="1348"/>
        <item m="1" x="1626"/>
        <item m="1" x="1314"/>
        <item m="1" x="1298"/>
        <item m="1" x="585"/>
        <item m="1" x="633"/>
        <item m="1" x="1168"/>
        <item m="1" x="674"/>
        <item m="1" x="1611"/>
        <item m="1" x="1277"/>
        <item m="1" x="1202"/>
        <item m="1" x="1154"/>
        <item m="1" x="955"/>
        <item m="1" x="583"/>
        <item m="1" x="683"/>
        <item m="1" x="789"/>
        <item m="1" x="1522"/>
        <item m="1" x="1554"/>
        <item m="1" x="1253"/>
        <item m="1" x="980"/>
        <item m="1" x="1068"/>
        <item m="1" x="578"/>
        <item m="1" x="618"/>
        <item m="1" x="957"/>
        <item m="1" x="1182"/>
        <item m="1" x="1095"/>
        <item m="1" x="753"/>
        <item m="1" x="986"/>
        <item m="1" x="700"/>
        <item m="1" x="895"/>
        <item m="1" x="817"/>
        <item m="1" x="652"/>
        <item m="1" x="788"/>
        <item m="1" x="1158"/>
        <item m="1" x="568"/>
        <item m="1" x="807"/>
        <item m="1" x="599"/>
        <item m="1" x="1292"/>
        <item m="1" x="1481"/>
        <item m="1" x="1091"/>
        <item m="1" x="735"/>
        <item m="1" x="1385"/>
        <item m="1" x="1230"/>
        <item m="1" x="747"/>
        <item m="1" x="748"/>
        <item m="1" x="933"/>
        <item m="1" x="623"/>
        <item m="1" x="812"/>
        <item m="1" x="607"/>
        <item m="1" x="793"/>
        <item m="1" x="1361"/>
        <item m="1" x="872"/>
        <item m="1" x="1239"/>
        <item m="1" x="1289"/>
        <item m="1" x="1423"/>
        <item m="1" x="1427"/>
        <item m="1" x="1144"/>
        <item m="1" x="985"/>
        <item m="1" x="1024"/>
        <item m="1" x="1591"/>
        <item m="1" x="884"/>
        <item m="1" x="696"/>
        <item m="1" x="1074"/>
        <item m="1" x="531"/>
        <item m="1" x="1595"/>
        <item m="1" x="1058"/>
        <item m="1" x="492"/>
        <item m="1" x="1513"/>
        <item m="1" x="1556"/>
        <item m="1" x="1393"/>
        <item m="1" x="770"/>
        <item m="1" x="509"/>
        <item m="1" x="1443"/>
        <item m="1" x="834"/>
        <item m="1" x="470"/>
        <item m="1" x="1614"/>
        <item m="1" x="858"/>
        <item m="1" x="1013"/>
        <item m="1" x="1458"/>
        <item m="1" x="545"/>
        <item m="1" x="1370"/>
        <item m="1" x="1178"/>
        <item m="1" x="1043"/>
        <item m="1" x="913"/>
        <item m="1" x="660"/>
        <item m="1" x="1161"/>
        <item m="1" x="863"/>
        <item m="1" x="1401"/>
        <item m="1" x="723"/>
        <item m="1" x="1471"/>
        <item m="1" x="1478"/>
        <item m="1" x="1162"/>
        <item m="1" x="1352"/>
        <item m="1" x="769"/>
        <item m="1" x="1066"/>
        <item m="1" x="1355"/>
        <item m="1" x="939"/>
        <item m="1" x="1229"/>
        <item m="1" x="868"/>
        <item m="1" x="653"/>
        <item m="1" x="857"/>
        <item m="1" x="1623"/>
        <item m="1" x="1565"/>
        <item m="1" x="710"/>
        <item m="1" x="1511"/>
        <item m="1" x="517"/>
        <item m="1" x="1533"/>
        <item m="1" x="552"/>
        <item m="1" x="854"/>
        <item m="1" x="952"/>
        <item m="1" x="899"/>
        <item m="1" x="1506"/>
        <item m="1" x="1409"/>
        <item m="1" x="650"/>
        <item m="1" x="1220"/>
        <item m="1" x="1428"/>
        <item m="1" x="1562"/>
        <item m="1" x="1469"/>
        <item m="1" x="555"/>
        <item m="1" x="1635"/>
        <item m="1" x="706"/>
        <item m="1" x="987"/>
        <item m="1" x="1431"/>
        <item m="1" x="554"/>
        <item m="1" x="1490"/>
        <item m="1" x="719"/>
        <item m="1" x="1363"/>
        <item m="1" x="1227"/>
        <item m="1" x="1205"/>
        <item m="1" x="784"/>
        <item m="1" x="746"/>
        <item m="1" x="1558"/>
        <item m="1" x="499"/>
        <item m="1" x="681"/>
        <item m="1" x="1340"/>
        <item m="1" x="1451"/>
        <item m="1" x="1378"/>
        <item m="1" x="1582"/>
        <item m="1" x="1086"/>
        <item m="1" x="713"/>
        <item m="1" x="833"/>
        <item m="1" x="1152"/>
        <item m="1" x="894"/>
        <item m="1" x="1222"/>
        <item m="1" x="835"/>
        <item m="1" x="637"/>
        <item m="1" x="1290"/>
        <item m="1" x="692"/>
        <item m="1" x="572"/>
        <item m="1" x="1424"/>
        <item m="1" x="1571"/>
        <item m="1" x="1272"/>
        <item m="1" x="537"/>
        <item m="1" x="1463"/>
        <item m="1" x="1261"/>
        <item m="1" x="1371"/>
        <item m="1" x="1510"/>
        <item m="1" x="738"/>
        <item m="1" x="930"/>
        <item m="1" x="768"/>
        <item m="1" x="1036"/>
        <item m="1" x="960"/>
        <item m="1" x="990"/>
        <item m="1" x="1526"/>
        <item m="1" x="972"/>
        <item m="1" x="1175"/>
        <item m="1" x="707"/>
        <item m="1" x="906"/>
        <item m="1" x="880"/>
        <item m="1" x="1223"/>
        <item m="1" x="1126"/>
        <item m="1" x="1354"/>
        <item m="1" x="876"/>
        <item m="1" x="1512"/>
        <item m="1" x="714"/>
        <item m="1" x="640"/>
        <item m="1" x="896"/>
        <item m="1" x="1437"/>
        <item m="1" x="547"/>
        <item m="1" x="548"/>
        <item m="1" x="844"/>
        <item m="1" x="1517"/>
        <item m="1" x="911"/>
        <item m="1" x="556"/>
        <item m="1" x="716"/>
        <item m="1" x="958"/>
        <item m="1" x="1269"/>
        <item m="1" x="1241"/>
        <item m="1" x="912"/>
        <item m="1" x="493"/>
        <item m="1" x="631"/>
        <item m="1" x="843"/>
        <item m="1" x="731"/>
        <item m="1" x="488"/>
        <item m="1" x="1441"/>
        <item m="1" x="1570"/>
        <item m="1" x="1040"/>
        <item m="1" x="1470"/>
        <item m="1" x="1530"/>
        <item m="1" x="553"/>
        <item m="1" x="1568"/>
        <item m="1" x="1306"/>
        <item m="1" x="729"/>
        <item m="1" x="915"/>
        <item m="1" x="819"/>
        <item m="1" x="1181"/>
        <item m="1" x="752"/>
        <item m="1" x="968"/>
        <item m="1" x="1263"/>
        <item m="1" x="1388"/>
        <item m="1" x="891"/>
        <item m="1" x="1019"/>
        <item m="1" x="831"/>
        <item m="1" x="757"/>
        <item m="1" x="1268"/>
        <item m="1" x="1383"/>
        <item m="1" x="1545"/>
        <item m="1" x="587"/>
        <item m="1" x="791"/>
        <item m="1" x="1231"/>
        <item m="1" x="632"/>
        <item m="1" x="919"/>
        <item m="1" x="1300"/>
        <item m="1" x="565"/>
        <item m="1" x="775"/>
        <item m="1" x="885"/>
        <item m="1" x="1491"/>
        <item m="1" x="724"/>
        <item m="1" x="994"/>
        <item m="1" x="1547"/>
        <item m="1" x="675"/>
        <item m="1" x="864"/>
        <item m="1" x="1052"/>
        <item m="1" x="1389"/>
        <item m="1" x="687"/>
        <item m="1" x="943"/>
        <item m="1" x="785"/>
        <item m="1" x="1281"/>
        <item m="1" x="1467"/>
        <item m="1" x="593"/>
        <item m="1" x="813"/>
        <item m="1" x="1549"/>
        <item m="1" x="1514"/>
        <item m="1" x="614"/>
        <item m="1" x="931"/>
        <item m="1" x="1455"/>
        <item m="1" x="1586"/>
        <item m="1" x="1457"/>
        <item m="1" x="1432"/>
        <item m="1" x="563"/>
        <item m="1" x="739"/>
        <item m="1" x="821"/>
        <item m="1" x="810"/>
        <item m="1" x="1037"/>
        <item m="1" x="525"/>
        <item m="1" x="1224"/>
        <item m="1" x="1295"/>
        <item m="1" x="477"/>
        <item m="1" x="1555"/>
        <item m="1" x="1417"/>
        <item m="1" x="1546"/>
        <item m="1" x="1576"/>
        <item m="1" x="1612"/>
        <item m="1" x="1550"/>
        <item m="1" x="914"/>
        <item m="1" x="1274"/>
        <item m="1" x="881"/>
        <item m="1" x="1287"/>
        <item m="1" x="1252"/>
        <item m="1" x="690"/>
        <item m="1" x="728"/>
        <item m="1" x="866"/>
        <item m="1" x="1331"/>
        <item m="1" x="851"/>
        <item m="1" x="597"/>
        <item m="1" x="1596"/>
        <item m="1" x="1346"/>
        <item m="1" x="1179"/>
        <item m="1" x="1211"/>
        <item m="1" x="1260"/>
        <item m="1" x="685"/>
        <item m="1" x="1027"/>
        <item m="1" x="1372"/>
        <item m="1" x="523"/>
        <item m="1" x="766"/>
        <item m="1" x="666"/>
        <item m="1" x="663"/>
        <item m="1" x="667"/>
        <item m="1" x="468"/>
        <item m="1" x="689"/>
        <item m="1" x="1486"/>
        <item m="1" x="490"/>
        <item m="1" x="1136"/>
        <item m="1" x="1573"/>
        <item m="1" x="1384"/>
        <item m="1" x="644"/>
        <item m="1" x="1644"/>
        <item m="1" x="573"/>
        <item m="1" x="940"/>
        <item m="1" x="1163"/>
        <item m="1" x="619"/>
        <item m="1" x="1072"/>
        <item m="1" x="1232"/>
        <item m="1" x="1500"/>
        <item m="1" x="1402"/>
        <item m="1" x="481"/>
        <item m="1" x="1164"/>
        <item m="1" x="564"/>
        <item m="1" x="800"/>
        <item m="1" x="772"/>
        <item m="1" x="534"/>
        <item m="1" x="1127"/>
        <item m="1" x="1134"/>
        <item m="1" x="1234"/>
        <item m="1" x="983"/>
        <item m="1" x="1483"/>
        <item m="1" x="892"/>
        <item m="1" x="1602"/>
        <item m="1" x="1237"/>
        <item m="1" x="1128"/>
        <item m="1" x="792"/>
        <item m="1" x="1200"/>
        <item m="1" x="1498"/>
        <item m="1" x="1563"/>
        <item m="1" x="1542"/>
        <item m="1" x="1472"/>
        <item m="1" x="1221"/>
        <item m="1" x="1334"/>
        <item m="1" x="847"/>
        <item m="1" x="1296"/>
        <item m="1" x="1121"/>
        <item m="1" x="1080"/>
        <item m="1" x="1078"/>
        <item m="1" x="1079"/>
        <item m="1" x="776"/>
        <item m="1" x="820"/>
        <item m="1" x="1433"/>
        <item m="1" x="998"/>
        <item m="1" x="840"/>
        <item m="1" x="882"/>
        <item m="1" x="928"/>
        <item m="1" x="1180"/>
        <item m="1" x="1518"/>
        <item m="1" x="1607"/>
        <item m="1" x="725"/>
        <item m="1" x="676"/>
        <item m="1" x="513"/>
        <item m="1" x="535"/>
        <item m="1" x="832"/>
        <item m="1" x="620"/>
        <item m="1" x="948"/>
        <item m="1" x="1484"/>
        <item m="1" x="825"/>
        <item m="1" x="617"/>
        <item m="1" x="1376"/>
        <item m="1" x="494"/>
        <item m="1" x="1502"/>
        <item m="1" x="1577"/>
        <item m="1" x="1641"/>
        <item m="1" x="1516"/>
        <item m="1" x="759"/>
        <item m="1" x="536"/>
        <item m="1" x="1000"/>
        <item m="1" x="1084"/>
        <item m="1" x="1280"/>
        <item m="1" x="1248"/>
        <item m="1" x="1284"/>
        <item m="1" x="1061"/>
        <item m="1" x="1099"/>
        <item m="1" x="1540"/>
        <item m="1" x="1303"/>
        <item m="1" x="1273"/>
        <item m="1" x="1212"/>
        <item m="1" x="1285"/>
        <item m="1" x="486"/>
        <item m="1" x="491"/>
        <item m="1" x="1094"/>
        <item m="1" x="1479"/>
        <item m="1" x="1049"/>
        <item m="1" x="1619"/>
        <item m="1" x="1018"/>
        <item m="1" x="1194"/>
        <item m="1" x="1265"/>
        <item m="1" x="879"/>
        <item m="1" x="711"/>
        <item m="1" x="1087"/>
        <item m="1" x="773"/>
        <item m="1" x="1628"/>
        <item m="1" x="1543"/>
        <item m="1" x="1356"/>
        <item m="1" x="613"/>
        <item m="1" x="540"/>
        <item m="1" x="1113"/>
        <item m="1" x="1357"/>
        <item m="1" x="1646"/>
        <item m="1" x="992"/>
        <item m="1" x="1593"/>
        <item m="1" x="527"/>
        <item m="1" x="641"/>
        <item m="1" x="953"/>
        <item m="1" x="1044"/>
        <item m="1" x="1473"/>
        <item m="1" x="797"/>
        <item m="1" x="1476"/>
        <item m="1" x="893"/>
        <item m="1" x="1465"/>
        <item m="1" x="1629"/>
        <item m="1" x="557"/>
        <item m="1" x="1613"/>
        <item m="1" x="504"/>
        <item m="1" x="1366"/>
        <item m="1" x="984"/>
        <item m="1" x="815"/>
        <item m="1" x="778"/>
        <item m="1" x="922"/>
        <item m="1" x="521"/>
        <item m="1" x="1606"/>
        <item m="1" x="605"/>
        <item m="1" x="626"/>
        <item m="1" x="1499"/>
        <item m="1" x="1578"/>
        <item m="1" x="1092"/>
        <item m="1" x="1233"/>
        <item m="1" x="934"/>
        <item m="1" x="1047"/>
        <item m="1" x="1196"/>
        <item m="1" x="1313"/>
        <item m="1" x="900"/>
        <item m="1" x="1176"/>
        <item m="1" x="995"/>
        <item m="1" x="1632"/>
        <item m="1" x="485"/>
        <item m="1" x="924"/>
        <item m="1" x="865"/>
        <item m="1" x="826"/>
        <item m="1" x="1620"/>
        <item m="1" x="1438"/>
        <item m="1" x="1569"/>
        <item m="1" x="582"/>
        <item m="1" x="1580"/>
        <item m="1" x="1567"/>
        <item m="1" x="1444"/>
        <item m="1" x="679"/>
        <item m="1" x="1048"/>
        <item m="1" x="1141"/>
        <item m="1" x="887"/>
        <item m="1" x="1485"/>
        <item m="1" x="1271"/>
        <item m="1" x="1291"/>
        <item m="1" x="1185"/>
        <item m="1" x="528"/>
        <item m="1" x="1358"/>
        <item m="1" x="1520"/>
        <item m="1" x="925"/>
        <item m="1" x="1639"/>
        <item m="1" x="1133"/>
        <item m="1" x="720"/>
        <item m="1" x="853"/>
        <item m="1" x="889"/>
        <item m="1" x="1548"/>
        <item m="1" x="1532"/>
        <item m="1" x="592"/>
        <item m="1" x="594"/>
        <item m="1" x="508"/>
        <item m="1" x="1468"/>
        <item m="1" x="510"/>
        <item m="1" x="927"/>
        <item m="1" x="827"/>
        <item m="1" x="1283"/>
        <item m="1" x="1226"/>
        <item m="1" x="1575"/>
        <item m="1" x="1507"/>
        <item m="1" x="999"/>
        <item m="1" x="1213"/>
        <item m="1" x="1448"/>
        <item m="1" x="561"/>
        <item m="1" x="993"/>
        <item m="1" x="923"/>
        <item m="1" x="1617"/>
        <item m="1" x="1584"/>
        <item m="1" x="1015"/>
        <item m="1" x="621"/>
        <item m="1" x="916"/>
        <item m="1" x="1089"/>
        <item m="1" x="543"/>
        <item m="1" x="1379"/>
        <item m="1" x="973"/>
        <item m="1" x="783"/>
        <item m="1" x="877"/>
        <item m="1" x="1323"/>
        <item m="1" x="1622"/>
        <item m="1" x="701"/>
        <item m="1" x="1474"/>
        <item m="1" x="695"/>
        <item m="1" x="1259"/>
        <item m="1" x="1031"/>
        <item m="1" x="962"/>
        <item m="1" x="684"/>
        <item m="1" x="751"/>
        <item m="1" x="539"/>
        <item m="1" x="1339"/>
        <item m="1" x="852"/>
        <item m="1" x="576"/>
        <item m="1" x="1190"/>
        <item m="1" x="1505"/>
        <item m="1" x="1045"/>
        <item m="1" x="1003"/>
        <item m="1" x="474"/>
        <item m="1" x="1610"/>
        <item m="1" x="860"/>
        <item m="1" x="920"/>
        <item m="1" x="1327"/>
        <item m="1" x="1604"/>
        <item m="1" x="1529"/>
        <item m="1" x="1380"/>
        <item m="1" x="1495"/>
        <item m="1" x="656"/>
        <item m="1" x="855"/>
        <item m="1" x="688"/>
        <item m="1" x="480"/>
        <item m="1" x="1093"/>
        <item m="1" x="542"/>
        <item m="1" x="764"/>
        <item m="1" x="708"/>
        <item m="1" x="654"/>
        <item m="1" x="1609"/>
        <item m="1" x="705"/>
        <item m="1" x="1307"/>
        <item m="1" x="1519"/>
        <item m="1" x="645"/>
        <item m="1" x="549"/>
        <item m="1" x="1342"/>
        <item m="1" x="1318"/>
        <item m="1" x="1359"/>
        <item m="1" x="1278"/>
        <item m="1" x="622"/>
        <item m="1" x="978"/>
        <item m="1" x="1246"/>
        <item m="1" x="1496"/>
        <item m="1" x="1090"/>
        <item m="1" x="1208"/>
        <item m="1" x="1552"/>
        <item m="1" x="964"/>
        <item m="1" x="808"/>
        <item m="1" x="1041"/>
        <item m="1" x="988"/>
        <item m="1" x="918"/>
        <item m="1" x="1435"/>
        <item m="1" x="1122"/>
        <item m="1" x="1218"/>
        <item m="1" x="469"/>
        <item m="1" x="1014"/>
        <item m="1" x="616"/>
        <item m="1" x="883"/>
        <item m="1" x="1021"/>
        <item m="1" x="551"/>
        <item m="1" x="668"/>
        <item m="1" x="1123"/>
        <item m="1" x="1320"/>
        <item m="1" x="1590"/>
        <item m="1" x="1633"/>
        <item m="1" x="1243"/>
        <item m="1" x="591"/>
        <item m="1" x="519"/>
        <item m="1" x="1105"/>
        <item m="1" x="727"/>
        <item m="1" x="1001"/>
        <item m="1" x="629"/>
        <item m="1" x="732"/>
        <item m="1" x="1159"/>
        <item m="1" x="1515"/>
        <item m="1" x="1446"/>
        <item m="1" x="862"/>
        <item m="1" x="897"/>
        <item m="1" x="1173"/>
        <item m="1" x="1603"/>
        <item m="1" x="1329"/>
        <item m="1" x="495"/>
        <item m="1" x="1557"/>
        <item m="1" x="603"/>
        <item m="1" x="1249"/>
        <item m="1" x="1294"/>
        <item m="1" x="1297"/>
        <item m="1" x="1637"/>
        <item m="1" x="530"/>
        <item m="1" x="1308"/>
        <item m="1" x="1405"/>
        <item m="1" x="1177"/>
        <item m="1" x="1347"/>
        <item m="1" x="589"/>
        <item m="1" x="981"/>
        <item m="1" x="828"/>
        <item m="1" x="1440"/>
        <item m="1" x="1535"/>
        <item m="1" x="1064"/>
        <item m="1" x="1503"/>
        <item m="1" x="1551"/>
        <item m="1" x="904"/>
        <item m="1" x="1407"/>
        <item m="1" x="1270"/>
        <item m="1" x="1553"/>
        <item m="1" x="1597"/>
        <item m="1" x="1335"/>
        <item m="1" x="945"/>
        <item m="1" x="750"/>
        <item m="1" x="1585"/>
        <item m="1" x="1132"/>
        <item m="1" x="1106"/>
        <item m="1" x="1115"/>
        <item m="1" x="1636"/>
        <item m="1" x="1360"/>
        <item m="1" x="1055"/>
        <item m="1" x="1324"/>
        <item m="1" x="1301"/>
        <item m="1" x="917"/>
        <item m="1" x="818"/>
        <item m="1" x="1317"/>
        <item m="1" x="712"/>
        <item m="1" x="669"/>
        <item m="1" x="611"/>
        <item m="1" x="1598"/>
        <item m="1" x="1214"/>
        <item m="1" x="949"/>
        <item m="1" x="1030"/>
        <item m="1" x="511"/>
        <item m="1" x="1587"/>
        <item m="1" x="1138"/>
        <item m="1" x="1286"/>
        <item m="1" x="734"/>
        <item m="1" x="1418"/>
        <item m="1" x="921"/>
        <item m="1" x="814"/>
        <item m="1" x="1642"/>
        <item m="1" x="944"/>
        <item m="1" x="1583"/>
        <item m="1" x="1169"/>
        <item m="1" x="845"/>
        <item m="1" x="636"/>
        <item m="1" x="579"/>
        <item m="1" x="873"/>
        <item m="1" x="570"/>
        <item m="1" x="541"/>
        <item m="1" x="558"/>
        <item m="1" x="837"/>
        <item m="1" x="682"/>
        <item m="1" x="989"/>
        <item m="1" x="1046"/>
        <item m="1" x="1145"/>
        <item m="1" x="1016"/>
        <item m="1" x="1349"/>
        <item m="1" x="1413"/>
        <item m="1" x="625"/>
        <item m="1" x="635"/>
        <item m="1" x="824"/>
        <item m="1" x="966"/>
        <item m="1" x="756"/>
        <item m="1" x="1309"/>
        <item m="1" x="1059"/>
        <item m="1" x="976"/>
        <item m="1" x="1109"/>
        <item m="1" x="1415"/>
        <item m="1" x="1353"/>
        <item m="1" x="1439"/>
        <item m="1" x="1195"/>
        <item m="1" x="615"/>
        <item m="1" x="1621"/>
        <item m="1" x="1034"/>
        <item m="1" x="649"/>
        <item m="1" x="473"/>
        <item m="1" x="1618"/>
        <item m="1" x="1102"/>
        <item m="1" x="1069"/>
        <item m="1" x="841"/>
        <item m="1" x="721"/>
        <item m="1" x="805"/>
        <item m="1" x="959"/>
        <item m="1" x="1534"/>
        <item m="1" x="1453"/>
        <item m="1" x="829"/>
        <item m="1" x="902"/>
        <item m="1" x="909"/>
        <item m="1" x="1447"/>
        <item m="1" x="1050"/>
        <item m="1" x="522"/>
        <item m="1" x="1083"/>
        <item m="1" x="1362"/>
        <item m="1" x="1488"/>
        <item m="1" x="1381"/>
        <item m="1" x="1189"/>
        <item m="1" x="1487"/>
        <item m="1" x="501"/>
        <item m="1" x="1404"/>
        <item m="1" x="483"/>
        <item m="1" x="823"/>
        <item m="1" x="487"/>
        <item m="1" x="646"/>
        <item m="1" x="736"/>
        <item m="1" x="742"/>
        <item m="1" x="1160"/>
        <item m="1" x="1414"/>
        <item m="1" x="941"/>
        <item m="1" x="512"/>
        <item m="1" x="718"/>
        <item m="1" x="506"/>
        <item m="1" x="1501"/>
        <item m="1" x="726"/>
        <item m="1" x="1062"/>
        <item m="1" x="1521"/>
        <item m="1" x="848"/>
        <item m="1" x="790"/>
        <item m="1" x="1186"/>
        <item m="1" x="743"/>
        <item m="1" x="1051"/>
        <item m="1" x="1345"/>
        <item m="1" x="484"/>
        <item m="1" x="997"/>
        <item m="1" x="1116"/>
        <item m="1" x="608"/>
        <item m="1" x="950"/>
        <item m="1" x="1085"/>
        <item m="1" x="836"/>
        <item m="1" x="874"/>
        <item m="1" x="601"/>
        <item m="1" x="1007"/>
        <item m="1" x="471"/>
        <item m="1" x="1143"/>
        <item m="1" x="1536"/>
        <item m="1" x="1257"/>
        <item m="1" x="1251"/>
        <item m="1" x="1150"/>
        <item m="1" x="476"/>
        <item m="1" x="1282"/>
        <item m="1" x="1325"/>
        <item m="1" x="1131"/>
        <item m="1" x="475"/>
        <item m="1" x="1482"/>
        <item m="1" x="1449"/>
        <item m="1" x="479"/>
        <item m="1" x="758"/>
        <item m="1" x="1148"/>
        <item m="1" x="1403"/>
        <item m="1" x="600"/>
        <item m="1" x="496"/>
        <item m="1" x="655"/>
        <item m="1" x="546"/>
        <item m="1" x="954"/>
        <item m="1" x="767"/>
        <item m="1" x="765"/>
        <item m="1" x="936"/>
        <item m="1" x="1038"/>
        <item m="1" x="942"/>
        <item m="1" x="1139"/>
        <item m="1" x="991"/>
        <item m="1" x="856"/>
        <item m="1" x="971"/>
        <item m="1" x="1464"/>
        <item m="1" x="1559"/>
        <item m="1" x="816"/>
        <item m="1" x="1539"/>
        <item m="1" x="581"/>
        <item m="1" x="1528"/>
        <item m="1" x="1225"/>
        <item m="1" x="1396"/>
        <item m="1" x="1475"/>
        <item m="1" x="1155"/>
        <item m="1" x="1367"/>
        <item m="1" x="659"/>
        <item m="1" x="642"/>
        <item m="1" x="1264"/>
        <item m="1" x="1236"/>
        <item m="1" x="798"/>
        <item m="1" x="1634"/>
        <item m="1" x="1206"/>
        <item m="1" x="946"/>
        <item m="1" x="1020"/>
        <item m="1" x="979"/>
        <item m="1" x="1489"/>
        <item m="1" x="1493"/>
        <item m="1" x="489"/>
        <item m="1" x="1373"/>
        <item m="1" x="1419"/>
        <item m="1" x="538"/>
        <item m="1" x="910"/>
        <item m="1" x="901"/>
        <item m="1" x="1408"/>
        <item m="1" x="1107"/>
        <item m="1" x="1311"/>
        <item m="1" x="977"/>
        <item m="1" x="1328"/>
        <item m="1" x="516"/>
        <item m="1" x="639"/>
        <item m="1" x="1608"/>
        <item m="1" x="1228"/>
        <item m="1" x="1600"/>
        <item m="1" x="520"/>
        <item m="1" x="780"/>
        <item m="1" x="596"/>
        <item m="1" x="529"/>
        <item m="1" x="544"/>
        <item m="1" x="1096"/>
        <item m="1" x="1129"/>
        <item m="1" x="801"/>
        <item m="1" x="1219"/>
        <item m="1" x="1537"/>
        <item m="1" x="888"/>
        <item m="1" x="967"/>
        <item m="1" x="1117"/>
        <item m="1" x="1605"/>
        <item m="1" x="782"/>
        <item m="1" x="794"/>
        <item m="1" x="804"/>
        <item m="1" x="1425"/>
        <item m="1" x="1561"/>
        <item m="1" x="478"/>
        <item m="1" x="1305"/>
        <item m="1" x="1601"/>
        <item m="1" x="702"/>
        <item m="1" x="1017"/>
        <item m="1" x="1638"/>
        <item m="1" x="1544"/>
        <item m="1" x="691"/>
        <item m="1" x="803"/>
        <item m="1" x="890"/>
        <item m="1" x="1215"/>
        <item m="1" x="1412"/>
        <item m="1" x="647"/>
        <item m="1" x="1118"/>
        <item m="1" x="643"/>
        <item m="1" x="612"/>
        <item m="1" x="560"/>
        <item m="1" x="1531"/>
        <item m="1" x="1124"/>
        <item m="1" x="1572"/>
        <item m="1" x="965"/>
        <item m="1" x="1589"/>
        <item m="1" x="1341"/>
        <item m="1" x="630"/>
        <item m="1" x="1445"/>
        <item m="1" x="1459"/>
        <item m="1" x="1119"/>
        <item m="1" x="1494"/>
        <item m="1" x="1332"/>
        <item m="1" x="1197"/>
        <item m="1" x="514"/>
        <item m="1" x="1343"/>
        <item m="1" x="1075"/>
        <item m="1" x="1008"/>
        <item m="1" x="1351"/>
        <item m="1" x="935"/>
        <item m="1" x="569"/>
        <item m="1" x="741"/>
        <item m="1" x="518"/>
        <item m="1" x="867"/>
        <item m="1" x="1245"/>
        <item m="1" x="830"/>
        <item m="1" x="693"/>
        <item m="1" x="908"/>
        <item m="1" x="586"/>
        <item m="1" x="838"/>
        <item m="1" x="709"/>
        <item m="1" x="1060"/>
        <item m="1" x="1647"/>
        <item m="1" x="1101"/>
        <item m="1" x="697"/>
        <item m="1" x="974"/>
        <item m="1" x="680"/>
        <item m="1" x="733"/>
        <item m="1" x="1025"/>
        <item m="1" x="1293"/>
        <item m="1" x="1010"/>
        <item m="1" x="1460"/>
        <item m="1" x="1022"/>
        <item m="1" x="1256"/>
        <item m="1" x="571"/>
        <item m="1" x="1054"/>
        <item m="1" x="694"/>
        <item m="1" x="624"/>
        <item m="1" x="1350"/>
        <item m="1" x="665"/>
        <item m="1" x="1374"/>
        <item m="1" x="566"/>
        <item m="1" x="1191"/>
        <item m="1" x="1198"/>
        <item m="1" x="602"/>
        <item m="1" x="1120"/>
        <item m="1" x="498"/>
        <item m="1" x="1321"/>
        <item m="1" x="1026"/>
        <item m="1" x="1247"/>
        <item m="1" x="1216"/>
        <item m="1" x="1436"/>
        <item m="1" x="1209"/>
        <item m="1" x="787"/>
        <item m="1" x="1288"/>
        <item m="1" x="1422"/>
        <item m="1" x="1112"/>
        <item m="1" x="1244"/>
        <item m="1" x="577"/>
        <item m="1" x="1410"/>
        <item m="1" x="1067"/>
        <item m="1" x="932"/>
        <item m="1" x="1316"/>
        <item m="1" x="842"/>
        <item m="1" x="1165"/>
        <item m="1" x="699"/>
        <item m="1" x="795"/>
        <item m="1" x="1192"/>
        <item m="1" x="961"/>
        <item m="1" x="505"/>
        <item m="1" x="839"/>
        <item m="1" x="1319"/>
        <item m="1" x="1421"/>
        <item m="1" x="524"/>
        <item m="1" x="809"/>
        <item m="1" x="744"/>
        <item m="1" x="1077"/>
        <item m="1" x="1170"/>
        <item m="1" x="610"/>
        <item m="1" x="1592"/>
        <item m="1" x="575"/>
        <item m="1" x="648"/>
        <item m="1" x="1429"/>
        <item m="1" x="937"/>
        <item m="1" x="951"/>
        <item m="1" x="1005"/>
        <item m="1" x="580"/>
        <item m="1" x="859"/>
        <item m="1" x="1254"/>
        <item m="1" x="1166"/>
        <item m="1" x="956"/>
        <item m="1" x="903"/>
        <item m="1" x="533"/>
        <item m="1" x="771"/>
        <item m="1" x="1235"/>
        <item m="1" x="869"/>
        <item m="1" x="1032"/>
        <item m="1" x="969"/>
        <item m="1" x="1151"/>
        <item m="1" x="515"/>
        <item m="1" x="996"/>
        <item m="1" x="670"/>
        <item m="1" x="1073"/>
        <item m="1" x="1199"/>
        <item m="1" x="1275"/>
        <item m="1" x="1210"/>
        <item m="1" x="1171"/>
        <item m="1" x="1097"/>
        <item m="1" x="1508"/>
        <item m="1" x="1400"/>
        <item m="1" x="651"/>
        <item m="1" x="1392"/>
        <item m="1" x="846"/>
        <item m="1" x="1156"/>
        <item m="1" x="562"/>
        <item m="1" x="1135"/>
        <item m="1" x="1002"/>
        <item m="1" x="1434"/>
        <item m="1" x="588"/>
        <item m="1" x="1645"/>
        <item m="1" x="627"/>
        <item m="1" x="567"/>
        <item m="1" x="1137"/>
        <item m="1" x="1337"/>
        <item m="1" x="1240"/>
        <item m="1" x="526"/>
        <item m="1" x="678"/>
        <item m="1" x="1466"/>
        <item m="1" x="1406"/>
        <item m="1" x="661"/>
        <item m="1" x="634"/>
        <item m="1" x="929"/>
        <item m="1" x="550"/>
        <item m="1" x="1157"/>
        <item m="1" x="590"/>
        <item m="1" x="760"/>
        <item m="1" x="1057"/>
        <item m="1" x="1588"/>
        <item m="1" x="628"/>
        <item m="1" x="898"/>
        <item m="1" x="745"/>
        <item m="1" x="907"/>
        <item m="1" x="1461"/>
        <item m="1" x="1344"/>
        <item m="1" x="806"/>
        <item m="1" x="559"/>
        <item m="1" x="1509"/>
        <item m="1" x="672"/>
        <item m="1" x="1454"/>
        <item m="1" x="1011"/>
        <item m="1" x="1395"/>
        <item m="1" x="754"/>
        <item m="1" x="926"/>
        <item m="1" x="1411"/>
        <item m="1" x="1599"/>
        <item m="1" x="1375"/>
        <item m="1" x="774"/>
        <item m="1" x="717"/>
        <item m="1" x="1420"/>
        <item m="1" x="1184"/>
        <item m="1" x="1028"/>
        <item m="1" x="1452"/>
        <item m="1" x="500"/>
        <item m="1" x="497"/>
        <item m="1" x="1172"/>
        <item m="1" x="1312"/>
        <item m="1" x="1267"/>
        <item m="1" x="1450"/>
        <item m="1" x="975"/>
        <item m="1" x="722"/>
        <item m="1" x="796"/>
        <item m="1" x="1326"/>
        <item m="1" x="878"/>
        <item m="1" x="1108"/>
        <item m="1" x="1523"/>
        <item m="1" x="761"/>
        <item m="1" x="1098"/>
        <item m="1" x="482"/>
        <item m="1" x="811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2"/>
        <item x="391"/>
        <item x="394"/>
        <item x="393"/>
        <item x="395"/>
        <item x="399"/>
        <item x="398"/>
        <item x="397"/>
        <item x="396"/>
        <item x="400"/>
        <item x="401"/>
        <item x="402"/>
        <item x="408"/>
        <item x="403"/>
        <item x="404"/>
        <item x="405"/>
        <item x="406"/>
        <item x="407"/>
        <item x="411"/>
        <item x="410"/>
        <item x="409"/>
        <item x="413"/>
        <item x="412"/>
        <item x="414"/>
        <item x="415"/>
        <item x="416"/>
        <item x="417"/>
        <item x="419"/>
        <item x="418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1"/>
        <item x="440"/>
        <item x="442"/>
        <item x="443"/>
        <item x="444"/>
        <item x="446"/>
        <item x="445"/>
        <item x="447"/>
        <item x="448"/>
        <item x="449"/>
        <item x="450"/>
        <item x="451"/>
        <item x="452"/>
        <item x="455"/>
        <item x="463"/>
        <item x="454"/>
        <item x="453"/>
        <item x="456"/>
        <item x="457"/>
        <item x="458"/>
        <item x="460"/>
        <item x="459"/>
        <item x="461"/>
        <item x="462"/>
        <item x="464"/>
        <item x="465"/>
        <item x="466"/>
        <item m="1" x="799"/>
        <item m="1" x="1560"/>
        <item m="1" x="502"/>
        <item m="1" x="467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11">
    <i>
      <x/>
    </i>
    <i r="1">
      <x v="1631"/>
    </i>
    <i r="2">
      <x v="8"/>
    </i>
    <i r="1">
      <x v="1643"/>
    </i>
    <i r="2">
      <x v="8"/>
    </i>
    <i r="2">
      <x v="11"/>
    </i>
    <i r="2">
      <x v="13"/>
    </i>
    <i>
      <x v="1"/>
    </i>
    <i r="1">
      <x v="1580"/>
    </i>
    <i r="2">
      <x v="13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0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9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390" totalsRowShown="0" totalsRowDxfId="26">
  <autoFilter ref="A1:C1390" xr:uid="{43456A03-EFD4-416A-B021-C441A7C21E4E}"/>
  <tableColumns count="3">
    <tableColumn id="1" xr3:uid="{96F9219D-1D74-4611-A7AA-8AB4E044352A}" name="Ticket" totalsRowDxfId="25"/>
    <tableColumn id="2" xr3:uid="{D6F02EDE-42BA-4EF9-A278-EA070340E315}" name="Number" totalsRowDxfId="24"/>
    <tableColumn id="3" xr3:uid="{F6A90E5F-0E5C-41D7-A40C-1CC9A86DC194}" name="Status" totalsRowDxfId="2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5114" totalsRowShown="0">
  <autoFilter ref="A1:S5114" xr:uid="{678037D6-A574-4B81-B392-ED766472D9FE}"/>
  <tableColumns count="19">
    <tableColumn id="1" xr3:uid="{5BF112CC-BAD1-48FD-B930-E0EF8CA67570}" name="App"/>
    <tableColumn id="2" xr3:uid="{F44F7455-95E4-448C-84F7-0BD5E8515FF2}" name="Filter" dataDxfId="12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1"/>
    <tableColumn id="7" xr3:uid="{D69C8A00-2CB4-4F31-920A-C1D332375D40}" name="type"/>
    <tableColumn id="9" xr3:uid="{3D246B09-CC89-411A-9E7E-B79496797F29}" name="LFF_ID" dataDxfId="10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9">
      <calculatedColumnFormula>Proc[[#This Row],[Requested]]=Proc[[#This Row],[CurrentParent]]</calculatedColumnFormula>
    </tableColumn>
    <tableColumn id="24" xr3:uid="{9DAA192A-7AAB-4460-A9EA-787D5AF7E069}" name="Sector" dataDxfId="8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7"/>
    <tableColumn id="15" xr3:uid="{F0BFEDC5-AB85-4752-8DBE-1E2D2A86C38C}" name="DateOpened" dataDxfId="6"/>
    <tableColumn id="17" xr3:uid="{78B7D816-31FE-4F8F-8018-91CE8D5DE9A2}" name="DateMapped" dataDxfId="5"/>
    <tableColumn id="16" xr3:uid="{37F76675-DAA7-497A-B0C3-D5ADC87396FC}" name="DateClosed" dataDxfId="4"/>
    <tableColumn id="23" xr3:uid="{77371810-6F86-4EEF-85D0-5FCFC20B88DC}" name="Delayed?" dataDxfId="3">
      <calculatedColumnFormula>IF(Proc[[#This Row],[DaysAgeing]]&gt;5,"yep","on track")</calculatedColumnFormula>
    </tableColumn>
    <tableColumn id="18" xr3:uid="{6AC4A96E-CE6C-49CA-A4F1-794160BB5940}" name="DaysAgeing" dataDxfId="2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1"/>
    <tableColumn id="22" xr3:uid="{87389AE1-9ECE-4C7F-80F9-48A35BE78A62}" name="Prognosis" dataDxfId="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45" totalsRowShown="0">
  <autoFilter ref="A1:B145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22"/>
    <tableColumn id="6" xr3:uid="{73647D57-303F-4AF5-983C-1CCB32EBD08D}" name="Forecast Period" dataDxfId="21"/>
    <tableColumn id="4" xr3:uid="{FA11B267-B5E3-452C-A4E3-1668B4A12A28}" name="Number of Tickets Raised" dataDxfId="20"/>
    <tableColumn id="1" xr3:uid="{441BC59C-A1EA-4CA8-B944-D602CD57D89D}" name="Delayed Tickets"/>
    <tableColumn id="5" xr3:uid="{29680677-3B0F-4EC4-81FF-46A6FDD4C5F7}" name="Number of Total Objects" dataDxfId="19"/>
    <tableColumn id="2" xr3:uid="{3D96D299-AEA2-4D9C-9BE6-F98ADF0CDB84}" name="Commentary for delayed tickets" dataDxfId="1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31"/>
  <sheetViews>
    <sheetView workbookViewId="0">
      <selection activeCell="C33" sqref="C33"/>
    </sheetView>
  </sheetViews>
  <sheetFormatPr defaultColWidth="0" defaultRowHeight="14.4"/>
  <cols>
    <col min="1" max="1" width="37.6640625" bestFit="1" customWidth="1"/>
    <col min="2" max="2" width="12.109375" bestFit="1" customWidth="1"/>
    <col min="3" max="3" width="9.109375" customWidth="1"/>
    <col min="4" max="16384" width="9.109375" hidden="1"/>
  </cols>
  <sheetData>
    <row r="1" spans="1:2">
      <c r="A1" s="66" t="s">
        <v>390</v>
      </c>
      <c r="B1" s="149" t="s">
        <v>401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50">
        <v>253</v>
      </c>
    </row>
    <row r="5" spans="1:2">
      <c r="A5" s="111" t="s">
        <v>369</v>
      </c>
      <c r="B5" s="150">
        <v>251</v>
      </c>
    </row>
    <row r="6" spans="1:2">
      <c r="A6" s="111" t="s">
        <v>404</v>
      </c>
      <c r="B6" s="150"/>
    </row>
    <row r="7" spans="1:2">
      <c r="A7" s="111" t="s">
        <v>370</v>
      </c>
      <c r="B7" s="150"/>
    </row>
    <row r="8" spans="1:2">
      <c r="A8" s="111" t="s">
        <v>403</v>
      </c>
      <c r="B8" s="150"/>
    </row>
    <row r="9" spans="1:2">
      <c r="A9" s="111" t="s">
        <v>398</v>
      </c>
      <c r="B9" s="150"/>
    </row>
    <row r="10" spans="1:2">
      <c r="A10" s="111" t="s">
        <v>377</v>
      </c>
      <c r="B10" s="150">
        <v>1</v>
      </c>
    </row>
    <row r="11" spans="1:2">
      <c r="A11" s="111" t="s">
        <v>375</v>
      </c>
      <c r="B11" s="150"/>
    </row>
    <row r="12" spans="1:2">
      <c r="A12" s="111" t="s">
        <v>405</v>
      </c>
      <c r="B12" s="150"/>
    </row>
    <row r="13" spans="1:2">
      <c r="A13" s="111" t="s">
        <v>692</v>
      </c>
      <c r="B13" s="150">
        <v>1</v>
      </c>
    </row>
    <row r="14" spans="1:2">
      <c r="A14" s="17" t="s">
        <v>568</v>
      </c>
      <c r="B14" s="150">
        <v>214</v>
      </c>
    </row>
    <row r="15" spans="1:2">
      <c r="A15" s="111" t="s">
        <v>369</v>
      </c>
      <c r="B15" s="150">
        <v>214</v>
      </c>
    </row>
    <row r="16" spans="1:2">
      <c r="A16" s="17" t="s">
        <v>569</v>
      </c>
      <c r="B16" s="150">
        <v>221</v>
      </c>
    </row>
    <row r="17" spans="1:2">
      <c r="A17" s="111" t="s">
        <v>369</v>
      </c>
      <c r="B17" s="150">
        <v>216</v>
      </c>
    </row>
    <row r="18" spans="1:2">
      <c r="A18" s="111" t="s">
        <v>370</v>
      </c>
      <c r="B18" s="150">
        <v>1</v>
      </c>
    </row>
    <row r="19" spans="1:2">
      <c r="A19" s="111" t="s">
        <v>377</v>
      </c>
      <c r="B19" s="150">
        <v>2</v>
      </c>
    </row>
    <row r="20" spans="1:2">
      <c r="A20" s="111" t="s">
        <v>692</v>
      </c>
      <c r="B20" s="150">
        <v>2</v>
      </c>
    </row>
    <row r="21" spans="1:2">
      <c r="A21" s="17" t="s">
        <v>570</v>
      </c>
      <c r="B21" s="150">
        <v>307</v>
      </c>
    </row>
    <row r="22" spans="1:2">
      <c r="A22" s="111" t="s">
        <v>369</v>
      </c>
      <c r="B22" s="150">
        <v>293</v>
      </c>
    </row>
    <row r="23" spans="1:2">
      <c r="A23" s="111" t="s">
        <v>370</v>
      </c>
      <c r="B23" s="150">
        <v>1</v>
      </c>
    </row>
    <row r="24" spans="1:2">
      <c r="A24" s="111" t="s">
        <v>377</v>
      </c>
      <c r="B24" s="150">
        <v>9</v>
      </c>
    </row>
    <row r="25" spans="1:2">
      <c r="A25" s="111" t="s">
        <v>375</v>
      </c>
      <c r="B25" s="150">
        <v>3</v>
      </c>
    </row>
    <row r="26" spans="1:2">
      <c r="A26" s="111" t="s">
        <v>692</v>
      </c>
      <c r="B26" s="150">
        <v>1</v>
      </c>
    </row>
    <row r="27" spans="1:2">
      <c r="A27" s="17" t="s">
        <v>6998</v>
      </c>
      <c r="B27" s="150">
        <v>4</v>
      </c>
    </row>
    <row r="28" spans="1:2">
      <c r="A28" s="111" t="s">
        <v>369</v>
      </c>
      <c r="B28" s="150">
        <v>4</v>
      </c>
    </row>
    <row r="29" spans="1:2">
      <c r="A29" s="17" t="s">
        <v>7194</v>
      </c>
      <c r="B29" s="150">
        <v>5</v>
      </c>
    </row>
    <row r="30" spans="1:2">
      <c r="A30" s="111" t="s">
        <v>369</v>
      </c>
      <c r="B30" s="150">
        <v>5</v>
      </c>
    </row>
    <row r="31" spans="1:2">
      <c r="A31" s="17" t="s">
        <v>381</v>
      </c>
      <c r="B31" s="150">
        <v>1004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35"/>
  <sheetViews>
    <sheetView zoomScale="115" zoomScaleNormal="115" workbookViewId="0">
      <selection activeCell="D19" sqref="D19"/>
    </sheetView>
  </sheetViews>
  <sheetFormatPr defaultColWidth="0" defaultRowHeight="14.4"/>
  <cols>
    <col min="1" max="1" width="39.5546875" bestFit="1" customWidth="1"/>
    <col min="2" max="2" width="12.109375" bestFit="1" customWidth="1"/>
    <col min="3" max="3" width="8.33203125" style="46" bestFit="1" customWidth="1"/>
    <col min="4" max="4" width="11.33203125" style="46" bestFit="1" customWidth="1"/>
    <col min="5" max="5" width="11.33203125" style="22" bestFit="1" customWidth="1"/>
    <col min="6" max="6" width="20.109375" customWidth="1"/>
    <col min="7" max="10" width="9.109375" hidden="1" customWidth="1"/>
    <col min="11" max="11" width="26" hidden="1" customWidth="1"/>
    <col min="12" max="16384" width="9.109375" hidden="1"/>
  </cols>
  <sheetData>
    <row r="2" spans="1:6">
      <c r="A2" s="66" t="s">
        <v>365</v>
      </c>
      <c r="B2" s="149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6532</v>
      </c>
      <c r="B5" s="150">
        <v>6</v>
      </c>
      <c r="C5"/>
      <c r="D5"/>
      <c r="E5"/>
    </row>
    <row r="6" spans="1:6">
      <c r="A6" s="111" t="s">
        <v>7343</v>
      </c>
      <c r="B6" s="150">
        <v>1</v>
      </c>
      <c r="C6" s="126"/>
      <c r="D6" s="124"/>
      <c r="E6" s="124"/>
    </row>
    <row r="7" spans="1:6">
      <c r="A7" s="112" t="s">
        <v>370</v>
      </c>
      <c r="B7" s="150">
        <v>1</v>
      </c>
      <c r="C7"/>
      <c r="D7"/>
      <c r="E7"/>
    </row>
    <row r="8" spans="1:6">
      <c r="A8" s="111" t="s">
        <v>7393</v>
      </c>
      <c r="B8" s="150">
        <v>5</v>
      </c>
      <c r="C8" s="56"/>
      <c r="D8" s="124"/>
      <c r="E8" s="124"/>
    </row>
    <row r="9" spans="1:6">
      <c r="A9" s="112" t="s">
        <v>370</v>
      </c>
      <c r="B9" s="150">
        <v>1</v>
      </c>
      <c r="C9"/>
      <c r="D9"/>
    </row>
    <row r="10" spans="1:6">
      <c r="A10" s="112" t="s">
        <v>375</v>
      </c>
      <c r="B10" s="150">
        <v>3</v>
      </c>
      <c r="C10" s="53"/>
      <c r="D10" s="124"/>
      <c r="E10" s="124"/>
    </row>
    <row r="11" spans="1:6">
      <c r="A11" s="112" t="s">
        <v>692</v>
      </c>
      <c r="B11" s="150">
        <v>1</v>
      </c>
      <c r="C11"/>
      <c r="D11"/>
    </row>
    <row r="12" spans="1:6">
      <c r="A12" s="17" t="s">
        <v>4326</v>
      </c>
      <c r="B12" s="150">
        <v>2</v>
      </c>
      <c r="C12" s="126"/>
      <c r="D12"/>
    </row>
    <row r="13" spans="1:6">
      <c r="A13" s="111" t="s">
        <v>6639</v>
      </c>
      <c r="B13" s="150">
        <v>2</v>
      </c>
      <c r="C13"/>
      <c r="D13"/>
    </row>
    <row r="14" spans="1:6">
      <c r="A14" s="112" t="s">
        <v>692</v>
      </c>
      <c r="B14" s="150">
        <v>2</v>
      </c>
      <c r="C14" s="126"/>
      <c r="D14"/>
    </row>
    <row r="15" spans="1:6">
      <c r="A15" s="17" t="s">
        <v>381</v>
      </c>
      <c r="B15" s="150">
        <v>8</v>
      </c>
      <c r="C15"/>
      <c r="D15" s="124"/>
      <c r="E15" s="124"/>
    </row>
    <row r="16" spans="1:6">
      <c r="C16"/>
      <c r="D16"/>
    </row>
    <row r="17" spans="3:5">
      <c r="C17"/>
      <c r="D17" s="124"/>
      <c r="E17" s="124"/>
    </row>
    <row r="18" spans="3:5">
      <c r="C18" s="126"/>
      <c r="D18"/>
    </row>
    <row r="19" spans="3:5">
      <c r="C19" s="47"/>
      <c r="D19"/>
    </row>
    <row r="20" spans="3:5">
      <c r="C20" s="126"/>
    </row>
    <row r="21" spans="3:5" ht="17.25" customHeight="1"/>
    <row r="25" spans="3:5">
      <c r="D25" s="124"/>
      <c r="E25" s="124"/>
    </row>
    <row r="26" spans="3:5">
      <c r="C26" s="126"/>
    </row>
    <row r="31" spans="3:5">
      <c r="C31" s="30"/>
    </row>
    <row r="32" spans="3:5">
      <c r="C32" s="30"/>
    </row>
    <row r="33" spans="3:3">
      <c r="C33" s="30"/>
    </row>
    <row r="34" spans="3:3">
      <c r="C34" s="30"/>
    </row>
    <row r="35" spans="3:3">
      <c r="C35" s="30"/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390"/>
  <sheetViews>
    <sheetView topLeftCell="A1341" workbookViewId="0">
      <selection activeCell="C1390" sqref="C1390"/>
    </sheetView>
  </sheetViews>
  <sheetFormatPr defaultRowHeight="14.4"/>
  <cols>
    <col min="1" max="1" width="24.5546875" bestFit="1" customWidth="1"/>
    <col min="2" max="2" width="10.5546875" bestFit="1" customWidth="1"/>
    <col min="3" max="3" width="4.441406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2819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2829</v>
      </c>
      <c r="B1103">
        <v>3</v>
      </c>
      <c r="C1103" s="72" t="s">
        <v>4</v>
      </c>
    </row>
    <row r="1104" spans="1:3">
      <c r="A1104" t="s">
        <v>2826</v>
      </c>
      <c r="B1104">
        <v>4</v>
      </c>
      <c r="C1104" s="72" t="s">
        <v>4</v>
      </c>
    </row>
    <row r="1105" spans="1:3">
      <c r="A1105" t="s">
        <v>2851</v>
      </c>
      <c r="B1105">
        <v>1</v>
      </c>
      <c r="C1105" s="72" t="s">
        <v>4</v>
      </c>
    </row>
    <row r="1106" spans="1:3">
      <c r="A1106" t="s">
        <v>2843</v>
      </c>
      <c r="B1106">
        <v>1</v>
      </c>
      <c r="C1106" s="72" t="s">
        <v>4</v>
      </c>
    </row>
    <row r="1107" spans="1:3">
      <c r="A1107" t="s">
        <v>2831</v>
      </c>
      <c r="B1107">
        <v>7</v>
      </c>
      <c r="C1107" s="72" t="s">
        <v>4</v>
      </c>
    </row>
    <row r="1108" spans="1:3">
      <c r="A1108" t="s">
        <v>2846</v>
      </c>
      <c r="B1108">
        <v>4</v>
      </c>
      <c r="C1108" s="72" t="s">
        <v>4</v>
      </c>
    </row>
    <row r="1109" spans="1:3">
      <c r="A1109" t="s">
        <v>2855</v>
      </c>
      <c r="B1109">
        <v>1</v>
      </c>
      <c r="C1109" t="s">
        <v>4</v>
      </c>
    </row>
    <row r="1110" spans="1:3">
      <c r="A1110" t="s">
        <v>2857</v>
      </c>
      <c r="B1110">
        <v>5</v>
      </c>
      <c r="C1110" s="72" t="s">
        <v>4</v>
      </c>
    </row>
    <row r="1111" spans="1:3">
      <c r="A1111" t="s">
        <v>2866</v>
      </c>
      <c r="B1111">
        <v>1</v>
      </c>
      <c r="C1111" s="72" t="s">
        <v>4</v>
      </c>
    </row>
    <row r="1112" spans="1:3">
      <c r="A1112" t="s">
        <v>2868</v>
      </c>
      <c r="B1112">
        <v>1</v>
      </c>
      <c r="C1112" s="72" t="s">
        <v>4</v>
      </c>
    </row>
    <row r="1113" spans="1:3">
      <c r="A1113" t="s">
        <v>2884</v>
      </c>
      <c r="B1113">
        <v>8</v>
      </c>
      <c r="C1113" s="72" t="s">
        <v>4</v>
      </c>
    </row>
    <row r="1114" spans="1:3">
      <c r="A1114" t="s">
        <v>2871</v>
      </c>
      <c r="B1114">
        <v>1</v>
      </c>
      <c r="C1114" s="72" t="s">
        <v>4</v>
      </c>
    </row>
    <row r="1115" spans="1:3">
      <c r="A1115" t="s">
        <v>3013</v>
      </c>
      <c r="B1115">
        <v>1</v>
      </c>
      <c r="C1115" s="72" t="s">
        <v>4</v>
      </c>
    </row>
    <row r="1116" spans="1:3">
      <c r="A1116" t="s">
        <v>3021</v>
      </c>
      <c r="B1116">
        <v>1</v>
      </c>
      <c r="C1116" s="72" t="s">
        <v>4</v>
      </c>
    </row>
    <row r="1117" spans="1:3">
      <c r="A1117" t="s">
        <v>3018</v>
      </c>
      <c r="B1117">
        <v>1</v>
      </c>
      <c r="C1117" s="72" t="s">
        <v>4</v>
      </c>
    </row>
    <row r="1118" spans="1:3">
      <c r="A1118" t="s">
        <v>3015</v>
      </c>
      <c r="B1118">
        <v>2</v>
      </c>
      <c r="C1118" s="72" t="s">
        <v>4</v>
      </c>
    </row>
    <row r="1119" spans="1:3">
      <c r="A1119" t="s">
        <v>2887</v>
      </c>
      <c r="B1119">
        <v>1</v>
      </c>
      <c r="C1119" s="72" t="s">
        <v>4</v>
      </c>
    </row>
    <row r="1120" spans="1:3">
      <c r="A1120" t="s">
        <v>2895</v>
      </c>
      <c r="B1120">
        <v>4</v>
      </c>
      <c r="C1120" s="72" t="s">
        <v>4</v>
      </c>
    </row>
    <row r="1121" spans="1:3">
      <c r="A1121" t="s">
        <v>2896</v>
      </c>
      <c r="B1121">
        <v>2</v>
      </c>
      <c r="C1121" s="72" t="s">
        <v>4</v>
      </c>
    </row>
    <row r="1122" spans="1:3">
      <c r="A1122" t="s">
        <v>2898</v>
      </c>
      <c r="B1122">
        <v>1</v>
      </c>
      <c r="C1122" s="72" t="s">
        <v>4</v>
      </c>
    </row>
    <row r="1123" spans="1:3">
      <c r="A1123" t="s">
        <v>2900</v>
      </c>
      <c r="B1123">
        <v>101</v>
      </c>
      <c r="C1123" s="72" t="s">
        <v>4</v>
      </c>
    </row>
    <row r="1124" spans="1:3">
      <c r="A1124" t="s">
        <v>3083</v>
      </c>
      <c r="B1124">
        <v>17</v>
      </c>
      <c r="C1124" s="72" t="s">
        <v>4</v>
      </c>
    </row>
    <row r="1125" spans="1:3">
      <c r="A1125" t="s">
        <v>3084</v>
      </c>
      <c r="B1125">
        <v>1</v>
      </c>
      <c r="C1125" s="72" t="s">
        <v>4</v>
      </c>
    </row>
    <row r="1126" spans="1:3">
      <c r="A1126" t="s">
        <v>3065</v>
      </c>
      <c r="B1126">
        <v>36</v>
      </c>
      <c r="C1126" s="84" t="s">
        <v>4</v>
      </c>
    </row>
    <row r="1127" spans="1:3">
      <c r="A1127" t="s">
        <v>3085</v>
      </c>
      <c r="B1127">
        <v>78</v>
      </c>
      <c r="C1127" s="84" t="s">
        <v>4</v>
      </c>
    </row>
    <row r="1128" spans="1:3">
      <c r="A1128" t="s">
        <v>3182</v>
      </c>
      <c r="B1128">
        <v>2</v>
      </c>
      <c r="C1128" s="84" t="s">
        <v>4</v>
      </c>
    </row>
    <row r="1129" spans="1:3">
      <c r="A1129" t="s">
        <v>3188</v>
      </c>
      <c r="B1129">
        <v>1</v>
      </c>
      <c r="C1129" s="84" t="s">
        <v>4</v>
      </c>
    </row>
    <row r="1130" spans="1:3">
      <c r="A1130" t="s">
        <v>3191</v>
      </c>
      <c r="B1130">
        <v>20</v>
      </c>
      <c r="C1130" s="84" t="s">
        <v>4</v>
      </c>
    </row>
    <row r="1131" spans="1:3">
      <c r="A1131" t="s">
        <v>3255</v>
      </c>
      <c r="B1131">
        <v>2</v>
      </c>
      <c r="C1131" s="84" t="s">
        <v>4</v>
      </c>
    </row>
    <row r="1132" spans="1:3">
      <c r="A1132" t="s">
        <v>3228</v>
      </c>
      <c r="B1132">
        <v>19</v>
      </c>
      <c r="C1132" s="84" t="s">
        <v>4</v>
      </c>
    </row>
    <row r="1133" spans="1:3">
      <c r="A1133" t="s">
        <v>3201</v>
      </c>
      <c r="B1133">
        <v>23</v>
      </c>
      <c r="C1133" s="84" t="s">
        <v>4</v>
      </c>
    </row>
    <row r="1134" spans="1:3">
      <c r="A1134" t="s">
        <v>3267</v>
      </c>
      <c r="B1134">
        <v>11</v>
      </c>
      <c r="C1134" s="84" t="s">
        <v>4</v>
      </c>
    </row>
    <row r="1135" spans="1:3">
      <c r="A1135" t="s">
        <v>3260</v>
      </c>
      <c r="B1135">
        <v>3</v>
      </c>
      <c r="C1135" s="84" t="s">
        <v>4</v>
      </c>
    </row>
    <row r="1136" spans="1:3">
      <c r="A1136" t="s">
        <v>3289</v>
      </c>
      <c r="B1136">
        <v>1</v>
      </c>
      <c r="C1136" s="84" t="s">
        <v>4</v>
      </c>
    </row>
    <row r="1137" spans="1:3">
      <c r="A1137" t="s">
        <v>3292</v>
      </c>
      <c r="B1137">
        <v>1</v>
      </c>
      <c r="C1137" s="84" t="s">
        <v>4</v>
      </c>
    </row>
    <row r="1138" spans="1:3">
      <c r="A1138" t="s">
        <v>3326</v>
      </c>
      <c r="B1138">
        <v>28</v>
      </c>
      <c r="C1138" s="84" t="s">
        <v>4</v>
      </c>
    </row>
    <row r="1139" spans="1:3">
      <c r="A1139" t="s">
        <v>3327</v>
      </c>
      <c r="B1139">
        <v>1</v>
      </c>
      <c r="C1139" s="84" t="s">
        <v>4</v>
      </c>
    </row>
    <row r="1140" spans="1:3">
      <c r="A1140" t="s">
        <v>3297</v>
      </c>
      <c r="B1140">
        <v>1</v>
      </c>
      <c r="C1140" s="89" t="s">
        <v>4</v>
      </c>
    </row>
    <row r="1141" spans="1:3">
      <c r="A1141" t="s">
        <v>3345</v>
      </c>
      <c r="B1141">
        <v>3</v>
      </c>
      <c r="C1141" s="89" t="s">
        <v>4</v>
      </c>
    </row>
    <row r="1142" spans="1:3">
      <c r="A1142" t="s">
        <v>3355</v>
      </c>
      <c r="B1142">
        <v>1</v>
      </c>
      <c r="C1142" s="89" t="s">
        <v>4</v>
      </c>
    </row>
    <row r="1143" spans="1:3">
      <c r="A1143" t="s">
        <v>3357</v>
      </c>
      <c r="B1143">
        <v>4</v>
      </c>
      <c r="C1143" s="89" t="s">
        <v>4</v>
      </c>
    </row>
    <row r="1144" spans="1:3">
      <c r="A1144" t="s">
        <v>3331</v>
      </c>
      <c r="B1144">
        <v>1</v>
      </c>
      <c r="C1144" s="89" t="s">
        <v>4</v>
      </c>
    </row>
    <row r="1145" spans="1:3">
      <c r="A1145" t="s">
        <v>3332</v>
      </c>
      <c r="B1145">
        <v>10</v>
      </c>
      <c r="C1145" s="89" t="s">
        <v>4</v>
      </c>
    </row>
    <row r="1146" spans="1:3">
      <c r="A1146" t="s">
        <v>3368</v>
      </c>
      <c r="B1146">
        <v>2</v>
      </c>
      <c r="C1146" s="89" t="s">
        <v>4</v>
      </c>
    </row>
    <row r="1147" spans="1:3">
      <c r="A1147" t="s">
        <v>3374</v>
      </c>
      <c r="B1147">
        <v>1</v>
      </c>
      <c r="C1147" s="89" t="s">
        <v>4</v>
      </c>
    </row>
    <row r="1148" spans="1:3">
      <c r="A1148" t="s">
        <v>3384</v>
      </c>
      <c r="B1148">
        <v>9</v>
      </c>
      <c r="C1148" s="89" t="s">
        <v>4</v>
      </c>
    </row>
    <row r="1149" spans="1:3">
      <c r="A1149" t="s">
        <v>3395</v>
      </c>
      <c r="B1149">
        <v>55</v>
      </c>
      <c r="C1149" s="89" t="s">
        <v>4</v>
      </c>
    </row>
    <row r="1150" spans="1:3">
      <c r="A1150" t="s">
        <v>3403</v>
      </c>
      <c r="B1150">
        <v>1</v>
      </c>
      <c r="C1150" s="89" t="s">
        <v>4</v>
      </c>
    </row>
    <row r="1151" spans="1:3">
      <c r="A1151" t="s">
        <v>3380</v>
      </c>
      <c r="B1151">
        <v>2</v>
      </c>
      <c r="C1151" s="89" t="s">
        <v>4</v>
      </c>
    </row>
    <row r="1152" spans="1:3">
      <c r="A1152" t="s">
        <v>3375</v>
      </c>
      <c r="B1152">
        <v>1</v>
      </c>
      <c r="C1152" s="89" t="s">
        <v>4</v>
      </c>
    </row>
    <row r="1153" spans="1:3">
      <c r="A1153" t="s">
        <v>3404</v>
      </c>
      <c r="B1153">
        <v>112</v>
      </c>
      <c r="C1153" s="89" t="s">
        <v>4</v>
      </c>
    </row>
    <row r="1154" spans="1:3">
      <c r="A1154" t="s">
        <v>3547</v>
      </c>
      <c r="B1154">
        <v>7</v>
      </c>
      <c r="C1154" s="89" t="s">
        <v>4</v>
      </c>
    </row>
    <row r="1155" spans="1:3">
      <c r="A1155" t="s">
        <v>3559</v>
      </c>
      <c r="B1155">
        <v>8</v>
      </c>
      <c r="C1155" s="89" t="s">
        <v>4</v>
      </c>
    </row>
    <row r="1156" spans="1:3">
      <c r="A1156" t="s">
        <v>3568</v>
      </c>
      <c r="B1156">
        <v>5</v>
      </c>
      <c r="C1156" s="89" t="s">
        <v>4</v>
      </c>
    </row>
    <row r="1157" spans="1:3">
      <c r="A1157" t="s">
        <v>3575</v>
      </c>
      <c r="B1157">
        <v>14</v>
      </c>
      <c r="C1157" s="89" t="s">
        <v>4</v>
      </c>
    </row>
    <row r="1158" spans="1:3">
      <c r="A1158" t="s">
        <v>3599</v>
      </c>
      <c r="B1158">
        <v>3</v>
      </c>
      <c r="C1158" s="89" t="s">
        <v>4</v>
      </c>
    </row>
    <row r="1159" spans="1:3">
      <c r="A1159" t="s">
        <v>3347</v>
      </c>
      <c r="B1159">
        <v>6</v>
      </c>
      <c r="C1159" s="89" t="s">
        <v>4</v>
      </c>
    </row>
    <row r="1160" spans="1:3">
      <c r="A1160" t="s">
        <v>3620</v>
      </c>
      <c r="B1160">
        <v>1</v>
      </c>
      <c r="C1160" s="93" t="s">
        <v>4</v>
      </c>
    </row>
    <row r="1161" spans="1:3">
      <c r="A1161" t="s">
        <v>3600</v>
      </c>
      <c r="B1161">
        <v>6</v>
      </c>
      <c r="C1161" s="93" t="s">
        <v>4</v>
      </c>
    </row>
    <row r="1162" spans="1:3">
      <c r="A1162" t="s">
        <v>3624</v>
      </c>
      <c r="B1162">
        <v>2</v>
      </c>
      <c r="C1162" s="93" t="s">
        <v>4</v>
      </c>
    </row>
    <row r="1163" spans="1:3">
      <c r="A1163" t="s">
        <v>3608</v>
      </c>
      <c r="B1163">
        <v>5</v>
      </c>
      <c r="C1163" s="93" t="s">
        <v>4</v>
      </c>
    </row>
    <row r="1164" spans="1:3">
      <c r="A1164" t="s">
        <v>3619</v>
      </c>
      <c r="B1164">
        <v>1</v>
      </c>
      <c r="C1164" s="93" t="s">
        <v>4</v>
      </c>
    </row>
    <row r="1165" spans="1:3">
      <c r="A1165" t="s">
        <v>3627</v>
      </c>
      <c r="B1165">
        <v>6</v>
      </c>
      <c r="C1165" s="93" t="s">
        <v>4</v>
      </c>
    </row>
    <row r="1166" spans="1:3">
      <c r="A1166" t="s">
        <v>3638</v>
      </c>
      <c r="B1166">
        <v>1</v>
      </c>
      <c r="C1166" s="93" t="s">
        <v>4</v>
      </c>
    </row>
    <row r="1167" spans="1:3">
      <c r="A1167" t="s">
        <v>3640</v>
      </c>
      <c r="B1167">
        <v>98</v>
      </c>
      <c r="C1167" s="93" t="s">
        <v>4</v>
      </c>
    </row>
    <row r="1168" spans="1:3">
      <c r="A1168" t="s">
        <v>3747</v>
      </c>
      <c r="B1168">
        <v>319</v>
      </c>
      <c r="C1168" s="93" t="s">
        <v>4</v>
      </c>
    </row>
    <row r="1169" spans="1:3">
      <c r="A1169" t="s">
        <v>4074</v>
      </c>
      <c r="B1169">
        <v>1</v>
      </c>
      <c r="C1169" s="93" t="s">
        <v>4</v>
      </c>
    </row>
    <row r="1170" spans="1:3">
      <c r="A1170" t="s">
        <v>4076</v>
      </c>
      <c r="B1170">
        <v>5</v>
      </c>
      <c r="C1170" s="93" t="s">
        <v>4</v>
      </c>
    </row>
    <row r="1171" spans="1:3">
      <c r="A1171" t="s">
        <v>4083</v>
      </c>
      <c r="B1171">
        <v>7</v>
      </c>
      <c r="C1171" s="93" t="s">
        <v>4</v>
      </c>
    </row>
    <row r="1172" spans="1:3">
      <c r="A1172" t="s">
        <v>4092</v>
      </c>
      <c r="B1172">
        <v>1</v>
      </c>
      <c r="C1172" s="97" t="s">
        <v>4</v>
      </c>
    </row>
    <row r="1173" spans="1:3">
      <c r="A1173" t="s">
        <v>4097</v>
      </c>
      <c r="B1173">
        <v>1</v>
      </c>
      <c r="C1173" s="97" t="s">
        <v>4</v>
      </c>
    </row>
    <row r="1174" spans="1:3">
      <c r="A1174" t="s">
        <v>4115</v>
      </c>
      <c r="B1174">
        <v>8</v>
      </c>
      <c r="C1174" s="103" t="s">
        <v>4</v>
      </c>
    </row>
    <row r="1175" spans="1:3">
      <c r="A1175" t="s">
        <v>4118</v>
      </c>
      <c r="B1175">
        <v>1</v>
      </c>
      <c r="C1175" s="103" t="s">
        <v>4</v>
      </c>
    </row>
    <row r="1176" spans="1:3">
      <c r="A1176" t="s">
        <v>4123</v>
      </c>
      <c r="B1176">
        <v>1</v>
      </c>
      <c r="C1176" s="103" t="s">
        <v>4</v>
      </c>
    </row>
    <row r="1177" spans="1:3">
      <c r="A1177" t="s">
        <v>4098</v>
      </c>
      <c r="B1177">
        <v>1</v>
      </c>
      <c r="C1177" s="103" t="s">
        <v>4</v>
      </c>
    </row>
    <row r="1178" spans="1:3">
      <c r="A1178" t="s">
        <v>4103</v>
      </c>
      <c r="B1178">
        <v>2</v>
      </c>
      <c r="C1178" s="103" t="s">
        <v>4</v>
      </c>
    </row>
    <row r="1179" spans="1:3">
      <c r="A1179" t="s">
        <v>4119</v>
      </c>
      <c r="B1179">
        <v>2</v>
      </c>
      <c r="C1179" s="103" t="s">
        <v>4</v>
      </c>
    </row>
    <row r="1180" spans="1:3">
      <c r="A1180" t="s">
        <v>4133</v>
      </c>
      <c r="B1180">
        <v>7</v>
      </c>
      <c r="C1180" s="103" t="s">
        <v>4</v>
      </c>
    </row>
    <row r="1181" spans="1:3">
      <c r="A1181" t="s">
        <v>3291</v>
      </c>
      <c r="B1181">
        <v>4</v>
      </c>
      <c r="C1181" s="103" t="s">
        <v>4</v>
      </c>
    </row>
    <row r="1182" spans="1:3">
      <c r="A1182" t="s">
        <v>4139</v>
      </c>
      <c r="B1182">
        <v>35</v>
      </c>
      <c r="C1182" s="103" t="s">
        <v>4</v>
      </c>
    </row>
    <row r="1183" spans="1:3">
      <c r="A1183" t="s">
        <v>4180</v>
      </c>
      <c r="B1183">
        <v>1</v>
      </c>
      <c r="C1183" s="103" t="s">
        <v>4</v>
      </c>
    </row>
    <row r="1184" spans="1:3">
      <c r="A1184" t="s">
        <v>4187</v>
      </c>
      <c r="B1184">
        <v>5</v>
      </c>
      <c r="C1184" s="103" t="s">
        <v>4</v>
      </c>
    </row>
    <row r="1185" spans="1:3">
      <c r="A1185" t="s">
        <v>4188</v>
      </c>
      <c r="B1185">
        <v>82</v>
      </c>
      <c r="C1185" s="103" t="s">
        <v>4</v>
      </c>
    </row>
    <row r="1186" spans="1:3">
      <c r="A1186" t="s">
        <v>4287</v>
      </c>
      <c r="B1186">
        <v>14</v>
      </c>
      <c r="C1186" s="103" t="s">
        <v>4</v>
      </c>
    </row>
    <row r="1187" spans="1:3">
      <c r="A1187" t="s">
        <v>4290</v>
      </c>
      <c r="B1187">
        <v>1</v>
      </c>
      <c r="C1187" s="103" t="s">
        <v>4</v>
      </c>
    </row>
    <row r="1188" spans="1:3">
      <c r="A1188" t="s">
        <v>4293</v>
      </c>
      <c r="B1188">
        <v>1</v>
      </c>
      <c r="C1188" s="103" t="s">
        <v>4</v>
      </c>
    </row>
    <row r="1189" spans="1:3">
      <c r="A1189" t="s">
        <v>4294</v>
      </c>
      <c r="B1189">
        <v>1</v>
      </c>
      <c r="C1189" s="103" t="s">
        <v>4</v>
      </c>
    </row>
    <row r="1190" spans="1:3">
      <c r="A1190" t="s">
        <v>4304</v>
      </c>
      <c r="B1190">
        <v>2</v>
      </c>
      <c r="C1190" s="103" t="s">
        <v>4</v>
      </c>
    </row>
    <row r="1191" spans="1:3">
      <c r="A1191" t="s">
        <v>4328</v>
      </c>
      <c r="B1191">
        <v>2</v>
      </c>
      <c r="C1191" s="103" t="s">
        <v>4</v>
      </c>
    </row>
    <row r="1192" spans="1:3">
      <c r="A1192" t="s">
        <v>4312</v>
      </c>
      <c r="B1192">
        <v>9</v>
      </c>
      <c r="C1192" s="103" t="s">
        <v>4</v>
      </c>
    </row>
    <row r="1193" spans="1:3">
      <c r="A1193" t="s">
        <v>4335</v>
      </c>
      <c r="B1193">
        <v>58</v>
      </c>
      <c r="C1193" s="103" t="s">
        <v>4</v>
      </c>
    </row>
    <row r="1194" spans="1:3">
      <c r="A1194" t="s">
        <v>4334</v>
      </c>
      <c r="B1194">
        <v>1</v>
      </c>
      <c r="C1194" s="103" t="s">
        <v>4</v>
      </c>
    </row>
    <row r="1195" spans="1:3">
      <c r="A1195" t="s">
        <v>4415</v>
      </c>
      <c r="B1195">
        <v>1</v>
      </c>
      <c r="C1195" s="103" t="s">
        <v>4</v>
      </c>
    </row>
    <row r="1196" spans="1:3">
      <c r="A1196" t="s">
        <v>4301</v>
      </c>
      <c r="B1196">
        <v>4</v>
      </c>
      <c r="C1196" s="117" t="s">
        <v>4</v>
      </c>
    </row>
    <row r="1197" spans="1:3">
      <c r="A1197" t="s">
        <v>4782</v>
      </c>
      <c r="B1197">
        <v>2</v>
      </c>
      <c r="C1197" s="117" t="s">
        <v>4</v>
      </c>
    </row>
    <row r="1198" spans="1:3">
      <c r="A1198" t="s">
        <v>4765</v>
      </c>
      <c r="B1198">
        <v>12</v>
      </c>
      <c r="C1198" s="117" t="s">
        <v>4</v>
      </c>
    </row>
    <row r="1199" spans="1:3">
      <c r="A1199" t="s">
        <v>4755</v>
      </c>
      <c r="B1199">
        <v>8</v>
      </c>
      <c r="C1199" s="117" t="s">
        <v>4</v>
      </c>
    </row>
    <row r="1200" spans="1:3">
      <c r="A1200" t="s">
        <v>4420</v>
      </c>
      <c r="B1200">
        <v>1</v>
      </c>
      <c r="C1200" s="117" t="s">
        <v>4</v>
      </c>
    </row>
    <row r="1201" spans="1:3">
      <c r="A1201" t="s">
        <v>4422</v>
      </c>
      <c r="B1201">
        <v>311</v>
      </c>
      <c r="C1201" s="117" t="s">
        <v>4</v>
      </c>
    </row>
    <row r="1202" spans="1:3">
      <c r="A1202" t="s">
        <v>4418</v>
      </c>
      <c r="B1202">
        <v>1</v>
      </c>
      <c r="C1202" s="117" t="s">
        <v>4</v>
      </c>
    </row>
    <row r="1203" spans="1:3">
      <c r="A1203" t="s">
        <v>4786</v>
      </c>
      <c r="B1203">
        <v>1</v>
      </c>
      <c r="C1203" s="117" t="s">
        <v>4</v>
      </c>
    </row>
    <row r="1204" spans="1:3">
      <c r="A1204" t="s">
        <v>4788</v>
      </c>
      <c r="B1204">
        <v>7</v>
      </c>
      <c r="C1204" s="117" t="s">
        <v>4</v>
      </c>
    </row>
    <row r="1205" spans="1:3">
      <c r="A1205" t="s">
        <v>4796</v>
      </c>
      <c r="B1205">
        <v>1</v>
      </c>
      <c r="C1205" s="117" t="s">
        <v>4</v>
      </c>
    </row>
    <row r="1206" spans="1:3">
      <c r="A1206" t="s">
        <v>4799</v>
      </c>
      <c r="B1206">
        <v>1</v>
      </c>
      <c r="C1206" s="117" t="s">
        <v>4</v>
      </c>
    </row>
    <row r="1207" spans="1:3">
      <c r="A1207" t="s">
        <v>4808</v>
      </c>
      <c r="B1207">
        <v>3</v>
      </c>
      <c r="C1207" s="117" t="s">
        <v>4</v>
      </c>
    </row>
    <row r="1208" spans="1:3">
      <c r="A1208" t="s">
        <v>4812</v>
      </c>
      <c r="B1208">
        <v>1</v>
      </c>
      <c r="C1208" s="117" t="s">
        <v>4</v>
      </c>
    </row>
    <row r="1209" spans="1:3">
      <c r="A1209" t="s">
        <v>4814</v>
      </c>
      <c r="B1209">
        <v>3</v>
      </c>
      <c r="C1209" s="117" t="s">
        <v>4</v>
      </c>
    </row>
    <row r="1210" spans="1:3">
      <c r="A1210" t="s">
        <v>4816</v>
      </c>
      <c r="B1210">
        <v>2</v>
      </c>
      <c r="C1210" s="117" t="s">
        <v>4</v>
      </c>
    </row>
    <row r="1211" spans="1:3">
      <c r="A1211" t="s">
        <v>4308</v>
      </c>
      <c r="B1211">
        <v>2</v>
      </c>
      <c r="C1211" s="117" t="s">
        <v>4</v>
      </c>
    </row>
    <row r="1212" spans="1:3">
      <c r="A1212" t="s">
        <v>4823</v>
      </c>
      <c r="B1212">
        <v>1</v>
      </c>
      <c r="C1212" s="117" t="s">
        <v>4</v>
      </c>
    </row>
    <row r="1213" spans="1:3">
      <c r="A1213" t="s">
        <v>4825</v>
      </c>
      <c r="B1213">
        <v>1</v>
      </c>
      <c r="C1213" s="117" t="s">
        <v>4</v>
      </c>
    </row>
    <row r="1214" spans="1:3">
      <c r="A1214" t="s">
        <v>4830</v>
      </c>
      <c r="B1214">
        <v>1</v>
      </c>
      <c r="C1214" s="121" t="s">
        <v>4</v>
      </c>
    </row>
    <row r="1215" spans="1:3">
      <c r="A1215" t="s">
        <v>4834</v>
      </c>
      <c r="B1215">
        <v>1</v>
      </c>
      <c r="C1215" s="121" t="s">
        <v>4</v>
      </c>
    </row>
    <row r="1216" spans="1:3">
      <c r="A1216" t="s">
        <v>4838</v>
      </c>
      <c r="B1216">
        <v>2</v>
      </c>
      <c r="C1216" s="121" t="s">
        <v>4</v>
      </c>
    </row>
    <row r="1217" spans="1:3">
      <c r="A1217" t="s">
        <v>4842</v>
      </c>
      <c r="B1217">
        <v>1</v>
      </c>
      <c r="C1217" s="124" t="s">
        <v>4</v>
      </c>
    </row>
    <row r="1218" spans="1:3">
      <c r="A1218" t="s">
        <v>4844</v>
      </c>
      <c r="B1218">
        <v>1</v>
      </c>
      <c r="C1218" s="124" t="s">
        <v>4</v>
      </c>
    </row>
    <row r="1219" spans="1:3">
      <c r="A1219" t="s">
        <v>4846</v>
      </c>
      <c r="B1219">
        <v>1</v>
      </c>
      <c r="C1219" s="124" t="s">
        <v>4</v>
      </c>
    </row>
    <row r="1220" spans="1:3">
      <c r="A1220" t="s">
        <v>4854</v>
      </c>
      <c r="B1220">
        <v>1</v>
      </c>
      <c r="C1220" s="124" t="s">
        <v>4</v>
      </c>
    </row>
    <row r="1221" spans="1:3">
      <c r="A1221" t="s">
        <v>4857</v>
      </c>
      <c r="B1221">
        <v>1</v>
      </c>
      <c r="C1221" s="124" t="s">
        <v>4</v>
      </c>
    </row>
    <row r="1222" spans="1:3">
      <c r="A1222" t="s">
        <v>4858</v>
      </c>
      <c r="B1222">
        <v>1</v>
      </c>
      <c r="C1222" s="124" t="s">
        <v>4</v>
      </c>
    </row>
    <row r="1223" spans="1:3">
      <c r="A1223" t="s">
        <v>4848</v>
      </c>
      <c r="B1223">
        <v>1</v>
      </c>
      <c r="C1223" s="124" t="s">
        <v>4</v>
      </c>
    </row>
    <row r="1224" spans="1:3">
      <c r="A1224" t="s">
        <v>4853</v>
      </c>
      <c r="B1224">
        <v>4</v>
      </c>
      <c r="C1224" s="124" t="s">
        <v>4</v>
      </c>
    </row>
    <row r="1225" spans="1:3">
      <c r="A1225" t="s">
        <v>4862</v>
      </c>
      <c r="B1225">
        <v>1</v>
      </c>
      <c r="C1225" s="124" t="s">
        <v>4</v>
      </c>
    </row>
    <row r="1226" spans="1:3">
      <c r="A1226" t="s">
        <v>4866</v>
      </c>
      <c r="B1226">
        <v>18</v>
      </c>
      <c r="C1226" s="124" t="s">
        <v>4</v>
      </c>
    </row>
    <row r="1227" spans="1:3">
      <c r="A1227" t="s">
        <v>4892</v>
      </c>
      <c r="B1227">
        <v>7</v>
      </c>
      <c r="C1227" s="124" t="s">
        <v>4</v>
      </c>
    </row>
    <row r="1228" spans="1:3">
      <c r="A1228" t="s">
        <v>4895</v>
      </c>
      <c r="B1228">
        <v>3</v>
      </c>
      <c r="C1228" s="124" t="s">
        <v>4</v>
      </c>
    </row>
    <row r="1229" spans="1:3">
      <c r="A1229" t="s">
        <v>4902</v>
      </c>
      <c r="B1229">
        <v>2</v>
      </c>
      <c r="C1229" s="124" t="s">
        <v>4</v>
      </c>
    </row>
    <row r="1230" spans="1:3">
      <c r="A1230" t="s">
        <v>4903</v>
      </c>
      <c r="B1230">
        <v>3</v>
      </c>
      <c r="C1230" s="124" t="s">
        <v>4</v>
      </c>
    </row>
    <row r="1231" spans="1:3">
      <c r="A1231" t="s">
        <v>4906</v>
      </c>
      <c r="B1231">
        <v>2</v>
      </c>
      <c r="C1231" s="124" t="s">
        <v>4</v>
      </c>
    </row>
    <row r="1232" spans="1:3">
      <c r="A1232" t="s">
        <v>4907</v>
      </c>
      <c r="B1232">
        <v>1</v>
      </c>
      <c r="C1232" s="124" t="s">
        <v>4</v>
      </c>
    </row>
    <row r="1233" spans="1:3">
      <c r="A1233" s="126" t="s">
        <v>4917</v>
      </c>
      <c r="B1233" s="30">
        <v>3</v>
      </c>
      <c r="C1233" s="124" t="s">
        <v>4</v>
      </c>
    </row>
    <row r="1234" spans="1:3">
      <c r="A1234" s="126" t="s">
        <v>4919</v>
      </c>
      <c r="B1234" s="30">
        <v>1</v>
      </c>
      <c r="C1234" s="124" t="s">
        <v>4</v>
      </c>
    </row>
    <row r="1235" spans="1:3">
      <c r="A1235" s="126" t="s">
        <v>4933</v>
      </c>
      <c r="B1235" s="30">
        <v>7</v>
      </c>
      <c r="C1235" s="124" t="s">
        <v>4</v>
      </c>
    </row>
    <row r="1236" spans="1:3">
      <c r="A1236" s="126" t="s">
        <v>4934</v>
      </c>
      <c r="B1236" s="30">
        <v>18</v>
      </c>
      <c r="C1236" s="124" t="s">
        <v>4</v>
      </c>
    </row>
    <row r="1237" spans="1:3">
      <c r="A1237" s="126" t="s">
        <v>5258</v>
      </c>
      <c r="B1237" s="30">
        <v>295</v>
      </c>
      <c r="C1237" s="124" t="s">
        <v>4</v>
      </c>
    </row>
    <row r="1238" spans="1:3">
      <c r="A1238" t="s">
        <v>5271</v>
      </c>
      <c r="B1238">
        <v>11</v>
      </c>
      <c r="C1238" s="124" t="s">
        <v>4</v>
      </c>
    </row>
    <row r="1239" spans="1:3">
      <c r="A1239" t="s">
        <v>5493</v>
      </c>
      <c r="B1239">
        <v>13</v>
      </c>
      <c r="C1239" s="124" t="s">
        <v>4</v>
      </c>
    </row>
    <row r="1240" spans="1:3">
      <c r="A1240" t="s">
        <v>5499</v>
      </c>
      <c r="B1240">
        <v>2</v>
      </c>
      <c r="C1240" s="124" t="s">
        <v>4</v>
      </c>
    </row>
    <row r="1241" spans="1:3">
      <c r="A1241" t="s">
        <v>5502</v>
      </c>
      <c r="B1241">
        <v>19</v>
      </c>
      <c r="C1241" s="124" t="s">
        <v>4</v>
      </c>
    </row>
    <row r="1242" spans="1:3">
      <c r="A1242" t="s">
        <v>5524</v>
      </c>
      <c r="B1242">
        <v>2</v>
      </c>
      <c r="C1242" s="124" t="s">
        <v>4</v>
      </c>
    </row>
    <row r="1243" spans="1:3">
      <c r="A1243" t="s">
        <v>5533</v>
      </c>
      <c r="B1243">
        <v>10</v>
      </c>
      <c r="C1243" s="124" t="s">
        <v>4</v>
      </c>
    </row>
    <row r="1244" spans="1:3">
      <c r="A1244" t="s">
        <v>5522</v>
      </c>
      <c r="B1244">
        <v>1</v>
      </c>
      <c r="C1244" s="124" t="s">
        <v>4</v>
      </c>
    </row>
    <row r="1245" spans="1:3">
      <c r="A1245" t="s">
        <v>5529</v>
      </c>
      <c r="B1245">
        <v>1</v>
      </c>
      <c r="C1245" s="124" t="s">
        <v>4</v>
      </c>
    </row>
    <row r="1246" spans="1:3">
      <c r="A1246" t="s">
        <v>5530</v>
      </c>
      <c r="B1246">
        <v>8</v>
      </c>
      <c r="C1246" s="124" t="s">
        <v>4</v>
      </c>
    </row>
    <row r="1247" spans="1:3">
      <c r="A1247" t="s">
        <v>5546</v>
      </c>
      <c r="B1247">
        <v>1</v>
      </c>
      <c r="C1247" s="124" t="s">
        <v>4</v>
      </c>
    </row>
    <row r="1248" spans="1:3">
      <c r="A1248" t="s">
        <v>5549</v>
      </c>
      <c r="B1248">
        <v>1</v>
      </c>
      <c r="C1248" s="124" t="s">
        <v>4</v>
      </c>
    </row>
    <row r="1249" spans="1:3">
      <c r="A1249" t="s">
        <v>5554</v>
      </c>
      <c r="B1249">
        <v>7</v>
      </c>
      <c r="C1249" s="128" t="s">
        <v>4</v>
      </c>
    </row>
    <row r="1250" spans="1:3">
      <c r="A1250" t="s">
        <v>5571</v>
      </c>
      <c r="B1250">
        <v>1</v>
      </c>
      <c r="C1250" s="128" t="s">
        <v>4</v>
      </c>
    </row>
    <row r="1251" spans="1:3">
      <c r="A1251" t="s">
        <v>5574</v>
      </c>
      <c r="B1251">
        <v>2</v>
      </c>
      <c r="C1251" s="135" t="s">
        <v>4</v>
      </c>
    </row>
    <row r="1252" spans="1:3">
      <c r="A1252" t="s">
        <v>5669</v>
      </c>
      <c r="B1252">
        <v>93</v>
      </c>
      <c r="C1252" s="135" t="s">
        <v>4</v>
      </c>
    </row>
    <row r="1253" spans="1:3">
      <c r="A1253" t="s">
        <v>5670</v>
      </c>
      <c r="B1253">
        <v>1</v>
      </c>
      <c r="C1253" s="135" t="s">
        <v>4</v>
      </c>
    </row>
    <row r="1254" spans="1:3">
      <c r="A1254" t="s">
        <v>5672</v>
      </c>
      <c r="B1254">
        <v>6</v>
      </c>
      <c r="C1254" s="135" t="s">
        <v>4</v>
      </c>
    </row>
    <row r="1255" spans="1:3">
      <c r="A1255" t="s">
        <v>5683</v>
      </c>
      <c r="B1255">
        <v>12</v>
      </c>
      <c r="C1255" s="135" t="s">
        <v>4</v>
      </c>
    </row>
    <row r="1256" spans="1:3">
      <c r="A1256" t="s">
        <v>5696</v>
      </c>
      <c r="B1256">
        <v>1</v>
      </c>
      <c r="C1256" s="135" t="s">
        <v>4</v>
      </c>
    </row>
    <row r="1257" spans="1:3">
      <c r="A1257" t="s">
        <v>5700</v>
      </c>
      <c r="B1257">
        <v>5</v>
      </c>
      <c r="C1257" s="135" t="s">
        <v>4</v>
      </c>
    </row>
    <row r="1258" spans="1:3">
      <c r="A1258" t="s">
        <v>5710</v>
      </c>
      <c r="B1258">
        <v>12</v>
      </c>
      <c r="C1258" s="135" t="s">
        <v>4</v>
      </c>
    </row>
    <row r="1259" spans="1:3">
      <c r="A1259" t="s">
        <v>5721</v>
      </c>
      <c r="B1259">
        <v>8</v>
      </c>
      <c r="C1259" s="135" t="s">
        <v>4</v>
      </c>
    </row>
    <row r="1260" spans="1:3">
      <c r="A1260" t="s">
        <v>5731</v>
      </c>
      <c r="B1260">
        <v>2</v>
      </c>
      <c r="C1260" s="135" t="s">
        <v>4</v>
      </c>
    </row>
    <row r="1261" spans="1:3">
      <c r="A1261" t="s">
        <v>5708</v>
      </c>
      <c r="B1261">
        <v>1</v>
      </c>
      <c r="C1261" s="135" t="s">
        <v>4</v>
      </c>
    </row>
    <row r="1262" spans="1:3">
      <c r="A1262" t="s">
        <v>5734</v>
      </c>
      <c r="B1262">
        <v>1</v>
      </c>
      <c r="C1262" s="135" t="s">
        <v>4</v>
      </c>
    </row>
    <row r="1263" spans="1:3">
      <c r="A1263" t="s">
        <v>5737</v>
      </c>
      <c r="B1263">
        <v>1</v>
      </c>
      <c r="C1263" s="135" t="s">
        <v>4</v>
      </c>
    </row>
    <row r="1264" spans="1:3">
      <c r="A1264" t="s">
        <v>5741</v>
      </c>
      <c r="B1264">
        <v>18</v>
      </c>
      <c r="C1264" s="135" t="s">
        <v>4</v>
      </c>
    </row>
    <row r="1265" spans="1:3">
      <c r="A1265" t="s">
        <v>5855</v>
      </c>
      <c r="B1265">
        <v>2</v>
      </c>
      <c r="C1265" s="135" t="s">
        <v>4</v>
      </c>
    </row>
    <row r="1266" spans="1:3">
      <c r="A1266" t="s">
        <v>5774</v>
      </c>
      <c r="B1266">
        <v>35</v>
      </c>
      <c r="C1266" s="138" t="s">
        <v>4</v>
      </c>
    </row>
    <row r="1267" spans="1:3">
      <c r="A1267" t="s">
        <v>5815</v>
      </c>
      <c r="B1267">
        <v>36</v>
      </c>
      <c r="C1267" s="138" t="s">
        <v>4</v>
      </c>
    </row>
    <row r="1268" spans="1:3">
      <c r="A1268" t="s">
        <v>5856</v>
      </c>
      <c r="B1268">
        <v>60</v>
      </c>
      <c r="C1268" s="138" t="s">
        <v>4</v>
      </c>
    </row>
    <row r="1269" spans="1:3">
      <c r="A1269" t="s">
        <v>5918</v>
      </c>
      <c r="B1269">
        <v>5</v>
      </c>
      <c r="C1269" s="138" t="s">
        <v>4</v>
      </c>
    </row>
    <row r="1270" spans="1:3">
      <c r="A1270" t="s">
        <v>5920</v>
      </c>
      <c r="B1270">
        <v>19</v>
      </c>
      <c r="C1270" s="138" t="s">
        <v>4</v>
      </c>
    </row>
    <row r="1271" spans="1:3">
      <c r="A1271" t="s">
        <v>6089</v>
      </c>
      <c r="B1271">
        <v>5</v>
      </c>
      <c r="C1271" s="138" t="s">
        <v>4</v>
      </c>
    </row>
    <row r="1272" spans="1:3">
      <c r="A1272" t="s">
        <v>6098</v>
      </c>
      <c r="B1272">
        <v>7</v>
      </c>
      <c r="C1272" s="138" t="s">
        <v>4</v>
      </c>
    </row>
    <row r="1273" spans="1:3">
      <c r="A1273" s="138" t="s">
        <v>5815</v>
      </c>
      <c r="B1273" s="30">
        <v>35</v>
      </c>
      <c r="C1273" s="138" t="s">
        <v>4</v>
      </c>
    </row>
    <row r="1274" spans="1:3">
      <c r="A1274" t="s">
        <v>6106</v>
      </c>
      <c r="B1274">
        <v>39</v>
      </c>
      <c r="C1274" s="139" t="s">
        <v>4</v>
      </c>
    </row>
    <row r="1275" spans="1:3">
      <c r="A1275" t="s">
        <v>6147</v>
      </c>
      <c r="B1275">
        <v>1</v>
      </c>
      <c r="C1275" s="144" t="s">
        <v>4</v>
      </c>
    </row>
    <row r="1276" spans="1:3">
      <c r="A1276" t="s">
        <v>6161</v>
      </c>
      <c r="B1276">
        <v>1</v>
      </c>
      <c r="C1276" s="144" t="s">
        <v>4</v>
      </c>
    </row>
    <row r="1277" spans="1:3">
      <c r="A1277" t="s">
        <v>6099</v>
      </c>
      <c r="B1277">
        <v>3</v>
      </c>
      <c r="C1277" s="144" t="s">
        <v>4</v>
      </c>
    </row>
    <row r="1278" spans="1:3">
      <c r="A1278" t="s">
        <v>6217</v>
      </c>
      <c r="B1278">
        <v>1</v>
      </c>
      <c r="C1278" s="149" t="s">
        <v>4</v>
      </c>
    </row>
    <row r="1279" spans="1:3">
      <c r="A1279" t="s">
        <v>6236</v>
      </c>
      <c r="B1279">
        <v>17</v>
      </c>
      <c r="C1279" s="149" t="s">
        <v>4</v>
      </c>
    </row>
    <row r="1280" spans="1:3">
      <c r="A1280" t="s">
        <v>6239</v>
      </c>
      <c r="B1280">
        <v>1</v>
      </c>
      <c r="C1280" s="149" t="s">
        <v>4</v>
      </c>
    </row>
    <row r="1281" spans="1:3">
      <c r="A1281" t="s">
        <v>6241</v>
      </c>
      <c r="B1281">
        <v>4</v>
      </c>
      <c r="C1281" s="149" t="s">
        <v>4</v>
      </c>
    </row>
    <row r="1282" spans="1:3">
      <c r="A1282" t="s">
        <v>6246</v>
      </c>
      <c r="B1282">
        <v>5</v>
      </c>
      <c r="C1282" s="149" t="s">
        <v>4</v>
      </c>
    </row>
    <row r="1283" spans="1:3">
      <c r="A1283" t="s">
        <v>6250</v>
      </c>
      <c r="B1283">
        <v>3</v>
      </c>
      <c r="C1283" s="149" t="s">
        <v>4</v>
      </c>
    </row>
    <row r="1284" spans="1:3">
      <c r="A1284" s="149" t="s">
        <v>6246</v>
      </c>
      <c r="B1284" s="30">
        <v>3</v>
      </c>
      <c r="C1284" s="149" t="s">
        <v>4</v>
      </c>
    </row>
    <row r="1285" spans="1:3">
      <c r="A1285" s="149" t="s">
        <v>6202</v>
      </c>
      <c r="B1285">
        <v>1</v>
      </c>
      <c r="C1285" s="149" t="s">
        <v>4</v>
      </c>
    </row>
    <row r="1286" spans="1:3">
      <c r="A1286" t="s">
        <v>6270</v>
      </c>
      <c r="B1286">
        <v>9</v>
      </c>
      <c r="C1286" s="149" t="s">
        <v>4</v>
      </c>
    </row>
    <row r="1287" spans="1:3">
      <c r="A1287" t="s">
        <v>6274</v>
      </c>
      <c r="B1287">
        <v>1</v>
      </c>
      <c r="C1287" s="149" t="s">
        <v>4</v>
      </c>
    </row>
    <row r="1288" spans="1:3">
      <c r="A1288" t="s">
        <v>6086</v>
      </c>
      <c r="B1288">
        <v>114</v>
      </c>
      <c r="C1288" s="149" t="s">
        <v>4</v>
      </c>
    </row>
    <row r="1289" spans="1:3">
      <c r="A1289" t="s">
        <v>6105</v>
      </c>
      <c r="B1289">
        <v>1</v>
      </c>
      <c r="C1289" s="149" t="s">
        <v>4</v>
      </c>
    </row>
    <row r="1290" spans="1:3">
      <c r="A1290" t="s">
        <v>6201</v>
      </c>
      <c r="B1290">
        <v>113</v>
      </c>
      <c r="C1290" s="149" t="s">
        <v>4</v>
      </c>
    </row>
    <row r="1291" spans="1:3">
      <c r="A1291" t="s">
        <v>6216</v>
      </c>
      <c r="B1291">
        <v>11</v>
      </c>
      <c r="C1291" s="149" t="s">
        <v>4</v>
      </c>
    </row>
    <row r="1292" spans="1:3">
      <c r="A1292" s="149" t="s">
        <v>6287</v>
      </c>
      <c r="B1292" s="30">
        <v>6</v>
      </c>
      <c r="C1292" s="149" t="s">
        <v>4</v>
      </c>
    </row>
    <row r="1293" spans="1:3">
      <c r="A1293" t="s">
        <v>6303</v>
      </c>
      <c r="B1293">
        <v>17</v>
      </c>
      <c r="C1293" s="149" t="s">
        <v>4</v>
      </c>
    </row>
    <row r="1294" spans="1:3">
      <c r="A1294" t="s">
        <v>6304</v>
      </c>
      <c r="B1294">
        <v>3</v>
      </c>
      <c r="C1294" s="149" t="s">
        <v>4</v>
      </c>
    </row>
    <row r="1295" spans="1:3">
      <c r="A1295" t="s">
        <v>6344</v>
      </c>
      <c r="B1295">
        <v>12</v>
      </c>
      <c r="C1295" s="149" t="s">
        <v>4</v>
      </c>
    </row>
    <row r="1296" spans="1:3">
      <c r="A1296" t="s">
        <v>6352</v>
      </c>
      <c r="B1296">
        <v>1</v>
      </c>
      <c r="C1296" s="149" t="s">
        <v>4</v>
      </c>
    </row>
    <row r="1297" spans="1:3">
      <c r="A1297" t="s">
        <v>6356</v>
      </c>
      <c r="B1297">
        <v>1</v>
      </c>
      <c r="C1297" s="149" t="s">
        <v>4</v>
      </c>
    </row>
    <row r="1298" spans="1:3">
      <c r="A1298" t="s">
        <v>6409</v>
      </c>
      <c r="B1298">
        <v>2</v>
      </c>
      <c r="C1298" s="149" t="s">
        <v>4</v>
      </c>
    </row>
    <row r="1299" spans="1:3">
      <c r="A1299" t="s">
        <v>6426</v>
      </c>
      <c r="B1299">
        <v>14</v>
      </c>
      <c r="C1299" s="149" t="s">
        <v>4</v>
      </c>
    </row>
    <row r="1300" spans="1:3">
      <c r="A1300" t="s">
        <v>6427</v>
      </c>
      <c r="B1300">
        <v>1</v>
      </c>
      <c r="C1300" s="149" t="s">
        <v>4</v>
      </c>
    </row>
    <row r="1301" spans="1:3">
      <c r="A1301" t="s">
        <v>6430</v>
      </c>
      <c r="B1301">
        <v>4</v>
      </c>
      <c r="C1301" s="149" t="s">
        <v>4</v>
      </c>
    </row>
    <row r="1302" spans="1:3">
      <c r="A1302" t="s">
        <v>6434</v>
      </c>
      <c r="B1302">
        <v>2</v>
      </c>
      <c r="C1302" s="149" t="s">
        <v>4</v>
      </c>
    </row>
    <row r="1303" spans="1:3">
      <c r="A1303" t="s">
        <v>6451</v>
      </c>
      <c r="B1303">
        <v>22</v>
      </c>
      <c r="C1303" s="149" t="s">
        <v>4</v>
      </c>
    </row>
    <row r="1304" spans="1:3">
      <c r="A1304" t="s">
        <v>6474</v>
      </c>
      <c r="B1304">
        <v>2</v>
      </c>
      <c r="C1304" s="149" t="s">
        <v>4</v>
      </c>
    </row>
    <row r="1305" spans="1:3">
      <c r="A1305" t="s">
        <v>6479</v>
      </c>
      <c r="B1305">
        <v>2</v>
      </c>
      <c r="C1305" s="149" t="s">
        <v>4</v>
      </c>
    </row>
    <row r="1306" spans="1:3">
      <c r="A1306" t="s">
        <v>6484</v>
      </c>
      <c r="B1306">
        <v>2</v>
      </c>
      <c r="C1306" s="149" t="s">
        <v>4</v>
      </c>
    </row>
    <row r="1307" spans="1:3">
      <c r="A1307" t="s">
        <v>6485</v>
      </c>
      <c r="B1307">
        <v>12</v>
      </c>
      <c r="C1307" s="149" t="s">
        <v>4</v>
      </c>
    </row>
    <row r="1308" spans="1:3">
      <c r="A1308" t="s">
        <v>6311</v>
      </c>
      <c r="B1308">
        <v>12</v>
      </c>
      <c r="C1308" s="149" t="s">
        <v>4</v>
      </c>
    </row>
    <row r="1309" spans="1:3">
      <c r="A1309" t="s">
        <v>6402</v>
      </c>
      <c r="B1309">
        <v>48</v>
      </c>
      <c r="C1309" s="149" t="s">
        <v>4</v>
      </c>
    </row>
    <row r="1310" spans="1:3">
      <c r="A1310" t="s">
        <v>5772</v>
      </c>
      <c r="B1310">
        <v>11</v>
      </c>
      <c r="C1310" s="149" t="s">
        <v>4</v>
      </c>
    </row>
    <row r="1311" spans="1:3">
      <c r="A1311" t="s">
        <v>6504</v>
      </c>
      <c r="B1311">
        <v>4</v>
      </c>
      <c r="C1311" s="149" t="s">
        <v>4</v>
      </c>
    </row>
    <row r="1312" spans="1:3">
      <c r="A1312" t="s">
        <v>6240</v>
      </c>
      <c r="B1312">
        <v>1</v>
      </c>
      <c r="C1312" s="149" t="s">
        <v>4</v>
      </c>
    </row>
    <row r="1313" spans="1:3">
      <c r="A1313" t="s">
        <v>6481</v>
      </c>
      <c r="B1313">
        <v>2</v>
      </c>
      <c r="C1313" s="149" t="s">
        <v>4</v>
      </c>
    </row>
    <row r="1314" spans="1:3">
      <c r="A1314" t="s">
        <v>6513</v>
      </c>
      <c r="B1314">
        <v>2</v>
      </c>
      <c r="C1314" s="149" t="s">
        <v>4</v>
      </c>
    </row>
    <row r="1315" spans="1:3">
      <c r="A1315" t="s">
        <v>6509</v>
      </c>
      <c r="B1315">
        <v>1</v>
      </c>
      <c r="C1315" s="149" t="s">
        <v>4</v>
      </c>
    </row>
    <row r="1316" spans="1:3">
      <c r="A1316" t="s">
        <v>6516</v>
      </c>
      <c r="B1316">
        <v>1</v>
      </c>
      <c r="C1316" s="149" t="s">
        <v>4</v>
      </c>
    </row>
    <row r="1317" spans="1:3">
      <c r="A1317" t="s">
        <v>6514</v>
      </c>
      <c r="B1317">
        <v>1</v>
      </c>
      <c r="C1317" s="149" t="s">
        <v>4</v>
      </c>
    </row>
    <row r="1318" spans="1:3">
      <c r="A1318" t="s">
        <v>6530</v>
      </c>
      <c r="B1318">
        <v>12</v>
      </c>
      <c r="C1318" s="149" t="s">
        <v>4</v>
      </c>
    </row>
    <row r="1319" spans="1:3">
      <c r="A1319" t="s">
        <v>6564</v>
      </c>
      <c r="B1319">
        <v>3</v>
      </c>
      <c r="C1319" s="149" t="s">
        <v>4</v>
      </c>
    </row>
    <row r="1320" spans="1:3">
      <c r="A1320" t="s">
        <v>6541</v>
      </c>
      <c r="B1320">
        <v>20</v>
      </c>
      <c r="C1320" s="149" t="s">
        <v>4</v>
      </c>
    </row>
    <row r="1321" spans="1:3">
      <c r="A1321" t="s">
        <v>6539</v>
      </c>
      <c r="B1321">
        <v>2</v>
      </c>
      <c r="C1321" s="149" t="s">
        <v>4</v>
      </c>
    </row>
    <row r="1322" spans="1:3">
      <c r="A1322" t="s">
        <v>6533</v>
      </c>
      <c r="B1322">
        <v>4</v>
      </c>
      <c r="C1322" s="149" t="s">
        <v>4</v>
      </c>
    </row>
    <row r="1323" spans="1:3">
      <c r="A1323" t="s">
        <v>6572</v>
      </c>
      <c r="B1323">
        <v>1</v>
      </c>
      <c r="C1323" s="149" t="s">
        <v>4</v>
      </c>
    </row>
    <row r="1324" spans="1:3">
      <c r="A1324" t="s">
        <v>6599</v>
      </c>
      <c r="B1324">
        <v>24</v>
      </c>
      <c r="C1324" s="149" t="s">
        <v>4</v>
      </c>
    </row>
    <row r="1325" spans="1:3">
      <c r="A1325" t="s">
        <v>6574</v>
      </c>
      <c r="B1325">
        <v>1</v>
      </c>
      <c r="C1325" s="149" t="s">
        <v>4</v>
      </c>
    </row>
    <row r="1326" spans="1:3">
      <c r="A1326" t="s">
        <v>6606</v>
      </c>
      <c r="B1326">
        <v>1</v>
      </c>
      <c r="C1326" s="149" t="s">
        <v>4</v>
      </c>
    </row>
    <row r="1327" spans="1:3">
      <c r="A1327" t="s">
        <v>6608</v>
      </c>
      <c r="B1327">
        <v>2</v>
      </c>
      <c r="C1327" s="149" t="s">
        <v>4</v>
      </c>
    </row>
    <row r="1328" spans="1:3">
      <c r="A1328" t="s">
        <v>6629</v>
      </c>
      <c r="B1328">
        <v>4</v>
      </c>
      <c r="C1328" s="149" t="s">
        <v>4</v>
      </c>
    </row>
    <row r="1329" spans="1:3">
      <c r="A1329" s="149" t="s">
        <v>6666</v>
      </c>
      <c r="B1329">
        <v>46</v>
      </c>
      <c r="C1329" s="149" t="s">
        <v>4</v>
      </c>
    </row>
    <row r="1330" spans="1:3">
      <c r="A1330" s="149" t="s">
        <v>6636</v>
      </c>
      <c r="B1330" s="149">
        <v>1</v>
      </c>
      <c r="C1330" s="149" t="s">
        <v>4</v>
      </c>
    </row>
    <row r="1331" spans="1:3">
      <c r="A1331" s="149" t="s">
        <v>6715</v>
      </c>
      <c r="B1331" s="149">
        <v>26</v>
      </c>
      <c r="C1331" s="149" t="s">
        <v>4</v>
      </c>
    </row>
    <row r="1332" spans="1:3">
      <c r="A1332" s="149" t="s">
        <v>6642</v>
      </c>
      <c r="B1332" s="149">
        <v>21</v>
      </c>
      <c r="C1332" s="149" t="s">
        <v>4</v>
      </c>
    </row>
    <row r="1333" spans="1:3">
      <c r="A1333" t="s">
        <v>4412</v>
      </c>
      <c r="B1333">
        <v>11</v>
      </c>
      <c r="C1333" s="149" t="s">
        <v>4</v>
      </c>
    </row>
    <row r="1334" spans="1:3">
      <c r="A1334" t="s">
        <v>5478</v>
      </c>
      <c r="B1334">
        <v>178</v>
      </c>
      <c r="C1334" s="149" t="s">
        <v>4</v>
      </c>
    </row>
    <row r="1335" spans="1:3">
      <c r="A1335" t="s">
        <v>6160</v>
      </c>
      <c r="B1335">
        <v>17</v>
      </c>
      <c r="C1335" s="149" t="s">
        <v>4</v>
      </c>
    </row>
    <row r="1336" spans="1:3">
      <c r="A1336" t="s">
        <v>6436</v>
      </c>
      <c r="B1336">
        <v>21</v>
      </c>
      <c r="C1336" s="149" t="s">
        <v>4</v>
      </c>
    </row>
    <row r="1337" spans="1:3">
      <c r="A1337" t="s">
        <v>6750</v>
      </c>
      <c r="B1337">
        <v>25</v>
      </c>
      <c r="C1337" s="149" t="s">
        <v>4</v>
      </c>
    </row>
    <row r="1338" spans="1:3">
      <c r="A1338" t="s">
        <v>6628</v>
      </c>
      <c r="B1338">
        <v>35</v>
      </c>
      <c r="C1338" s="149" t="s">
        <v>4</v>
      </c>
    </row>
    <row r="1339" spans="1:3">
      <c r="A1339" t="s">
        <v>6854</v>
      </c>
      <c r="B1339">
        <v>7</v>
      </c>
      <c r="C1339" s="149" t="s">
        <v>4</v>
      </c>
    </row>
    <row r="1340" spans="1:3">
      <c r="A1340" t="s">
        <v>6864</v>
      </c>
      <c r="B1340">
        <v>1</v>
      </c>
      <c r="C1340" s="149" t="s">
        <v>4</v>
      </c>
    </row>
    <row r="1341" spans="1:3">
      <c r="A1341" t="s">
        <v>6866</v>
      </c>
      <c r="B1341">
        <v>1</v>
      </c>
      <c r="C1341" s="149" t="s">
        <v>4</v>
      </c>
    </row>
    <row r="1342" spans="1:3">
      <c r="A1342" t="s">
        <v>6868</v>
      </c>
      <c r="B1342">
        <v>2</v>
      </c>
      <c r="C1342" s="149" t="s">
        <v>4</v>
      </c>
    </row>
    <row r="1343" spans="1:3">
      <c r="A1343" t="s">
        <v>6870</v>
      </c>
      <c r="B1343">
        <v>1</v>
      </c>
      <c r="C1343" s="149" t="s">
        <v>4</v>
      </c>
    </row>
    <row r="1344" spans="1:3">
      <c r="A1344" t="s">
        <v>6884</v>
      </c>
      <c r="B1344">
        <v>12</v>
      </c>
      <c r="C1344" s="149" t="s">
        <v>4</v>
      </c>
    </row>
    <row r="1345" spans="1:3">
      <c r="A1345" t="s">
        <v>6885</v>
      </c>
      <c r="B1345">
        <v>1</v>
      </c>
      <c r="C1345" s="149" t="s">
        <v>4</v>
      </c>
    </row>
    <row r="1346" spans="1:3">
      <c r="A1346" t="s">
        <v>6888</v>
      </c>
      <c r="B1346">
        <v>2</v>
      </c>
      <c r="C1346" s="149" t="s">
        <v>4</v>
      </c>
    </row>
    <row r="1347" spans="1:3">
      <c r="A1347" t="s">
        <v>6892</v>
      </c>
      <c r="B1347">
        <v>1</v>
      </c>
      <c r="C1347" s="149" t="s">
        <v>4</v>
      </c>
    </row>
    <row r="1348" spans="1:3">
      <c r="A1348" t="s">
        <v>6893</v>
      </c>
      <c r="B1348">
        <v>1</v>
      </c>
      <c r="C1348" s="149" t="s">
        <v>4</v>
      </c>
    </row>
    <row r="1349" spans="1:3">
      <c r="A1349" t="s">
        <v>6896</v>
      </c>
      <c r="B1349">
        <v>1</v>
      </c>
      <c r="C1349" s="149" t="s">
        <v>4</v>
      </c>
    </row>
    <row r="1350" spans="1:3">
      <c r="A1350" t="s">
        <v>6898</v>
      </c>
      <c r="B1350">
        <v>1</v>
      </c>
      <c r="C1350" s="149" t="s">
        <v>4</v>
      </c>
    </row>
    <row r="1351" spans="1:3">
      <c r="A1351" t="s">
        <v>6899</v>
      </c>
      <c r="B1351">
        <v>1</v>
      </c>
      <c r="C1351" s="149" t="s">
        <v>4</v>
      </c>
    </row>
    <row r="1352" spans="1:3">
      <c r="A1352" t="s">
        <v>6902</v>
      </c>
      <c r="B1352">
        <v>1</v>
      </c>
      <c r="C1352" s="149" t="s">
        <v>4</v>
      </c>
    </row>
    <row r="1353" spans="1:3">
      <c r="A1353" t="s">
        <v>6904</v>
      </c>
      <c r="B1353">
        <v>1</v>
      </c>
      <c r="C1353" s="149" t="s">
        <v>4</v>
      </c>
    </row>
    <row r="1354" spans="1:3">
      <c r="A1354" t="s">
        <v>6905</v>
      </c>
      <c r="B1354">
        <v>1</v>
      </c>
      <c r="C1354" s="149" t="s">
        <v>4</v>
      </c>
    </row>
    <row r="1355" spans="1:3">
      <c r="A1355" t="s">
        <v>6908</v>
      </c>
      <c r="B1355">
        <v>1</v>
      </c>
      <c r="C1355" s="149" t="s">
        <v>4</v>
      </c>
    </row>
    <row r="1356" spans="1:3">
      <c r="A1356" t="s">
        <v>6910</v>
      </c>
      <c r="B1356">
        <v>1</v>
      </c>
      <c r="C1356" s="149" t="s">
        <v>4</v>
      </c>
    </row>
    <row r="1357" spans="1:3">
      <c r="A1357" t="s">
        <v>6912</v>
      </c>
      <c r="B1357">
        <v>1</v>
      </c>
      <c r="C1357" s="149" t="s">
        <v>4</v>
      </c>
    </row>
    <row r="1358" spans="1:3">
      <c r="A1358" t="s">
        <v>6777</v>
      </c>
      <c r="B1358">
        <v>1</v>
      </c>
      <c r="C1358" s="149" t="s">
        <v>4</v>
      </c>
    </row>
    <row r="1359" spans="1:3">
      <c r="A1359" t="s">
        <v>6781</v>
      </c>
      <c r="B1359">
        <v>1</v>
      </c>
      <c r="C1359" s="149" t="s">
        <v>4</v>
      </c>
    </row>
    <row r="1360" spans="1:3">
      <c r="A1360" t="s">
        <v>6785</v>
      </c>
      <c r="B1360">
        <v>1</v>
      </c>
      <c r="C1360" s="149" t="s">
        <v>4</v>
      </c>
    </row>
    <row r="1361" spans="1:3">
      <c r="A1361" t="s">
        <v>6853</v>
      </c>
      <c r="B1361">
        <v>21</v>
      </c>
      <c r="C1361" s="149" t="s">
        <v>4</v>
      </c>
    </row>
    <row r="1362" spans="1:3">
      <c r="A1362" t="s">
        <v>6788</v>
      </c>
      <c r="B1362">
        <v>38</v>
      </c>
      <c r="C1362" s="149" t="s">
        <v>4</v>
      </c>
    </row>
    <row r="1363" spans="1:3">
      <c r="A1363" t="s">
        <v>6928</v>
      </c>
      <c r="B1363">
        <v>7</v>
      </c>
      <c r="C1363" s="149" t="s">
        <v>4</v>
      </c>
    </row>
    <row r="1364" spans="1:3">
      <c r="A1364" t="s">
        <v>6748</v>
      </c>
      <c r="B1364">
        <v>4</v>
      </c>
      <c r="C1364" s="149" t="s">
        <v>4</v>
      </c>
    </row>
    <row r="1365" spans="1:3">
      <c r="A1365" t="s">
        <v>6929</v>
      </c>
      <c r="B1365">
        <v>6</v>
      </c>
      <c r="C1365" s="149" t="s">
        <v>4</v>
      </c>
    </row>
    <row r="1366" spans="1:3">
      <c r="A1366" t="s">
        <v>6934</v>
      </c>
      <c r="B1366">
        <v>24</v>
      </c>
      <c r="C1366" s="149" t="s">
        <v>4</v>
      </c>
    </row>
    <row r="1367" spans="1:3">
      <c r="A1367" t="s">
        <v>6968</v>
      </c>
      <c r="B1367">
        <v>3</v>
      </c>
      <c r="C1367" s="149" t="s">
        <v>4</v>
      </c>
    </row>
    <row r="1368" spans="1:3">
      <c r="A1368" t="s">
        <v>6975</v>
      </c>
      <c r="B1368">
        <v>6</v>
      </c>
      <c r="C1368" s="149" t="s">
        <v>4</v>
      </c>
    </row>
    <row r="1369" spans="1:3">
      <c r="A1369" t="s">
        <v>6991</v>
      </c>
      <c r="B1369">
        <v>5</v>
      </c>
      <c r="C1369" s="149" t="s">
        <v>4</v>
      </c>
    </row>
    <row r="1370" spans="1:3">
      <c r="A1370" t="s">
        <v>7192</v>
      </c>
      <c r="B1370">
        <v>5</v>
      </c>
      <c r="C1370" s="149" t="s">
        <v>4</v>
      </c>
    </row>
    <row r="1371" spans="1:3">
      <c r="A1371" t="s">
        <v>6784</v>
      </c>
      <c r="B1371">
        <v>1</v>
      </c>
      <c r="C1371" s="149" t="s">
        <v>4</v>
      </c>
    </row>
    <row r="1372" spans="1:3">
      <c r="A1372" t="s">
        <v>6974</v>
      </c>
      <c r="B1372">
        <v>25</v>
      </c>
      <c r="C1372" s="149" t="s">
        <v>4</v>
      </c>
    </row>
    <row r="1373" spans="1:3">
      <c r="A1373" t="s">
        <v>6984</v>
      </c>
      <c r="B1373">
        <v>4</v>
      </c>
      <c r="C1373" s="149" t="s">
        <v>4</v>
      </c>
    </row>
    <row r="1374" spans="1:3">
      <c r="A1374" t="s">
        <v>6999</v>
      </c>
      <c r="B1374">
        <v>1</v>
      </c>
      <c r="C1374" s="149" t="s">
        <v>4</v>
      </c>
    </row>
    <row r="1375" spans="1:3">
      <c r="A1375" t="s">
        <v>7195</v>
      </c>
      <c r="B1375">
        <v>23</v>
      </c>
      <c r="C1375" s="149" t="s">
        <v>4</v>
      </c>
    </row>
    <row r="1376" spans="1:3">
      <c r="A1376" t="s">
        <v>7247</v>
      </c>
      <c r="B1376">
        <v>3</v>
      </c>
      <c r="C1376" s="149" t="s">
        <v>4</v>
      </c>
    </row>
    <row r="1377" spans="1:3">
      <c r="A1377" t="s">
        <v>7279</v>
      </c>
      <c r="B1377">
        <v>1</v>
      </c>
      <c r="C1377" s="149" t="s">
        <v>4</v>
      </c>
    </row>
    <row r="1378" spans="1:3">
      <c r="A1378" t="s">
        <v>7301</v>
      </c>
      <c r="B1378">
        <v>10</v>
      </c>
      <c r="C1378" s="149" t="s">
        <v>4</v>
      </c>
    </row>
    <row r="1379" spans="1:3">
      <c r="A1379" t="s">
        <v>7285</v>
      </c>
      <c r="B1379">
        <v>10</v>
      </c>
      <c r="C1379" s="149" t="s">
        <v>4</v>
      </c>
    </row>
    <row r="1380" spans="1:3">
      <c r="A1380" t="s">
        <v>7001</v>
      </c>
      <c r="B1380">
        <v>34</v>
      </c>
      <c r="C1380" s="149" t="s">
        <v>4</v>
      </c>
    </row>
    <row r="1381" spans="1:3">
      <c r="A1381" t="s">
        <v>7039</v>
      </c>
      <c r="B1381">
        <v>145</v>
      </c>
      <c r="C1381" s="149" t="s">
        <v>4</v>
      </c>
    </row>
    <row r="1382" spans="1:3">
      <c r="A1382" t="s">
        <v>7221</v>
      </c>
      <c r="B1382">
        <v>11</v>
      </c>
      <c r="C1382" s="149" t="s">
        <v>4</v>
      </c>
    </row>
    <row r="1383" spans="1:3">
      <c r="A1383" t="s">
        <v>7258</v>
      </c>
      <c r="B1383">
        <v>12</v>
      </c>
      <c r="C1383" s="149" t="s">
        <v>4</v>
      </c>
    </row>
    <row r="1384" spans="1:3">
      <c r="A1384" t="s">
        <v>7252</v>
      </c>
      <c r="B1384">
        <v>6</v>
      </c>
      <c r="C1384" s="149" t="s">
        <v>4</v>
      </c>
    </row>
    <row r="1385" spans="1:3">
      <c r="A1385" t="s">
        <v>7273</v>
      </c>
      <c r="B1385">
        <v>5</v>
      </c>
      <c r="C1385" s="149" t="s">
        <v>4</v>
      </c>
    </row>
    <row r="1386" spans="1:3">
      <c r="A1386" t="s">
        <v>7303</v>
      </c>
      <c r="B1386">
        <v>2</v>
      </c>
      <c r="C1386" s="149" t="s">
        <v>4</v>
      </c>
    </row>
    <row r="1387" spans="1:3">
      <c r="A1387" t="s">
        <v>7304</v>
      </c>
      <c r="B1387">
        <v>26</v>
      </c>
      <c r="C1387" s="149" t="s">
        <v>4</v>
      </c>
    </row>
    <row r="1388" spans="1:3">
      <c r="A1388" t="s">
        <v>7283</v>
      </c>
      <c r="B1388">
        <v>1</v>
      </c>
      <c r="C1388" s="149" t="s">
        <v>4</v>
      </c>
    </row>
    <row r="1389" spans="1:3">
      <c r="A1389" t="s">
        <v>7352</v>
      </c>
      <c r="B1389">
        <v>5</v>
      </c>
      <c r="C1389" s="149" t="s">
        <v>4</v>
      </c>
    </row>
    <row r="1390" spans="1:3">
      <c r="A1390" t="s">
        <v>7379</v>
      </c>
      <c r="B1390">
        <v>8</v>
      </c>
      <c r="C1390" s="149" t="s">
        <v>4</v>
      </c>
    </row>
  </sheetData>
  <conditionalFormatting sqref="A2:A545 A548:A568 A570:A1036 A1038:A1232 A1238:A1272 A1274:A1283 A1286:A1291 A1293:A1048576">
    <cfRule type="duplicateValues" dxfId="17" priority="4"/>
  </conditionalFormatting>
  <conditionalFormatting sqref="A1284">
    <cfRule type="duplicateValues" dxfId="16" priority="2"/>
  </conditionalFormatting>
  <conditionalFormatting sqref="A1292">
    <cfRule type="duplicateValues" dxfId="15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4.4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5114"/>
  <sheetViews>
    <sheetView tabSelected="1" topLeftCell="A5094" zoomScale="105" zoomScaleNormal="105" workbookViewId="0">
      <selection activeCell="C5115" sqref="C5115"/>
    </sheetView>
  </sheetViews>
  <sheetFormatPr defaultRowHeight="14.4" outlineLevelCol="1"/>
  <cols>
    <col min="1" max="1" width="10.88671875" bestFit="1" customWidth="1"/>
    <col min="2" max="2" width="8.5546875" customWidth="1"/>
    <col min="3" max="3" width="35.109375" bestFit="1" customWidth="1"/>
    <col min="4" max="4" width="59.33203125" customWidth="1"/>
    <col min="5" max="5" width="46.88671875" bestFit="1" customWidth="1"/>
    <col min="6" max="6" width="37.44140625" customWidth="1"/>
    <col min="7" max="7" width="14.88671875" customWidth="1"/>
    <col min="8" max="8" width="12.44140625" customWidth="1" outlineLevel="1"/>
    <col min="9" max="9" width="65.6640625" customWidth="1" outlineLevel="1"/>
    <col min="10" max="10" width="12.109375" customWidth="1" outlineLevel="1"/>
    <col min="11" max="11" width="11.44140625" customWidth="1" outlineLevel="1"/>
    <col min="12" max="12" width="10.6640625" customWidth="1" outlineLevel="1"/>
    <col min="13" max="13" width="20" style="71" customWidth="1" outlineLevel="1"/>
    <col min="14" max="14" width="14.88671875" style="71" customWidth="1" outlineLevel="1"/>
    <col min="15" max="15" width="13.44140625" style="71" customWidth="1" outlineLevel="1"/>
    <col min="16" max="16" width="9.109375" customWidth="1" outlineLevel="1"/>
    <col min="17" max="17" width="11.109375" style="3" customWidth="1" outlineLevel="1"/>
    <col min="18" max="18" width="21.33203125" customWidth="1"/>
    <col min="19" max="19" width="101.109375" customWidth="1"/>
    <col min="20" max="20" width="10.664062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>
      <c r="A3" t="s">
        <v>3</v>
      </c>
      <c r="B3" s="149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s="144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>
      <c r="A4" t="s">
        <v>3</v>
      </c>
      <c r="B4" s="149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s="14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>
      <c r="A5" t="s">
        <v>3</v>
      </c>
      <c r="B5" s="149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s="144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>
      <c r="A6" t="s">
        <v>3</v>
      </c>
      <c r="B6" s="149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s="144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>
      <c r="A7" t="s">
        <v>3</v>
      </c>
      <c r="B7" s="149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s="144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>
      <c r="A8" t="s">
        <v>3</v>
      </c>
      <c r="B8" s="149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s="144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>
      <c r="A9" t="s">
        <v>3</v>
      </c>
      <c r="B9" s="149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s="144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>
      <c r="A10" s="22" t="s">
        <v>3</v>
      </c>
      <c r="B10" s="149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144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>
      <c r="A11" t="s">
        <v>1289</v>
      </c>
      <c r="B11" s="149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144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>
      <c r="A12" s="62" t="s">
        <v>1287</v>
      </c>
      <c r="B12" s="149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144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>
      <c r="A13" s="62" t="s">
        <v>1287</v>
      </c>
      <c r="B13" s="149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144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>
      <c r="A14" s="62" t="s">
        <v>1287</v>
      </c>
      <c r="B14" s="149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144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>
      <c r="A15" s="62" t="s">
        <v>1287</v>
      </c>
      <c r="B15" s="149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144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>
      <c r="A16" t="s">
        <v>1287</v>
      </c>
      <c r="B16" s="149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144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>
      <c r="A17" s="62" t="s">
        <v>1298</v>
      </c>
      <c r="B17" s="149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144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>
      <c r="A18" s="62" t="s">
        <v>1298</v>
      </c>
      <c r="B18" s="149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144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>
      <c r="A19" s="62" t="s">
        <v>1298</v>
      </c>
      <c r="B19" s="149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144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>
      <c r="A20" t="s">
        <v>1298</v>
      </c>
      <c r="B20" s="149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144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>
      <c r="A21" s="62" t="s">
        <v>1290</v>
      </c>
      <c r="B21" s="149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144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>
      <c r="A22" s="62" t="s">
        <v>1290</v>
      </c>
      <c r="B22" s="149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144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>
      <c r="A23" s="62" t="s">
        <v>1290</v>
      </c>
      <c r="B23" s="149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144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>
      <c r="A24" t="s">
        <v>1365</v>
      </c>
      <c r="B24" s="149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144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>
      <c r="A25" s="62" t="s">
        <v>1365</v>
      </c>
      <c r="B25" s="149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144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>
      <c r="A26" s="62" t="s">
        <v>1365</v>
      </c>
      <c r="B26" s="149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144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>
      <c r="A27" s="62" t="s">
        <v>1365</v>
      </c>
      <c r="B27" s="149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144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>
      <c r="A28" s="62" t="s">
        <v>1365</v>
      </c>
      <c r="B28" s="149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144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>
      <c r="A29" s="62" t="s">
        <v>1365</v>
      </c>
      <c r="B29" s="149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144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>
      <c r="A30" s="62" t="s">
        <v>1365</v>
      </c>
      <c r="B30" s="149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144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>
      <c r="A31" s="62" t="s">
        <v>1365</v>
      </c>
      <c r="B31" s="149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144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>
      <c r="A32" s="62" t="s">
        <v>1365</v>
      </c>
      <c r="B32" s="149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144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>
      <c r="A33" s="62" t="s">
        <v>1365</v>
      </c>
      <c r="B33" s="149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144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>
      <c r="A34" s="62" t="s">
        <v>1365</v>
      </c>
      <c r="B34" s="149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144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>
      <c r="A35" s="62" t="s">
        <v>1365</v>
      </c>
      <c r="B35" s="149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144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>
      <c r="A36" s="62" t="s">
        <v>1365</v>
      </c>
      <c r="B36" s="149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144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>
      <c r="A37" s="62" t="s">
        <v>1365</v>
      </c>
      <c r="B37" s="149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144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>
      <c r="A38" s="62" t="s">
        <v>1365</v>
      </c>
      <c r="B38" s="149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144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>
      <c r="A39" s="62" t="s">
        <v>1365</v>
      </c>
      <c r="B39" s="149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144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>
      <c r="A40" s="62" t="s">
        <v>1365</v>
      </c>
      <c r="B40" s="149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144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>
      <c r="A41" s="62" t="s">
        <v>1365</v>
      </c>
      <c r="B41" s="149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144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>
      <c r="A42" s="62" t="s">
        <v>1365</v>
      </c>
      <c r="B42" s="149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144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>
      <c r="A43" s="62" t="s">
        <v>1365</v>
      </c>
      <c r="B43" s="149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144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>
      <c r="A44" s="62" t="s">
        <v>1365</v>
      </c>
      <c r="B44" s="149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144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>
      <c r="A45" s="62" t="s">
        <v>1365</v>
      </c>
      <c r="B45" s="149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144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>
      <c r="A46" s="62" t="s">
        <v>1365</v>
      </c>
      <c r="B46" s="149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144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>
      <c r="A47" s="62" t="s">
        <v>1365</v>
      </c>
      <c r="B47" s="149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144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>
      <c r="A48" s="62" t="s">
        <v>1365</v>
      </c>
      <c r="B48" s="149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144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>
      <c r="A49" s="62" t="s">
        <v>1365</v>
      </c>
      <c r="B49" s="149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144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>
      <c r="A50" s="62" t="s">
        <v>1365</v>
      </c>
      <c r="B50" s="149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144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>
      <c r="A51" s="62" t="s">
        <v>1365</v>
      </c>
      <c r="B51" s="149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144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>
      <c r="A52" s="62" t="s">
        <v>1365</v>
      </c>
      <c r="B52" s="149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144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>
      <c r="A53" s="62" t="s">
        <v>1365</v>
      </c>
      <c r="B53" s="149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144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>
      <c r="A54" s="62" t="s">
        <v>1365</v>
      </c>
      <c r="B54" s="149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144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>
      <c r="A55" s="62" t="s">
        <v>1365</v>
      </c>
      <c r="B55" s="149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144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>
      <c r="A56" s="62" t="s">
        <v>1365</v>
      </c>
      <c r="B56" s="149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144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>
      <c r="A57" s="62" t="s">
        <v>1365</v>
      </c>
      <c r="B57" s="149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144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>
      <c r="A58" s="62" t="s">
        <v>1365</v>
      </c>
      <c r="B58" s="149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144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>
      <c r="A59" s="62" t="s">
        <v>1365</v>
      </c>
      <c r="B59" s="149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144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>
      <c r="A60" s="62" t="s">
        <v>1365</v>
      </c>
      <c r="B60" s="149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144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>
      <c r="A61" s="62" t="s">
        <v>1365</v>
      </c>
      <c r="B61" s="149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144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>
      <c r="A62" s="62" t="s">
        <v>1365</v>
      </c>
      <c r="B62" s="149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144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>
      <c r="A63" s="62" t="s">
        <v>1365</v>
      </c>
      <c r="B63" s="149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144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>
      <c r="A64" s="62" t="s">
        <v>1365</v>
      </c>
      <c r="B64" s="149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144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>
      <c r="A65" s="62" t="s">
        <v>1365</v>
      </c>
      <c r="B65" s="149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144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>
      <c r="A66" s="62" t="s">
        <v>1365</v>
      </c>
      <c r="B66" s="149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144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>
      <c r="A67" s="62" t="s">
        <v>1365</v>
      </c>
      <c r="B67" s="149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144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>
      <c r="A68" s="62" t="s">
        <v>1365</v>
      </c>
      <c r="B68" s="149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144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>
      <c r="A69" s="62" t="s">
        <v>1365</v>
      </c>
      <c r="B69" s="149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144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>
      <c r="A70" s="62" t="s">
        <v>1365</v>
      </c>
      <c r="B70" s="149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144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>
      <c r="A71" s="62" t="s">
        <v>1365</v>
      </c>
      <c r="B71" s="149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144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>
      <c r="A72" s="62" t="s">
        <v>1365</v>
      </c>
      <c r="B72" s="149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144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>
      <c r="A73" s="62" t="s">
        <v>1365</v>
      </c>
      <c r="B73" s="149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144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>
      <c r="A74" s="62" t="s">
        <v>1365</v>
      </c>
      <c r="B74" s="149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144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>
      <c r="A75" s="62" t="s">
        <v>1365</v>
      </c>
      <c r="B75" s="149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144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>
      <c r="A76" s="62" t="s">
        <v>1365</v>
      </c>
      <c r="B76" s="149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144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>
      <c r="A77" s="62" t="s">
        <v>1365</v>
      </c>
      <c r="B77" s="149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144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>
      <c r="A78" s="62" t="s">
        <v>1365</v>
      </c>
      <c r="B78" s="149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144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>
      <c r="A79" s="62" t="s">
        <v>1365</v>
      </c>
      <c r="B79" s="149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144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>
      <c r="A80" s="62" t="s">
        <v>1365</v>
      </c>
      <c r="B80" s="149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144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>
      <c r="A81" s="62" t="s">
        <v>1365</v>
      </c>
      <c r="B81" s="149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144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>
      <c r="A82" s="62" t="s">
        <v>1365</v>
      </c>
      <c r="B82" s="149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144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>
      <c r="A83" s="62" t="s">
        <v>1365</v>
      </c>
      <c r="B83" s="149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144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>
      <c r="A84" s="62" t="s">
        <v>1365</v>
      </c>
      <c r="B84" s="149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144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>
      <c r="A85" s="62" t="s">
        <v>1365</v>
      </c>
      <c r="B85" s="149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144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>
      <c r="A86" t="s">
        <v>1389</v>
      </c>
      <c r="B86" s="149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144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>
      <c r="A87" s="62" t="s">
        <v>1389</v>
      </c>
      <c r="B87" s="149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144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255</v>
      </c>
      <c r="R87" s="64" t="s">
        <v>1076</v>
      </c>
      <c r="S87" s="60"/>
    </row>
    <row r="88" spans="1:19">
      <c r="A88" s="62" t="s">
        <v>1389</v>
      </c>
      <c r="B88" s="149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144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>
      <c r="A89" s="62" t="s">
        <v>1366</v>
      </c>
      <c r="B89" s="149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144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>
      <c r="A90" s="62" t="s">
        <v>1366</v>
      </c>
      <c r="B90" s="149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144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>
      <c r="A91" s="62" t="s">
        <v>1366</v>
      </c>
      <c r="B91" s="149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144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>
      <c r="A92" s="62" t="s">
        <v>1366</v>
      </c>
      <c r="B92" s="149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144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>
      <c r="A93" s="62" t="s">
        <v>1366</v>
      </c>
      <c r="B93" s="149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144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>
      <c r="A94" s="62" t="s">
        <v>1366</v>
      </c>
      <c r="B94" s="149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144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>
      <c r="A95" s="62" t="s">
        <v>1366</v>
      </c>
      <c r="B95" s="149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144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>
      <c r="A96" s="62" t="s">
        <v>1366</v>
      </c>
      <c r="B96" s="149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144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>
      <c r="A97" s="62" t="s">
        <v>1366</v>
      </c>
      <c r="B97" s="149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144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>
      <c r="A98" s="62" t="s">
        <v>1366</v>
      </c>
      <c r="B98" s="149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144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>
      <c r="A99" s="62" t="s">
        <v>1366</v>
      </c>
      <c r="B99" s="149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144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>
      <c r="A100" s="62" t="s">
        <v>1366</v>
      </c>
      <c r="B100" s="149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144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>
      <c r="A101" s="62" t="s">
        <v>1366</v>
      </c>
      <c r="B101" s="149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144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>
      <c r="A102" s="62" t="s">
        <v>1366</v>
      </c>
      <c r="B102" s="149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144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>
      <c r="A103" s="62" t="s">
        <v>1366</v>
      </c>
      <c r="B103" s="149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144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>
      <c r="A104" s="62" t="s">
        <v>1366</v>
      </c>
      <c r="B104" s="149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144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>
      <c r="A105" s="62" t="s">
        <v>1366</v>
      </c>
      <c r="B105" s="149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144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>
      <c r="A106" t="s">
        <v>1366</v>
      </c>
      <c r="B106" s="149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144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>
      <c r="A107" s="62" t="s">
        <v>1366</v>
      </c>
      <c r="B107" s="149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144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>
      <c r="A108" s="62" t="s">
        <v>1366</v>
      </c>
      <c r="B108" s="149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144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>
      <c r="A109" t="s">
        <v>1416</v>
      </c>
      <c r="B109" s="149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144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>
      <c r="A110" s="62" t="s">
        <v>1416</v>
      </c>
      <c r="B110" s="149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144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>
      <c r="A111" s="62" t="s">
        <v>1416</v>
      </c>
      <c r="B111" s="149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144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>
      <c r="A112" s="62" t="s">
        <v>1416</v>
      </c>
      <c r="B112" s="149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144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>
      <c r="A113" s="62" t="s">
        <v>1416</v>
      </c>
      <c r="B113" s="149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144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>
      <c r="A114" s="62" t="s">
        <v>1416</v>
      </c>
      <c r="B114" s="149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144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>
      <c r="A115" s="62" t="s">
        <v>1416</v>
      </c>
      <c r="B115" s="149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144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>
      <c r="A116" s="62" t="s">
        <v>1416</v>
      </c>
      <c r="B116" s="149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144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>
      <c r="A117" s="62" t="s">
        <v>1416</v>
      </c>
      <c r="B117" s="149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144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>
      <c r="A118" s="62" t="s">
        <v>1416</v>
      </c>
      <c r="B118" s="149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144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>
      <c r="A119" s="62" t="s">
        <v>1416</v>
      </c>
      <c r="B119" s="149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144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>
      <c r="A120" s="62" t="s">
        <v>1416</v>
      </c>
      <c r="B120" s="149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144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>
      <c r="A121" s="62" t="s">
        <v>1416</v>
      </c>
      <c r="B121" s="149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144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>
      <c r="A122" s="62" t="s">
        <v>1416</v>
      </c>
      <c r="B122" s="149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144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>
      <c r="A123" s="62" t="s">
        <v>1416</v>
      </c>
      <c r="B123" s="149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144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>
      <c r="A124" s="62" t="s">
        <v>1416</v>
      </c>
      <c r="B124" s="149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144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>
      <c r="A125" s="62" t="s">
        <v>1416</v>
      </c>
      <c r="B125" s="149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144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>
      <c r="A126" s="62" t="s">
        <v>1416</v>
      </c>
      <c r="B126" s="149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144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>
      <c r="A127" s="62" t="s">
        <v>1416</v>
      </c>
      <c r="B127" s="149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144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>
      <c r="A128" s="62" t="s">
        <v>1416</v>
      </c>
      <c r="B128" s="149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144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>
      <c r="A129" s="62" t="s">
        <v>1416</v>
      </c>
      <c r="B129" s="149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144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>
      <c r="A130" t="s">
        <v>1419</v>
      </c>
      <c r="B130" s="149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144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>
      <c r="A131" t="s">
        <v>1419</v>
      </c>
      <c r="B131" s="149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144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>
      <c r="A132" t="s">
        <v>1451</v>
      </c>
      <c r="B132" s="149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144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>
      <c r="A133" s="62" t="s">
        <v>1451</v>
      </c>
      <c r="B133" s="149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144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>
      <c r="A134" s="62" t="s">
        <v>1451</v>
      </c>
      <c r="B134" s="149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144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>
      <c r="A135" s="62" t="s">
        <v>1451</v>
      </c>
      <c r="B135" s="149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144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>
      <c r="A136" s="62" t="s">
        <v>1451</v>
      </c>
      <c r="B136" s="149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144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>
      <c r="A137" s="62" t="s">
        <v>1451</v>
      </c>
      <c r="B137" s="149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144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>
      <c r="A138" s="62" t="s">
        <v>1451</v>
      </c>
      <c r="B138" s="149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144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>
      <c r="A139" s="62" t="s">
        <v>1451</v>
      </c>
      <c r="B139" s="149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144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>
      <c r="A140" s="62" t="s">
        <v>1451</v>
      </c>
      <c r="B140" s="149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144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>
      <c r="A141" s="62" t="s">
        <v>1451</v>
      </c>
      <c r="B141" s="149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144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>
      <c r="A142" s="62" t="s">
        <v>1451</v>
      </c>
      <c r="B142" s="149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144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>
      <c r="A143" s="62" t="s">
        <v>1451</v>
      </c>
      <c r="B143" s="149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144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>
      <c r="A144" s="62" t="s">
        <v>1451</v>
      </c>
      <c r="B144" s="149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144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>
      <c r="A145" s="62" t="s">
        <v>1451</v>
      </c>
      <c r="B145" s="149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144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>
      <c r="A146" s="62" t="s">
        <v>1451</v>
      </c>
      <c r="B146" s="149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144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>
      <c r="A147" s="62" t="s">
        <v>1451</v>
      </c>
      <c r="B147" s="149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144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>
      <c r="A148" s="62" t="s">
        <v>1451</v>
      </c>
      <c r="B148" s="149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144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>
      <c r="A149" s="62" t="s">
        <v>1451</v>
      </c>
      <c r="B149" s="149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144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>
      <c r="A150" s="62" t="s">
        <v>1451</v>
      </c>
      <c r="B150" s="149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144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>
      <c r="A151" s="62" t="s">
        <v>1451</v>
      </c>
      <c r="B151" s="149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144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>
      <c r="A152" s="62" t="s">
        <v>1451</v>
      </c>
      <c r="B152" s="149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144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>
      <c r="A153" s="62" t="s">
        <v>1451</v>
      </c>
      <c r="B153" s="149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144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>
      <c r="A154" s="62" t="s">
        <v>1451</v>
      </c>
      <c r="B154" s="149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144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>
      <c r="A155" s="62" t="s">
        <v>1451</v>
      </c>
      <c r="B155" s="149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144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>
      <c r="A156" s="62" t="s">
        <v>1451</v>
      </c>
      <c r="B156" s="149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144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>
      <c r="A157" s="62" t="s">
        <v>1454</v>
      </c>
      <c r="B157" s="149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144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>
      <c r="A158" s="62" t="s">
        <v>1454</v>
      </c>
      <c r="B158" s="149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144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>
      <c r="A159" t="s">
        <v>1455</v>
      </c>
      <c r="B159" s="149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144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>
      <c r="A160" t="s">
        <v>1460</v>
      </c>
      <c r="B160" s="149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144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>
      <c r="A161" s="62" t="s">
        <v>1460</v>
      </c>
      <c r="B161" s="149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144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>
      <c r="A162" t="s">
        <v>1461</v>
      </c>
      <c r="B162" s="149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144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>
      <c r="A163" s="62" t="s">
        <v>1461</v>
      </c>
      <c r="B163" s="149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144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>
      <c r="A164" t="s">
        <v>1488</v>
      </c>
      <c r="B164" s="149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144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>
      <c r="A165" s="62" t="s">
        <v>1486</v>
      </c>
      <c r="B165" s="149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144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>
      <c r="A166" s="62" t="s">
        <v>1486</v>
      </c>
      <c r="B166" s="149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144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>
      <c r="A167" s="62" t="s">
        <v>1484</v>
      </c>
      <c r="B167" s="149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144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>
      <c r="A168" s="62" t="s">
        <v>1484</v>
      </c>
      <c r="B168" s="149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144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>
      <c r="A169" s="62" t="s">
        <v>1484</v>
      </c>
      <c r="B169" s="149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144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>
      <c r="A170" s="62" t="s">
        <v>1484</v>
      </c>
      <c r="B170" s="149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144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>
      <c r="A171" s="62" t="s">
        <v>1484</v>
      </c>
      <c r="B171" s="149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144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>
      <c r="A172" s="62" t="s">
        <v>1484</v>
      </c>
      <c r="B172" s="149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144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>
      <c r="A173" s="62" t="s">
        <v>1484</v>
      </c>
      <c r="B173" s="149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144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>
      <c r="A174" s="62" t="s">
        <v>1484</v>
      </c>
      <c r="B174" s="149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144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>
      <c r="A175" s="62" t="s">
        <v>1484</v>
      </c>
      <c r="B175" s="149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144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>
      <c r="A176" s="62" t="s">
        <v>1484</v>
      </c>
      <c r="B176" s="149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144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>
      <c r="A177" s="62" t="s">
        <v>1484</v>
      </c>
      <c r="B177" s="149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144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>
      <c r="A178" s="62" t="s">
        <v>1484</v>
      </c>
      <c r="B178" s="149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144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>
      <c r="A179" s="62" t="s">
        <v>1484</v>
      </c>
      <c r="B179" s="149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144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>
      <c r="A180" s="62" t="s">
        <v>1484</v>
      </c>
      <c r="B180" s="149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144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>
      <c r="A181" s="62" t="s">
        <v>1484</v>
      </c>
      <c r="B181" s="149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144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>
      <c r="A182" s="62" t="s">
        <v>1484</v>
      </c>
      <c r="B182" s="149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144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>
      <c r="A183" s="62" t="s">
        <v>1484</v>
      </c>
      <c r="B183" s="149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144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>
      <c r="A184" t="s">
        <v>1484</v>
      </c>
      <c r="B184" s="149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144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>
      <c r="A185" s="62" t="s">
        <v>1484</v>
      </c>
      <c r="B185" s="149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144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>
      <c r="A186" t="s">
        <v>1484</v>
      </c>
      <c r="B186" s="149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144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>
      <c r="A187" t="s">
        <v>1492</v>
      </c>
      <c r="B187" s="149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144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>
      <c r="A188" s="62" t="s">
        <v>1492</v>
      </c>
      <c r="B188" s="149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144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>
      <c r="A189" s="62" t="s">
        <v>1492</v>
      </c>
      <c r="B189" s="149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144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>
      <c r="A190" t="s">
        <v>1511</v>
      </c>
      <c r="B190" s="149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144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>
      <c r="A191" s="62" t="s">
        <v>1509</v>
      </c>
      <c r="B191" s="149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144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>
      <c r="A192" s="62" t="s">
        <v>1508</v>
      </c>
      <c r="B192" s="149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144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>
      <c r="A193" s="62" t="s">
        <v>1508</v>
      </c>
      <c r="B193" s="149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144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>
      <c r="A194" t="s">
        <v>1508</v>
      </c>
      <c r="B194" s="149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144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>
      <c r="A195" s="62" t="s">
        <v>1508</v>
      </c>
      <c r="B195" s="149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144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>
      <c r="A196" t="s">
        <v>1508</v>
      </c>
      <c r="B196" s="149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144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>
      <c r="A197" s="62" t="s">
        <v>1500</v>
      </c>
      <c r="B197" s="149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144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>
      <c r="A198" s="62" t="s">
        <v>1500</v>
      </c>
      <c r="B198" s="149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144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>
      <c r="A199" s="62" t="s">
        <v>1500</v>
      </c>
      <c r="B199" s="149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144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>
      <c r="A200" s="62" t="s">
        <v>1500</v>
      </c>
      <c r="B200" s="149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144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>
      <c r="A201" t="s">
        <v>1502</v>
      </c>
      <c r="B201" s="149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144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>
      <c r="A202" t="s">
        <v>1502</v>
      </c>
      <c r="B202" s="149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144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>
      <c r="A203" t="s">
        <v>1512</v>
      </c>
      <c r="B203" s="149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144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>
      <c r="A204" t="s">
        <v>1517</v>
      </c>
      <c r="B204" s="149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144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>
      <c r="A205" s="62" t="s">
        <v>1517</v>
      </c>
      <c r="B205" s="149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144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>
      <c r="A206" s="62" t="s">
        <v>1523</v>
      </c>
      <c r="B206" s="149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144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>
      <c r="A207" s="62" t="s">
        <v>1523</v>
      </c>
      <c r="B207" s="149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144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>
      <c r="A208" t="s">
        <v>1547</v>
      </c>
      <c r="B208" s="149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144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>
      <c r="A209" s="62" t="s">
        <v>1547</v>
      </c>
      <c r="B209" s="149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144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>
      <c r="A210" s="62" t="s">
        <v>1547</v>
      </c>
      <c r="B210" s="149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144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>
      <c r="A211" s="62" t="s">
        <v>1547</v>
      </c>
      <c r="B211" s="149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144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>
      <c r="A212" s="62" t="s">
        <v>1547</v>
      </c>
      <c r="B212" s="149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144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>
      <c r="A213" s="62" t="s">
        <v>1547</v>
      </c>
      <c r="B213" s="149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144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>
      <c r="A214" s="62" t="s">
        <v>1547</v>
      </c>
      <c r="B214" s="149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144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>
      <c r="A215" s="62" t="s">
        <v>1547</v>
      </c>
      <c r="B215" s="149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144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>
      <c r="A216" s="62" t="s">
        <v>1547</v>
      </c>
      <c r="B216" s="149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144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>
      <c r="A217" s="62" t="s">
        <v>1547</v>
      </c>
      <c r="B217" s="149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144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>
      <c r="A218" s="62" t="s">
        <v>1547</v>
      </c>
      <c r="B218" s="149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144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>
      <c r="A219" s="62" t="s">
        <v>1547</v>
      </c>
      <c r="B219" s="149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144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>
      <c r="A220" s="62" t="s">
        <v>1547</v>
      </c>
      <c r="B220" s="149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144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>
      <c r="A221" s="62" t="s">
        <v>1547</v>
      </c>
      <c r="B221" s="149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144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>
      <c r="A222" s="62" t="s">
        <v>1547</v>
      </c>
      <c r="B222" s="149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144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>
      <c r="A223" s="62" t="s">
        <v>1547</v>
      </c>
      <c r="B223" s="149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144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>
      <c r="A224" s="62" t="s">
        <v>1547</v>
      </c>
      <c r="B224" s="149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144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>
      <c r="A225" s="62" t="s">
        <v>1547</v>
      </c>
      <c r="B225" s="149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144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>
      <c r="A226" s="62" t="s">
        <v>1547</v>
      </c>
      <c r="B226" s="149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144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>
      <c r="A227" s="62" t="s">
        <v>1547</v>
      </c>
      <c r="B227" s="149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144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>
      <c r="A228" s="62" t="s">
        <v>1547</v>
      </c>
      <c r="B228" s="149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144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>
      <c r="A229" s="62" t="s">
        <v>1547</v>
      </c>
      <c r="B229" s="149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144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>
      <c r="A230" s="62" t="s">
        <v>1547</v>
      </c>
      <c r="B230" s="149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144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>
      <c r="A231" s="62" t="s">
        <v>1547</v>
      </c>
      <c r="B231" s="149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144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>
      <c r="A232" s="62" t="s">
        <v>1547</v>
      </c>
      <c r="B232" s="149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144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>
      <c r="A233" s="62" t="s">
        <v>1547</v>
      </c>
      <c r="B233" s="149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144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>
      <c r="A234" s="62" t="s">
        <v>1547</v>
      </c>
      <c r="B234" s="149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144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>
      <c r="A235" t="s">
        <v>1558</v>
      </c>
      <c r="B235" s="149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144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>
      <c r="A236" s="62" t="s">
        <v>1558</v>
      </c>
      <c r="B236" s="149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144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>
      <c r="A237" s="62" t="s">
        <v>1558</v>
      </c>
      <c r="B237" s="149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144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>
      <c r="A238" s="62" t="s">
        <v>1558</v>
      </c>
      <c r="B238" s="149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144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>
      <c r="A239" s="62" t="s">
        <v>1558</v>
      </c>
      <c r="B239" s="149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144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>
      <c r="A240" s="62" t="s">
        <v>1558</v>
      </c>
      <c r="B240" s="149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144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>
      <c r="A241" s="62" t="s">
        <v>1558</v>
      </c>
      <c r="B241" s="149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144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>
      <c r="A242" s="62" t="s">
        <v>1558</v>
      </c>
      <c r="B242" s="149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144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>
      <c r="A243" s="62" t="s">
        <v>1558</v>
      </c>
      <c r="B243" s="149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144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>
      <c r="A244" s="62" t="s">
        <v>1558</v>
      </c>
      <c r="B244" s="149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144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>
      <c r="A245" t="s">
        <v>1563</v>
      </c>
      <c r="B245" s="149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144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>
      <c r="A246" s="62" t="s">
        <v>1563</v>
      </c>
      <c r="B246" s="149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144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>
      <c r="A247" s="62" t="s">
        <v>1563</v>
      </c>
      <c r="B247" s="149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144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>
      <c r="A248" s="62" t="s">
        <v>1563</v>
      </c>
      <c r="B248" s="149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144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>
      <c r="A249" t="s">
        <v>1565</v>
      </c>
      <c r="B249" s="149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144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>
      <c r="A250" t="s">
        <v>1566</v>
      </c>
      <c r="B250" s="149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144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>
      <c r="A251" s="62" t="s">
        <v>1566</v>
      </c>
      <c r="B251" s="149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144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>
      <c r="A252" s="62" t="s">
        <v>1566</v>
      </c>
      <c r="B252" s="149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144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>
      <c r="A253" s="62" t="s">
        <v>1566</v>
      </c>
      <c r="B253" s="149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144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>
      <c r="A254" s="62" t="s">
        <v>1566</v>
      </c>
      <c r="B254" s="149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144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>
      <c r="A255" s="62" t="s">
        <v>1566</v>
      </c>
      <c r="B255" s="149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144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>
      <c r="A256" t="s">
        <v>1583</v>
      </c>
      <c r="B256" s="149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144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>
      <c r="A257" s="62" t="s">
        <v>1583</v>
      </c>
      <c r="B257" s="149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144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>
      <c r="A258" s="62" t="s">
        <v>1583</v>
      </c>
      <c r="B258" s="149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144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>
      <c r="A259" s="62" t="s">
        <v>1583</v>
      </c>
      <c r="B259" s="149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144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>
      <c r="A260" s="62" t="s">
        <v>1583</v>
      </c>
      <c r="B260" s="149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144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>
      <c r="A261" s="62" t="s">
        <v>1583</v>
      </c>
      <c r="B261" s="149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144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>
      <c r="A262" s="62" t="s">
        <v>1583</v>
      </c>
      <c r="B262" s="149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144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>
      <c r="A263" t="s">
        <v>1587</v>
      </c>
      <c r="B263" s="149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144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>
      <c r="A264" s="62" t="s">
        <v>1587</v>
      </c>
      <c r="B264" s="149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144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>
      <c r="A265" s="62" t="s">
        <v>1587</v>
      </c>
      <c r="B265" s="149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144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>
      <c r="A266" t="s">
        <v>1606</v>
      </c>
      <c r="B266" s="149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144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>
      <c r="A267" s="62" t="s">
        <v>1606</v>
      </c>
      <c r="B267" s="149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144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>
      <c r="A268" s="62" t="s">
        <v>1606</v>
      </c>
      <c r="B268" s="149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144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>
      <c r="A269" s="62" t="s">
        <v>1606</v>
      </c>
      <c r="B269" s="149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144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>
      <c r="A270" s="62" t="s">
        <v>1591</v>
      </c>
      <c r="B270" s="149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144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>
      <c r="A271" s="62" t="s">
        <v>1591</v>
      </c>
      <c r="B271" s="149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144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>
      <c r="A272" s="62" t="s">
        <v>1591</v>
      </c>
      <c r="B272" s="149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144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>
      <c r="A273" s="62" t="s">
        <v>1591</v>
      </c>
      <c r="B273" s="149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144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>
      <c r="A274" s="62" t="s">
        <v>1591</v>
      </c>
      <c r="B274" s="149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144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>
      <c r="A275" s="62" t="s">
        <v>1591</v>
      </c>
      <c r="B275" s="149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144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>
      <c r="A276" s="62" t="s">
        <v>1591</v>
      </c>
      <c r="B276" s="149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144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>
      <c r="A277" s="62" t="s">
        <v>1591</v>
      </c>
      <c r="B277" s="149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144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>
      <c r="A278" t="s">
        <v>1591</v>
      </c>
      <c r="B278" s="149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144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>
      <c r="A279" s="62" t="s">
        <v>1591</v>
      </c>
      <c r="B279" s="149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144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>
      <c r="A280" s="62" t="s">
        <v>1591</v>
      </c>
      <c r="B280" s="149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144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>
      <c r="A281" s="62" t="s">
        <v>1591</v>
      </c>
      <c r="B281" s="149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144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>
      <c r="A282" t="s">
        <v>1614</v>
      </c>
      <c r="B282" s="149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144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>
      <c r="A283" s="62" t="s">
        <v>1614</v>
      </c>
      <c r="B283" s="149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144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>
      <c r="A284" s="62" t="s">
        <v>1614</v>
      </c>
      <c r="B284" s="149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144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>
      <c r="A285" s="62" t="s">
        <v>1614</v>
      </c>
      <c r="B285" s="149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144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>
      <c r="A286" t="s">
        <v>1615</v>
      </c>
      <c r="B286" s="149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144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>
      <c r="A287" t="s">
        <v>1626</v>
      </c>
      <c r="B287" s="149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144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>
      <c r="A288" s="62" t="s">
        <v>1626</v>
      </c>
      <c r="B288" s="149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144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>
      <c r="A289" s="62" t="s">
        <v>1626</v>
      </c>
      <c r="B289" s="149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144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>
      <c r="A290" s="62" t="s">
        <v>1626</v>
      </c>
      <c r="B290" s="149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144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>
      <c r="A291" s="62" t="s">
        <v>1626</v>
      </c>
      <c r="B291" s="149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144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>
      <c r="A292" s="62" t="s">
        <v>1626</v>
      </c>
      <c r="B292" s="149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144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>
      <c r="A293" s="62" t="s">
        <v>1626</v>
      </c>
      <c r="B293" s="149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144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>
      <c r="A294" s="62" t="s">
        <v>1626</v>
      </c>
      <c r="B294" s="149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144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>
      <c r="A295" s="62" t="s">
        <v>1626</v>
      </c>
      <c r="B295" s="149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144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>
      <c r="A296" t="s">
        <v>1627</v>
      </c>
      <c r="B296" s="149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144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230</v>
      </c>
      <c r="R296" s="64" t="s">
        <v>1076</v>
      </c>
      <c r="S296" s="60"/>
    </row>
    <row r="297" spans="1:19">
      <c r="A297" s="62" t="s">
        <v>1627</v>
      </c>
      <c r="B297" s="149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144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230</v>
      </c>
      <c r="R297" s="64" t="s">
        <v>1076</v>
      </c>
      <c r="S297" s="60"/>
    </row>
    <row r="298" spans="1:19">
      <c r="A298" s="62" t="s">
        <v>1627</v>
      </c>
      <c r="B298" s="149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144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230</v>
      </c>
      <c r="R298" s="64" t="s">
        <v>1076</v>
      </c>
      <c r="S298" s="60"/>
    </row>
    <row r="299" spans="1:19">
      <c r="A299" s="62" t="s">
        <v>1627</v>
      </c>
      <c r="B299" s="149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144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230</v>
      </c>
      <c r="R299" s="64" t="s">
        <v>1076</v>
      </c>
      <c r="S299" s="60"/>
    </row>
    <row r="300" spans="1:19">
      <c r="A300" s="62" t="s">
        <v>1627</v>
      </c>
      <c r="B300" s="149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144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230</v>
      </c>
      <c r="R300" s="64" t="s">
        <v>1076</v>
      </c>
      <c r="S300" s="60"/>
    </row>
    <row r="301" spans="1:19">
      <c r="A301" s="62" t="s">
        <v>1627</v>
      </c>
      <c r="B301" s="149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144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230</v>
      </c>
      <c r="R301" s="64" t="s">
        <v>1076</v>
      </c>
      <c r="S301" s="60"/>
    </row>
    <row r="302" spans="1:19">
      <c r="A302" s="62" t="s">
        <v>1627</v>
      </c>
      <c r="B302" s="149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144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230</v>
      </c>
      <c r="R302" s="64" t="s">
        <v>1076</v>
      </c>
      <c r="S302" s="60"/>
    </row>
    <row r="303" spans="1:19">
      <c r="A303" s="62" t="s">
        <v>1627</v>
      </c>
      <c r="B303" s="149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144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230</v>
      </c>
      <c r="R303" s="64" t="s">
        <v>1076</v>
      </c>
      <c r="S303" s="60"/>
    </row>
    <row r="304" spans="1:19">
      <c r="A304" s="62" t="s">
        <v>1627</v>
      </c>
      <c r="B304" s="149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144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230</v>
      </c>
      <c r="R304" s="64" t="s">
        <v>1076</v>
      </c>
      <c r="S304" s="60"/>
    </row>
    <row r="305" spans="1:19">
      <c r="A305" s="62" t="s">
        <v>1627</v>
      </c>
      <c r="B305" s="149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144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230</v>
      </c>
      <c r="R305" s="64" t="s">
        <v>1076</v>
      </c>
      <c r="S305" s="60"/>
    </row>
    <row r="306" spans="1:19">
      <c r="A306" s="62" t="s">
        <v>1627</v>
      </c>
      <c r="B306" s="149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144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230</v>
      </c>
      <c r="R306" s="64" t="s">
        <v>1076</v>
      </c>
      <c r="S306" s="60"/>
    </row>
    <row r="307" spans="1:19">
      <c r="A307" t="s">
        <v>1641</v>
      </c>
      <c r="B307" s="149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144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>
      <c r="A308" t="s">
        <v>1644</v>
      </c>
      <c r="B308" s="149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144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>
      <c r="A309" s="62" t="s">
        <v>1644</v>
      </c>
      <c r="B309" s="149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144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>
      <c r="A310" s="62" t="s">
        <v>1644</v>
      </c>
      <c r="B310" s="149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144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>
      <c r="A311" s="62" t="s">
        <v>1644</v>
      </c>
      <c r="B311" s="149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144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>
      <c r="A312" s="62" t="s">
        <v>1644</v>
      </c>
      <c r="B312" s="149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144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>
      <c r="A313" s="62" t="s">
        <v>1644</v>
      </c>
      <c r="B313" s="149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144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>
      <c r="A314" t="s">
        <v>1654</v>
      </c>
      <c r="B314" s="149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144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>
      <c r="A315" t="s">
        <v>1665</v>
      </c>
      <c r="B315" s="149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144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226</v>
      </c>
      <c r="R315" s="64" t="s">
        <v>1666</v>
      </c>
      <c r="S315" s="60"/>
    </row>
    <row r="316" spans="1:19">
      <c r="A316" t="s">
        <v>1657</v>
      </c>
      <c r="B316" s="149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144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>
      <c r="A317" s="62" t="s">
        <v>1657</v>
      </c>
      <c r="B317" s="149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144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>
      <c r="A318" s="62" t="s">
        <v>1657</v>
      </c>
      <c r="B318" s="149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144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>
      <c r="A319" s="62" t="s">
        <v>1657</v>
      </c>
      <c r="B319" s="149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144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>
      <c r="A320" s="62" t="s">
        <v>1657</v>
      </c>
      <c r="B320" s="149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144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>
      <c r="A321" s="62" t="s">
        <v>1657</v>
      </c>
      <c r="B321" s="149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144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>
      <c r="A322" t="s">
        <v>1655</v>
      </c>
      <c r="B322" s="149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144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>
      <c r="A323" t="s">
        <v>1686</v>
      </c>
      <c r="B323" s="149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144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>
      <c r="A324" s="62" t="s">
        <v>1686</v>
      </c>
      <c r="B324" s="149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144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>
      <c r="A325" s="62" t="s">
        <v>1686</v>
      </c>
      <c r="B325" s="149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144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>
      <c r="A326" s="62" t="s">
        <v>1686</v>
      </c>
      <c r="B326" s="149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144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>
      <c r="A327" s="62" t="s">
        <v>1686</v>
      </c>
      <c r="B327" s="149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144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>
      <c r="A328" s="62" t="s">
        <v>1686</v>
      </c>
      <c r="B328" s="149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144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>
      <c r="A329" s="62" t="s">
        <v>1686</v>
      </c>
      <c r="B329" s="149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144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>
      <c r="A330" s="62" t="s">
        <v>1686</v>
      </c>
      <c r="B330" s="149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144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>
      <c r="A331" s="62" t="s">
        <v>1686</v>
      </c>
      <c r="B331" s="149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144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>
      <c r="A332" s="62" t="s">
        <v>1686</v>
      </c>
      <c r="B332" s="149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144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>
      <c r="A333" s="62" t="s">
        <v>1686</v>
      </c>
      <c r="B333" s="149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144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>
      <c r="A334" s="62" t="s">
        <v>1686</v>
      </c>
      <c r="B334" s="149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144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>
      <c r="A335" s="62" t="s">
        <v>1686</v>
      </c>
      <c r="B335" s="149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144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>
      <c r="A336" s="62" t="s">
        <v>1686</v>
      </c>
      <c r="B336" s="149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144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>
      <c r="A337" s="62" t="s">
        <v>1686</v>
      </c>
      <c r="B337" s="149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144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>
      <c r="A338" s="62" t="s">
        <v>1686</v>
      </c>
      <c r="B338" s="149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144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>
      <c r="A339" s="62" t="s">
        <v>1686</v>
      </c>
      <c r="B339" s="149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144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>
      <c r="A340" s="62" t="s">
        <v>1686</v>
      </c>
      <c r="B340" s="149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144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>
      <c r="A341" t="s">
        <v>1708</v>
      </c>
      <c r="B341" s="149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144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>
      <c r="A342" t="s">
        <v>1708</v>
      </c>
      <c r="B342" s="149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144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>
      <c r="A343" s="62" t="s">
        <v>1708</v>
      </c>
      <c r="B343" s="149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144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>
      <c r="A344" s="62" t="s">
        <v>1708</v>
      </c>
      <c r="B344" s="149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144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>
      <c r="A345" s="62" t="s">
        <v>1708</v>
      </c>
      <c r="B345" s="149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144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>
      <c r="A346" t="s">
        <v>1708</v>
      </c>
      <c r="B346" s="149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144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>
      <c r="A347" s="62" t="s">
        <v>1707</v>
      </c>
      <c r="B347" s="149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144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>
      <c r="A348" s="62" t="s">
        <v>1707</v>
      </c>
      <c r="B348" s="149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144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>
      <c r="A349" s="62" t="s">
        <v>1707</v>
      </c>
      <c r="B349" s="149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144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>
      <c r="A350" s="62" t="s">
        <v>1707</v>
      </c>
      <c r="B350" s="149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144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>
      <c r="A351" s="62" t="s">
        <v>1707</v>
      </c>
      <c r="B351" s="149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144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>
      <c r="A352" s="62" t="s">
        <v>1707</v>
      </c>
      <c r="B352" s="149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144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>
      <c r="A353" s="62" t="s">
        <v>1707</v>
      </c>
      <c r="B353" s="149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144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>
      <c r="A354" s="62" t="s">
        <v>1707</v>
      </c>
      <c r="B354" s="149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144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>
      <c r="A355" s="62" t="s">
        <v>1707</v>
      </c>
      <c r="B355" s="149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144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>
      <c r="A356" s="62" t="s">
        <v>1707</v>
      </c>
      <c r="B356" s="149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144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>
      <c r="A357" s="62" t="s">
        <v>1707</v>
      </c>
      <c r="B357" s="149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144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>
      <c r="A358" s="62" t="s">
        <v>1707</v>
      </c>
      <c r="B358" s="149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144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>
      <c r="A359" t="s">
        <v>1707</v>
      </c>
      <c r="B359" s="149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144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>
      <c r="A360" s="62" t="s">
        <v>1689</v>
      </c>
      <c r="B360" s="149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144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>
      <c r="A361" s="62" t="s">
        <v>1689</v>
      </c>
      <c r="B361" s="149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144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>
      <c r="A362" s="62" t="s">
        <v>1689</v>
      </c>
      <c r="B362" s="149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144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>
      <c r="A363" s="62" t="s">
        <v>1689</v>
      </c>
      <c r="B363" s="149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144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>
      <c r="A364" s="62" t="s">
        <v>1687</v>
      </c>
      <c r="B364" s="149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144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>
      <c r="A365" t="s">
        <v>1720</v>
      </c>
      <c r="B365" s="149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144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>
      <c r="A366" s="62" t="s">
        <v>1717</v>
      </c>
      <c r="B366" s="149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144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>
      <c r="A367" s="62" t="s">
        <v>1717</v>
      </c>
      <c r="B367" s="149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144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>
      <c r="A368" s="62" t="s">
        <v>1717</v>
      </c>
      <c r="B368" s="149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144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>
      <c r="A369" s="62" t="s">
        <v>1717</v>
      </c>
      <c r="B369" s="149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144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>
      <c r="A370" s="62" t="s">
        <v>1717</v>
      </c>
      <c r="B370" s="149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144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>
      <c r="A371" s="62" t="s">
        <v>1717</v>
      </c>
      <c r="B371" s="149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144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>
      <c r="A372" s="62" t="s">
        <v>1717</v>
      </c>
      <c r="B372" s="149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144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>
      <c r="A373" s="62" t="s">
        <v>1717</v>
      </c>
      <c r="B373" s="149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144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>
      <c r="A374" s="62" t="s">
        <v>1717</v>
      </c>
      <c r="B374" s="149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144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>
      <c r="A375" s="62" t="s">
        <v>1717</v>
      </c>
      <c r="B375" s="149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144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>
      <c r="A376" s="62" t="s">
        <v>1717</v>
      </c>
      <c r="B376" s="149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144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>
      <c r="A377" s="62" t="s">
        <v>1717</v>
      </c>
      <c r="B377" s="149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144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>
      <c r="A378" s="62" t="s">
        <v>1717</v>
      </c>
      <c r="B378" s="149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144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>
      <c r="A379" s="62" t="s">
        <v>1717</v>
      </c>
      <c r="B379" s="149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144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>
      <c r="A380" s="62" t="s">
        <v>1717</v>
      </c>
      <c r="B380" s="149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144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>
      <c r="A381" s="62" t="s">
        <v>1717</v>
      </c>
      <c r="B381" s="149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144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>
      <c r="A382" t="s">
        <v>1717</v>
      </c>
      <c r="B382" s="149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144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>
      <c r="A383" t="s">
        <v>1746</v>
      </c>
      <c r="B383" s="149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144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>
      <c r="A384" s="62" t="s">
        <v>1746</v>
      </c>
      <c r="B384" s="149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144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>
      <c r="A385" s="62" t="s">
        <v>1746</v>
      </c>
      <c r="B385" s="149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144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>
      <c r="A386" s="62" t="s">
        <v>1746</v>
      </c>
      <c r="B386" s="149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144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>
      <c r="A387" s="62" t="s">
        <v>1744</v>
      </c>
      <c r="B387" s="149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144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>
      <c r="A388" s="62" t="s">
        <v>1743</v>
      </c>
      <c r="B388" s="149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144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223</v>
      </c>
      <c r="R388" s="67" t="s">
        <v>549</v>
      </c>
      <c r="S388" s="94" t="e">
        <f>VLOOKUP(Proc[[#This Row],[Obj]],#REF!,2,0)</f>
        <v>#REF!</v>
      </c>
    </row>
    <row r="389" spans="1:19">
      <c r="A389" s="62" t="s">
        <v>1743</v>
      </c>
      <c r="B389" s="149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144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223</v>
      </c>
      <c r="R389" s="67" t="s">
        <v>549</v>
      </c>
      <c r="S389" s="60"/>
    </row>
    <row r="390" spans="1:19">
      <c r="A390" s="62" t="s">
        <v>1743</v>
      </c>
      <c r="B390" s="149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144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223</v>
      </c>
      <c r="R390" s="67" t="s">
        <v>549</v>
      </c>
      <c r="S390" s="60"/>
    </row>
    <row r="391" spans="1:19">
      <c r="A391" s="62" t="s">
        <v>1743</v>
      </c>
      <c r="B391" s="149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144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223</v>
      </c>
      <c r="R391" s="67" t="s">
        <v>549</v>
      </c>
      <c r="S391" s="60"/>
    </row>
    <row r="392" spans="1:19">
      <c r="A392" s="62" t="s">
        <v>1743</v>
      </c>
      <c r="B392" s="149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144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223</v>
      </c>
      <c r="R392" s="67" t="s">
        <v>549</v>
      </c>
      <c r="S392" s="60"/>
    </row>
    <row r="393" spans="1:19">
      <c r="A393" s="62" t="s">
        <v>1743</v>
      </c>
      <c r="B393" s="149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144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223</v>
      </c>
      <c r="R393" s="67" t="s">
        <v>549</v>
      </c>
      <c r="S393" s="60"/>
    </row>
    <row r="394" spans="1:19">
      <c r="A394" s="62" t="s">
        <v>1743</v>
      </c>
      <c r="B394" s="149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144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223</v>
      </c>
      <c r="R394" s="67" t="s">
        <v>549</v>
      </c>
      <c r="S394" s="60"/>
    </row>
    <row r="395" spans="1:19">
      <c r="A395" s="62" t="s">
        <v>1743</v>
      </c>
      <c r="B395" s="149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144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223</v>
      </c>
      <c r="R395" s="67" t="s">
        <v>549</v>
      </c>
      <c r="S395" s="60"/>
    </row>
    <row r="396" spans="1:19">
      <c r="A396" s="62" t="s">
        <v>1743</v>
      </c>
      <c r="B396" s="149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144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223</v>
      </c>
      <c r="R396" s="67" t="s">
        <v>549</v>
      </c>
      <c r="S396" s="60"/>
    </row>
    <row r="397" spans="1:19">
      <c r="A397" s="62" t="s">
        <v>1743</v>
      </c>
      <c r="B397" s="149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144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223</v>
      </c>
      <c r="R397" s="67" t="s">
        <v>549</v>
      </c>
      <c r="S397" s="60"/>
    </row>
    <row r="398" spans="1:19">
      <c r="A398" s="62" t="s">
        <v>1743</v>
      </c>
      <c r="B398" s="149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144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223</v>
      </c>
      <c r="R398" s="67" t="s">
        <v>549</v>
      </c>
      <c r="S398" s="60"/>
    </row>
    <row r="399" spans="1:19">
      <c r="A399" s="62" t="s">
        <v>1743</v>
      </c>
      <c r="B399" s="149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144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223</v>
      </c>
      <c r="R399" s="67" t="s">
        <v>549</v>
      </c>
      <c r="S399" s="94" t="e">
        <f>VLOOKUP(Proc[[#This Row],[Obj]],#REF!,2,0)</f>
        <v>#REF!</v>
      </c>
    </row>
    <row r="400" spans="1:19">
      <c r="A400" s="62" t="s">
        <v>1743</v>
      </c>
      <c r="B400" s="149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144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223</v>
      </c>
      <c r="R400" s="67" t="s">
        <v>549</v>
      </c>
      <c r="S400" s="60"/>
    </row>
    <row r="401" spans="1:19">
      <c r="A401" s="62" t="s">
        <v>1743</v>
      </c>
      <c r="B401" s="149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144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223</v>
      </c>
      <c r="R401" s="67" t="s">
        <v>549</v>
      </c>
      <c r="S401" s="60"/>
    </row>
    <row r="402" spans="1:19">
      <c r="A402" s="62" t="s">
        <v>1743</v>
      </c>
      <c r="B402" s="149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144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223</v>
      </c>
      <c r="R402" s="67" t="s">
        <v>549</v>
      </c>
      <c r="S402" s="60"/>
    </row>
    <row r="403" spans="1:19">
      <c r="A403" s="62" t="s">
        <v>1743</v>
      </c>
      <c r="B403" s="149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144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223</v>
      </c>
      <c r="R403" s="67" t="s">
        <v>549</v>
      </c>
      <c r="S403" s="60"/>
    </row>
    <row r="404" spans="1:19">
      <c r="A404" s="62" t="s">
        <v>1743</v>
      </c>
      <c r="B404" s="149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144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223</v>
      </c>
      <c r="R404" s="67" t="s">
        <v>549</v>
      </c>
      <c r="S404" s="60"/>
    </row>
    <row r="405" spans="1:19">
      <c r="A405" s="62" t="s">
        <v>1743</v>
      </c>
      <c r="B405" s="149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144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223</v>
      </c>
      <c r="R405" s="67" t="s">
        <v>549</v>
      </c>
      <c r="S405" s="94" t="e">
        <f>VLOOKUP(Proc[[#This Row],[Obj]],#REF!,2,0)</f>
        <v>#REF!</v>
      </c>
    </row>
    <row r="406" spans="1:19">
      <c r="A406" s="62" t="s">
        <v>1743</v>
      </c>
      <c r="B406" s="149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144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223</v>
      </c>
      <c r="R406" s="67" t="s">
        <v>549</v>
      </c>
      <c r="S406" s="60"/>
    </row>
    <row r="407" spans="1:19">
      <c r="A407" s="62" t="s">
        <v>1743</v>
      </c>
      <c r="B407" s="149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144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223</v>
      </c>
      <c r="R407" s="67" t="s">
        <v>549</v>
      </c>
      <c r="S407" s="60"/>
    </row>
    <row r="408" spans="1:19">
      <c r="A408" s="62" t="s">
        <v>1743</v>
      </c>
      <c r="B408" s="149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144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223</v>
      </c>
      <c r="R408" s="67" t="s">
        <v>549</v>
      </c>
      <c r="S408" s="60"/>
    </row>
    <row r="409" spans="1:19">
      <c r="A409" s="62" t="s">
        <v>1743</v>
      </c>
      <c r="B409" s="149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144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223</v>
      </c>
      <c r="R409" s="67" t="s">
        <v>549</v>
      </c>
      <c r="S409" s="60"/>
    </row>
    <row r="410" spans="1:19">
      <c r="A410" s="62" t="s">
        <v>1743</v>
      </c>
      <c r="B410" s="149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144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223</v>
      </c>
      <c r="R410" s="67" t="s">
        <v>549</v>
      </c>
      <c r="S410" s="60"/>
    </row>
    <row r="411" spans="1:19">
      <c r="A411" s="62" t="s">
        <v>1743</v>
      </c>
      <c r="B411" s="149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144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223</v>
      </c>
      <c r="R411" s="67" t="s">
        <v>549</v>
      </c>
      <c r="S411" s="60"/>
    </row>
    <row r="412" spans="1:19">
      <c r="A412" s="62" t="s">
        <v>1743</v>
      </c>
      <c r="B412" s="149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144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223</v>
      </c>
      <c r="R412" s="67" t="s">
        <v>549</v>
      </c>
      <c r="S412" s="60"/>
    </row>
    <row r="413" spans="1:19">
      <c r="A413" s="62" t="s">
        <v>1743</v>
      </c>
      <c r="B413" s="149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144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223</v>
      </c>
      <c r="R413" s="67" t="s">
        <v>549</v>
      </c>
      <c r="S413" s="94" t="e">
        <f>VLOOKUP(Proc[[#This Row],[Obj]],#REF!,2,0)</f>
        <v>#REF!</v>
      </c>
    </row>
    <row r="414" spans="1:19">
      <c r="A414" s="62" t="s">
        <v>1743</v>
      </c>
      <c r="B414" s="149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144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223</v>
      </c>
      <c r="R414" s="67" t="s">
        <v>549</v>
      </c>
      <c r="S414" s="94" t="e">
        <f>VLOOKUP(Proc[[#This Row],[Obj]],#REF!,2,0)</f>
        <v>#REF!</v>
      </c>
    </row>
    <row r="415" spans="1:19">
      <c r="A415" s="62" t="s">
        <v>1743</v>
      </c>
      <c r="B415" s="149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144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223</v>
      </c>
      <c r="R415" s="67" t="s">
        <v>549</v>
      </c>
      <c r="S415" s="60"/>
    </row>
    <row r="416" spans="1:19">
      <c r="A416" s="62" t="s">
        <v>1743</v>
      </c>
      <c r="B416" s="149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144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223</v>
      </c>
      <c r="R416" s="67" t="s">
        <v>549</v>
      </c>
      <c r="S416" s="60"/>
    </row>
    <row r="417" spans="1:19">
      <c r="A417" s="62" t="s">
        <v>1743</v>
      </c>
      <c r="B417" s="149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144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223</v>
      </c>
      <c r="R417" s="67" t="s">
        <v>549</v>
      </c>
      <c r="S417" s="60"/>
    </row>
    <row r="418" spans="1:19">
      <c r="A418" s="62" t="s">
        <v>1743</v>
      </c>
      <c r="B418" s="149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144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223</v>
      </c>
      <c r="R418" s="67" t="s">
        <v>549</v>
      </c>
      <c r="S418" s="60"/>
    </row>
    <row r="419" spans="1:19">
      <c r="A419" s="62" t="s">
        <v>1743</v>
      </c>
      <c r="B419" s="149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144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223</v>
      </c>
      <c r="R419" s="67" t="s">
        <v>549</v>
      </c>
      <c r="S419" s="60"/>
    </row>
    <row r="420" spans="1:19">
      <c r="A420" s="62" t="s">
        <v>1743</v>
      </c>
      <c r="B420" s="149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144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223</v>
      </c>
      <c r="R420" s="67" t="s">
        <v>549</v>
      </c>
      <c r="S420" s="60"/>
    </row>
    <row r="421" spans="1:19">
      <c r="A421" s="62" t="s">
        <v>1743</v>
      </c>
      <c r="B421" s="149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144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223</v>
      </c>
      <c r="R421" s="67" t="s">
        <v>549</v>
      </c>
      <c r="S421" s="94" t="e">
        <f>VLOOKUP(Proc[[#This Row],[Obj]],#REF!,2,0)</f>
        <v>#REF!</v>
      </c>
    </row>
    <row r="422" spans="1:19">
      <c r="A422" s="62" t="s">
        <v>1743</v>
      </c>
      <c r="B422" s="149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144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223</v>
      </c>
      <c r="R422" s="67" t="s">
        <v>549</v>
      </c>
      <c r="S422" s="60"/>
    </row>
    <row r="423" spans="1:19">
      <c r="A423" s="62" t="s">
        <v>1743</v>
      </c>
      <c r="B423" s="149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144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223</v>
      </c>
      <c r="R423" s="67" t="s">
        <v>549</v>
      </c>
      <c r="S423" s="60"/>
    </row>
    <row r="424" spans="1:19">
      <c r="A424" t="s">
        <v>1743</v>
      </c>
      <c r="B424" s="149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144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223</v>
      </c>
      <c r="R424" s="67" t="s">
        <v>549</v>
      </c>
      <c r="S424" s="60"/>
    </row>
    <row r="425" spans="1:19">
      <c r="A425" t="s">
        <v>1743</v>
      </c>
      <c r="B425" s="149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144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223</v>
      </c>
      <c r="R425" s="67" t="s">
        <v>549</v>
      </c>
      <c r="S425" s="60"/>
    </row>
    <row r="426" spans="1:19">
      <c r="A426" s="62" t="s">
        <v>1743</v>
      </c>
      <c r="B426" s="149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144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223</v>
      </c>
      <c r="R426" s="67" t="s">
        <v>549</v>
      </c>
      <c r="S426" s="60"/>
    </row>
    <row r="427" spans="1:19">
      <c r="A427" s="62" t="s">
        <v>1743</v>
      </c>
      <c r="B427" s="149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144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223</v>
      </c>
      <c r="R427" s="67" t="s">
        <v>549</v>
      </c>
      <c r="S427" s="60"/>
    </row>
    <row r="428" spans="1:19">
      <c r="A428" s="62" t="s">
        <v>1743</v>
      </c>
      <c r="B428" s="149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144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223</v>
      </c>
      <c r="R428" s="67" t="s">
        <v>549</v>
      </c>
      <c r="S428" s="60"/>
    </row>
    <row r="429" spans="1:19">
      <c r="A429" t="s">
        <v>1809</v>
      </c>
      <c r="B429" s="149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144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222</v>
      </c>
      <c r="R429" s="67" t="s">
        <v>515</v>
      </c>
      <c r="S429" s="60"/>
    </row>
    <row r="430" spans="1:19">
      <c r="A430" s="62" t="s">
        <v>1809</v>
      </c>
      <c r="B430" s="149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144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222</v>
      </c>
      <c r="R430" s="67" t="s">
        <v>515</v>
      </c>
      <c r="S430" s="60"/>
    </row>
    <row r="431" spans="1:19">
      <c r="A431" s="62" t="s">
        <v>1809</v>
      </c>
      <c r="B431" s="149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144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222</v>
      </c>
      <c r="R431" s="67" t="s">
        <v>515</v>
      </c>
      <c r="S431" s="60"/>
    </row>
    <row r="432" spans="1:19">
      <c r="A432" s="62" t="s">
        <v>1751</v>
      </c>
      <c r="B432" s="149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144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222</v>
      </c>
      <c r="R432" s="67" t="s">
        <v>830</v>
      </c>
      <c r="S432" s="60"/>
    </row>
    <row r="433" spans="1:19">
      <c r="A433" s="62" t="s">
        <v>1751</v>
      </c>
      <c r="B433" s="149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144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222</v>
      </c>
      <c r="R433" s="67" t="s">
        <v>830</v>
      </c>
      <c r="S433" s="60"/>
    </row>
    <row r="434" spans="1:19">
      <c r="A434" s="62" t="s">
        <v>1751</v>
      </c>
      <c r="B434" s="149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144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222</v>
      </c>
      <c r="R434" s="67" t="s">
        <v>830</v>
      </c>
      <c r="S434" s="60"/>
    </row>
    <row r="435" spans="1:19">
      <c r="A435" s="62" t="s">
        <v>1751</v>
      </c>
      <c r="B435" s="149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144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222</v>
      </c>
      <c r="R435" s="67" t="s">
        <v>830</v>
      </c>
      <c r="S435" s="60"/>
    </row>
    <row r="436" spans="1:19">
      <c r="A436" s="62" t="s">
        <v>1751</v>
      </c>
      <c r="B436" s="149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144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222</v>
      </c>
      <c r="R436" s="67" t="s">
        <v>830</v>
      </c>
      <c r="S436" s="60"/>
    </row>
    <row r="437" spans="1:19">
      <c r="A437" s="62" t="s">
        <v>1751</v>
      </c>
      <c r="B437" s="149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144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222</v>
      </c>
      <c r="R437" s="67" t="s">
        <v>830</v>
      </c>
      <c r="S437" s="60"/>
    </row>
    <row r="438" spans="1:19">
      <c r="A438" s="62" t="s">
        <v>1751</v>
      </c>
      <c r="B438" s="149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144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222</v>
      </c>
      <c r="R438" s="67" t="s">
        <v>830</v>
      </c>
      <c r="S438" s="60"/>
    </row>
    <row r="439" spans="1:19">
      <c r="A439" s="62" t="s">
        <v>1751</v>
      </c>
      <c r="B439" s="149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144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222</v>
      </c>
      <c r="R439" s="67" t="s">
        <v>830</v>
      </c>
      <c r="S439" s="60"/>
    </row>
    <row r="440" spans="1:19">
      <c r="A440" s="62" t="s">
        <v>1751</v>
      </c>
      <c r="B440" s="149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144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222</v>
      </c>
      <c r="R440" s="67" t="s">
        <v>830</v>
      </c>
      <c r="S440" s="60"/>
    </row>
    <row r="441" spans="1:19">
      <c r="A441" s="62" t="s">
        <v>1751</v>
      </c>
      <c r="B441" s="149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144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222</v>
      </c>
      <c r="R441" s="67" t="s">
        <v>830</v>
      </c>
      <c r="S441" s="60"/>
    </row>
    <row r="442" spans="1:19">
      <c r="A442" s="62" t="s">
        <v>1751</v>
      </c>
      <c r="B442" s="149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144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222</v>
      </c>
      <c r="R442" s="67" t="s">
        <v>830</v>
      </c>
      <c r="S442" s="60"/>
    </row>
    <row r="443" spans="1:19">
      <c r="A443" s="62" t="s">
        <v>1751</v>
      </c>
      <c r="B443" s="149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144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222</v>
      </c>
      <c r="R443" s="67" t="s">
        <v>830</v>
      </c>
      <c r="S443" s="60"/>
    </row>
    <row r="444" spans="1:19">
      <c r="A444" s="62" t="s">
        <v>1751</v>
      </c>
      <c r="B444" s="149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144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222</v>
      </c>
      <c r="R444" s="67" t="s">
        <v>830</v>
      </c>
      <c r="S444" s="60"/>
    </row>
    <row r="445" spans="1:19">
      <c r="A445" s="62" t="s">
        <v>1751</v>
      </c>
      <c r="B445" s="149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144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222</v>
      </c>
      <c r="R445" s="67" t="s">
        <v>830</v>
      </c>
      <c r="S445" s="60"/>
    </row>
    <row r="446" spans="1:19">
      <c r="A446" s="62" t="s">
        <v>1751</v>
      </c>
      <c r="B446" s="149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144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222</v>
      </c>
      <c r="R446" s="67" t="s">
        <v>830</v>
      </c>
      <c r="S446" s="60"/>
    </row>
    <row r="447" spans="1:19">
      <c r="A447" s="62" t="s">
        <v>1751</v>
      </c>
      <c r="B447" s="149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144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222</v>
      </c>
      <c r="R447" s="67" t="s">
        <v>830</v>
      </c>
      <c r="S447" s="60"/>
    </row>
    <row r="448" spans="1:19">
      <c r="A448" s="62" t="s">
        <v>1751</v>
      </c>
      <c r="B448" s="149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144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222</v>
      </c>
      <c r="R448" s="67" t="s">
        <v>830</v>
      </c>
      <c r="S448" s="60"/>
    </row>
    <row r="449" spans="1:19">
      <c r="A449" s="62" t="s">
        <v>1751</v>
      </c>
      <c r="B449" s="149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144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222</v>
      </c>
      <c r="R449" s="67" t="s">
        <v>830</v>
      </c>
      <c r="S449" s="60"/>
    </row>
    <row r="450" spans="1:19">
      <c r="A450" s="62" t="s">
        <v>1751</v>
      </c>
      <c r="B450" s="149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144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222</v>
      </c>
      <c r="R450" s="67" t="s">
        <v>830</v>
      </c>
      <c r="S450" s="60"/>
    </row>
    <row r="451" spans="1:19">
      <c r="A451" s="62" t="s">
        <v>1751</v>
      </c>
      <c r="B451" s="149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144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222</v>
      </c>
      <c r="R451" s="67" t="s">
        <v>830</v>
      </c>
      <c r="S451" s="60"/>
    </row>
    <row r="452" spans="1:19">
      <c r="A452" s="62" t="s">
        <v>1751</v>
      </c>
      <c r="B452" s="149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144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222</v>
      </c>
      <c r="R452" s="67" t="s">
        <v>830</v>
      </c>
      <c r="S452" s="60"/>
    </row>
    <row r="453" spans="1:19">
      <c r="A453" s="62" t="s">
        <v>1751</v>
      </c>
      <c r="B453" s="149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144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222</v>
      </c>
      <c r="R453" s="67" t="s">
        <v>830</v>
      </c>
      <c r="S453" s="60"/>
    </row>
    <row r="454" spans="1:19">
      <c r="A454" s="62" t="s">
        <v>1751</v>
      </c>
      <c r="B454" s="149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144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222</v>
      </c>
      <c r="R454" s="67" t="s">
        <v>830</v>
      </c>
      <c r="S454" s="60"/>
    </row>
    <row r="455" spans="1:19">
      <c r="A455" s="62" t="s">
        <v>1751</v>
      </c>
      <c r="B455" s="149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144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222</v>
      </c>
      <c r="R455" s="67" t="s">
        <v>830</v>
      </c>
      <c r="S455" s="60"/>
    </row>
    <row r="456" spans="1:19">
      <c r="A456" s="62" t="s">
        <v>1751</v>
      </c>
      <c r="B456" s="149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144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222</v>
      </c>
      <c r="R456" s="67" t="s">
        <v>830</v>
      </c>
      <c r="S456" s="60"/>
    </row>
    <row r="457" spans="1:19">
      <c r="A457" s="62" t="s">
        <v>1751</v>
      </c>
      <c r="B457" s="149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144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222</v>
      </c>
      <c r="R457" s="67" t="s">
        <v>830</v>
      </c>
      <c r="S457" s="60"/>
    </row>
    <row r="458" spans="1:19">
      <c r="A458" s="62" t="s">
        <v>1751</v>
      </c>
      <c r="B458" s="149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144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222</v>
      </c>
      <c r="R458" s="67" t="s">
        <v>830</v>
      </c>
      <c r="S458" s="60"/>
    </row>
    <row r="459" spans="1:19">
      <c r="A459" s="62" t="s">
        <v>1751</v>
      </c>
      <c r="B459" s="149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144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222</v>
      </c>
      <c r="R459" s="67" t="s">
        <v>830</v>
      </c>
      <c r="S459" s="60"/>
    </row>
    <row r="460" spans="1:19">
      <c r="A460" s="62" t="s">
        <v>1751</v>
      </c>
      <c r="B460" s="149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144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222</v>
      </c>
      <c r="R460" s="67" t="s">
        <v>830</v>
      </c>
      <c r="S460" s="60"/>
    </row>
    <row r="461" spans="1:19">
      <c r="A461" s="62" t="s">
        <v>1751</v>
      </c>
      <c r="B461" s="149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144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222</v>
      </c>
      <c r="R461" s="67" t="s">
        <v>830</v>
      </c>
      <c r="S461" s="60"/>
    </row>
    <row r="462" spans="1:19">
      <c r="A462" s="62" t="s">
        <v>1751</v>
      </c>
      <c r="B462" s="149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144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222</v>
      </c>
      <c r="R462" s="67" t="s">
        <v>830</v>
      </c>
      <c r="S462" s="60"/>
    </row>
    <row r="463" spans="1:19">
      <c r="A463" s="62" t="s">
        <v>1751</v>
      </c>
      <c r="B463" s="149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144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222</v>
      </c>
      <c r="R463" s="67" t="s">
        <v>830</v>
      </c>
      <c r="S463" s="60"/>
    </row>
    <row r="464" spans="1:19">
      <c r="A464" s="62" t="s">
        <v>1751</v>
      </c>
      <c r="B464" s="149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144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222</v>
      </c>
      <c r="R464" s="67" t="s">
        <v>830</v>
      </c>
      <c r="S464" s="60"/>
    </row>
    <row r="465" spans="1:19">
      <c r="A465" s="62" t="s">
        <v>1751</v>
      </c>
      <c r="B465" s="149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144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222</v>
      </c>
      <c r="R465" s="67" t="s">
        <v>830</v>
      </c>
      <c r="S465" s="60"/>
    </row>
    <row r="466" spans="1:19">
      <c r="A466" s="62" t="s">
        <v>1751</v>
      </c>
      <c r="B466" s="149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144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222</v>
      </c>
      <c r="R466" s="67" t="s">
        <v>830</v>
      </c>
      <c r="S466" s="60"/>
    </row>
    <row r="467" spans="1:19">
      <c r="A467" s="62" t="s">
        <v>1751</v>
      </c>
      <c r="B467" s="149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144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222</v>
      </c>
      <c r="R467" s="67" t="s">
        <v>830</v>
      </c>
      <c r="S467" s="60"/>
    </row>
    <row r="468" spans="1:19">
      <c r="A468" s="62" t="s">
        <v>1751</v>
      </c>
      <c r="B468" s="149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144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222</v>
      </c>
      <c r="R468" s="67" t="s">
        <v>830</v>
      </c>
      <c r="S468" s="60"/>
    </row>
    <row r="469" spans="1:19">
      <c r="A469" s="62" t="s">
        <v>1751</v>
      </c>
      <c r="B469" s="149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144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222</v>
      </c>
      <c r="R469" s="67" t="s">
        <v>830</v>
      </c>
      <c r="S469" s="60"/>
    </row>
    <row r="470" spans="1:19">
      <c r="A470" s="62" t="s">
        <v>1751</v>
      </c>
      <c r="B470" s="149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144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222</v>
      </c>
      <c r="R470" s="67" t="s">
        <v>830</v>
      </c>
      <c r="S470" s="60"/>
    </row>
    <row r="471" spans="1:19">
      <c r="A471" s="62" t="s">
        <v>1751</v>
      </c>
      <c r="B471" s="149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144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222</v>
      </c>
      <c r="R471" s="67" t="s">
        <v>830</v>
      </c>
      <c r="S471" s="60"/>
    </row>
    <row r="472" spans="1:19">
      <c r="A472" s="62" t="s">
        <v>1751</v>
      </c>
      <c r="B472" s="149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144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222</v>
      </c>
      <c r="R472" s="67" t="s">
        <v>830</v>
      </c>
      <c r="S472" s="60"/>
    </row>
    <row r="473" spans="1:19">
      <c r="A473" s="62" t="s">
        <v>1751</v>
      </c>
      <c r="B473" s="149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144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222</v>
      </c>
      <c r="R473" s="67" t="s">
        <v>830</v>
      </c>
      <c r="S473" s="60"/>
    </row>
    <row r="474" spans="1:19">
      <c r="A474" s="62" t="s">
        <v>1751</v>
      </c>
      <c r="B474" s="149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144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222</v>
      </c>
      <c r="R474" s="67" t="s">
        <v>830</v>
      </c>
      <c r="S474" s="60"/>
    </row>
    <row r="475" spans="1:19">
      <c r="A475" s="62" t="s">
        <v>1751</v>
      </c>
      <c r="B475" s="149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144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222</v>
      </c>
      <c r="R475" s="67" t="s">
        <v>830</v>
      </c>
      <c r="S475" s="60"/>
    </row>
    <row r="476" spans="1:19">
      <c r="A476" s="62" t="s">
        <v>1751</v>
      </c>
      <c r="B476" s="149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144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222</v>
      </c>
      <c r="R476" s="67" t="s">
        <v>830</v>
      </c>
      <c r="S476" s="60"/>
    </row>
    <row r="477" spans="1:19">
      <c r="A477" s="62" t="s">
        <v>1751</v>
      </c>
      <c r="B477" s="149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144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222</v>
      </c>
      <c r="R477" s="67" t="s">
        <v>830</v>
      </c>
      <c r="S477" s="60"/>
    </row>
    <row r="478" spans="1:19">
      <c r="A478" s="62" t="s">
        <v>1751</v>
      </c>
      <c r="B478" s="149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144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222</v>
      </c>
      <c r="R478" s="67" t="s">
        <v>830</v>
      </c>
      <c r="S478" s="60"/>
    </row>
    <row r="479" spans="1:19">
      <c r="A479" s="62" t="s">
        <v>1751</v>
      </c>
      <c r="B479" s="149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144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222</v>
      </c>
      <c r="R479" s="67" t="s">
        <v>830</v>
      </c>
      <c r="S479" s="60"/>
    </row>
    <row r="480" spans="1:19">
      <c r="A480" s="62" t="s">
        <v>1751</v>
      </c>
      <c r="B480" s="149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144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222</v>
      </c>
      <c r="R480" s="67" t="s">
        <v>830</v>
      </c>
      <c r="S480" s="60"/>
    </row>
    <row r="481" spans="1:19">
      <c r="A481" s="62" t="s">
        <v>1751</v>
      </c>
      <c r="B481" s="149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144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222</v>
      </c>
      <c r="R481" s="67" t="s">
        <v>830</v>
      </c>
      <c r="S481" s="60"/>
    </row>
    <row r="482" spans="1:19">
      <c r="A482" s="62" t="s">
        <v>1751</v>
      </c>
      <c r="B482" s="149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144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222</v>
      </c>
      <c r="R482" s="67" t="s">
        <v>830</v>
      </c>
      <c r="S482" s="60"/>
    </row>
    <row r="483" spans="1:19">
      <c r="A483" s="62" t="s">
        <v>1751</v>
      </c>
      <c r="B483" s="149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144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222</v>
      </c>
      <c r="R483" s="67" t="s">
        <v>830</v>
      </c>
      <c r="S483" s="60"/>
    </row>
    <row r="484" spans="1:19">
      <c r="A484" s="62" t="s">
        <v>1751</v>
      </c>
      <c r="B484" s="149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144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222</v>
      </c>
      <c r="R484" s="67" t="s">
        <v>830</v>
      </c>
      <c r="S484" s="60"/>
    </row>
    <row r="485" spans="1:19">
      <c r="A485" t="s">
        <v>1751</v>
      </c>
      <c r="B485" s="149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144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222</v>
      </c>
      <c r="R485" s="67" t="s">
        <v>830</v>
      </c>
      <c r="S485" s="60"/>
    </row>
    <row r="486" spans="1:19">
      <c r="A486" s="62" t="s">
        <v>1751</v>
      </c>
      <c r="B486" s="149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144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222</v>
      </c>
      <c r="R486" s="67" t="s">
        <v>830</v>
      </c>
      <c r="S486" s="60"/>
    </row>
    <row r="487" spans="1:19">
      <c r="A487" s="62" t="s">
        <v>1751</v>
      </c>
      <c r="B487" s="149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144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222</v>
      </c>
      <c r="R487" s="67" t="s">
        <v>830</v>
      </c>
      <c r="S487" s="60"/>
    </row>
    <row r="488" spans="1:19">
      <c r="A488" t="s">
        <v>1818</v>
      </c>
      <c r="B488" s="149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144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221</v>
      </c>
      <c r="R488" s="67" t="s">
        <v>1459</v>
      </c>
      <c r="S488" s="60"/>
    </row>
    <row r="489" spans="1:19">
      <c r="A489" s="62" t="s">
        <v>1818</v>
      </c>
      <c r="B489" s="149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144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221</v>
      </c>
      <c r="R489" s="67" t="s">
        <v>1459</v>
      </c>
      <c r="S489" s="60"/>
    </row>
    <row r="490" spans="1:19">
      <c r="A490" s="62" t="s">
        <v>1818</v>
      </c>
      <c r="B490" s="149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144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221</v>
      </c>
      <c r="R490" s="67" t="s">
        <v>1459</v>
      </c>
      <c r="S490" s="60"/>
    </row>
    <row r="491" spans="1:19">
      <c r="A491" s="62" t="s">
        <v>1818</v>
      </c>
      <c r="B491" s="149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144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221</v>
      </c>
      <c r="R491" s="67" t="s">
        <v>1459</v>
      </c>
      <c r="S491" s="60"/>
    </row>
    <row r="492" spans="1:19">
      <c r="A492" s="62" t="s">
        <v>1818</v>
      </c>
      <c r="B492" s="149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144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221</v>
      </c>
      <c r="R492" s="67" t="s">
        <v>1459</v>
      </c>
      <c r="S492" s="60"/>
    </row>
    <row r="493" spans="1:19">
      <c r="A493" t="s">
        <v>1819</v>
      </c>
      <c r="B493" s="149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144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220</v>
      </c>
      <c r="R493" s="67" t="s">
        <v>515</v>
      </c>
      <c r="S493" s="60"/>
    </row>
    <row r="494" spans="1:19">
      <c r="A494" s="62" t="s">
        <v>1819</v>
      </c>
      <c r="B494" s="149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144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220</v>
      </c>
      <c r="R494" s="67" t="s">
        <v>515</v>
      </c>
      <c r="S494" s="94" t="e">
        <f>VLOOKUP(Proc[[#This Row],[Obj]],#REF!,2,0)</f>
        <v>#REF!</v>
      </c>
    </row>
    <row r="495" spans="1:19">
      <c r="A495" t="s">
        <v>1822</v>
      </c>
      <c r="B495" s="149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144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>
      <c r="A496" t="s">
        <v>1824</v>
      </c>
      <c r="B496" s="149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144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218</v>
      </c>
      <c r="R496" s="67" t="s">
        <v>515</v>
      </c>
      <c r="S496" s="60"/>
    </row>
    <row r="497" spans="1:19">
      <c r="A497" s="62" t="s">
        <v>1824</v>
      </c>
      <c r="B497" s="149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144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218</v>
      </c>
      <c r="R497" s="67" t="s">
        <v>515</v>
      </c>
      <c r="S497" s="60"/>
    </row>
    <row r="498" spans="1:19">
      <c r="A498" t="s">
        <v>1826</v>
      </c>
      <c r="B498" s="149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144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217</v>
      </c>
      <c r="R498" s="67" t="s">
        <v>1459</v>
      </c>
      <c r="S498" s="60"/>
    </row>
    <row r="499" spans="1:19">
      <c r="A499" t="s">
        <v>1831</v>
      </c>
      <c r="B499" s="14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144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>
      <c r="A500" t="s">
        <v>1832</v>
      </c>
      <c r="B500" s="14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144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>
      <c r="A501" s="68" t="s">
        <v>1832</v>
      </c>
      <c r="B501" s="14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144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>
      <c r="A502" s="68" t="s">
        <v>1832</v>
      </c>
      <c r="B502" s="14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144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>
      <c r="A503" s="68" t="s">
        <v>1832</v>
      </c>
      <c r="B503" s="14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144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>
      <c r="A504" s="68" t="s">
        <v>1832</v>
      </c>
      <c r="B504" s="14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144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>
      <c r="A505" s="68" t="s">
        <v>1832</v>
      </c>
      <c r="B505" s="14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144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>
      <c r="A506" s="68" t="s">
        <v>1832</v>
      </c>
      <c r="B506" s="14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144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>
      <c r="A507" s="68" t="s">
        <v>1832</v>
      </c>
      <c r="B507" s="14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144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>
      <c r="A508" s="68" t="s">
        <v>1832</v>
      </c>
      <c r="B508" s="14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144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>
      <c r="A509" t="s">
        <v>1839</v>
      </c>
      <c r="B509" s="14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144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>
      <c r="A510" s="68" t="s">
        <v>1839</v>
      </c>
      <c r="B510" s="14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144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>
      <c r="A511" s="68" t="s">
        <v>1839</v>
      </c>
      <c r="B511" s="14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144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>
      <c r="A512" s="68" t="s">
        <v>1839</v>
      </c>
      <c r="B512" s="14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144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>
      <c r="A513" t="s">
        <v>1841</v>
      </c>
      <c r="B513" s="14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144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>
      <c r="A514" t="s">
        <v>1843</v>
      </c>
      <c r="B514" s="14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144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>
      <c r="A515" s="68" t="s">
        <v>1843</v>
      </c>
      <c r="B515" s="14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144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>
      <c r="A516" s="68" t="s">
        <v>1843</v>
      </c>
      <c r="B516" s="14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144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>
      <c r="A517" s="68" t="s">
        <v>1843</v>
      </c>
      <c r="B517" s="14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144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>
      <c r="A518" s="68" t="s">
        <v>1843</v>
      </c>
      <c r="B518" s="14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144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>
      <c r="A519" s="68" t="s">
        <v>1843</v>
      </c>
      <c r="B519" s="14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144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>
      <c r="A520" s="68" t="s">
        <v>1843</v>
      </c>
      <c r="B520" s="14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144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>
      <c r="A521" s="68" t="s">
        <v>1843</v>
      </c>
      <c r="B521" s="14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144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>
      <c r="A522" s="68" t="s">
        <v>1843</v>
      </c>
      <c r="B522" s="14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144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>
      <c r="A523" s="68" t="s">
        <v>1843</v>
      </c>
      <c r="B523" s="14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144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>
      <c r="A524" s="68" t="s">
        <v>1843</v>
      </c>
      <c r="B524" s="14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144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>
      <c r="A525" s="68" t="s">
        <v>1843</v>
      </c>
      <c r="B525" s="14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144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>
      <c r="A526" s="68" t="s">
        <v>1843</v>
      </c>
      <c r="B526" s="14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144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>
      <c r="A527" s="68" t="s">
        <v>1843</v>
      </c>
      <c r="B527" s="14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144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>
      <c r="A528" s="68" t="s">
        <v>1843</v>
      </c>
      <c r="B528" s="14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144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>
      <c r="A529" s="68" t="s">
        <v>1843</v>
      </c>
      <c r="B529" s="14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144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>
      <c r="A530" s="68" t="s">
        <v>1843</v>
      </c>
      <c r="B530" s="14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144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>
      <c r="A531" s="68" t="s">
        <v>1843</v>
      </c>
      <c r="B531" s="14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144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>
      <c r="A532" s="68" t="s">
        <v>1843</v>
      </c>
      <c r="B532" s="14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144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>
      <c r="A533" s="68" t="s">
        <v>1843</v>
      </c>
      <c r="B533" s="14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144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>
      <c r="A534" s="68" t="s">
        <v>1843</v>
      </c>
      <c r="B534" s="14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144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>
      <c r="A535" s="68" t="s">
        <v>1843</v>
      </c>
      <c r="B535" s="14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144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>
      <c r="A536" s="68" t="s">
        <v>1843</v>
      </c>
      <c r="B536" s="14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144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>
      <c r="A537" s="68" t="s">
        <v>1843</v>
      </c>
      <c r="B537" s="14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144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>
      <c r="A538" s="68" t="s">
        <v>1843</v>
      </c>
      <c r="B538" s="14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144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>
      <c r="A539" s="68" t="s">
        <v>1843</v>
      </c>
      <c r="B539" s="14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144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>
      <c r="A540" s="68" t="s">
        <v>1843</v>
      </c>
      <c r="B540" s="14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144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>
      <c r="A541" s="68" t="s">
        <v>1843</v>
      </c>
      <c r="B541" s="14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144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>
      <c r="A542" s="68" t="s">
        <v>1843</v>
      </c>
      <c r="B542" s="14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144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>
      <c r="A543" s="68" t="s">
        <v>1843</v>
      </c>
      <c r="B543" s="14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144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>
      <c r="A544" s="68" t="s">
        <v>1843</v>
      </c>
      <c r="B544" s="14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144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>
      <c r="A545" s="68" t="s">
        <v>1843</v>
      </c>
      <c r="B545" s="14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144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>
      <c r="A546" s="68" t="s">
        <v>1843</v>
      </c>
      <c r="B546" s="14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144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>
      <c r="A547" s="68" t="s">
        <v>1843</v>
      </c>
      <c r="B547" s="14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144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>
      <c r="A548" s="68" t="s">
        <v>1843</v>
      </c>
      <c r="B548" s="14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144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>
      <c r="A549" s="68" t="s">
        <v>1843</v>
      </c>
      <c r="B549" s="14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144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>
      <c r="A550" s="68" t="s">
        <v>1843</v>
      </c>
      <c r="B550" s="14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144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>
      <c r="A551" s="68" t="s">
        <v>1843</v>
      </c>
      <c r="B551" s="14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144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>
      <c r="A552" s="68" t="s">
        <v>1843</v>
      </c>
      <c r="B552" s="14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144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>
      <c r="A553" s="68" t="s">
        <v>1843</v>
      </c>
      <c r="B553" s="14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144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>
      <c r="A554" s="68" t="s">
        <v>1843</v>
      </c>
      <c r="B554" s="14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144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>
      <c r="A555" s="68" t="s">
        <v>1843</v>
      </c>
      <c r="B555" s="14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144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>
      <c r="A556" s="68" t="s">
        <v>1843</v>
      </c>
      <c r="B556" s="14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144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>
      <c r="A557" s="68" t="s">
        <v>1843</v>
      </c>
      <c r="B557" s="14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144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>
      <c r="A558" s="68" t="s">
        <v>1843</v>
      </c>
      <c r="B558" s="14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144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>
      <c r="A559" s="68" t="s">
        <v>1843</v>
      </c>
      <c r="B559" s="14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144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>
      <c r="A560" s="68" t="s">
        <v>1843</v>
      </c>
      <c r="B560" s="14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144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>
      <c r="A561" s="68" t="s">
        <v>1843</v>
      </c>
      <c r="B561" s="14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144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>
      <c r="A562" s="68" t="s">
        <v>1843</v>
      </c>
      <c r="B562" s="14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144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>
      <c r="A563" s="68" t="s">
        <v>1843</v>
      </c>
      <c r="B563" s="14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144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>
      <c r="A564" s="68" t="s">
        <v>1843</v>
      </c>
      <c r="B564" s="14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144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>
      <c r="A565" s="68" t="s">
        <v>1843</v>
      </c>
      <c r="B565" s="14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144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>
      <c r="A566" s="68" t="s">
        <v>1843</v>
      </c>
      <c r="B566" s="14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144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>
      <c r="A567" s="68" t="s">
        <v>1843</v>
      </c>
      <c r="B567" s="14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144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>
      <c r="A568" s="68" t="s">
        <v>1843</v>
      </c>
      <c r="B568" s="14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144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>
      <c r="A569" s="68" t="s">
        <v>1843</v>
      </c>
      <c r="B569" s="14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144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>
      <c r="A570" s="68" t="s">
        <v>1843</v>
      </c>
      <c r="B570" s="14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144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>
      <c r="A571" s="68" t="s">
        <v>1843</v>
      </c>
      <c r="B571" s="14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144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>
      <c r="A572" s="68" t="s">
        <v>1843</v>
      </c>
      <c r="B572" s="14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144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>
      <c r="A573" s="68" t="s">
        <v>1843</v>
      </c>
      <c r="B573" s="14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144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>
      <c r="A574" s="68" t="s">
        <v>1843</v>
      </c>
      <c r="B574" s="14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144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>
      <c r="A575" s="68" t="s">
        <v>1843</v>
      </c>
      <c r="B575" s="14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144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>
      <c r="A576" s="68" t="s">
        <v>1843</v>
      </c>
      <c r="B576" s="14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144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>
      <c r="A577" s="68" t="s">
        <v>1843</v>
      </c>
      <c r="B577" s="14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144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>
      <c r="A578" s="68" t="s">
        <v>1843</v>
      </c>
      <c r="B578" s="14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144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>
      <c r="A579" s="68" t="s">
        <v>1843</v>
      </c>
      <c r="B579" s="14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144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>
      <c r="A580" s="68" t="s">
        <v>1843</v>
      </c>
      <c r="B580" s="14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144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>
      <c r="A581" s="68" t="s">
        <v>1843</v>
      </c>
      <c r="B581" s="14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144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>
      <c r="A582" s="68" t="s">
        <v>1843</v>
      </c>
      <c r="B582" s="14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144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>
      <c r="A583" s="68" t="s">
        <v>1843</v>
      </c>
      <c r="B583" s="14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144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>
      <c r="A584" s="68" t="s">
        <v>1843</v>
      </c>
      <c r="B584" s="14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144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>
      <c r="A585" s="68" t="s">
        <v>1843</v>
      </c>
      <c r="B585" s="14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144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>
      <c r="A586" s="68" t="s">
        <v>1843</v>
      </c>
      <c r="B586" s="14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144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>
      <c r="A587" s="68" t="s">
        <v>1843</v>
      </c>
      <c r="B587" s="14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144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>
      <c r="A588" s="68" t="s">
        <v>1843</v>
      </c>
      <c r="B588" s="14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144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>
      <c r="A589" s="68" t="s">
        <v>1843</v>
      </c>
      <c r="B589" s="14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144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>
      <c r="A590" s="68" t="s">
        <v>1843</v>
      </c>
      <c r="B590" s="14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144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>
      <c r="A591" s="68" t="s">
        <v>1843</v>
      </c>
      <c r="B591" s="14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144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>
      <c r="A592" s="68" t="s">
        <v>1843</v>
      </c>
      <c r="B592" s="14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144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>
      <c r="A593" s="68" t="s">
        <v>1843</v>
      </c>
      <c r="B593" s="14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144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>
      <c r="A594" s="68" t="s">
        <v>1843</v>
      </c>
      <c r="B594" s="14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144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>
      <c r="A595" s="68" t="s">
        <v>1843</v>
      </c>
      <c r="B595" s="14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144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>
      <c r="A596" s="68" t="s">
        <v>1843</v>
      </c>
      <c r="B596" s="14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144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>
      <c r="A597" s="68" t="s">
        <v>1843</v>
      </c>
      <c r="B597" s="14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144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>
      <c r="A598" s="68" t="s">
        <v>1843</v>
      </c>
      <c r="B598" s="14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144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>
      <c r="A599" s="68" t="s">
        <v>1843</v>
      </c>
      <c r="B599" s="14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144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>
      <c r="A600" s="68" t="s">
        <v>1843</v>
      </c>
      <c r="B600" s="14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144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>
      <c r="A601" s="68" t="s">
        <v>1843</v>
      </c>
      <c r="B601" s="14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144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>
      <c r="A602" s="68" t="s">
        <v>1843</v>
      </c>
      <c r="B602" s="14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144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>
      <c r="A603" s="68" t="s">
        <v>1843</v>
      </c>
      <c r="B603" s="14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144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>
      <c r="A604" s="68" t="s">
        <v>1843</v>
      </c>
      <c r="B604" s="14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144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>
      <c r="A605" s="68" t="s">
        <v>1843</v>
      </c>
      <c r="B605" s="14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144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>
      <c r="A606" s="68" t="s">
        <v>1843</v>
      </c>
      <c r="B606" s="14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144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>
      <c r="A607" s="68" t="s">
        <v>1843</v>
      </c>
      <c r="B607" s="14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144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>
      <c r="A608" s="68" t="s">
        <v>1843</v>
      </c>
      <c r="B608" s="14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144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>
      <c r="A609" s="68" t="s">
        <v>1843</v>
      </c>
      <c r="B609" s="14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144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>
      <c r="A610" s="68" t="s">
        <v>1843</v>
      </c>
      <c r="B610" s="14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144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>
      <c r="A611" s="68" t="s">
        <v>1843</v>
      </c>
      <c r="B611" s="14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144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>
      <c r="A612" t="s">
        <v>1998</v>
      </c>
      <c r="B612" s="14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144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214</v>
      </c>
      <c r="R612" s="70" t="s">
        <v>1076</v>
      </c>
      <c r="S612" s="94" t="e">
        <f>VLOOKUP(Proc[[#This Row],[Obj]],#REF!,2,0)</f>
        <v>#REF!</v>
      </c>
    </row>
    <row r="613" spans="1:19">
      <c r="A613" s="68" t="s">
        <v>1998</v>
      </c>
      <c r="B613" s="14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144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214</v>
      </c>
      <c r="R613" s="70" t="s">
        <v>1076</v>
      </c>
      <c r="S613" s="94" t="e">
        <f>VLOOKUP(Proc[[#This Row],[Obj]],#REF!,2,0)</f>
        <v>#REF!</v>
      </c>
    </row>
    <row r="614" spans="1:19">
      <c r="A614" s="68" t="s">
        <v>1998</v>
      </c>
      <c r="B614" s="14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144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214</v>
      </c>
      <c r="R614" s="70" t="s">
        <v>1076</v>
      </c>
      <c r="S614" s="94" t="e">
        <f>VLOOKUP(Proc[[#This Row],[Obj]],#REF!,2,0)</f>
        <v>#REF!</v>
      </c>
    </row>
    <row r="615" spans="1:19">
      <c r="A615" s="68" t="s">
        <v>1998</v>
      </c>
      <c r="B615" s="14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144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214</v>
      </c>
      <c r="R615" s="70" t="s">
        <v>1076</v>
      </c>
      <c r="S615" s="94" t="e">
        <f>VLOOKUP(Proc[[#This Row],[Obj]],#REF!,2,0)</f>
        <v>#REF!</v>
      </c>
    </row>
    <row r="616" spans="1:19">
      <c r="A616" s="68" t="s">
        <v>1998</v>
      </c>
      <c r="B616" s="14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144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214</v>
      </c>
      <c r="R616" s="70" t="s">
        <v>1076</v>
      </c>
      <c r="S616" s="94" t="e">
        <f>VLOOKUP(Proc[[#This Row],[Obj]],#REF!,2,0)</f>
        <v>#REF!</v>
      </c>
    </row>
    <row r="617" spans="1:19">
      <c r="A617" s="68" t="s">
        <v>1998</v>
      </c>
      <c r="B617" s="14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144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214</v>
      </c>
      <c r="R617" s="70" t="s">
        <v>1076</v>
      </c>
      <c r="S617" s="94" t="e">
        <f>VLOOKUP(Proc[[#This Row],[Obj]],#REF!,2,0)</f>
        <v>#REF!</v>
      </c>
    </row>
    <row r="618" spans="1:19">
      <c r="A618" s="68" t="s">
        <v>1998</v>
      </c>
      <c r="B618" s="14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144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214</v>
      </c>
      <c r="R618" s="70" t="s">
        <v>1076</v>
      </c>
      <c r="S618" s="94" t="e">
        <f>VLOOKUP(Proc[[#This Row],[Obj]],#REF!,2,0)</f>
        <v>#REF!</v>
      </c>
    </row>
    <row r="619" spans="1:19">
      <c r="A619" s="68" t="s">
        <v>1998</v>
      </c>
      <c r="B619" s="14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144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214</v>
      </c>
      <c r="R619" s="70" t="s">
        <v>1076</v>
      </c>
      <c r="S619" s="69"/>
    </row>
    <row r="620" spans="1:19">
      <c r="A620" s="68" t="s">
        <v>1998</v>
      </c>
      <c r="B620" s="14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144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214</v>
      </c>
      <c r="R620" s="70" t="s">
        <v>1076</v>
      </c>
      <c r="S620" s="69"/>
    </row>
    <row r="621" spans="1:19">
      <c r="A621" s="68" t="s">
        <v>1998</v>
      </c>
      <c r="B621" s="14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144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214</v>
      </c>
      <c r="R621" s="70" t="s">
        <v>1076</v>
      </c>
      <c r="S621" s="69"/>
    </row>
    <row r="622" spans="1:19">
      <c r="A622" s="68" t="s">
        <v>1998</v>
      </c>
      <c r="B622" s="14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144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214</v>
      </c>
      <c r="R622" s="70" t="s">
        <v>1076</v>
      </c>
      <c r="S622" s="69"/>
    </row>
    <row r="623" spans="1:19">
      <c r="A623" t="s">
        <v>2009</v>
      </c>
      <c r="B623" s="14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144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214</v>
      </c>
      <c r="R623" s="70" t="s">
        <v>1001</v>
      </c>
      <c r="S623" s="69"/>
    </row>
    <row r="624" spans="1:19">
      <c r="A624" s="68" t="s">
        <v>2009</v>
      </c>
      <c r="B624" s="14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144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214</v>
      </c>
      <c r="R624" s="70" t="s">
        <v>1001</v>
      </c>
      <c r="S624" s="69"/>
    </row>
    <row r="625" spans="1:19">
      <c r="A625" s="68" t="s">
        <v>2009</v>
      </c>
      <c r="B625" s="14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144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214</v>
      </c>
      <c r="R625" s="70" t="s">
        <v>1001</v>
      </c>
      <c r="S625" s="69"/>
    </row>
    <row r="626" spans="1:19">
      <c r="A626" s="68" t="s">
        <v>2009</v>
      </c>
      <c r="B626" s="14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144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214</v>
      </c>
      <c r="R626" s="70" t="s">
        <v>1001</v>
      </c>
      <c r="S626" s="69"/>
    </row>
    <row r="627" spans="1:19">
      <c r="A627" s="68" t="s">
        <v>2009</v>
      </c>
      <c r="B627" s="14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144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214</v>
      </c>
      <c r="R627" s="70" t="s">
        <v>1001</v>
      </c>
      <c r="S627" s="69"/>
    </row>
    <row r="628" spans="1:19">
      <c r="A628" t="s">
        <v>2009</v>
      </c>
      <c r="B628" s="14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144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214</v>
      </c>
      <c r="R628" s="70" t="s">
        <v>1001</v>
      </c>
      <c r="S628" s="69"/>
    </row>
    <row r="629" spans="1:19">
      <c r="A629" s="68" t="s">
        <v>2009</v>
      </c>
      <c r="B629" s="14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144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214</v>
      </c>
      <c r="R629" s="70" t="s">
        <v>1001</v>
      </c>
      <c r="S629" s="69"/>
    </row>
    <row r="630" spans="1:19">
      <c r="A630" s="68" t="s">
        <v>2009</v>
      </c>
      <c r="B630" s="14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144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214</v>
      </c>
      <c r="R630" s="70" t="s">
        <v>1001</v>
      </c>
      <c r="S630" s="69"/>
    </row>
    <row r="631" spans="1:19">
      <c r="A631" s="68" t="s">
        <v>2009</v>
      </c>
      <c r="B631" s="14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144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214</v>
      </c>
      <c r="R631" s="70" t="s">
        <v>1001</v>
      </c>
      <c r="S631" s="69"/>
    </row>
    <row r="632" spans="1:19">
      <c r="A632" s="68" t="s">
        <v>2009</v>
      </c>
      <c r="B632" s="14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144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214</v>
      </c>
      <c r="R632" s="70" t="s">
        <v>1001</v>
      </c>
      <c r="S632" s="69"/>
    </row>
    <row r="633" spans="1:19">
      <c r="A633" s="68" t="s">
        <v>2025</v>
      </c>
      <c r="B633" s="14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144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>
      <c r="A634" s="68" t="s">
        <v>2025</v>
      </c>
      <c r="B634" s="14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144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>
      <c r="A635" s="68" t="s">
        <v>2003</v>
      </c>
      <c r="B635" s="14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144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213</v>
      </c>
      <c r="R635" s="70" t="s">
        <v>830</v>
      </c>
      <c r="S635" s="69"/>
    </row>
    <row r="636" spans="1:19">
      <c r="A636" s="68" t="s">
        <v>2003</v>
      </c>
      <c r="B636" s="14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144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213</v>
      </c>
      <c r="R636" s="70" t="s">
        <v>830</v>
      </c>
      <c r="S636" s="69"/>
    </row>
    <row r="637" spans="1:19">
      <c r="A637" s="68" t="s">
        <v>2003</v>
      </c>
      <c r="B637" s="14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144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213</v>
      </c>
      <c r="R637" s="70" t="s">
        <v>830</v>
      </c>
      <c r="S637" s="69"/>
    </row>
    <row r="638" spans="1:19">
      <c r="A638" t="s">
        <v>2003</v>
      </c>
      <c r="B638" s="14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144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213</v>
      </c>
      <c r="R638" s="70" t="s">
        <v>830</v>
      </c>
      <c r="S638" s="69"/>
    </row>
    <row r="639" spans="1:19">
      <c r="A639" t="s">
        <v>2003</v>
      </c>
      <c r="B639" s="14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144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213</v>
      </c>
      <c r="R639" s="70" t="s">
        <v>830</v>
      </c>
      <c r="S639" s="69"/>
    </row>
    <row r="640" spans="1:19">
      <c r="A640" t="s">
        <v>2026</v>
      </c>
      <c r="B640" s="14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144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>
      <c r="A641" s="68" t="s">
        <v>2026</v>
      </c>
      <c r="B641" s="14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144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>
      <c r="A642" t="s">
        <v>2031</v>
      </c>
      <c r="B642" s="14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144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>
      <c r="A643" t="s">
        <v>2048</v>
      </c>
      <c r="B643" s="14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144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>
      <c r="A644" t="s">
        <v>2045</v>
      </c>
      <c r="B644" s="14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144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>
      <c r="A645" s="68" t="s">
        <v>2045</v>
      </c>
      <c r="B645" s="14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144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>
      <c r="A646" s="68" t="s">
        <v>2045</v>
      </c>
      <c r="B646" s="14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144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>
      <c r="A647" s="68" t="s">
        <v>2045</v>
      </c>
      <c r="B647" s="14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144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>
      <c r="A648" s="68" t="s">
        <v>2045</v>
      </c>
      <c r="B648" s="14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144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>
      <c r="A649" s="68" t="s">
        <v>2045</v>
      </c>
      <c r="B649" s="14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144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>
      <c r="A650" s="68" t="s">
        <v>2045</v>
      </c>
      <c r="B650" s="14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144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>
      <c r="A651" t="s">
        <v>2034</v>
      </c>
      <c r="B651" s="14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144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>
      <c r="A652" t="s">
        <v>2051</v>
      </c>
      <c r="B652" s="14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144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>
      <c r="A653" t="s">
        <v>2062</v>
      </c>
      <c r="B653" s="14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144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>
      <c r="A654" s="68" t="s">
        <v>2062</v>
      </c>
      <c r="B654" s="14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144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>
      <c r="A655" s="68" t="s">
        <v>2062</v>
      </c>
      <c r="B655" s="14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144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>
      <c r="A656" s="68" t="s">
        <v>2062</v>
      </c>
      <c r="B656" s="14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144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>
      <c r="A657" s="68" t="s">
        <v>2062</v>
      </c>
      <c r="B657" s="14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144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>
      <c r="A658" s="68" t="s">
        <v>2062</v>
      </c>
      <c r="B658" s="14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144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>
      <c r="A659" s="68" t="s">
        <v>2062</v>
      </c>
      <c r="B659" s="14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144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>
      <c r="A660" s="68" t="s">
        <v>2062</v>
      </c>
      <c r="B660" s="14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144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>
      <c r="A661" s="68" t="s">
        <v>2062</v>
      </c>
      <c r="B661" s="14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144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>
      <c r="A662" t="s">
        <v>2080</v>
      </c>
      <c r="B662" s="14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144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>
      <c r="A663" s="68" t="s">
        <v>2080</v>
      </c>
      <c r="B663" s="14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144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>
      <c r="A664" s="68" t="s">
        <v>2080</v>
      </c>
      <c r="B664" s="14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144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>
      <c r="A665" s="68" t="s">
        <v>2080</v>
      </c>
      <c r="B665" s="14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144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>
      <c r="A666" s="68" t="s">
        <v>2064</v>
      </c>
      <c r="B666" s="14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144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>
      <c r="A667" s="68" t="s">
        <v>2064</v>
      </c>
      <c r="B667" s="14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144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>
      <c r="A668" s="68" t="s">
        <v>2064</v>
      </c>
      <c r="B668" s="14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144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>
      <c r="A669" s="68" t="s">
        <v>2064</v>
      </c>
      <c r="B669" s="14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144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>
      <c r="A670" s="68" t="s">
        <v>2064</v>
      </c>
      <c r="B670" s="14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144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>
      <c r="A671" s="68" t="s">
        <v>2064</v>
      </c>
      <c r="B671" s="14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144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>
      <c r="A672" s="68" t="s">
        <v>2064</v>
      </c>
      <c r="B672" s="14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144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>
      <c r="A673" s="68" t="s">
        <v>2064</v>
      </c>
      <c r="B673" s="14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144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>
      <c r="A674" t="s">
        <v>2064</v>
      </c>
      <c r="B674" s="14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144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>
      <c r="A675" s="68" t="s">
        <v>2064</v>
      </c>
      <c r="B675" s="14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144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>
      <c r="A676" t="s">
        <v>2176</v>
      </c>
      <c r="B676" s="14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144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>
      <c r="A677" s="68" t="s">
        <v>2176</v>
      </c>
      <c r="B677" s="14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144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>
      <c r="A678" s="68" t="s">
        <v>2176</v>
      </c>
      <c r="B678" s="14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144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>
      <c r="A679" t="s">
        <v>2176</v>
      </c>
      <c r="B679" s="14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144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>
      <c r="A680" s="68" t="s">
        <v>2176</v>
      </c>
      <c r="B680" s="14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144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>
      <c r="A681" s="68" t="s">
        <v>2176</v>
      </c>
      <c r="B681" s="14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144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>
      <c r="A682" s="68" t="s">
        <v>2176</v>
      </c>
      <c r="B682" s="14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144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>
      <c r="A683" s="68" t="s">
        <v>2176</v>
      </c>
      <c r="B683" s="14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144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>
      <c r="A684" s="68" t="s">
        <v>2176</v>
      </c>
      <c r="B684" s="14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144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>
      <c r="A685" s="68" t="s">
        <v>2176</v>
      </c>
      <c r="B685" s="14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144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>
      <c r="A686" s="68" t="s">
        <v>2176</v>
      </c>
      <c r="B686" s="14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144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>
      <c r="A687" s="68" t="s">
        <v>2176</v>
      </c>
      <c r="B687" s="14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144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>
      <c r="A688" s="68" t="s">
        <v>2176</v>
      </c>
      <c r="B688" s="14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144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>
      <c r="A689" s="68" t="s">
        <v>2176</v>
      </c>
      <c r="B689" s="14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144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>
      <c r="A690" s="68" t="s">
        <v>2096</v>
      </c>
      <c r="B690" s="14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144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>
      <c r="A691" s="68" t="s">
        <v>2096</v>
      </c>
      <c r="B691" s="14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144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>
      <c r="A692" s="68" t="s">
        <v>2096</v>
      </c>
      <c r="B692" s="14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144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>
      <c r="A693" s="68" t="s">
        <v>2096</v>
      </c>
      <c r="B693" s="14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144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>
      <c r="A694" s="68" t="s">
        <v>2096</v>
      </c>
      <c r="B694" s="14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144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>
      <c r="A695" s="68" t="s">
        <v>2096</v>
      </c>
      <c r="B695" s="14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144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>
      <c r="A696" s="68" t="s">
        <v>2096</v>
      </c>
      <c r="B696" s="14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144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>
      <c r="A697" s="68" t="s">
        <v>2096</v>
      </c>
      <c r="B697" s="14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144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>
      <c r="A698" s="68" t="s">
        <v>2096</v>
      </c>
      <c r="B698" s="14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144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>
      <c r="A699" s="68" t="s">
        <v>2096</v>
      </c>
      <c r="B699" s="14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144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>
      <c r="A700" s="68" t="s">
        <v>2096</v>
      </c>
      <c r="B700" s="14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144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>
      <c r="A701" s="68" t="s">
        <v>2096</v>
      </c>
      <c r="B701" s="14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144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>
      <c r="A702" s="68" t="s">
        <v>2096</v>
      </c>
      <c r="B702" s="14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144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>
      <c r="A703" s="68" t="s">
        <v>2096</v>
      </c>
      <c r="B703" s="14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144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>
      <c r="A704" s="68" t="s">
        <v>2096</v>
      </c>
      <c r="B704" s="14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144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>
      <c r="A705" s="68" t="s">
        <v>2096</v>
      </c>
      <c r="B705" s="14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144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>
      <c r="A706" s="68" t="s">
        <v>2096</v>
      </c>
      <c r="B706" s="14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144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>
      <c r="A707" s="68" t="s">
        <v>2096</v>
      </c>
      <c r="B707" s="14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144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>
      <c r="A708" s="68" t="s">
        <v>2096</v>
      </c>
      <c r="B708" s="14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144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>
      <c r="A709" s="68" t="s">
        <v>2096</v>
      </c>
      <c r="B709" s="14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144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>
      <c r="A710" s="68" t="s">
        <v>2096</v>
      </c>
      <c r="B710" s="14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144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>
      <c r="A711" s="68" t="s">
        <v>2096</v>
      </c>
      <c r="B711" s="14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144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>
      <c r="A712" s="68" t="s">
        <v>2096</v>
      </c>
      <c r="B712" s="14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144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>
      <c r="A713" s="68" t="s">
        <v>2096</v>
      </c>
      <c r="B713" s="14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144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>
      <c r="A714" s="68" t="s">
        <v>2096</v>
      </c>
      <c r="B714" s="14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144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>
      <c r="A715" s="68" t="s">
        <v>2096</v>
      </c>
      <c r="B715" s="14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144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>
      <c r="A716" s="68" t="s">
        <v>2096</v>
      </c>
      <c r="B716" s="14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144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>
      <c r="A717" s="68" t="s">
        <v>2096</v>
      </c>
      <c r="B717" s="14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144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>
      <c r="A718" s="68" t="s">
        <v>2096</v>
      </c>
      <c r="B718" s="14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144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>
      <c r="A719" s="68" t="s">
        <v>2096</v>
      </c>
      <c r="B719" s="14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144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>
      <c r="A720" s="68" t="s">
        <v>2096</v>
      </c>
      <c r="B720" s="14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144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>
      <c r="A721" s="68" t="s">
        <v>2096</v>
      </c>
      <c r="B721" s="14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144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>
      <c r="A722" s="68" t="s">
        <v>2096</v>
      </c>
      <c r="B722" s="14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144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>
      <c r="A723" s="68" t="s">
        <v>2096</v>
      </c>
      <c r="B723" s="14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144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>
      <c r="A724" s="68" t="s">
        <v>2096</v>
      </c>
      <c r="B724" s="14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144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>
      <c r="A725" t="s">
        <v>2096</v>
      </c>
      <c r="B725" s="14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144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>
      <c r="A726" s="68" t="s">
        <v>2096</v>
      </c>
      <c r="B726" s="14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144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>
      <c r="A727" s="68" t="s">
        <v>2096</v>
      </c>
      <c r="B727" s="14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144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>
      <c r="A728" s="68" t="s">
        <v>2096</v>
      </c>
      <c r="B728" s="14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144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>
      <c r="A729" s="68" t="s">
        <v>2096</v>
      </c>
      <c r="B729" s="14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144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>
      <c r="A730" s="68" t="s">
        <v>2096</v>
      </c>
      <c r="B730" s="14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144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>
      <c r="A731" s="68" t="s">
        <v>2096</v>
      </c>
      <c r="B731" s="14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144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>
      <c r="A732" s="68" t="s">
        <v>2096</v>
      </c>
      <c r="B732" s="14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144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>
      <c r="A733" s="68" t="s">
        <v>2096</v>
      </c>
      <c r="B733" s="14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144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>
      <c r="A734" s="68" t="s">
        <v>2096</v>
      </c>
      <c r="B734" s="14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144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>
      <c r="A735" s="68" t="s">
        <v>2096</v>
      </c>
      <c r="B735" s="14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144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>
      <c r="A736" s="68" t="s">
        <v>2088</v>
      </c>
      <c r="B736" s="14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144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208</v>
      </c>
      <c r="R736" s="70" t="s">
        <v>484</v>
      </c>
      <c r="S736" s="69"/>
    </row>
    <row r="737" spans="1:19">
      <c r="A737" s="68" t="s">
        <v>2088</v>
      </c>
      <c r="B737" s="14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144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208</v>
      </c>
      <c r="R737" s="70" t="s">
        <v>484</v>
      </c>
      <c r="S737" s="69"/>
    </row>
    <row r="738" spans="1:19">
      <c r="A738" s="68" t="s">
        <v>2088</v>
      </c>
      <c r="B738" s="14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144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208</v>
      </c>
      <c r="R738" s="70" t="s">
        <v>484</v>
      </c>
      <c r="S738" s="69"/>
    </row>
    <row r="739" spans="1:19">
      <c r="A739" t="s">
        <v>2197</v>
      </c>
      <c r="B739" s="14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144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>
      <c r="A740" s="68" t="s">
        <v>2197</v>
      </c>
      <c r="B740" s="14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144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>
      <c r="A741" s="68" t="s">
        <v>2197</v>
      </c>
      <c r="B741" s="14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144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>
      <c r="A742" s="68" t="s">
        <v>2197</v>
      </c>
      <c r="B742" s="14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144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>
      <c r="A743" s="68" t="s">
        <v>2197</v>
      </c>
      <c r="B743" s="14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144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>
      <c r="A744" s="68" t="s">
        <v>2197</v>
      </c>
      <c r="B744" s="14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144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>
      <c r="A745" s="68" t="s">
        <v>2197</v>
      </c>
      <c r="B745" s="14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144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>
      <c r="A746" s="68" t="s">
        <v>2197</v>
      </c>
      <c r="B746" s="14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144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>
      <c r="A747" s="68" t="s">
        <v>2197</v>
      </c>
      <c r="B747" s="14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144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>
      <c r="A748" s="68" t="s">
        <v>2197</v>
      </c>
      <c r="B748" s="14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144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>
      <c r="A749" s="68" t="s">
        <v>2197</v>
      </c>
      <c r="B749" s="14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144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>
      <c r="A750" s="68" t="s">
        <v>2197</v>
      </c>
      <c r="B750" s="14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144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>
      <c r="A751" s="68" t="s">
        <v>2197</v>
      </c>
      <c r="B751" s="14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144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>
      <c r="A752" s="68" t="s">
        <v>2197</v>
      </c>
      <c r="B752" s="14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144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>
      <c r="A753" s="68" t="s">
        <v>2197</v>
      </c>
      <c r="B753" s="14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144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>
      <c r="A754" t="s">
        <v>2209</v>
      </c>
      <c r="B754" s="14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144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>
      <c r="A755" t="s">
        <v>2210</v>
      </c>
      <c r="B755" s="14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144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>
      <c r="A756" s="68" t="s">
        <v>2201</v>
      </c>
      <c r="B756" s="14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144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>
      <c r="A757" s="68" t="s">
        <v>2201</v>
      </c>
      <c r="B757" s="14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144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>
      <c r="A758" s="68" t="s">
        <v>2201</v>
      </c>
      <c r="B758" s="14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144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>
      <c r="A759" t="s">
        <v>2201</v>
      </c>
      <c r="B759" s="14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144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>
      <c r="A760" t="s">
        <v>2198</v>
      </c>
      <c r="B760" s="14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144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>
      <c r="A761" t="s">
        <v>2217</v>
      </c>
      <c r="B761" s="14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144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>
      <c r="A762" t="s">
        <v>2216</v>
      </c>
      <c r="B762" s="14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144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>
      <c r="A763" t="s">
        <v>2216</v>
      </c>
      <c r="B763" s="14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144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>
      <c r="A764" t="s">
        <v>2279</v>
      </c>
      <c r="B764" s="14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144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>
      <c r="A765" s="68" t="s">
        <v>2279</v>
      </c>
      <c r="B765" s="14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144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>
      <c r="A766" s="68" t="s">
        <v>2279</v>
      </c>
      <c r="B766" s="14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144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>
      <c r="A767" s="68" t="s">
        <v>2279</v>
      </c>
      <c r="B767" s="14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144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>
      <c r="A768" s="68" t="s">
        <v>2279</v>
      </c>
      <c r="B768" s="14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144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>
      <c r="A769" s="68" t="s">
        <v>2279</v>
      </c>
      <c r="B769" s="14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144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>
      <c r="A770" s="68" t="s">
        <v>2279</v>
      </c>
      <c r="B770" s="14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144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>
      <c r="A771" s="68" t="s">
        <v>2279</v>
      </c>
      <c r="B771" s="14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144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>
      <c r="A772" s="68" t="s">
        <v>2266</v>
      </c>
      <c r="B772" s="14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144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>
      <c r="A773" s="68" t="s">
        <v>2266</v>
      </c>
      <c r="B773" s="14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144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>
      <c r="A774" s="68" t="s">
        <v>2264</v>
      </c>
      <c r="B774" s="14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144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>
      <c r="A775" s="68" t="s">
        <v>2261</v>
      </c>
      <c r="B775" s="14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144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>
      <c r="A776" s="68" t="s">
        <v>2261</v>
      </c>
      <c r="B776" s="14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144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>
      <c r="A777" s="68" t="s">
        <v>2261</v>
      </c>
      <c r="B777" s="14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144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>
      <c r="A778" s="68" t="s">
        <v>2261</v>
      </c>
      <c r="B778" s="14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144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>
      <c r="A779" s="68" t="s">
        <v>2261</v>
      </c>
      <c r="B779" s="14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144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>
      <c r="A780" s="68" t="s">
        <v>2261</v>
      </c>
      <c r="B780" s="14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144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>
      <c r="A781" s="68" t="s">
        <v>2261</v>
      </c>
      <c r="B781" s="14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144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>
      <c r="A782" s="68" t="s">
        <v>2261</v>
      </c>
      <c r="B782" s="14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144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>
      <c r="A783" s="68" t="s">
        <v>2261</v>
      </c>
      <c r="B783" s="14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144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>
      <c r="A784" s="68" t="s">
        <v>2261</v>
      </c>
      <c r="B784" s="14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144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>
      <c r="A785" s="68" t="s">
        <v>2261</v>
      </c>
      <c r="B785" s="14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144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>
      <c r="A786" t="s">
        <v>2244</v>
      </c>
      <c r="B786" s="14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144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>
      <c r="A787" s="68" t="s">
        <v>2244</v>
      </c>
      <c r="B787" s="14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144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>
      <c r="A788" s="68" t="s">
        <v>2244</v>
      </c>
      <c r="B788" s="14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144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>
      <c r="A789" s="68" t="s">
        <v>2244</v>
      </c>
      <c r="B789" s="14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144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>
      <c r="A790" s="68" t="s">
        <v>2244</v>
      </c>
      <c r="B790" s="14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144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>
      <c r="A791" s="68" t="s">
        <v>2244</v>
      </c>
      <c r="B791" s="14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144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>
      <c r="A792" s="68" t="s">
        <v>2244</v>
      </c>
      <c r="B792" s="14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144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>
      <c r="A793" s="68" t="s">
        <v>2244</v>
      </c>
      <c r="B793" s="14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144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>
      <c r="A794" s="68" t="s">
        <v>2244</v>
      </c>
      <c r="B794" s="14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144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>
      <c r="A795" s="68" t="s">
        <v>2244</v>
      </c>
      <c r="B795" s="14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144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>
      <c r="A796" s="68" t="s">
        <v>2244</v>
      </c>
      <c r="B796" s="14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144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>
      <c r="A797" t="s">
        <v>2244</v>
      </c>
      <c r="B797" s="14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144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>
      <c r="A798" t="s">
        <v>2244</v>
      </c>
      <c r="B798" s="14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144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>
      <c r="A799" s="68" t="s">
        <v>2244</v>
      </c>
      <c r="B799" s="14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144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>
      <c r="A800" t="s">
        <v>2244</v>
      </c>
      <c r="B800" s="14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144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>
      <c r="A801" s="68" t="s">
        <v>2244</v>
      </c>
      <c r="B801" s="14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144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>
      <c r="A802" s="68" t="s">
        <v>2244</v>
      </c>
      <c r="B802" s="14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144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>
      <c r="A803" s="68" t="s">
        <v>2244</v>
      </c>
      <c r="B803" s="14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144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>
      <c r="A804" s="68" t="s">
        <v>2244</v>
      </c>
      <c r="B804" s="14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144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>
      <c r="A805" s="68" t="s">
        <v>2244</v>
      </c>
      <c r="B805" s="14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144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>
      <c r="A806" s="68" t="s">
        <v>2244</v>
      </c>
      <c r="B806" s="14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144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>
      <c r="A807" s="68" t="s">
        <v>2244</v>
      </c>
      <c r="B807" s="14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144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>
      <c r="A808" t="s">
        <v>2305</v>
      </c>
      <c r="B808" s="14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144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>
      <c r="A809" s="68" t="s">
        <v>2305</v>
      </c>
      <c r="B809" s="14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144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>
      <c r="A810" s="68" t="s">
        <v>2305</v>
      </c>
      <c r="B810" s="14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144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>
      <c r="A811" s="68" t="s">
        <v>2305</v>
      </c>
      <c r="B811" s="14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144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>
      <c r="A812" s="68" t="s">
        <v>2305</v>
      </c>
      <c r="B812" s="14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144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>
      <c r="A813" s="68" t="s">
        <v>2281</v>
      </c>
      <c r="B813" s="14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144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>
      <c r="A814" s="68" t="s">
        <v>2281</v>
      </c>
      <c r="B814" s="14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144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>
      <c r="A815" s="68" t="s">
        <v>2281</v>
      </c>
      <c r="B815" s="14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144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>
      <c r="A816" s="68" t="s">
        <v>2281</v>
      </c>
      <c r="B816" s="14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144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>
      <c r="A817" s="68" t="s">
        <v>2281</v>
      </c>
      <c r="B817" s="14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144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>
      <c r="A818" s="68" t="s">
        <v>2281</v>
      </c>
      <c r="B818" s="14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144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>
      <c r="A819" s="68" t="s">
        <v>2281</v>
      </c>
      <c r="B819" s="14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144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>
      <c r="A820" s="68" t="s">
        <v>2281</v>
      </c>
      <c r="B820" s="14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144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>
      <c r="A821" s="68" t="s">
        <v>2281</v>
      </c>
      <c r="B821" s="14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144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>
      <c r="A822" s="68" t="s">
        <v>2281</v>
      </c>
      <c r="B822" s="14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144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>
      <c r="A823" s="68" t="s">
        <v>2281</v>
      </c>
      <c r="B823" s="14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144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>
      <c r="A824" s="68" t="s">
        <v>2281</v>
      </c>
      <c r="B824" s="14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144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>
      <c r="A825" s="68" t="s">
        <v>2281</v>
      </c>
      <c r="B825" s="14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144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>
      <c r="A826" t="s">
        <v>2281</v>
      </c>
      <c r="B826" s="14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144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>
      <c r="A827" s="68" t="s">
        <v>2281</v>
      </c>
      <c r="B827" s="14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144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>
      <c r="A828" s="68" t="s">
        <v>2281</v>
      </c>
      <c r="B828" s="14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144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>
      <c r="A829" s="68" t="s">
        <v>2281</v>
      </c>
      <c r="B829" s="14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144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>
      <c r="A830" s="68" t="s">
        <v>2281</v>
      </c>
      <c r="B830" s="14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144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>
      <c r="A831" t="s">
        <v>2311</v>
      </c>
      <c r="B831" s="14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144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>
      <c r="A832" t="s">
        <v>2388</v>
      </c>
      <c r="B832" s="14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144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>
      <c r="A833" t="s">
        <v>2307</v>
      </c>
      <c r="B833" s="14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144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>
      <c r="A834" t="s">
        <v>2378</v>
      </c>
      <c r="B834" s="14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144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>
      <c r="A835" t="s">
        <v>2378</v>
      </c>
      <c r="B835" s="14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144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>
      <c r="A836" t="s">
        <v>2378</v>
      </c>
      <c r="B836" s="14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144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>
      <c r="A837" t="s">
        <v>2378</v>
      </c>
      <c r="B837" s="14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144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>
      <c r="A838" t="s">
        <v>2378</v>
      </c>
      <c r="B838" s="14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144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>
      <c r="A839" t="s">
        <v>2378</v>
      </c>
      <c r="B839" s="14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144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>
      <c r="A840" t="s">
        <v>2378</v>
      </c>
      <c r="B840" s="14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144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>
      <c r="A841" t="s">
        <v>2378</v>
      </c>
      <c r="B841" s="14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144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>
      <c r="A842" t="s">
        <v>2378</v>
      </c>
      <c r="B842" s="14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144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>
      <c r="A843" t="s">
        <v>2378</v>
      </c>
      <c r="B843" s="14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144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>
      <c r="A844" t="s">
        <v>2378</v>
      </c>
      <c r="B844" s="14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144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>
      <c r="A845" t="s">
        <v>2378</v>
      </c>
      <c r="B845" s="14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144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>
      <c r="A846" t="s">
        <v>2378</v>
      </c>
      <c r="B846" s="14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144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>
      <c r="A847" t="s">
        <v>2378</v>
      </c>
      <c r="B847" s="14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144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>
      <c r="A848" t="s">
        <v>2378</v>
      </c>
      <c r="B848" s="14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144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>
      <c r="A849" t="s">
        <v>2378</v>
      </c>
      <c r="B849" s="14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144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>
      <c r="A850" t="s">
        <v>2378</v>
      </c>
      <c r="B850" s="14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144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>
      <c r="A851" t="s">
        <v>2378</v>
      </c>
      <c r="B851" s="14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144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>
      <c r="A852" t="s">
        <v>2348</v>
      </c>
      <c r="B852" s="14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144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>
      <c r="A853" t="s">
        <v>2348</v>
      </c>
      <c r="B853" s="14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144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>
      <c r="A854" s="68" t="s">
        <v>2348</v>
      </c>
      <c r="B854" s="14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144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>
      <c r="A855" s="68" t="s">
        <v>2344</v>
      </c>
      <c r="B855" s="14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144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>
      <c r="A856" s="68" t="s">
        <v>2344</v>
      </c>
      <c r="B856" s="14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144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>
      <c r="A857" s="68" t="s">
        <v>2344</v>
      </c>
      <c r="B857" s="14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144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>
      <c r="A858" s="68" t="s">
        <v>2344</v>
      </c>
      <c r="B858" s="14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144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>
      <c r="A859" t="s">
        <v>2344</v>
      </c>
      <c r="B859" s="14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144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>
      <c r="A860" t="s">
        <v>2344</v>
      </c>
      <c r="B860" s="14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144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>
      <c r="A861" t="s">
        <v>2333</v>
      </c>
      <c r="B861" s="14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144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203</v>
      </c>
      <c r="R861" s="70" t="s">
        <v>1459</v>
      </c>
      <c r="S861" s="69"/>
    </row>
    <row r="862" spans="1:19">
      <c r="A862" t="s">
        <v>2333</v>
      </c>
      <c r="B862" s="14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144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203</v>
      </c>
      <c r="R862" s="70" t="s">
        <v>1459</v>
      </c>
      <c r="S862" s="69"/>
    </row>
    <row r="863" spans="1:19">
      <c r="A863" s="68" t="s">
        <v>2333</v>
      </c>
      <c r="B863" s="14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144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203</v>
      </c>
      <c r="R863" s="70" t="s">
        <v>1459</v>
      </c>
      <c r="S863" s="69"/>
    </row>
    <row r="864" spans="1:19">
      <c r="A864" s="68" t="s">
        <v>2333</v>
      </c>
      <c r="B864" s="14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144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203</v>
      </c>
      <c r="R864" s="70" t="s">
        <v>1459</v>
      </c>
      <c r="S864" s="69"/>
    </row>
    <row r="865" spans="1:19">
      <c r="A865" s="68" t="s">
        <v>2333</v>
      </c>
      <c r="B865" s="14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144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203</v>
      </c>
      <c r="R865" s="70" t="s">
        <v>1459</v>
      </c>
      <c r="S865" s="69"/>
    </row>
    <row r="866" spans="1:19">
      <c r="A866" s="68" t="s">
        <v>2333</v>
      </c>
      <c r="B866" s="14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144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>
      <c r="A867" s="68" t="s">
        <v>2333</v>
      </c>
      <c r="B867" s="14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144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203</v>
      </c>
      <c r="R867" s="70" t="s">
        <v>1459</v>
      </c>
      <c r="S867" s="69"/>
    </row>
    <row r="868" spans="1:19">
      <c r="A868" s="68" t="s">
        <v>2333</v>
      </c>
      <c r="B868" s="14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144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203</v>
      </c>
      <c r="R868" s="70" t="s">
        <v>1459</v>
      </c>
      <c r="S868" s="69"/>
    </row>
    <row r="869" spans="1:19">
      <c r="A869" s="68" t="s">
        <v>2333</v>
      </c>
      <c r="B869" s="14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144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203</v>
      </c>
      <c r="R869" s="70" t="s">
        <v>1459</v>
      </c>
      <c r="S869" s="69"/>
    </row>
    <row r="870" spans="1:19">
      <c r="A870" s="68" t="s">
        <v>2333</v>
      </c>
      <c r="B870" s="14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144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203</v>
      </c>
      <c r="R870" s="70" t="s">
        <v>1459</v>
      </c>
      <c r="S870" s="69"/>
    </row>
    <row r="871" spans="1:19">
      <c r="A871" s="68" t="s">
        <v>2333</v>
      </c>
      <c r="B871" s="14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144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203</v>
      </c>
      <c r="R871" s="70" t="s">
        <v>1459</v>
      </c>
      <c r="S871" s="69"/>
    </row>
    <row r="872" spans="1:19">
      <c r="A872" s="68" t="s">
        <v>2333</v>
      </c>
      <c r="B872" s="14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144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203</v>
      </c>
      <c r="R872" s="70" t="s">
        <v>1459</v>
      </c>
      <c r="S872" s="69"/>
    </row>
    <row r="873" spans="1:19">
      <c r="A873" s="68" t="s">
        <v>2333</v>
      </c>
      <c r="B873" s="14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144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203</v>
      </c>
      <c r="R873" s="70" t="s">
        <v>1459</v>
      </c>
      <c r="S873" s="69"/>
    </row>
    <row r="874" spans="1:19">
      <c r="A874" s="68" t="s">
        <v>2333</v>
      </c>
      <c r="B874" s="14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144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203</v>
      </c>
      <c r="R874" s="70" t="s">
        <v>1459</v>
      </c>
      <c r="S874" s="69"/>
    </row>
    <row r="875" spans="1:19">
      <c r="A875" s="68" t="s">
        <v>2333</v>
      </c>
      <c r="B875" s="14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144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203</v>
      </c>
      <c r="R875" s="70" t="s">
        <v>1459</v>
      </c>
      <c r="S875" s="69"/>
    </row>
    <row r="876" spans="1:19">
      <c r="A876" s="68" t="s">
        <v>2333</v>
      </c>
      <c r="B876" s="14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144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203</v>
      </c>
      <c r="R876" s="70" t="s">
        <v>1459</v>
      </c>
      <c r="S876" s="69"/>
    </row>
    <row r="877" spans="1:19">
      <c r="A877" s="68" t="s">
        <v>2333</v>
      </c>
      <c r="B877" s="14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144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203</v>
      </c>
      <c r="R877" s="70" t="s">
        <v>1459</v>
      </c>
      <c r="S877" s="69"/>
    </row>
    <row r="878" spans="1:19">
      <c r="A878" s="68" t="s">
        <v>2333</v>
      </c>
      <c r="B878" s="14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144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203</v>
      </c>
      <c r="R878" s="70" t="s">
        <v>1459</v>
      </c>
      <c r="S878" s="69"/>
    </row>
    <row r="879" spans="1:19">
      <c r="A879" s="68" t="s">
        <v>2333</v>
      </c>
      <c r="B879" s="14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144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203</v>
      </c>
      <c r="R879" s="70" t="s">
        <v>1459</v>
      </c>
      <c r="S879" s="69"/>
    </row>
    <row r="880" spans="1:19">
      <c r="A880" t="s">
        <v>2313</v>
      </c>
      <c r="B880" s="14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144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>
      <c r="A881" s="68" t="s">
        <v>2379</v>
      </c>
      <c r="B881" s="14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144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>
      <c r="A882" t="s">
        <v>2379</v>
      </c>
      <c r="B882" s="14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144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>
      <c r="A883" s="68" t="s">
        <v>2441</v>
      </c>
      <c r="B883" s="14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144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>
      <c r="A884" t="s">
        <v>2384</v>
      </c>
      <c r="B884" s="14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144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>
      <c r="A885" t="s">
        <v>2384</v>
      </c>
      <c r="B885" s="14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144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>
      <c r="A886" t="s">
        <v>2396</v>
      </c>
      <c r="B886" s="14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144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199</v>
      </c>
      <c r="R886" s="70" t="s">
        <v>2400</v>
      </c>
      <c r="S886" s="69"/>
    </row>
    <row r="887" spans="1:19">
      <c r="A887" s="68" t="s">
        <v>2396</v>
      </c>
      <c r="B887" s="14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144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199</v>
      </c>
      <c r="R887" s="70" t="s">
        <v>2400</v>
      </c>
      <c r="S887" s="69"/>
    </row>
    <row r="888" spans="1:19">
      <c r="A888" s="68" t="s">
        <v>2396</v>
      </c>
      <c r="B888" s="14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144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199</v>
      </c>
      <c r="R888" s="70" t="s">
        <v>2400</v>
      </c>
      <c r="S888" s="69"/>
    </row>
    <row r="889" spans="1:19">
      <c r="A889" s="68" t="s">
        <v>2396</v>
      </c>
      <c r="B889" s="14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144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>
      <c r="A890" t="s">
        <v>2389</v>
      </c>
      <c r="B890" s="14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144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>
      <c r="A891" t="s">
        <v>2414</v>
      </c>
      <c r="B891" s="14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144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>
      <c r="A892" t="s">
        <v>2414</v>
      </c>
      <c r="B892" s="14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144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>
      <c r="A893" s="68" t="s">
        <v>2414</v>
      </c>
      <c r="B893" s="14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144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>
      <c r="A894" s="68" t="s">
        <v>2414</v>
      </c>
      <c r="B894" s="14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144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>
      <c r="A895" s="68" t="s">
        <v>2403</v>
      </c>
      <c r="B895" s="14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144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>
      <c r="A896" t="s">
        <v>2401</v>
      </c>
      <c r="B896" s="14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144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>
      <c r="A897" s="68" t="s">
        <v>2420</v>
      </c>
      <c r="B897" s="14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144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>
      <c r="A898" s="68" t="s">
        <v>2420</v>
      </c>
      <c r="B898" s="14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144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>
      <c r="A899" s="68" t="s">
        <v>2420</v>
      </c>
      <c r="B899" s="14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144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>
      <c r="A900" s="68" t="s">
        <v>2420</v>
      </c>
      <c r="B900" s="14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144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>
      <c r="A901" s="68" t="s">
        <v>2420</v>
      </c>
      <c r="B901" s="14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144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>
      <c r="A902" s="68" t="s">
        <v>2420</v>
      </c>
      <c r="B902" s="14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144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>
      <c r="A903" s="68" t="s">
        <v>2420</v>
      </c>
      <c r="B903" s="14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144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>
      <c r="A904" s="68" t="s">
        <v>2420</v>
      </c>
      <c r="B904" s="14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144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>
      <c r="A905" t="s">
        <v>2420</v>
      </c>
      <c r="B905" s="14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144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>
      <c r="A906" t="s">
        <v>2435</v>
      </c>
      <c r="B906" s="14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144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>
      <c r="A907" t="s">
        <v>2446</v>
      </c>
      <c r="B907" s="14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144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194</v>
      </c>
      <c r="R907" s="70" t="s">
        <v>515</v>
      </c>
      <c r="S907" s="69"/>
    </row>
    <row r="908" spans="1:19">
      <c r="A908" t="s">
        <v>2439</v>
      </c>
      <c r="B908" s="14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144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193</v>
      </c>
      <c r="R908" s="70" t="s">
        <v>2440</v>
      </c>
      <c r="S908" s="69"/>
    </row>
    <row r="909" spans="1:19">
      <c r="A909" t="s">
        <v>2459</v>
      </c>
      <c r="B909" s="14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144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193</v>
      </c>
      <c r="R909" s="70" t="s">
        <v>830</v>
      </c>
      <c r="S909" s="94" t="e">
        <f>VLOOKUP(Proc[[#This Row],[Obj]],#REF!,2,0)</f>
        <v>#REF!</v>
      </c>
    </row>
    <row r="910" spans="1:19">
      <c r="A910" s="72" t="s">
        <v>2459</v>
      </c>
      <c r="B910" s="14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144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193</v>
      </c>
      <c r="R910" s="70" t="s">
        <v>830</v>
      </c>
      <c r="S910" s="94" t="e">
        <f>VLOOKUP(Proc[[#This Row],[Obj]],#REF!,2,0)</f>
        <v>#REF!</v>
      </c>
    </row>
    <row r="911" spans="1:19">
      <c r="A911" s="72" t="s">
        <v>2459</v>
      </c>
      <c r="B911" s="14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144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193</v>
      </c>
      <c r="R911" s="70" t="s">
        <v>830</v>
      </c>
      <c r="S911" s="94" t="e">
        <f>VLOOKUP(Proc[[#This Row],[Obj]],#REF!,2,0)</f>
        <v>#REF!</v>
      </c>
    </row>
    <row r="912" spans="1:19">
      <c r="A912" s="72" t="s">
        <v>2459</v>
      </c>
      <c r="B912" s="14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144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193</v>
      </c>
      <c r="R912" s="70" t="s">
        <v>830</v>
      </c>
      <c r="S912" s="94" t="e">
        <f>VLOOKUP(Proc[[#This Row],[Obj]],#REF!,2,0)</f>
        <v>#REF!</v>
      </c>
    </row>
    <row r="913" spans="1:19">
      <c r="A913" s="72" t="s">
        <v>2459</v>
      </c>
      <c r="B913" s="14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144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193</v>
      </c>
      <c r="R913" s="70" t="s">
        <v>830</v>
      </c>
      <c r="S913" s="94" t="e">
        <f>VLOOKUP(Proc[[#This Row],[Obj]],#REF!,2,0)</f>
        <v>#REF!</v>
      </c>
    </row>
    <row r="914" spans="1:19">
      <c r="A914" s="72" t="s">
        <v>2459</v>
      </c>
      <c r="B914" s="14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144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193</v>
      </c>
      <c r="R914" s="70" t="s">
        <v>830</v>
      </c>
      <c r="S914" s="94" t="e">
        <f>VLOOKUP(Proc[[#This Row],[Obj]],#REF!,2,0)</f>
        <v>#REF!</v>
      </c>
    </row>
    <row r="915" spans="1:19">
      <c r="A915" s="72" t="s">
        <v>2459</v>
      </c>
      <c r="B915" s="14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144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193</v>
      </c>
      <c r="R915" s="70" t="s">
        <v>830</v>
      </c>
      <c r="S915" s="94" t="e">
        <f>VLOOKUP(Proc[[#This Row],[Obj]],#REF!,2,0)</f>
        <v>#REF!</v>
      </c>
    </row>
    <row r="916" spans="1:19">
      <c r="A916" s="72" t="s">
        <v>2459</v>
      </c>
      <c r="B916" s="14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144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193</v>
      </c>
      <c r="R916" s="70" t="s">
        <v>830</v>
      </c>
      <c r="S916" s="94" t="e">
        <f>VLOOKUP(Proc[[#This Row],[Obj]],#REF!,2,0)</f>
        <v>#REF!</v>
      </c>
    </row>
    <row r="917" spans="1:19">
      <c r="A917" s="72" t="s">
        <v>2459</v>
      </c>
      <c r="B917" s="14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144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193</v>
      </c>
      <c r="R917" s="70" t="s">
        <v>830</v>
      </c>
      <c r="S917" s="94" t="e">
        <f>VLOOKUP(Proc[[#This Row],[Obj]],#REF!,2,0)</f>
        <v>#REF!</v>
      </c>
    </row>
    <row r="918" spans="1:19">
      <c r="A918" s="72" t="s">
        <v>2459</v>
      </c>
      <c r="B918" s="14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144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193</v>
      </c>
      <c r="R918" s="70" t="s">
        <v>830</v>
      </c>
      <c r="S918" s="94" t="e">
        <f>VLOOKUP(Proc[[#This Row],[Obj]],#REF!,2,0)</f>
        <v>#REF!</v>
      </c>
    </row>
    <row r="919" spans="1:19">
      <c r="A919" s="72" t="s">
        <v>2459</v>
      </c>
      <c r="B919" s="14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144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193</v>
      </c>
      <c r="R919" s="70" t="s">
        <v>830</v>
      </c>
      <c r="S919" s="94" t="e">
        <f>VLOOKUP(Proc[[#This Row],[Obj]],#REF!,2,0)</f>
        <v>#REF!</v>
      </c>
    </row>
    <row r="920" spans="1:19">
      <c r="A920" t="s">
        <v>2460</v>
      </c>
      <c r="B920" s="14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144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>
      <c r="A921" s="72" t="s">
        <v>2460</v>
      </c>
      <c r="B921" s="14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144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>
      <c r="A922" t="s">
        <v>2464</v>
      </c>
      <c r="B922" s="14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144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>
      <c r="A923" t="s">
        <v>2465</v>
      </c>
      <c r="B923" s="14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144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>
      <c r="A924" t="s">
        <v>2469</v>
      </c>
      <c r="B924" s="14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144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>
      <c r="A925" t="s">
        <v>2471</v>
      </c>
      <c r="B925" s="14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144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>
      <c r="A926" t="s">
        <v>2478</v>
      </c>
      <c r="B926" s="14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144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>
      <c r="A927" t="s">
        <v>2478</v>
      </c>
      <c r="B927" s="14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144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>
      <c r="A928" s="72" t="s">
        <v>2478</v>
      </c>
      <c r="B928" s="14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144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>
      <c r="A929" s="72" t="s">
        <v>2478</v>
      </c>
      <c r="B929" s="14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144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>
      <c r="A930" s="72" t="s">
        <v>2475</v>
      </c>
      <c r="B930" s="14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144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>
      <c r="A931" t="s">
        <v>2488</v>
      </c>
      <c r="B931" s="14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144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>
      <c r="A932" s="72" t="s">
        <v>2488</v>
      </c>
      <c r="B932" s="14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144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>
      <c r="A933" s="72" t="s">
        <v>2488</v>
      </c>
      <c r="B933" s="14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144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>
      <c r="A934" t="s">
        <v>2497</v>
      </c>
      <c r="B934" s="14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144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>
      <c r="A935" s="72" t="s">
        <v>2497</v>
      </c>
      <c r="B935" s="14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144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>
      <c r="A936" s="72" t="s">
        <v>2497</v>
      </c>
      <c r="B936" s="14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144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>
      <c r="A937" s="72" t="s">
        <v>2497</v>
      </c>
      <c r="B937" s="14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144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>
      <c r="A938" t="s">
        <v>2523</v>
      </c>
      <c r="B938" s="14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144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>
      <c r="A939" s="72" t="s">
        <v>2523</v>
      </c>
      <c r="B939" s="14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144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>
      <c r="A940" s="72" t="s">
        <v>2523</v>
      </c>
      <c r="B940" s="14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144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>
      <c r="A941" s="72" t="s">
        <v>2523</v>
      </c>
      <c r="B941" s="14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144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>
      <c r="A942" s="72" t="s">
        <v>2523</v>
      </c>
      <c r="B942" s="14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144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>
      <c r="A943" s="72" t="s">
        <v>2523</v>
      </c>
      <c r="B943" s="14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144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>
      <c r="A944" t="s">
        <v>2523</v>
      </c>
      <c r="B944" s="14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144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>
      <c r="A945" t="s">
        <v>2523</v>
      </c>
      <c r="B945" s="14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144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>
      <c r="A946" s="72" t="s">
        <v>2510</v>
      </c>
      <c r="B946" s="14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144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>
      <c r="A947" t="s">
        <v>2510</v>
      </c>
      <c r="B947" s="14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144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>
      <c r="A948" s="72" t="s">
        <v>2507</v>
      </c>
      <c r="B948" s="14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144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>
      <c r="A949" s="72" t="s">
        <v>2498</v>
      </c>
      <c r="B949" s="14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144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>
      <c r="A950" s="72" t="s">
        <v>2498</v>
      </c>
      <c r="B950" s="14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144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>
      <c r="A951" s="72" t="s">
        <v>2498</v>
      </c>
      <c r="B951" s="14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144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>
      <c r="A952" s="72" t="s">
        <v>2498</v>
      </c>
      <c r="B952" s="14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144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>
      <c r="A953" s="72" t="s">
        <v>2498</v>
      </c>
      <c r="B953" s="14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144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>
      <c r="A954" s="72" t="s">
        <v>2498</v>
      </c>
      <c r="B954" s="14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144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>
      <c r="A955" t="s">
        <v>2525</v>
      </c>
      <c r="B955" s="14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144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>
      <c r="A956" s="72" t="s">
        <v>2525</v>
      </c>
      <c r="B956" s="14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144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>
      <c r="A957" s="72" t="s">
        <v>2525</v>
      </c>
      <c r="B957" s="14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144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>
      <c r="A958" s="72" t="s">
        <v>2525</v>
      </c>
      <c r="B958" s="14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144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>
      <c r="A959" s="72" t="s">
        <v>2525</v>
      </c>
      <c r="B959" s="14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144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>
      <c r="A960" s="72" t="s">
        <v>2525</v>
      </c>
      <c r="B960" s="14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144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>
      <c r="A961" s="72" t="s">
        <v>2525</v>
      </c>
      <c r="B961" s="14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144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>
      <c r="A962" s="72" t="s">
        <v>2525</v>
      </c>
      <c r="B962" s="14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144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>
      <c r="A963" s="72" t="s">
        <v>2525</v>
      </c>
      <c r="B963" s="14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144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>
      <c r="A964" s="72" t="s">
        <v>2525</v>
      </c>
      <c r="B964" s="14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144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>
      <c r="A965" t="s">
        <v>2602</v>
      </c>
      <c r="B965" s="14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144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>
      <c r="A966" t="s">
        <v>2573</v>
      </c>
      <c r="B966" s="14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144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>
      <c r="A967" t="s">
        <v>2556</v>
      </c>
      <c r="B967" s="14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144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>
      <c r="A968" t="s">
        <v>2556</v>
      </c>
      <c r="B968" s="14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144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>
      <c r="A969" t="s">
        <v>2619</v>
      </c>
      <c r="B969" s="14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144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>
      <c r="A970" t="s">
        <v>2554</v>
      </c>
      <c r="B970" s="14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144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>
      <c r="A971" t="s">
        <v>2553</v>
      </c>
      <c r="B971" s="14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144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>
      <c r="A972" t="s">
        <v>2550</v>
      </c>
      <c r="B972" s="14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144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>
      <c r="A973" t="s">
        <v>2547</v>
      </c>
      <c r="B973" s="14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144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>
      <c r="A974" t="s">
        <v>2544</v>
      </c>
      <c r="B974" s="14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144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>
      <c r="A975" t="s">
        <v>2541</v>
      </c>
      <c r="B975" s="14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144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>
      <c r="A976" t="s">
        <v>2562</v>
      </c>
      <c r="B976" s="14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144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>
      <c r="A977" t="s">
        <v>2568</v>
      </c>
      <c r="B977" s="14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144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>
      <c r="A978" s="72" t="s">
        <v>2566</v>
      </c>
      <c r="B978" s="14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144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>
      <c r="A979" s="72" t="s">
        <v>2564</v>
      </c>
      <c r="B979" s="14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144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>
      <c r="A980" s="72" t="s">
        <v>2571</v>
      </c>
      <c r="B980" s="14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144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>
      <c r="A981" s="72" t="s">
        <v>2571</v>
      </c>
      <c r="B981" s="14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144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>
      <c r="A982" s="72" t="s">
        <v>2571</v>
      </c>
      <c r="B982" s="14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144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>
      <c r="A983" s="72" t="s">
        <v>2571</v>
      </c>
      <c r="B983" s="14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144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>
      <c r="A984" s="72" t="s">
        <v>2571</v>
      </c>
      <c r="B984" s="14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144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>
      <c r="A985" t="s">
        <v>2571</v>
      </c>
      <c r="B985" s="14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144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>
      <c r="A986" t="s">
        <v>2571</v>
      </c>
      <c r="B986" s="14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144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>
      <c r="A987" t="s">
        <v>2571</v>
      </c>
      <c r="B987" s="14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144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>
      <c r="A988" s="72" t="s">
        <v>2594</v>
      </c>
      <c r="B988" s="14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144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>
      <c r="A989" s="72" t="s">
        <v>2594</v>
      </c>
      <c r="B989" s="14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144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>
      <c r="A990" s="72" t="s">
        <v>2594</v>
      </c>
      <c r="B990" s="14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144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>
      <c r="A991" t="s">
        <v>2584</v>
      </c>
      <c r="B991" s="14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144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>
      <c r="A992" s="72" t="s">
        <v>2584</v>
      </c>
      <c r="B992" s="14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144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>
      <c r="A993" s="72" t="s">
        <v>2584</v>
      </c>
      <c r="B993" s="14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144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>
      <c r="A994" s="72" t="s">
        <v>2584</v>
      </c>
      <c r="B994" s="14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144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>
      <c r="A995" t="s">
        <v>2583</v>
      </c>
      <c r="B995" s="14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144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>
      <c r="A996" s="72" t="s">
        <v>2583</v>
      </c>
      <c r="B996" s="14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144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>
      <c r="A997" s="72" t="s">
        <v>2583</v>
      </c>
      <c r="B997" s="14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144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>
      <c r="A998" t="s">
        <v>2583</v>
      </c>
      <c r="B998" s="14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144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>
      <c r="A999" t="s">
        <v>2577</v>
      </c>
      <c r="B999" s="14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144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>
      <c r="A1000" t="s">
        <v>2595</v>
      </c>
      <c r="B1000" s="14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144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>
      <c r="A1001" s="72" t="s">
        <v>2608</v>
      </c>
      <c r="B1001" s="14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144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>
      <c r="A1002" t="s">
        <v>2608</v>
      </c>
      <c r="B1002" s="14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144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>
      <c r="A1003" s="72" t="s">
        <v>2608</v>
      </c>
      <c r="B1003" s="14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144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>
      <c r="A1004" s="72" t="s">
        <v>2608</v>
      </c>
      <c r="B1004" s="14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144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>
      <c r="A1005" s="72" t="s">
        <v>2608</v>
      </c>
      <c r="B1005" s="14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144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>
      <c r="A1006" s="72" t="s">
        <v>2604</v>
      </c>
      <c r="B1006" s="14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144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>
      <c r="A1007" t="s">
        <v>2604</v>
      </c>
      <c r="B1007" s="14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144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>
      <c r="A1008" t="s">
        <v>2626</v>
      </c>
      <c r="B1008" s="14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144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179</v>
      </c>
      <c r="R1008" s="74" t="s">
        <v>972</v>
      </c>
      <c r="S1008" s="69"/>
    </row>
    <row r="1009" spans="1:19">
      <c r="A1009" s="72" t="s">
        <v>2626</v>
      </c>
      <c r="B1009" s="14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144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179</v>
      </c>
      <c r="R1009" s="74" t="s">
        <v>972</v>
      </c>
      <c r="S1009" s="69"/>
    </row>
    <row r="1010" spans="1:19">
      <c r="A1010" t="s">
        <v>2622</v>
      </c>
      <c r="B1010" s="14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144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>
      <c r="A1011" s="72" t="s">
        <v>2622</v>
      </c>
      <c r="B1011" s="14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144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>
      <c r="A1012" t="s">
        <v>2621</v>
      </c>
      <c r="B1012" s="14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144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>
      <c r="A1013" t="s">
        <v>2621</v>
      </c>
      <c r="B1013" s="14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144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>
      <c r="A1014" s="72" t="s">
        <v>2670</v>
      </c>
      <c r="B1014" s="14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144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>
      <c r="A1015" s="72" t="s">
        <v>2674</v>
      </c>
      <c r="B1015" s="14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144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>
      <c r="A1016" s="72" t="s">
        <v>2673</v>
      </c>
      <c r="B1016" s="14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144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178</v>
      </c>
      <c r="R1016" s="74" t="s">
        <v>489</v>
      </c>
      <c r="S1016" s="69"/>
    </row>
    <row r="1017" spans="1:19">
      <c r="A1017" s="72" t="s">
        <v>2673</v>
      </c>
      <c r="B1017" s="14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144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178</v>
      </c>
      <c r="R1017" s="74" t="s">
        <v>489</v>
      </c>
      <c r="S1017" s="69"/>
    </row>
    <row r="1018" spans="1:19">
      <c r="A1018" s="72" t="s">
        <v>2673</v>
      </c>
      <c r="B1018" s="14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144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178</v>
      </c>
      <c r="R1018" s="74" t="s">
        <v>489</v>
      </c>
      <c r="S1018" s="69"/>
    </row>
    <row r="1019" spans="1:19">
      <c r="A1019" s="72" t="s">
        <v>2667</v>
      </c>
      <c r="B1019" s="14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144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>
      <c r="A1020" s="72" t="s">
        <v>2663</v>
      </c>
      <c r="B1020" s="14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144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>
      <c r="A1021" s="72" t="s">
        <v>2663</v>
      </c>
      <c r="B1021" s="14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144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>
      <c r="A1022" s="72" t="s">
        <v>2675</v>
      </c>
      <c r="B1022" s="14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144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>
      <c r="A1023" s="72" t="s">
        <v>2676</v>
      </c>
      <c r="B1023" s="14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144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>
      <c r="A1024" s="72" t="s">
        <v>2633</v>
      </c>
      <c r="B1024" s="14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144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>
      <c r="A1025" s="72" t="s">
        <v>2633</v>
      </c>
      <c r="B1025" s="14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144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>
      <c r="A1026" s="72" t="s">
        <v>2633</v>
      </c>
      <c r="B1026" s="14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144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>
      <c r="A1027" s="72" t="s">
        <v>2633</v>
      </c>
      <c r="B1027" s="14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144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>
      <c r="A1028" s="72" t="s">
        <v>2633</v>
      </c>
      <c r="B1028" s="14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144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>
      <c r="A1029" s="72" t="s">
        <v>2633</v>
      </c>
      <c r="B1029" s="14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144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>
      <c r="A1030" s="72" t="s">
        <v>2633</v>
      </c>
      <c r="B1030" s="14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144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>
      <c r="A1031" s="72" t="s">
        <v>2633</v>
      </c>
      <c r="B1031" s="14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144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>
      <c r="A1032" s="72" t="s">
        <v>2633</v>
      </c>
      <c r="B1032" s="14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144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>
      <c r="A1033" s="72" t="s">
        <v>2633</v>
      </c>
      <c r="B1033" s="14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144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>
      <c r="A1034" s="72" t="s">
        <v>2633</v>
      </c>
      <c r="B1034" s="14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144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>
      <c r="A1035" s="72" t="s">
        <v>2633</v>
      </c>
      <c r="B1035" s="14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144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>
      <c r="A1036" s="72" t="s">
        <v>2633</v>
      </c>
      <c r="B1036" s="14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144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>
      <c r="A1037" s="72" t="s">
        <v>2633</v>
      </c>
      <c r="B1037" s="14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144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>
      <c r="A1038" s="72" t="s">
        <v>2633</v>
      </c>
      <c r="B1038" s="14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144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>
      <c r="A1039" s="72" t="s">
        <v>2633</v>
      </c>
      <c r="B1039" s="14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144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>
      <c r="A1040" s="72" t="s">
        <v>2633</v>
      </c>
      <c r="B1040" s="14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144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>
      <c r="A1041" s="72" t="s">
        <v>2633</v>
      </c>
      <c r="B1041" s="14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144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>
      <c r="A1042" s="72" t="s">
        <v>2633</v>
      </c>
      <c r="B1042" s="14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144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>
      <c r="A1043" t="s">
        <v>2633</v>
      </c>
      <c r="B1043" s="14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144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>
      <c r="A1044" t="s">
        <v>2633</v>
      </c>
      <c r="B1044" s="14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144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>
      <c r="A1045" s="72" t="s">
        <v>2633</v>
      </c>
      <c r="B1045" s="14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144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>
      <c r="A1046" t="s">
        <v>2633</v>
      </c>
      <c r="B1046" s="14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144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>
      <c r="A1047" t="s">
        <v>2633</v>
      </c>
      <c r="B1047" s="14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144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>
      <c r="A1048" t="s">
        <v>2633</v>
      </c>
      <c r="B1048" s="14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144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>
      <c r="A1049" s="72" t="s">
        <v>2633</v>
      </c>
      <c r="B1049" s="14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144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>
      <c r="A1050" s="72" t="s">
        <v>2633</v>
      </c>
      <c r="B1050" s="14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144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>
      <c r="A1051" s="72" t="s">
        <v>2633</v>
      </c>
      <c r="B1051" s="14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144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>
      <c r="A1052" t="s">
        <v>2633</v>
      </c>
      <c r="B1052" s="14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144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>
      <c r="A1053" t="s">
        <v>2661</v>
      </c>
      <c r="B1053" s="14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144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>
      <c r="A1054" t="s">
        <v>2688</v>
      </c>
      <c r="B1054" s="14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144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>
      <c r="A1055" t="s">
        <v>2692</v>
      </c>
      <c r="B1055" s="14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144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>
      <c r="A1056" s="72" t="s">
        <v>2692</v>
      </c>
      <c r="B1056" s="14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144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>
      <c r="A1057" t="s">
        <v>2711</v>
      </c>
      <c r="B1057" s="14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144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>
      <c r="A1058" s="72" t="s">
        <v>2711</v>
      </c>
      <c r="B1058" s="14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144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>
      <c r="A1059" s="72" t="s">
        <v>2711</v>
      </c>
      <c r="B1059" s="14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144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>
      <c r="A1060" s="72" t="s">
        <v>2711</v>
      </c>
      <c r="B1060" s="14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144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>
      <c r="A1061" s="72" t="s">
        <v>2711</v>
      </c>
      <c r="B1061" s="14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144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>
      <c r="A1062" s="72" t="s">
        <v>2711</v>
      </c>
      <c r="B1062" s="14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144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>
      <c r="A1063" s="72" t="s">
        <v>2711</v>
      </c>
      <c r="B1063" s="14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144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>
      <c r="A1064" s="72" t="s">
        <v>2711</v>
      </c>
      <c r="B1064" s="14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144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>
      <c r="A1065" s="72" t="s">
        <v>2711</v>
      </c>
      <c r="B1065" s="14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144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>
      <c r="A1066" s="72" t="s">
        <v>2711</v>
      </c>
      <c r="B1066" s="14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144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>
      <c r="A1067" s="72" t="s">
        <v>2711</v>
      </c>
      <c r="B1067" s="14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144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>
      <c r="A1068" s="72" t="s">
        <v>2711</v>
      </c>
      <c r="B1068" s="14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144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>
      <c r="A1069" s="72" t="s">
        <v>2711</v>
      </c>
      <c r="B1069" s="14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144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>
      <c r="A1070" s="72" t="s">
        <v>2711</v>
      </c>
      <c r="B1070" s="14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144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>
      <c r="A1071" s="72" t="s">
        <v>2711</v>
      </c>
      <c r="B1071" s="14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144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>
      <c r="A1072" t="s">
        <v>2715</v>
      </c>
      <c r="B1072" s="14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144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>
      <c r="A1073" s="72" t="s">
        <v>2715</v>
      </c>
      <c r="B1073" s="14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144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>
      <c r="A1074" s="72" t="s">
        <v>2715</v>
      </c>
      <c r="B1074" s="14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144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>
      <c r="A1075" s="72" t="s">
        <v>2715</v>
      </c>
      <c r="B1075" s="14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144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>
      <c r="A1076" s="72" t="s">
        <v>2715</v>
      </c>
      <c r="B1076" s="14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144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>
      <c r="A1077" s="72" t="s">
        <v>2715</v>
      </c>
      <c r="B1077" s="14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144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>
      <c r="A1078" s="72" t="s">
        <v>2715</v>
      </c>
      <c r="B1078" s="14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144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>
      <c r="A1079" s="72" t="s">
        <v>2715</v>
      </c>
      <c r="B1079" s="14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144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>
      <c r="A1080" s="72" t="s">
        <v>2715</v>
      </c>
      <c r="B1080" s="14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144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>
      <c r="A1081" s="72" t="s">
        <v>2715</v>
      </c>
      <c r="B1081" s="14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144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>
      <c r="A1082" s="72" t="s">
        <v>2715</v>
      </c>
      <c r="B1082" s="14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144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>
      <c r="A1083" s="72" t="s">
        <v>2715</v>
      </c>
      <c r="B1083" s="14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144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>
      <c r="A1084" s="72" t="s">
        <v>2715</v>
      </c>
      <c r="B1084" s="14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144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>
      <c r="A1085" s="72" t="s">
        <v>2715</v>
      </c>
      <c r="B1085" s="14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144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>
      <c r="A1086" s="72" t="s">
        <v>2715</v>
      </c>
      <c r="B1086" s="14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144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>
      <c r="A1087" s="72" t="s">
        <v>2715</v>
      </c>
      <c r="B1087" s="14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144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>
      <c r="A1088" s="72" t="s">
        <v>2715</v>
      </c>
      <c r="B1088" s="14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144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>
      <c r="A1089" s="72" t="s">
        <v>2715</v>
      </c>
      <c r="B1089" s="14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144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>
      <c r="A1090" s="72" t="s">
        <v>2715</v>
      </c>
      <c r="B1090" s="14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144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>
      <c r="A1091" s="72" t="s">
        <v>2715</v>
      </c>
      <c r="B1091" s="14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144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>
      <c r="A1092" s="72" t="s">
        <v>2715</v>
      </c>
      <c r="B1092" s="14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144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>
      <c r="A1093" s="72" t="s">
        <v>2715</v>
      </c>
      <c r="B1093" s="14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144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>
      <c r="A1094" s="72" t="s">
        <v>2715</v>
      </c>
      <c r="B1094" s="14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144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>
      <c r="A1095" s="72" t="s">
        <v>2715</v>
      </c>
      <c r="B1095" s="14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144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>
      <c r="A1096" s="72" t="s">
        <v>2715</v>
      </c>
      <c r="B1096" s="14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144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>
      <c r="A1097" s="72" t="s">
        <v>2715</v>
      </c>
      <c r="B1097" s="14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144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>
      <c r="A1098" s="72" t="s">
        <v>2715</v>
      </c>
      <c r="B1098" s="14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144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>
      <c r="A1099" s="72" t="s">
        <v>2715</v>
      </c>
      <c r="B1099" s="14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144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>
      <c r="A1100" s="72" t="s">
        <v>2715</v>
      </c>
      <c r="B1100" s="14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144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>
      <c r="A1101" s="72" t="s">
        <v>2715</v>
      </c>
      <c r="B1101" s="14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144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>
      <c r="A1102" s="72" t="s">
        <v>2715</v>
      </c>
      <c r="B1102" s="14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144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>
      <c r="A1103" s="72" t="s">
        <v>2715</v>
      </c>
      <c r="B1103" s="14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144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>
      <c r="A1104" s="72" t="s">
        <v>2715</v>
      </c>
      <c r="B1104" s="14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144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>
      <c r="A1105" s="72" t="s">
        <v>2715</v>
      </c>
      <c r="B1105" s="14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144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>
      <c r="A1106" s="72" t="s">
        <v>2715</v>
      </c>
      <c r="B1106" s="14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144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>
      <c r="A1107" s="72" t="s">
        <v>2715</v>
      </c>
      <c r="B1107" s="14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144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>
      <c r="A1108" s="72" t="s">
        <v>2715</v>
      </c>
      <c r="B1108" s="14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144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>
      <c r="A1109" s="72" t="s">
        <v>2715</v>
      </c>
      <c r="B1109" s="14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144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>
      <c r="A1110" s="72" t="s">
        <v>2715</v>
      </c>
      <c r="B1110" s="14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144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>
      <c r="A1111" s="72" t="s">
        <v>2715</v>
      </c>
      <c r="B1111" s="14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144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>
      <c r="A1112" s="72" t="s">
        <v>2715</v>
      </c>
      <c r="B1112" s="14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144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>
      <c r="A1113" s="72" t="s">
        <v>2715</v>
      </c>
      <c r="B1113" s="14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144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>
      <c r="A1114" s="72" t="s">
        <v>2715</v>
      </c>
      <c r="B1114" s="14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144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>
      <c r="A1115" s="72" t="s">
        <v>2715</v>
      </c>
      <c r="B1115" s="14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144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>
      <c r="A1116" s="72" t="s">
        <v>2715</v>
      </c>
      <c r="B1116" s="14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144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>
      <c r="A1117" s="72" t="s">
        <v>2715</v>
      </c>
      <c r="B1117" s="14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144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>
      <c r="A1118" s="72" t="s">
        <v>2715</v>
      </c>
      <c r="B1118" s="14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144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>
      <c r="A1119" s="72" t="s">
        <v>2715</v>
      </c>
      <c r="B1119" s="14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144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>
      <c r="A1120" s="72" t="s">
        <v>2715</v>
      </c>
      <c r="B1120" s="14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144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>
      <c r="A1121" s="72" t="s">
        <v>2715</v>
      </c>
      <c r="B1121" s="14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144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>
      <c r="A1122" s="72" t="s">
        <v>2715</v>
      </c>
      <c r="B1122" s="14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144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>
      <c r="A1123" s="72" t="s">
        <v>2715</v>
      </c>
      <c r="B1123" s="14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144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>
      <c r="A1124" t="s">
        <v>2780</v>
      </c>
      <c r="B1124" s="14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144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>
      <c r="A1125" s="72" t="s">
        <v>2780</v>
      </c>
      <c r="B1125" s="14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144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>
      <c r="A1126" s="72" t="s">
        <v>2780</v>
      </c>
      <c r="B1126" s="14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144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>
      <c r="A1127" s="72" t="s">
        <v>2780</v>
      </c>
      <c r="B1127" s="14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144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>
      <c r="A1128" s="72" t="s">
        <v>2780</v>
      </c>
      <c r="B1128" s="14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144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>
      <c r="A1129" s="72" t="s">
        <v>2780</v>
      </c>
      <c r="B1129" s="14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144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>
      <c r="A1130" s="72" t="s">
        <v>2780</v>
      </c>
      <c r="B1130" s="14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144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>
      <c r="A1131" s="72" t="s">
        <v>2780</v>
      </c>
      <c r="B1131" s="14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144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>
      <c r="A1132" t="s">
        <v>2789</v>
      </c>
      <c r="B1132" s="14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144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>
      <c r="A1133" t="s">
        <v>2795</v>
      </c>
      <c r="B1133" s="14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144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>
      <c r="A1134" s="72" t="s">
        <v>2795</v>
      </c>
      <c r="B1134" s="14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144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>
      <c r="A1135" t="s">
        <v>2796</v>
      </c>
      <c r="B1135" s="14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144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>
      <c r="A1136" t="s">
        <v>2800</v>
      </c>
      <c r="B1136" s="14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144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>
      <c r="A1137" t="s">
        <v>2801</v>
      </c>
      <c r="B1137" s="14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144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>
      <c r="A1138" s="72" t="s">
        <v>2801</v>
      </c>
      <c r="B1138" s="14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144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>
      <c r="A1139" s="72" t="s">
        <v>2801</v>
      </c>
      <c r="B1139" s="14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144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>
      <c r="A1140" s="72" t="s">
        <v>2801</v>
      </c>
      <c r="B1140" s="14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144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>
      <c r="A1141" s="72" t="s">
        <v>2801</v>
      </c>
      <c r="B1141" s="14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144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>
      <c r="A1142" s="72" t="s">
        <v>2801</v>
      </c>
      <c r="B1142" s="14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144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>
      <c r="A1143" s="72" t="s">
        <v>2801</v>
      </c>
      <c r="B1143" s="14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144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>
      <c r="A1144" s="72" t="s">
        <v>2801</v>
      </c>
      <c r="B1144" s="14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144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>
      <c r="A1145" s="72" t="s">
        <v>2801</v>
      </c>
      <c r="B1145" s="14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144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>
      <c r="A1146" s="72" t="s">
        <v>2801</v>
      </c>
      <c r="B1146" s="14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144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>
      <c r="A1147" t="s">
        <v>2819</v>
      </c>
      <c r="B1147" s="149" t="str">
        <f>IFERROR(VLOOKUP(Proc[[#This Row],[App]],Table2[],3,0),"open")</f>
        <v>ok</v>
      </c>
      <c r="C1147" s="72" t="s">
        <v>369</v>
      </c>
      <c r="D1147" t="s">
        <v>2818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144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>
      <c r="A1148" t="s">
        <v>2826</v>
      </c>
      <c r="B1148" s="149" t="str">
        <f>IFERROR(VLOOKUP(Proc[[#This Row],[App]],Table2[],3,0),"open")</f>
        <v>ok</v>
      </c>
      <c r="C1148" t="s">
        <v>369</v>
      </c>
      <c r="D1148" t="s">
        <v>2820</v>
      </c>
      <c r="E1148" t="s">
        <v>2824</v>
      </c>
      <c r="F1148" s="117" t="s">
        <v>2824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2830</v>
      </c>
      <c r="J1148" s="69" t="b">
        <f>Proc[[#This Row],[Requested]]=Proc[[#This Row],[CurrentParent]]</f>
        <v>1</v>
      </c>
      <c r="K1148" s="144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>
      <c r="A1149" s="72" t="s">
        <v>2826</v>
      </c>
      <c r="B1149" s="149" t="str">
        <f>IFERROR(VLOOKUP(Proc[[#This Row],[App]],Table2[],3,0),"open")</f>
        <v>ok</v>
      </c>
      <c r="C1149" s="72" t="s">
        <v>369</v>
      </c>
      <c r="D1149" t="s">
        <v>2821</v>
      </c>
      <c r="E1149" t="s">
        <v>2825</v>
      </c>
      <c r="F1149" s="117" t="s">
        <v>2825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144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>
      <c r="A1150" s="72" t="s">
        <v>2826</v>
      </c>
      <c r="B1150" s="149" t="str">
        <f>IFERROR(VLOOKUP(Proc[[#This Row],[App]],Table2[],3,0),"open")</f>
        <v>ok</v>
      </c>
      <c r="C1150" s="72" t="s">
        <v>369</v>
      </c>
      <c r="D1150" t="s">
        <v>2822</v>
      </c>
      <c r="E1150" t="s">
        <v>2825</v>
      </c>
      <c r="F1150" s="117" t="s">
        <v>2825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144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>
      <c r="A1151" s="72" t="s">
        <v>2826</v>
      </c>
      <c r="B1151" s="149" t="str">
        <f>IFERROR(VLOOKUP(Proc[[#This Row],[App]],Table2[],3,0),"open")</f>
        <v>ok</v>
      </c>
      <c r="C1151" s="72" t="s">
        <v>369</v>
      </c>
      <c r="D1151" t="s">
        <v>2823</v>
      </c>
      <c r="E1151" t="s">
        <v>2825</v>
      </c>
      <c r="F1151" s="117" t="s">
        <v>2825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144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>
      <c r="A1152" t="s">
        <v>2829</v>
      </c>
      <c r="B1152" s="14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144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168</v>
      </c>
      <c r="R1152" s="80" t="s">
        <v>515</v>
      </c>
      <c r="S1152" s="69"/>
    </row>
    <row r="1153" spans="1:19">
      <c r="A1153" s="72" t="s">
        <v>2829</v>
      </c>
      <c r="B1153" s="149" t="str">
        <f>IFERROR(VLOOKUP(Proc[[#This Row],[App]],Table2[],3,0),"open")</f>
        <v>ok</v>
      </c>
      <c r="C1153" s="72" t="s">
        <v>369</v>
      </c>
      <c r="D1153" t="s">
        <v>2827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144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>
      <c r="A1154" s="72" t="s">
        <v>2829</v>
      </c>
      <c r="B1154" s="149" t="str">
        <f>IFERROR(VLOOKUP(Proc[[#This Row],[App]],Table2[],3,0),"open")</f>
        <v>ok</v>
      </c>
      <c r="C1154" s="72" t="s">
        <v>369</v>
      </c>
      <c r="D1154" t="s">
        <v>2828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144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>
      <c r="A1155" t="s">
        <v>2831</v>
      </c>
      <c r="B1155" s="149" t="str">
        <f>IFERROR(VLOOKUP(Proc[[#This Row],[App]],Table2[],3,0),"open")</f>
        <v>ok</v>
      </c>
      <c r="C1155" s="72" t="s">
        <v>369</v>
      </c>
      <c r="D1155" t="s">
        <v>2832</v>
      </c>
      <c r="E1155" t="s">
        <v>2839</v>
      </c>
      <c r="F1155" s="117" t="s">
        <v>2839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144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>
      <c r="A1156" s="72" t="s">
        <v>2831</v>
      </c>
      <c r="B1156" s="149" t="str">
        <f>IFERROR(VLOOKUP(Proc[[#This Row],[App]],Table2[],3,0),"open")</f>
        <v>ok</v>
      </c>
      <c r="C1156" s="72" t="s">
        <v>369</v>
      </c>
      <c r="D1156" t="s">
        <v>2833</v>
      </c>
      <c r="E1156" t="s">
        <v>2840</v>
      </c>
      <c r="F1156" s="117" t="s">
        <v>2840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144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>
      <c r="A1157" s="72" t="s">
        <v>2831</v>
      </c>
      <c r="B1157" s="149" t="str">
        <f>IFERROR(VLOOKUP(Proc[[#This Row],[App]],Table2[],3,0),"open")</f>
        <v>ok</v>
      </c>
      <c r="C1157" s="72" t="s">
        <v>369</v>
      </c>
      <c r="D1157" t="s">
        <v>2834</v>
      </c>
      <c r="E1157" t="s">
        <v>2841</v>
      </c>
      <c r="F1157" s="117" t="s">
        <v>2841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144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>
      <c r="A1158" s="72" t="s">
        <v>2831</v>
      </c>
      <c r="B1158" s="149" t="str">
        <f>IFERROR(VLOOKUP(Proc[[#This Row],[App]],Table2[],3,0),"open")</f>
        <v>ok</v>
      </c>
      <c r="C1158" s="72" t="s">
        <v>369</v>
      </c>
      <c r="D1158" t="s">
        <v>2835</v>
      </c>
      <c r="E1158" t="s">
        <v>2842</v>
      </c>
      <c r="F1158" s="117" t="s">
        <v>2842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144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>
      <c r="A1159" s="72" t="s">
        <v>2831</v>
      </c>
      <c r="B1159" s="149" t="str">
        <f>IFERROR(VLOOKUP(Proc[[#This Row],[App]],Table2[],3,0),"open")</f>
        <v>ok</v>
      </c>
      <c r="C1159" s="72" t="s">
        <v>369</v>
      </c>
      <c r="D1159" t="s">
        <v>2836</v>
      </c>
      <c r="E1159" t="s">
        <v>2840</v>
      </c>
      <c r="F1159" s="117" t="s">
        <v>2840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144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>
      <c r="A1160" s="72" t="s">
        <v>2831</v>
      </c>
      <c r="B1160" s="149" t="str">
        <f>IFERROR(VLOOKUP(Proc[[#This Row],[App]],Table2[],3,0),"open")</f>
        <v>ok</v>
      </c>
      <c r="C1160" s="72" t="s">
        <v>369</v>
      </c>
      <c r="D1160" t="s">
        <v>2837</v>
      </c>
      <c r="E1160" t="s">
        <v>2841</v>
      </c>
      <c r="F1160" s="117" t="s">
        <v>2841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144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>
      <c r="A1161" s="72" t="s">
        <v>2831</v>
      </c>
      <c r="B1161" s="149" t="str">
        <f>IFERROR(VLOOKUP(Proc[[#This Row],[App]],Table2[],3,0),"open")</f>
        <v>ok</v>
      </c>
      <c r="C1161" s="72" t="s">
        <v>369</v>
      </c>
      <c r="D1161" t="s">
        <v>2838</v>
      </c>
      <c r="E1161" t="s">
        <v>2842</v>
      </c>
      <c r="F1161" s="117" t="s">
        <v>2842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144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>
      <c r="A1162" t="s">
        <v>2843</v>
      </c>
      <c r="B1162" s="149" t="str">
        <f>IFERROR(VLOOKUP(Proc[[#This Row],[App]],Table2[],3,0),"open")</f>
        <v>ok</v>
      </c>
      <c r="C1162" s="72" t="s">
        <v>369</v>
      </c>
      <c r="D1162" t="s">
        <v>2844</v>
      </c>
      <c r="E1162" t="s">
        <v>2845</v>
      </c>
      <c r="F1162" s="117" t="s">
        <v>2845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144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>
      <c r="A1163" t="s">
        <v>2846</v>
      </c>
      <c r="B1163" s="149" t="str">
        <f>IFERROR(VLOOKUP(Proc[[#This Row],[App]],Table2[],3,0),"open")</f>
        <v>ok</v>
      </c>
      <c r="C1163" s="72" t="s">
        <v>369</v>
      </c>
      <c r="D1163" t="s">
        <v>2847</v>
      </c>
      <c r="E1163" t="s">
        <v>2853</v>
      </c>
      <c r="F1163" s="117" t="s">
        <v>2853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2854</v>
      </c>
      <c r="J1163" s="69" t="b">
        <f>Proc[[#This Row],[Requested]]=Proc[[#This Row],[CurrentParent]]</f>
        <v>1</v>
      </c>
      <c r="K1163" s="144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>
      <c r="A1164" s="72" t="s">
        <v>2846</v>
      </c>
      <c r="B1164" s="149" t="str">
        <f>IFERROR(VLOOKUP(Proc[[#This Row],[App]],Table2[],3,0),"open")</f>
        <v>ok</v>
      </c>
      <c r="C1164" s="72" t="s">
        <v>369</v>
      </c>
      <c r="D1164" t="s">
        <v>2848</v>
      </c>
      <c r="E1164" t="s">
        <v>2853</v>
      </c>
      <c r="F1164" s="117" t="s">
        <v>2853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2854</v>
      </c>
      <c r="J1164" s="69" t="b">
        <f>Proc[[#This Row],[Requested]]=Proc[[#This Row],[CurrentParent]]</f>
        <v>1</v>
      </c>
      <c r="K1164" s="144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>
      <c r="A1165" s="72" t="s">
        <v>2846</v>
      </c>
      <c r="B1165" s="149" t="str">
        <f>IFERROR(VLOOKUP(Proc[[#This Row],[App]],Table2[],3,0),"open")</f>
        <v>ok</v>
      </c>
      <c r="C1165" s="72" t="s">
        <v>369</v>
      </c>
      <c r="D1165" t="s">
        <v>2849</v>
      </c>
      <c r="E1165" t="s">
        <v>2853</v>
      </c>
      <c r="F1165" s="117" t="s">
        <v>2853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2854</v>
      </c>
      <c r="J1165" s="69" t="b">
        <f>Proc[[#This Row],[Requested]]=Proc[[#This Row],[CurrentParent]]</f>
        <v>1</v>
      </c>
      <c r="K1165" s="144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>
      <c r="A1166" s="72" t="s">
        <v>2846</v>
      </c>
      <c r="B1166" s="149" t="str">
        <f>IFERROR(VLOOKUP(Proc[[#This Row],[App]],Table2[],3,0),"open")</f>
        <v>ok</v>
      </c>
      <c r="C1166" s="72" t="s">
        <v>369</v>
      </c>
      <c r="D1166" t="s">
        <v>2850</v>
      </c>
      <c r="E1166" t="s">
        <v>2853</v>
      </c>
      <c r="F1166" s="117" t="s">
        <v>2853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2854</v>
      </c>
      <c r="J1166" s="69" t="b">
        <f>Proc[[#This Row],[Requested]]=Proc[[#This Row],[CurrentParent]]</f>
        <v>1</v>
      </c>
      <c r="K1166" s="144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>
      <c r="A1167" t="s">
        <v>2851</v>
      </c>
      <c r="B1167" s="149" t="str">
        <f>IFERROR(VLOOKUP(Proc[[#This Row],[App]],Table2[],3,0),"open")</f>
        <v>ok</v>
      </c>
      <c r="C1167" s="72" t="s">
        <v>369</v>
      </c>
      <c r="D1167" t="s">
        <v>2852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144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>
      <c r="A1168" t="s">
        <v>2855</v>
      </c>
      <c r="B1168" s="149" t="str">
        <f>IFERROR(VLOOKUP(Proc[[#This Row],[App]],Table2[],3,0),"open")</f>
        <v>ok</v>
      </c>
      <c r="C1168" t="s">
        <v>369</v>
      </c>
      <c r="D1168" t="s">
        <v>2856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144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>
      <c r="A1169" t="s">
        <v>2857</v>
      </c>
      <c r="B1169" s="149" t="str">
        <f>IFERROR(VLOOKUP(Proc[[#This Row],[App]],Table2[],3,0),"open")</f>
        <v>ok</v>
      </c>
      <c r="C1169" s="72" t="s">
        <v>369</v>
      </c>
      <c r="D1169" t="s">
        <v>2865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144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>
      <c r="A1170" s="72" t="s">
        <v>2857</v>
      </c>
      <c r="B1170" s="149" t="str">
        <f>IFERROR(VLOOKUP(Proc[[#This Row],[App]],Table2[],3,0),"open")</f>
        <v>ok</v>
      </c>
      <c r="C1170" s="72" t="s">
        <v>369</v>
      </c>
      <c r="D1170" t="s">
        <v>2858</v>
      </c>
      <c r="E1170" t="s">
        <v>2862</v>
      </c>
      <c r="F1170" s="117" t="s">
        <v>2862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144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>
      <c r="A1171" s="72" t="s">
        <v>2857</v>
      </c>
      <c r="B1171" s="149" t="str">
        <f>IFERROR(VLOOKUP(Proc[[#This Row],[App]],Table2[],3,0),"open")</f>
        <v>ok</v>
      </c>
      <c r="C1171" s="72" t="s">
        <v>369</v>
      </c>
      <c r="D1171" t="s">
        <v>2859</v>
      </c>
      <c r="E1171" t="s">
        <v>2863</v>
      </c>
      <c r="F1171" s="117" t="s">
        <v>2863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144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>
      <c r="A1172" s="72" t="s">
        <v>2857</v>
      </c>
      <c r="B1172" s="149" t="str">
        <f>IFERROR(VLOOKUP(Proc[[#This Row],[App]],Table2[],3,0),"open")</f>
        <v>ok</v>
      </c>
      <c r="C1172" s="72" t="s">
        <v>369</v>
      </c>
      <c r="D1172" t="s">
        <v>2860</v>
      </c>
      <c r="E1172" t="s">
        <v>2864</v>
      </c>
      <c r="F1172" s="117" t="s">
        <v>2864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144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>
      <c r="A1173" s="72" t="s">
        <v>2857</v>
      </c>
      <c r="B1173" s="149" t="str">
        <f>IFERROR(VLOOKUP(Proc[[#This Row],[App]],Table2[],3,0),"open")</f>
        <v>ok</v>
      </c>
      <c r="C1173" s="72" t="s">
        <v>369</v>
      </c>
      <c r="D1173" t="s">
        <v>2861</v>
      </c>
      <c r="E1173" t="s">
        <v>2864</v>
      </c>
      <c r="F1173" s="117" t="s">
        <v>2864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144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>
      <c r="A1174" t="s">
        <v>2866</v>
      </c>
      <c r="B1174" s="149" t="str">
        <f>IFERROR(VLOOKUP(Proc[[#This Row],[App]],Table2[],3,0),"open")</f>
        <v>ok</v>
      </c>
      <c r="C1174" s="72" t="s">
        <v>369</v>
      </c>
      <c r="D1174" t="s">
        <v>2295</v>
      </c>
      <c r="E1174" t="s">
        <v>2869</v>
      </c>
      <c r="F1174" s="117" t="s">
        <v>2869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2870</v>
      </c>
      <c r="J1174" s="69" t="b">
        <f>Proc[[#This Row],[Requested]]=Proc[[#This Row],[CurrentParent]]</f>
        <v>1</v>
      </c>
      <c r="K1174" s="144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>
      <c r="A1175" s="81" t="s">
        <v>2868</v>
      </c>
      <c r="B1175" s="149" t="str">
        <f>IFERROR(VLOOKUP(Proc[[#This Row],[App]],Table2[],3,0),"open")</f>
        <v>ok</v>
      </c>
      <c r="C1175" s="72" t="s">
        <v>369</v>
      </c>
      <c r="D1175" t="s">
        <v>2867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144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>
      <c r="A1176" t="s">
        <v>2871</v>
      </c>
      <c r="B1176" s="149" t="str">
        <f>IFERROR(VLOOKUP(Proc[[#This Row],[App]],Table2[],3,0),"open")</f>
        <v>ok</v>
      </c>
      <c r="C1176" t="s">
        <v>369</v>
      </c>
      <c r="D1176" t="s">
        <v>2872</v>
      </c>
      <c r="E1176" t="s">
        <v>2873</v>
      </c>
      <c r="F1176" s="117" t="s">
        <v>2873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2885</v>
      </c>
      <c r="J1176" s="69" t="b">
        <f>Proc[[#This Row],[Requested]]=Proc[[#This Row],[CurrentParent]]</f>
        <v>1</v>
      </c>
      <c r="K1176" s="144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>
      <c r="A1177" t="s">
        <v>2884</v>
      </c>
      <c r="B1177" s="149" t="str">
        <f>IFERROR(VLOOKUP(Proc[[#This Row],[App]],Table2[],3,0),"open")</f>
        <v>ok</v>
      </c>
      <c r="C1177" s="72" t="s">
        <v>398</v>
      </c>
      <c r="D1177" t="s">
        <v>2874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2886</v>
      </c>
      <c r="J1177" s="69" t="b">
        <f>Proc[[#This Row],[Requested]]=Proc[[#This Row],[CurrentParent]]</f>
        <v>1</v>
      </c>
      <c r="K1177" s="144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>
      <c r="A1178" s="72" t="s">
        <v>2884</v>
      </c>
      <c r="B1178" s="149" t="str">
        <f>IFERROR(VLOOKUP(Proc[[#This Row],[App]],Table2[],3,0),"open")</f>
        <v>ok</v>
      </c>
      <c r="C1178" s="72" t="s">
        <v>398</v>
      </c>
      <c r="D1178" t="s">
        <v>2875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2886</v>
      </c>
      <c r="J1178" s="69" t="b">
        <f>Proc[[#This Row],[Requested]]=Proc[[#This Row],[CurrentParent]]</f>
        <v>1</v>
      </c>
      <c r="K1178" s="144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>
      <c r="A1179" s="72" t="s">
        <v>2884</v>
      </c>
      <c r="B1179" s="149" t="str">
        <f>IFERROR(VLOOKUP(Proc[[#This Row],[App]],Table2[],3,0),"open")</f>
        <v>ok</v>
      </c>
      <c r="C1179" s="72" t="s">
        <v>398</v>
      </c>
      <c r="D1179" t="s">
        <v>2876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2886</v>
      </c>
      <c r="J1179" s="69" t="b">
        <f>Proc[[#This Row],[Requested]]=Proc[[#This Row],[CurrentParent]]</f>
        <v>1</v>
      </c>
      <c r="K1179" s="144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>
      <c r="A1180" s="72" t="s">
        <v>2884</v>
      </c>
      <c r="B1180" s="149" t="str">
        <f>IFERROR(VLOOKUP(Proc[[#This Row],[App]],Table2[],3,0),"open")</f>
        <v>ok</v>
      </c>
      <c r="C1180" s="72" t="s">
        <v>398</v>
      </c>
      <c r="D1180" t="s">
        <v>2877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2886</v>
      </c>
      <c r="J1180" s="69" t="b">
        <f>Proc[[#This Row],[Requested]]=Proc[[#This Row],[CurrentParent]]</f>
        <v>1</v>
      </c>
      <c r="K1180" s="144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>
      <c r="A1181" s="72" t="s">
        <v>2884</v>
      </c>
      <c r="B1181" s="149" t="str">
        <f>IFERROR(VLOOKUP(Proc[[#This Row],[App]],Table2[],3,0),"open")</f>
        <v>ok</v>
      </c>
      <c r="C1181" s="72" t="s">
        <v>398</v>
      </c>
      <c r="D1181" t="s">
        <v>2878</v>
      </c>
      <c r="E1181" t="s">
        <v>2882</v>
      </c>
      <c r="F1181" s="103" t="s">
        <v>2882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2886</v>
      </c>
      <c r="J1181" s="69" t="b">
        <f>Proc[[#This Row],[Requested]]=Proc[[#This Row],[CurrentParent]]</f>
        <v>1</v>
      </c>
      <c r="K1181" s="144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>
      <c r="A1182" s="72" t="s">
        <v>2884</v>
      </c>
      <c r="B1182" s="149" t="str">
        <f>IFERROR(VLOOKUP(Proc[[#This Row],[App]],Table2[],3,0),"open")</f>
        <v>ok</v>
      </c>
      <c r="C1182" s="72" t="s">
        <v>398</v>
      </c>
      <c r="D1182" t="s">
        <v>2879</v>
      </c>
      <c r="E1182" t="s">
        <v>2882</v>
      </c>
      <c r="F1182" s="103" t="s">
        <v>2882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2886</v>
      </c>
      <c r="J1182" s="69" t="b">
        <f>Proc[[#This Row],[Requested]]=Proc[[#This Row],[CurrentParent]]</f>
        <v>1</v>
      </c>
      <c r="K1182" s="144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>
      <c r="A1183" s="72" t="s">
        <v>2884</v>
      </c>
      <c r="B1183" s="149" t="str">
        <f>IFERROR(VLOOKUP(Proc[[#This Row],[App]],Table2[],3,0),"open")</f>
        <v>ok</v>
      </c>
      <c r="C1183" s="72" t="s">
        <v>398</v>
      </c>
      <c r="D1183" t="s">
        <v>2880</v>
      </c>
      <c r="E1183" t="s">
        <v>2883</v>
      </c>
      <c r="F1183" s="103" t="s">
        <v>2883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2886</v>
      </c>
      <c r="J1183" s="69" t="b">
        <f>Proc[[#This Row],[Requested]]=Proc[[#This Row],[CurrentParent]]</f>
        <v>1</v>
      </c>
      <c r="K1183" s="144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>
      <c r="A1184" s="72" t="s">
        <v>2884</v>
      </c>
      <c r="B1184" s="149" t="str">
        <f>IFERROR(VLOOKUP(Proc[[#This Row],[App]],Table2[],3,0),"open")</f>
        <v>ok</v>
      </c>
      <c r="C1184" s="72" t="s">
        <v>398</v>
      </c>
      <c r="D1184" t="s">
        <v>2881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2886</v>
      </c>
      <c r="J1184" s="69" t="b">
        <f>Proc[[#This Row],[Requested]]=Proc[[#This Row],[CurrentParent]]</f>
        <v>1</v>
      </c>
      <c r="K1184" s="144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>
      <c r="A1185" t="s">
        <v>2887</v>
      </c>
      <c r="B1185" s="149" t="str">
        <f>IFERROR(VLOOKUP(Proc[[#This Row],[App]],Table2[],3,0),"open")</f>
        <v>ok</v>
      </c>
      <c r="C1185" t="s">
        <v>369</v>
      </c>
      <c r="D1185" t="s">
        <v>2888</v>
      </c>
      <c r="E1185" t="s">
        <v>2889</v>
      </c>
      <c r="F1185" s="117" t="s">
        <v>2889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144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2890</v>
      </c>
      <c r="S1185" s="69"/>
    </row>
    <row r="1186" spans="1:19">
      <c r="A1186" t="s">
        <v>2895</v>
      </c>
      <c r="B1186" s="149" t="str">
        <f>IFERROR(VLOOKUP(Proc[[#This Row],[App]],Table2[],3,0),"open")</f>
        <v>ok</v>
      </c>
      <c r="C1186" s="72" t="s">
        <v>369</v>
      </c>
      <c r="D1186" t="s">
        <v>2891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144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>
      <c r="A1187" s="72" t="s">
        <v>2895</v>
      </c>
      <c r="B1187" s="149" t="str">
        <f>IFERROR(VLOOKUP(Proc[[#This Row],[App]],Table2[],3,0),"open")</f>
        <v>ok</v>
      </c>
      <c r="C1187" s="72" t="s">
        <v>369</v>
      </c>
      <c r="D1187" t="s">
        <v>2892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3014</v>
      </c>
      <c r="J1187" s="69" t="b">
        <f>Proc[[#This Row],[Requested]]=Proc[[#This Row],[CurrentParent]]</f>
        <v>1</v>
      </c>
      <c r="K1187" s="144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>
      <c r="A1188" s="72" t="s">
        <v>2895</v>
      </c>
      <c r="B1188" s="149" t="str">
        <f>IFERROR(VLOOKUP(Proc[[#This Row],[App]],Table2[],3,0),"open")</f>
        <v>ok</v>
      </c>
      <c r="C1188" s="72" t="s">
        <v>369</v>
      </c>
      <c r="D1188" t="s">
        <v>2893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3014</v>
      </c>
      <c r="J1188" s="69" t="b">
        <f>Proc[[#This Row],[Requested]]=Proc[[#This Row],[CurrentParent]]</f>
        <v>1</v>
      </c>
      <c r="K1188" s="144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>
      <c r="A1189" s="72" t="s">
        <v>2895</v>
      </c>
      <c r="B1189" s="149" t="str">
        <f>IFERROR(VLOOKUP(Proc[[#This Row],[App]],Table2[],3,0),"open")</f>
        <v>ok</v>
      </c>
      <c r="C1189" s="72" t="s">
        <v>369</v>
      </c>
      <c r="D1189" t="s">
        <v>2894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3014</v>
      </c>
      <c r="J1189" s="69" t="b">
        <f>Proc[[#This Row],[Requested]]=Proc[[#This Row],[CurrentParent]]</f>
        <v>1</v>
      </c>
      <c r="K1189" s="144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>
      <c r="A1190" t="s">
        <v>2896</v>
      </c>
      <c r="B1190" s="149" t="str">
        <f>IFERROR(VLOOKUP(Proc[[#This Row],[App]],Table2[],3,0),"open")</f>
        <v>ok</v>
      </c>
      <c r="C1190" s="72" t="s">
        <v>369</v>
      </c>
      <c r="D1190" t="s">
        <v>1410</v>
      </c>
      <c r="E1190" t="s">
        <v>2897</v>
      </c>
      <c r="F1190" s="117" t="s">
        <v>2897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144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>
      <c r="A1191" t="s">
        <v>2896</v>
      </c>
      <c r="B1191" s="149" t="str">
        <f>IFERROR(VLOOKUP(Proc[[#This Row],[App]],Table2[],3,0),"open")</f>
        <v>ok</v>
      </c>
      <c r="C1191" s="72" t="s">
        <v>369</v>
      </c>
      <c r="D1191" t="s">
        <v>1412</v>
      </c>
      <c r="E1191" t="s">
        <v>2897</v>
      </c>
      <c r="F1191" s="117" t="s">
        <v>2897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144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>
      <c r="A1192" t="s">
        <v>2898</v>
      </c>
      <c r="B1192" s="149" t="str">
        <f>IFERROR(VLOOKUP(Proc[[#This Row],[App]],Table2[],3,0),"open")</f>
        <v>ok</v>
      </c>
      <c r="C1192" s="72" t="s">
        <v>369</v>
      </c>
      <c r="D1192" t="s">
        <v>2832</v>
      </c>
      <c r="E1192" t="s">
        <v>2899</v>
      </c>
      <c r="F1192" s="117" t="s">
        <v>2899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144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>
      <c r="A1193" t="s">
        <v>2900</v>
      </c>
      <c r="B1193" s="149" t="str">
        <f>IFERROR(VLOOKUP(Proc[[#This Row],[App]],Table2[],3,0),"open")</f>
        <v>ok</v>
      </c>
      <c r="C1193" s="72" t="s">
        <v>369</v>
      </c>
      <c r="D1193" t="s">
        <v>2901</v>
      </c>
      <c r="E1193" t="s">
        <v>3002</v>
      </c>
      <c r="F1193" s="117" t="s">
        <v>3002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144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>
      <c r="A1194" s="72" t="s">
        <v>2900</v>
      </c>
      <c r="B1194" s="149" t="str">
        <f>IFERROR(VLOOKUP(Proc[[#This Row],[App]],Table2[],3,0),"open")</f>
        <v>ok</v>
      </c>
      <c r="C1194" s="72" t="s">
        <v>369</v>
      </c>
      <c r="D1194" t="s">
        <v>2902</v>
      </c>
      <c r="E1194" t="s">
        <v>3002</v>
      </c>
      <c r="F1194" s="117" t="s">
        <v>3002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144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>
      <c r="A1195" s="72" t="s">
        <v>2900</v>
      </c>
      <c r="B1195" s="149" t="str">
        <f>IFERROR(VLOOKUP(Proc[[#This Row],[App]],Table2[],3,0),"open")</f>
        <v>ok</v>
      </c>
      <c r="C1195" s="72" t="s">
        <v>369</v>
      </c>
      <c r="D1195" t="s">
        <v>2903</v>
      </c>
      <c r="E1195" t="s">
        <v>3002</v>
      </c>
      <c r="F1195" s="117" t="s">
        <v>3002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144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>
      <c r="A1196" s="72" t="s">
        <v>2900</v>
      </c>
      <c r="B1196" s="149" t="str">
        <f>IFERROR(VLOOKUP(Proc[[#This Row],[App]],Table2[],3,0),"open")</f>
        <v>ok</v>
      </c>
      <c r="C1196" s="72" t="s">
        <v>369</v>
      </c>
      <c r="D1196" t="s">
        <v>2904</v>
      </c>
      <c r="E1196" t="s">
        <v>3002</v>
      </c>
      <c r="F1196" s="117" t="s">
        <v>3002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144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>
      <c r="A1197" s="72" t="s">
        <v>2900</v>
      </c>
      <c r="B1197" s="149" t="str">
        <f>IFERROR(VLOOKUP(Proc[[#This Row],[App]],Table2[],3,0),"open")</f>
        <v>ok</v>
      </c>
      <c r="C1197" s="72" t="s">
        <v>369</v>
      </c>
      <c r="D1197" t="s">
        <v>2905</v>
      </c>
      <c r="E1197" t="s">
        <v>3002</v>
      </c>
      <c r="F1197" s="117" t="s">
        <v>3002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144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>
      <c r="A1198" s="72" t="s">
        <v>2900</v>
      </c>
      <c r="B1198" s="149" t="str">
        <f>IFERROR(VLOOKUP(Proc[[#This Row],[App]],Table2[],3,0),"open")</f>
        <v>ok</v>
      </c>
      <c r="C1198" s="72" t="s">
        <v>369</v>
      </c>
      <c r="D1198" t="s">
        <v>2906</v>
      </c>
      <c r="E1198" t="s">
        <v>3002</v>
      </c>
      <c r="F1198" s="117" t="s">
        <v>3002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144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>
      <c r="A1199" s="72" t="s">
        <v>2900</v>
      </c>
      <c r="B1199" s="149" t="str">
        <f>IFERROR(VLOOKUP(Proc[[#This Row],[App]],Table2[],3,0),"open")</f>
        <v>ok</v>
      </c>
      <c r="C1199" s="72" t="s">
        <v>369</v>
      </c>
      <c r="D1199" t="s">
        <v>2907</v>
      </c>
      <c r="E1199" t="s">
        <v>3002</v>
      </c>
      <c r="F1199" s="117" t="s">
        <v>3002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144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>
      <c r="A1200" s="72" t="s">
        <v>2900</v>
      </c>
      <c r="B1200" s="149" t="str">
        <f>IFERROR(VLOOKUP(Proc[[#This Row],[App]],Table2[],3,0),"open")</f>
        <v>ok</v>
      </c>
      <c r="C1200" s="72" t="s">
        <v>369</v>
      </c>
      <c r="D1200" t="s">
        <v>2908</v>
      </c>
      <c r="E1200" t="s">
        <v>3002</v>
      </c>
      <c r="F1200" s="117" t="s">
        <v>3002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144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>
      <c r="A1201" s="72" t="s">
        <v>2900</v>
      </c>
      <c r="B1201" s="149" t="str">
        <f>IFERROR(VLOOKUP(Proc[[#This Row],[App]],Table2[],3,0),"open")</f>
        <v>ok</v>
      </c>
      <c r="C1201" s="72" t="s">
        <v>369</v>
      </c>
      <c r="D1201" t="s">
        <v>2909</v>
      </c>
      <c r="E1201" t="s">
        <v>3002</v>
      </c>
      <c r="F1201" s="117" t="s">
        <v>3002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144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>
      <c r="A1202" s="72" t="s">
        <v>2900</v>
      </c>
      <c r="B1202" s="149" t="str">
        <f>IFERROR(VLOOKUP(Proc[[#This Row],[App]],Table2[],3,0),"open")</f>
        <v>ok</v>
      </c>
      <c r="C1202" s="72" t="s">
        <v>369</v>
      </c>
      <c r="D1202" t="s">
        <v>2910</v>
      </c>
      <c r="E1202" t="s">
        <v>3003</v>
      </c>
      <c r="F1202" s="117" t="s">
        <v>3003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144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>
      <c r="A1203" s="72" t="s">
        <v>2900</v>
      </c>
      <c r="B1203" s="149" t="str">
        <f>IFERROR(VLOOKUP(Proc[[#This Row],[App]],Table2[],3,0),"open")</f>
        <v>ok</v>
      </c>
      <c r="C1203" s="72" t="s">
        <v>369</v>
      </c>
      <c r="D1203" t="s">
        <v>2911</v>
      </c>
      <c r="E1203" t="s">
        <v>3003</v>
      </c>
      <c r="F1203" s="117" t="s">
        <v>3003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144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>
      <c r="A1204" s="72" t="s">
        <v>2900</v>
      </c>
      <c r="B1204" s="149" t="str">
        <f>IFERROR(VLOOKUP(Proc[[#This Row],[App]],Table2[],3,0),"open")</f>
        <v>ok</v>
      </c>
      <c r="C1204" s="72" t="s">
        <v>369</v>
      </c>
      <c r="D1204" t="s">
        <v>2912</v>
      </c>
      <c r="E1204" t="s">
        <v>3003</v>
      </c>
      <c r="F1204" s="117" t="s">
        <v>3003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144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>
      <c r="A1205" s="72" t="s">
        <v>2900</v>
      </c>
      <c r="B1205" s="149" t="str">
        <f>IFERROR(VLOOKUP(Proc[[#This Row],[App]],Table2[],3,0),"open")</f>
        <v>ok</v>
      </c>
      <c r="C1205" s="72" t="s">
        <v>369</v>
      </c>
      <c r="D1205" t="s">
        <v>2913</v>
      </c>
      <c r="E1205" t="s">
        <v>3003</v>
      </c>
      <c r="F1205" s="117" t="s">
        <v>3003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144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>
      <c r="A1206" s="72" t="s">
        <v>2900</v>
      </c>
      <c r="B1206" s="149" t="str">
        <f>IFERROR(VLOOKUP(Proc[[#This Row],[App]],Table2[],3,0),"open")</f>
        <v>ok</v>
      </c>
      <c r="C1206" s="72" t="s">
        <v>369</v>
      </c>
      <c r="D1206" t="s">
        <v>2914</v>
      </c>
      <c r="E1206" t="s">
        <v>3003</v>
      </c>
      <c r="F1206" s="117" t="s">
        <v>3003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144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>
      <c r="A1207" s="72" t="s">
        <v>2900</v>
      </c>
      <c r="B1207" s="149" t="str">
        <f>IFERROR(VLOOKUP(Proc[[#This Row],[App]],Table2[],3,0),"open")</f>
        <v>ok</v>
      </c>
      <c r="C1207" s="72" t="s">
        <v>369</v>
      </c>
      <c r="D1207" t="s">
        <v>2915</v>
      </c>
      <c r="E1207" t="s">
        <v>3003</v>
      </c>
      <c r="F1207" s="117" t="s">
        <v>3003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144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>
      <c r="A1208" s="72" t="s">
        <v>2900</v>
      </c>
      <c r="B1208" s="149" t="str">
        <f>IFERROR(VLOOKUP(Proc[[#This Row],[App]],Table2[],3,0),"open")</f>
        <v>ok</v>
      </c>
      <c r="C1208" s="72" t="s">
        <v>369</v>
      </c>
      <c r="D1208" t="s">
        <v>2916</v>
      </c>
      <c r="E1208" t="s">
        <v>3003</v>
      </c>
      <c r="F1208" s="117" t="s">
        <v>3003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144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>
      <c r="A1209" s="72" t="s">
        <v>2900</v>
      </c>
      <c r="B1209" s="149" t="str">
        <f>IFERROR(VLOOKUP(Proc[[#This Row],[App]],Table2[],3,0),"open")</f>
        <v>ok</v>
      </c>
      <c r="C1209" s="72" t="s">
        <v>369</v>
      </c>
      <c r="D1209" t="s">
        <v>2917</v>
      </c>
      <c r="E1209" t="s">
        <v>3003</v>
      </c>
      <c r="F1209" s="117" t="s">
        <v>3003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144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>
      <c r="A1210" s="72" t="s">
        <v>2900</v>
      </c>
      <c r="B1210" s="149" t="str">
        <f>IFERROR(VLOOKUP(Proc[[#This Row],[App]],Table2[],3,0),"open")</f>
        <v>ok</v>
      </c>
      <c r="C1210" s="72" t="s">
        <v>369</v>
      </c>
      <c r="D1210" t="s">
        <v>2918</v>
      </c>
      <c r="E1210" t="s">
        <v>3003</v>
      </c>
      <c r="F1210" s="117" t="s">
        <v>3003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144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>
      <c r="A1211" s="72" t="s">
        <v>2900</v>
      </c>
      <c r="B1211" s="149" t="str">
        <f>IFERROR(VLOOKUP(Proc[[#This Row],[App]],Table2[],3,0),"open")</f>
        <v>ok</v>
      </c>
      <c r="C1211" s="72" t="s">
        <v>369</v>
      </c>
      <c r="D1211" t="s">
        <v>2919</v>
      </c>
      <c r="E1211" t="s">
        <v>3003</v>
      </c>
      <c r="F1211" s="117" t="s">
        <v>3003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144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>
      <c r="A1212" s="72" t="s">
        <v>2900</v>
      </c>
      <c r="B1212" s="149" t="str">
        <f>IFERROR(VLOOKUP(Proc[[#This Row],[App]],Table2[],3,0),"open")</f>
        <v>ok</v>
      </c>
      <c r="C1212" s="72" t="s">
        <v>369</v>
      </c>
      <c r="D1212" t="s">
        <v>2920</v>
      </c>
      <c r="E1212" t="s">
        <v>3003</v>
      </c>
      <c r="F1212" s="117" t="s">
        <v>3003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144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>
      <c r="A1213" s="72" t="s">
        <v>2900</v>
      </c>
      <c r="B1213" s="149" t="str">
        <f>IFERROR(VLOOKUP(Proc[[#This Row],[App]],Table2[],3,0),"open")</f>
        <v>ok</v>
      </c>
      <c r="C1213" s="72" t="s">
        <v>369</v>
      </c>
      <c r="D1213" t="s">
        <v>2921</v>
      </c>
      <c r="E1213" t="s">
        <v>3003</v>
      </c>
      <c r="F1213" s="117" t="s">
        <v>3003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144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>
      <c r="A1214" s="72" t="s">
        <v>2900</v>
      </c>
      <c r="B1214" s="149" t="str">
        <f>IFERROR(VLOOKUP(Proc[[#This Row],[App]],Table2[],3,0),"open")</f>
        <v>ok</v>
      </c>
      <c r="C1214" s="72" t="s">
        <v>369</v>
      </c>
      <c r="D1214" t="s">
        <v>2922</v>
      </c>
      <c r="E1214" t="s">
        <v>3003</v>
      </c>
      <c r="F1214" s="117" t="s">
        <v>3003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144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>
      <c r="A1215" s="72" t="s">
        <v>2900</v>
      </c>
      <c r="B1215" s="149" t="str">
        <f>IFERROR(VLOOKUP(Proc[[#This Row],[App]],Table2[],3,0),"open")</f>
        <v>ok</v>
      </c>
      <c r="C1215" s="72" t="s">
        <v>369</v>
      </c>
      <c r="D1215" t="s">
        <v>2923</v>
      </c>
      <c r="E1215" t="s">
        <v>3004</v>
      </c>
      <c r="F1215" s="117" t="s">
        <v>3004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144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>
      <c r="A1216" s="72" t="s">
        <v>2900</v>
      </c>
      <c r="B1216" s="149" t="str">
        <f>IFERROR(VLOOKUP(Proc[[#This Row],[App]],Table2[],3,0),"open")</f>
        <v>ok</v>
      </c>
      <c r="C1216" s="72" t="s">
        <v>369</v>
      </c>
      <c r="D1216" t="s">
        <v>2924</v>
      </c>
      <c r="E1216" t="s">
        <v>3004</v>
      </c>
      <c r="F1216" s="117" t="s">
        <v>3004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144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>
      <c r="A1217" s="72" t="s">
        <v>2900</v>
      </c>
      <c r="B1217" s="149" t="str">
        <f>IFERROR(VLOOKUP(Proc[[#This Row],[App]],Table2[],3,0),"open")</f>
        <v>ok</v>
      </c>
      <c r="C1217" s="72" t="s">
        <v>369</v>
      </c>
      <c r="D1217" t="s">
        <v>2925</v>
      </c>
      <c r="E1217" t="s">
        <v>3004</v>
      </c>
      <c r="F1217" s="117" t="s">
        <v>3004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144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>
      <c r="A1218" s="72" t="s">
        <v>2900</v>
      </c>
      <c r="B1218" s="149" t="str">
        <f>IFERROR(VLOOKUP(Proc[[#This Row],[App]],Table2[],3,0),"open")</f>
        <v>ok</v>
      </c>
      <c r="C1218" s="72" t="s">
        <v>369</v>
      </c>
      <c r="D1218" t="s">
        <v>2926</v>
      </c>
      <c r="E1218" t="s">
        <v>3004</v>
      </c>
      <c r="F1218" s="117" t="s">
        <v>3004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144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>
      <c r="A1219" s="72" t="s">
        <v>2900</v>
      </c>
      <c r="B1219" s="149" t="str">
        <f>IFERROR(VLOOKUP(Proc[[#This Row],[App]],Table2[],3,0),"open")</f>
        <v>ok</v>
      </c>
      <c r="C1219" s="72" t="s">
        <v>369</v>
      </c>
      <c r="D1219" t="s">
        <v>2927</v>
      </c>
      <c r="E1219" t="s">
        <v>3004</v>
      </c>
      <c r="F1219" s="117" t="s">
        <v>3004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144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>
      <c r="A1220" s="72" t="s">
        <v>2900</v>
      </c>
      <c r="B1220" s="149" t="str">
        <f>IFERROR(VLOOKUP(Proc[[#This Row],[App]],Table2[],3,0),"open")</f>
        <v>ok</v>
      </c>
      <c r="C1220" s="72" t="s">
        <v>369</v>
      </c>
      <c r="D1220" t="s">
        <v>2928</v>
      </c>
      <c r="E1220" t="s">
        <v>3005</v>
      </c>
      <c r="F1220" s="117" t="s">
        <v>3005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144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>
      <c r="A1221" s="72" t="s">
        <v>2900</v>
      </c>
      <c r="B1221" s="149" t="str">
        <f>IFERROR(VLOOKUP(Proc[[#This Row],[App]],Table2[],3,0),"open")</f>
        <v>ok</v>
      </c>
      <c r="C1221" s="72" t="s">
        <v>369</v>
      </c>
      <c r="D1221" t="s">
        <v>2929</v>
      </c>
      <c r="E1221" t="s">
        <v>3005</v>
      </c>
      <c r="F1221" s="117" t="s">
        <v>3005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144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>
      <c r="A1222" s="72" t="s">
        <v>2900</v>
      </c>
      <c r="B1222" s="149" t="str">
        <f>IFERROR(VLOOKUP(Proc[[#This Row],[App]],Table2[],3,0),"open")</f>
        <v>ok</v>
      </c>
      <c r="C1222" s="72" t="s">
        <v>369</v>
      </c>
      <c r="D1222" t="s">
        <v>2930</v>
      </c>
      <c r="E1222" t="s">
        <v>3005</v>
      </c>
      <c r="F1222" s="117" t="s">
        <v>3005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144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>
      <c r="A1223" s="72" t="s">
        <v>2900</v>
      </c>
      <c r="B1223" s="149" t="str">
        <f>IFERROR(VLOOKUP(Proc[[#This Row],[App]],Table2[],3,0),"open")</f>
        <v>ok</v>
      </c>
      <c r="C1223" s="72" t="s">
        <v>369</v>
      </c>
      <c r="D1223" t="s">
        <v>2931</v>
      </c>
      <c r="E1223" t="s">
        <v>3005</v>
      </c>
      <c r="F1223" s="117" t="s">
        <v>3005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144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>
      <c r="A1224" s="72" t="s">
        <v>2900</v>
      </c>
      <c r="B1224" s="149" t="str">
        <f>IFERROR(VLOOKUP(Proc[[#This Row],[App]],Table2[],3,0),"open")</f>
        <v>ok</v>
      </c>
      <c r="C1224" s="72" t="s">
        <v>369</v>
      </c>
      <c r="D1224" t="s">
        <v>2932</v>
      </c>
      <c r="E1224" t="s">
        <v>3005</v>
      </c>
      <c r="F1224" s="117" t="s">
        <v>3005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144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>
      <c r="A1225" s="72" t="s">
        <v>2900</v>
      </c>
      <c r="B1225" s="149" t="str">
        <f>IFERROR(VLOOKUP(Proc[[#This Row],[App]],Table2[],3,0),"open")</f>
        <v>ok</v>
      </c>
      <c r="C1225" s="72" t="s">
        <v>369</v>
      </c>
      <c r="D1225" t="s">
        <v>2933</v>
      </c>
      <c r="E1225" t="s">
        <v>3005</v>
      </c>
      <c r="F1225" s="117" t="s">
        <v>3005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144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>
      <c r="A1226" s="72" t="s">
        <v>2900</v>
      </c>
      <c r="B1226" s="149" t="str">
        <f>IFERROR(VLOOKUP(Proc[[#This Row],[App]],Table2[],3,0),"open")</f>
        <v>ok</v>
      </c>
      <c r="C1226" s="72" t="s">
        <v>369</v>
      </c>
      <c r="D1226" t="s">
        <v>2934</v>
      </c>
      <c r="E1226" t="s">
        <v>3005</v>
      </c>
      <c r="F1226" s="117" t="s">
        <v>3005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144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>
      <c r="A1227" s="72" t="s">
        <v>2900</v>
      </c>
      <c r="B1227" s="149" t="str">
        <f>IFERROR(VLOOKUP(Proc[[#This Row],[App]],Table2[],3,0),"open")</f>
        <v>ok</v>
      </c>
      <c r="C1227" s="72" t="s">
        <v>369</v>
      </c>
      <c r="D1227" t="s">
        <v>2935</v>
      </c>
      <c r="E1227" t="s">
        <v>3005</v>
      </c>
      <c r="F1227" s="117" t="s">
        <v>3005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144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>
      <c r="A1228" s="72" t="s">
        <v>2900</v>
      </c>
      <c r="B1228" s="149" t="str">
        <f>IFERROR(VLOOKUP(Proc[[#This Row],[App]],Table2[],3,0),"open")</f>
        <v>ok</v>
      </c>
      <c r="C1228" s="72" t="s">
        <v>369</v>
      </c>
      <c r="D1228" t="s">
        <v>2936</v>
      </c>
      <c r="E1228" t="s">
        <v>3006</v>
      </c>
      <c r="F1228" s="117" t="s">
        <v>3006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144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>
      <c r="A1229" s="72" t="s">
        <v>2900</v>
      </c>
      <c r="B1229" s="149" t="str">
        <f>IFERROR(VLOOKUP(Proc[[#This Row],[App]],Table2[],3,0),"open")</f>
        <v>ok</v>
      </c>
      <c r="C1229" s="72" t="s">
        <v>369</v>
      </c>
      <c r="D1229" t="s">
        <v>2937</v>
      </c>
      <c r="E1229" t="s">
        <v>3006</v>
      </c>
      <c r="F1229" s="117" t="s">
        <v>3006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144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>
      <c r="A1230" s="72" t="s">
        <v>2900</v>
      </c>
      <c r="B1230" s="149" t="str">
        <f>IFERROR(VLOOKUP(Proc[[#This Row],[App]],Table2[],3,0),"open")</f>
        <v>ok</v>
      </c>
      <c r="C1230" s="72" t="s">
        <v>369</v>
      </c>
      <c r="D1230" t="s">
        <v>2938</v>
      </c>
      <c r="E1230" t="s">
        <v>3006</v>
      </c>
      <c r="F1230" s="117" t="s">
        <v>3006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144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>
      <c r="A1231" s="72" t="s">
        <v>2900</v>
      </c>
      <c r="B1231" s="149" t="str">
        <f>IFERROR(VLOOKUP(Proc[[#This Row],[App]],Table2[],3,0),"open")</f>
        <v>ok</v>
      </c>
      <c r="C1231" s="72" t="s">
        <v>369</v>
      </c>
      <c r="D1231" t="s">
        <v>2939</v>
      </c>
      <c r="E1231" t="s">
        <v>3006</v>
      </c>
      <c r="F1231" s="117" t="s">
        <v>3006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144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>
      <c r="A1232" s="72" t="s">
        <v>2900</v>
      </c>
      <c r="B1232" s="149" t="str">
        <f>IFERROR(VLOOKUP(Proc[[#This Row],[App]],Table2[],3,0),"open")</f>
        <v>ok</v>
      </c>
      <c r="C1232" s="72" t="s">
        <v>369</v>
      </c>
      <c r="D1232" t="s">
        <v>2940</v>
      </c>
      <c r="E1232" t="s">
        <v>3006</v>
      </c>
      <c r="F1232" s="117" t="s">
        <v>3006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144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>
      <c r="A1233" s="72" t="s">
        <v>2900</v>
      </c>
      <c r="B1233" s="149" t="str">
        <f>IFERROR(VLOOKUP(Proc[[#This Row],[App]],Table2[],3,0),"open")</f>
        <v>ok</v>
      </c>
      <c r="C1233" s="72" t="s">
        <v>369</v>
      </c>
      <c r="D1233" t="s">
        <v>2941</v>
      </c>
      <c r="E1233" t="s">
        <v>3007</v>
      </c>
      <c r="F1233" s="117" t="s">
        <v>3007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144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>
      <c r="A1234" s="72" t="s">
        <v>2900</v>
      </c>
      <c r="B1234" s="149" t="str">
        <f>IFERROR(VLOOKUP(Proc[[#This Row],[App]],Table2[],3,0),"open")</f>
        <v>ok</v>
      </c>
      <c r="C1234" s="72" t="s">
        <v>369</v>
      </c>
      <c r="D1234" t="s">
        <v>2942</v>
      </c>
      <c r="E1234" t="s">
        <v>3007</v>
      </c>
      <c r="F1234" s="117" t="s">
        <v>3007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144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>
      <c r="A1235" s="72" t="s">
        <v>2900</v>
      </c>
      <c r="B1235" s="149" t="str">
        <f>IFERROR(VLOOKUP(Proc[[#This Row],[App]],Table2[],3,0),"open")</f>
        <v>ok</v>
      </c>
      <c r="C1235" s="72" t="s">
        <v>369</v>
      </c>
      <c r="D1235" t="s">
        <v>2943</v>
      </c>
      <c r="E1235" t="s">
        <v>3008</v>
      </c>
      <c r="F1235" s="117" t="s">
        <v>3008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144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>
      <c r="A1236" s="72" t="s">
        <v>2900</v>
      </c>
      <c r="B1236" s="149" t="str">
        <f>IFERROR(VLOOKUP(Proc[[#This Row],[App]],Table2[],3,0),"open")</f>
        <v>ok</v>
      </c>
      <c r="C1236" s="72" t="s">
        <v>369</v>
      </c>
      <c r="D1236" t="s">
        <v>2944</v>
      </c>
      <c r="E1236" t="s">
        <v>3008</v>
      </c>
      <c r="F1236" s="117" t="s">
        <v>3008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144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>
      <c r="A1237" s="72" t="s">
        <v>2900</v>
      </c>
      <c r="B1237" s="149" t="str">
        <f>IFERROR(VLOOKUP(Proc[[#This Row],[App]],Table2[],3,0),"open")</f>
        <v>ok</v>
      </c>
      <c r="C1237" s="72" t="s">
        <v>369</v>
      </c>
      <c r="D1237" t="s">
        <v>2945</v>
      </c>
      <c r="E1237" t="s">
        <v>3008</v>
      </c>
      <c r="F1237" s="117" t="s">
        <v>3008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144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>
      <c r="A1238" s="72" t="s">
        <v>2900</v>
      </c>
      <c r="B1238" s="149" t="str">
        <f>IFERROR(VLOOKUP(Proc[[#This Row],[App]],Table2[],3,0),"open")</f>
        <v>ok</v>
      </c>
      <c r="C1238" s="72" t="s">
        <v>369</v>
      </c>
      <c r="D1238" t="s">
        <v>2946</v>
      </c>
      <c r="E1238" t="s">
        <v>3008</v>
      </c>
      <c r="F1238" s="117" t="s">
        <v>3008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144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>
      <c r="A1239" s="72" t="s">
        <v>2900</v>
      </c>
      <c r="B1239" s="149" t="str">
        <f>IFERROR(VLOOKUP(Proc[[#This Row],[App]],Table2[],3,0),"open")</f>
        <v>ok</v>
      </c>
      <c r="C1239" s="72" t="s">
        <v>369</v>
      </c>
      <c r="D1239" t="s">
        <v>2947</v>
      </c>
      <c r="E1239" t="s">
        <v>3009</v>
      </c>
      <c r="F1239" s="117" t="s">
        <v>3009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144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>
      <c r="A1240" s="72" t="s">
        <v>2900</v>
      </c>
      <c r="B1240" s="149" t="str">
        <f>IFERROR(VLOOKUP(Proc[[#This Row],[App]],Table2[],3,0),"open")</f>
        <v>ok</v>
      </c>
      <c r="C1240" s="72" t="s">
        <v>369</v>
      </c>
      <c r="D1240" t="s">
        <v>2948</v>
      </c>
      <c r="E1240" t="s">
        <v>3009</v>
      </c>
      <c r="F1240" s="117" t="s">
        <v>3009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144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>
      <c r="A1241" s="72" t="s">
        <v>2900</v>
      </c>
      <c r="B1241" s="149" t="str">
        <f>IFERROR(VLOOKUP(Proc[[#This Row],[App]],Table2[],3,0),"open")</f>
        <v>ok</v>
      </c>
      <c r="C1241" s="72" t="s">
        <v>369</v>
      </c>
      <c r="D1241" t="s">
        <v>2949</v>
      </c>
      <c r="E1241" t="s">
        <v>3009</v>
      </c>
      <c r="F1241" s="117" t="s">
        <v>3009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144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>
      <c r="A1242" s="72" t="s">
        <v>2900</v>
      </c>
      <c r="B1242" s="149" t="str">
        <f>IFERROR(VLOOKUP(Proc[[#This Row],[App]],Table2[],3,0),"open")</f>
        <v>ok</v>
      </c>
      <c r="C1242" s="72" t="s">
        <v>369</v>
      </c>
      <c r="D1242" t="s">
        <v>2950</v>
      </c>
      <c r="E1242" t="s">
        <v>3009</v>
      </c>
      <c r="F1242" s="117" t="s">
        <v>3009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144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>
      <c r="A1243" s="72" t="s">
        <v>2900</v>
      </c>
      <c r="B1243" s="149" t="str">
        <f>IFERROR(VLOOKUP(Proc[[#This Row],[App]],Table2[],3,0),"open")</f>
        <v>ok</v>
      </c>
      <c r="C1243" s="72" t="s">
        <v>369</v>
      </c>
      <c r="D1243" t="s">
        <v>2951</v>
      </c>
      <c r="E1243" t="s">
        <v>3009</v>
      </c>
      <c r="F1243" s="117" t="s">
        <v>3009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144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>
      <c r="A1244" s="72" t="s">
        <v>2900</v>
      </c>
      <c r="B1244" s="149" t="str">
        <f>IFERROR(VLOOKUP(Proc[[#This Row],[App]],Table2[],3,0),"open")</f>
        <v>ok</v>
      </c>
      <c r="C1244" s="72" t="s">
        <v>369</v>
      </c>
      <c r="D1244" t="s">
        <v>2952</v>
      </c>
      <c r="E1244" t="s">
        <v>3009</v>
      </c>
      <c r="F1244" s="117" t="s">
        <v>3009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144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>
      <c r="A1245" s="72" t="s">
        <v>2900</v>
      </c>
      <c r="B1245" s="149" t="str">
        <f>IFERROR(VLOOKUP(Proc[[#This Row],[App]],Table2[],3,0),"open")</f>
        <v>ok</v>
      </c>
      <c r="C1245" s="72" t="s">
        <v>369</v>
      </c>
      <c r="D1245" t="s">
        <v>2953</v>
      </c>
      <c r="E1245" t="s">
        <v>3009</v>
      </c>
      <c r="F1245" s="117" t="s">
        <v>3009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144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>
      <c r="A1246" s="72" t="s">
        <v>2900</v>
      </c>
      <c r="B1246" s="149" t="str">
        <f>IFERROR(VLOOKUP(Proc[[#This Row],[App]],Table2[],3,0),"open")</f>
        <v>ok</v>
      </c>
      <c r="C1246" s="72" t="s">
        <v>369</v>
      </c>
      <c r="D1246" t="s">
        <v>2954</v>
      </c>
      <c r="E1246" t="s">
        <v>3009</v>
      </c>
      <c r="F1246" s="117" t="s">
        <v>3009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144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>
      <c r="A1247" s="72" t="s">
        <v>2900</v>
      </c>
      <c r="B1247" s="149" t="str">
        <f>IFERROR(VLOOKUP(Proc[[#This Row],[App]],Table2[],3,0),"open")</f>
        <v>ok</v>
      </c>
      <c r="C1247" s="72" t="s">
        <v>369</v>
      </c>
      <c r="D1247" t="s">
        <v>2955</v>
      </c>
      <c r="E1247" t="s">
        <v>3009</v>
      </c>
      <c r="F1247" s="117" t="s">
        <v>3009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144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>
      <c r="A1248" s="72" t="s">
        <v>2900</v>
      </c>
      <c r="B1248" s="149" t="str">
        <f>IFERROR(VLOOKUP(Proc[[#This Row],[App]],Table2[],3,0),"open")</f>
        <v>ok</v>
      </c>
      <c r="C1248" s="72" t="s">
        <v>369</v>
      </c>
      <c r="D1248" t="s">
        <v>2956</v>
      </c>
      <c r="E1248" t="s">
        <v>3009</v>
      </c>
      <c r="F1248" s="117" t="s">
        <v>3009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144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>
      <c r="A1249" s="72" t="s">
        <v>2900</v>
      </c>
      <c r="B1249" s="149" t="str">
        <f>IFERROR(VLOOKUP(Proc[[#This Row],[App]],Table2[],3,0),"open")</f>
        <v>ok</v>
      </c>
      <c r="C1249" s="72" t="s">
        <v>369</v>
      </c>
      <c r="D1249" t="s">
        <v>2957</v>
      </c>
      <c r="E1249" t="s">
        <v>3009</v>
      </c>
      <c r="F1249" s="117" t="s">
        <v>3009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144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>
      <c r="A1250" s="72" t="s">
        <v>2900</v>
      </c>
      <c r="B1250" s="149" t="str">
        <f>IFERROR(VLOOKUP(Proc[[#This Row],[App]],Table2[],3,0),"open")</f>
        <v>ok</v>
      </c>
      <c r="C1250" s="72" t="s">
        <v>369</v>
      </c>
      <c r="D1250" t="s">
        <v>2958</v>
      </c>
      <c r="E1250" t="s">
        <v>3009</v>
      </c>
      <c r="F1250" s="117" t="s">
        <v>3009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144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>
      <c r="A1251" s="72" t="s">
        <v>2900</v>
      </c>
      <c r="B1251" s="149" t="str">
        <f>IFERROR(VLOOKUP(Proc[[#This Row],[App]],Table2[],3,0),"open")</f>
        <v>ok</v>
      </c>
      <c r="C1251" s="72" t="s">
        <v>369</v>
      </c>
      <c r="D1251" t="s">
        <v>2959</v>
      </c>
      <c r="E1251" t="s">
        <v>3009</v>
      </c>
      <c r="F1251" s="117" t="s">
        <v>3009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144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>
      <c r="A1252" s="72" t="s">
        <v>2900</v>
      </c>
      <c r="B1252" s="149" t="str">
        <f>IFERROR(VLOOKUP(Proc[[#This Row],[App]],Table2[],3,0),"open")</f>
        <v>ok</v>
      </c>
      <c r="C1252" s="72" t="s">
        <v>369</v>
      </c>
      <c r="D1252" t="s">
        <v>2960</v>
      </c>
      <c r="E1252" t="s">
        <v>3009</v>
      </c>
      <c r="F1252" s="117" t="s">
        <v>3009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144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>
      <c r="A1253" s="72" t="s">
        <v>2900</v>
      </c>
      <c r="B1253" s="149" t="str">
        <f>IFERROR(VLOOKUP(Proc[[#This Row],[App]],Table2[],3,0),"open")</f>
        <v>ok</v>
      </c>
      <c r="C1253" s="72" t="s">
        <v>369</v>
      </c>
      <c r="D1253" t="s">
        <v>2961</v>
      </c>
      <c r="E1253" t="s">
        <v>3009</v>
      </c>
      <c r="F1253" s="117" t="s">
        <v>3009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144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>
      <c r="A1254" s="72" t="s">
        <v>2900</v>
      </c>
      <c r="B1254" s="149" t="str">
        <f>IFERROR(VLOOKUP(Proc[[#This Row],[App]],Table2[],3,0),"open")</f>
        <v>ok</v>
      </c>
      <c r="C1254" s="72" t="s">
        <v>369</v>
      </c>
      <c r="D1254" t="s">
        <v>2962</v>
      </c>
      <c r="E1254" t="s">
        <v>3009</v>
      </c>
      <c r="F1254" s="117" t="s">
        <v>3009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144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>
      <c r="A1255" s="72" t="s">
        <v>2900</v>
      </c>
      <c r="B1255" s="149" t="str">
        <f>IFERROR(VLOOKUP(Proc[[#This Row],[App]],Table2[],3,0),"open")</f>
        <v>ok</v>
      </c>
      <c r="C1255" s="72" t="s">
        <v>369</v>
      </c>
      <c r="D1255" t="s">
        <v>2963</v>
      </c>
      <c r="E1255" t="s">
        <v>3009</v>
      </c>
      <c r="F1255" s="117" t="s">
        <v>3009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144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>
      <c r="A1256" s="72" t="s">
        <v>2900</v>
      </c>
      <c r="B1256" s="149" t="str">
        <f>IFERROR(VLOOKUP(Proc[[#This Row],[App]],Table2[],3,0),"open")</f>
        <v>ok</v>
      </c>
      <c r="C1256" s="72" t="s">
        <v>369</v>
      </c>
      <c r="D1256" t="s">
        <v>2964</v>
      </c>
      <c r="E1256" t="s">
        <v>3009</v>
      </c>
      <c r="F1256" s="117" t="s">
        <v>3009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144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>
      <c r="A1257" s="72" t="s">
        <v>2900</v>
      </c>
      <c r="B1257" s="149" t="str">
        <f>IFERROR(VLOOKUP(Proc[[#This Row],[App]],Table2[],3,0),"open")</f>
        <v>ok</v>
      </c>
      <c r="C1257" s="72" t="s">
        <v>369</v>
      </c>
      <c r="D1257" t="s">
        <v>2965</v>
      </c>
      <c r="E1257" t="s">
        <v>3009</v>
      </c>
      <c r="F1257" s="117" t="s">
        <v>3009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144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>
      <c r="A1258" s="72" t="s">
        <v>2900</v>
      </c>
      <c r="B1258" s="149" t="str">
        <f>IFERROR(VLOOKUP(Proc[[#This Row],[App]],Table2[],3,0),"open")</f>
        <v>ok</v>
      </c>
      <c r="C1258" s="72" t="s">
        <v>369</v>
      </c>
      <c r="D1258" t="s">
        <v>2966</v>
      </c>
      <c r="E1258" t="s">
        <v>3010</v>
      </c>
      <c r="F1258" s="117" t="s">
        <v>3010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144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>
      <c r="A1259" s="72" t="s">
        <v>2900</v>
      </c>
      <c r="B1259" s="149" t="str">
        <f>IFERROR(VLOOKUP(Proc[[#This Row],[App]],Table2[],3,0),"open")</f>
        <v>ok</v>
      </c>
      <c r="C1259" s="72" t="s">
        <v>369</v>
      </c>
      <c r="D1259" t="s">
        <v>2967</v>
      </c>
      <c r="E1259" t="s">
        <v>3010</v>
      </c>
      <c r="F1259" s="117" t="s">
        <v>3010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144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>
      <c r="A1260" s="72" t="s">
        <v>2900</v>
      </c>
      <c r="B1260" s="149" t="str">
        <f>IFERROR(VLOOKUP(Proc[[#This Row],[App]],Table2[],3,0),"open")</f>
        <v>ok</v>
      </c>
      <c r="C1260" s="72" t="s">
        <v>369</v>
      </c>
      <c r="D1260" t="s">
        <v>2968</v>
      </c>
      <c r="E1260" t="s">
        <v>3010</v>
      </c>
      <c r="F1260" s="117" t="s">
        <v>3010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144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>
      <c r="A1261" s="72" t="s">
        <v>2900</v>
      </c>
      <c r="B1261" s="149" t="str">
        <f>IFERROR(VLOOKUP(Proc[[#This Row],[App]],Table2[],3,0),"open")</f>
        <v>ok</v>
      </c>
      <c r="C1261" s="72" t="s">
        <v>369</v>
      </c>
      <c r="D1261" t="s">
        <v>2969</v>
      </c>
      <c r="E1261" t="s">
        <v>3010</v>
      </c>
      <c r="F1261" s="117" t="s">
        <v>3010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144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>
      <c r="A1262" s="72" t="s">
        <v>2900</v>
      </c>
      <c r="B1262" s="149" t="str">
        <f>IFERROR(VLOOKUP(Proc[[#This Row],[App]],Table2[],3,0),"open")</f>
        <v>ok</v>
      </c>
      <c r="C1262" s="72" t="s">
        <v>369</v>
      </c>
      <c r="D1262" t="s">
        <v>2970</v>
      </c>
      <c r="E1262" t="s">
        <v>3010</v>
      </c>
      <c r="F1262" s="117" t="s">
        <v>3010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144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>
      <c r="A1263" s="72" t="s">
        <v>2900</v>
      </c>
      <c r="B1263" s="149" t="str">
        <f>IFERROR(VLOOKUP(Proc[[#This Row],[App]],Table2[],3,0),"open")</f>
        <v>ok</v>
      </c>
      <c r="C1263" s="72" t="s">
        <v>369</v>
      </c>
      <c r="D1263" t="s">
        <v>2971</v>
      </c>
      <c r="E1263" t="s">
        <v>3010</v>
      </c>
      <c r="F1263" s="117" t="s">
        <v>3010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144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>
      <c r="A1264" s="72" t="s">
        <v>2900</v>
      </c>
      <c r="B1264" s="149" t="str">
        <f>IFERROR(VLOOKUP(Proc[[#This Row],[App]],Table2[],3,0),"open")</f>
        <v>ok</v>
      </c>
      <c r="C1264" s="72" t="s">
        <v>369</v>
      </c>
      <c r="D1264" t="s">
        <v>2972</v>
      </c>
      <c r="E1264" t="s">
        <v>3010</v>
      </c>
      <c r="F1264" s="117" t="s">
        <v>3010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144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>
      <c r="A1265" s="72" t="s">
        <v>2900</v>
      </c>
      <c r="B1265" s="149" t="str">
        <f>IFERROR(VLOOKUP(Proc[[#This Row],[App]],Table2[],3,0),"open")</f>
        <v>ok</v>
      </c>
      <c r="C1265" s="72" t="s">
        <v>369</v>
      </c>
      <c r="D1265" t="s">
        <v>2973</v>
      </c>
      <c r="E1265" t="s">
        <v>3010</v>
      </c>
      <c r="F1265" s="117" t="s">
        <v>3010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144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>
      <c r="A1266" s="72" t="s">
        <v>2900</v>
      </c>
      <c r="B1266" s="149" t="str">
        <f>IFERROR(VLOOKUP(Proc[[#This Row],[App]],Table2[],3,0),"open")</f>
        <v>ok</v>
      </c>
      <c r="C1266" s="72" t="s">
        <v>369</v>
      </c>
      <c r="D1266" t="s">
        <v>2974</v>
      </c>
      <c r="E1266" t="s">
        <v>3010</v>
      </c>
      <c r="F1266" s="117" t="s">
        <v>3010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144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>
      <c r="A1267" s="72" t="s">
        <v>2900</v>
      </c>
      <c r="B1267" s="149" t="str">
        <f>IFERROR(VLOOKUP(Proc[[#This Row],[App]],Table2[],3,0),"open")</f>
        <v>ok</v>
      </c>
      <c r="C1267" s="72" t="s">
        <v>369</v>
      </c>
      <c r="D1267" t="s">
        <v>2975</v>
      </c>
      <c r="E1267" t="s">
        <v>3010</v>
      </c>
      <c r="F1267" s="117" t="s">
        <v>3010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144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>
      <c r="A1268" s="72" t="s">
        <v>2900</v>
      </c>
      <c r="B1268" s="149" t="str">
        <f>IFERROR(VLOOKUP(Proc[[#This Row],[App]],Table2[],3,0),"open")</f>
        <v>ok</v>
      </c>
      <c r="C1268" s="72" t="s">
        <v>369</v>
      </c>
      <c r="D1268" t="s">
        <v>2976</v>
      </c>
      <c r="E1268" t="s">
        <v>3010</v>
      </c>
      <c r="F1268" s="117" t="s">
        <v>3010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144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>
      <c r="A1269" s="72" t="s">
        <v>2900</v>
      </c>
      <c r="B1269" s="149" t="str">
        <f>IFERROR(VLOOKUP(Proc[[#This Row],[App]],Table2[],3,0),"open")</f>
        <v>ok</v>
      </c>
      <c r="C1269" s="72" t="s">
        <v>369</v>
      </c>
      <c r="D1269" t="s">
        <v>2977</v>
      </c>
      <c r="E1269" t="s">
        <v>3010</v>
      </c>
      <c r="F1269" s="117" t="s">
        <v>3010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144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>
      <c r="A1270" s="72" t="s">
        <v>2900</v>
      </c>
      <c r="B1270" s="149" t="str">
        <f>IFERROR(VLOOKUP(Proc[[#This Row],[App]],Table2[],3,0),"open")</f>
        <v>ok</v>
      </c>
      <c r="C1270" s="72" t="s">
        <v>369</v>
      </c>
      <c r="D1270" t="s">
        <v>2978</v>
      </c>
      <c r="E1270" t="s">
        <v>3010</v>
      </c>
      <c r="F1270" s="117" t="s">
        <v>3010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144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>
      <c r="A1271" s="72" t="s">
        <v>2900</v>
      </c>
      <c r="B1271" s="149" t="str">
        <f>IFERROR(VLOOKUP(Proc[[#This Row],[App]],Table2[],3,0),"open")</f>
        <v>ok</v>
      </c>
      <c r="C1271" s="72" t="s">
        <v>369</v>
      </c>
      <c r="D1271" t="s">
        <v>2979</v>
      </c>
      <c r="E1271" t="s">
        <v>3010</v>
      </c>
      <c r="F1271" s="117" t="s">
        <v>3010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144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>
      <c r="A1272" s="72" t="s">
        <v>2900</v>
      </c>
      <c r="B1272" s="149" t="str">
        <f>IFERROR(VLOOKUP(Proc[[#This Row],[App]],Table2[],3,0),"open")</f>
        <v>ok</v>
      </c>
      <c r="C1272" s="72" t="s">
        <v>369</v>
      </c>
      <c r="D1272" t="s">
        <v>2980</v>
      </c>
      <c r="E1272" t="s">
        <v>3010</v>
      </c>
      <c r="F1272" s="117" t="s">
        <v>3010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144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>
      <c r="A1273" s="72" t="s">
        <v>2900</v>
      </c>
      <c r="B1273" s="149" t="str">
        <f>IFERROR(VLOOKUP(Proc[[#This Row],[App]],Table2[],3,0),"open")</f>
        <v>ok</v>
      </c>
      <c r="C1273" s="72" t="s">
        <v>369</v>
      </c>
      <c r="D1273" t="s">
        <v>2981</v>
      </c>
      <c r="E1273" t="s">
        <v>3010</v>
      </c>
      <c r="F1273" s="117" t="s">
        <v>3010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144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>
      <c r="A1274" s="72" t="s">
        <v>2900</v>
      </c>
      <c r="B1274" s="149" t="str">
        <f>IFERROR(VLOOKUP(Proc[[#This Row],[App]],Table2[],3,0),"open")</f>
        <v>ok</v>
      </c>
      <c r="C1274" s="72" t="s">
        <v>369</v>
      </c>
      <c r="D1274" t="s">
        <v>2982</v>
      </c>
      <c r="E1274" t="s">
        <v>3010</v>
      </c>
      <c r="F1274" s="117" t="s">
        <v>3010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144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>
      <c r="A1275" s="72" t="s">
        <v>2900</v>
      </c>
      <c r="B1275" s="149" t="str">
        <f>IFERROR(VLOOKUP(Proc[[#This Row],[App]],Table2[],3,0),"open")</f>
        <v>ok</v>
      </c>
      <c r="C1275" s="72" t="s">
        <v>369</v>
      </c>
      <c r="D1275" t="s">
        <v>2983</v>
      </c>
      <c r="E1275" t="s">
        <v>3010</v>
      </c>
      <c r="F1275" s="117" t="s">
        <v>3010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144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>
      <c r="A1276" s="72" t="s">
        <v>2900</v>
      </c>
      <c r="B1276" s="149" t="str">
        <f>IFERROR(VLOOKUP(Proc[[#This Row],[App]],Table2[],3,0),"open")</f>
        <v>ok</v>
      </c>
      <c r="C1276" s="72" t="s">
        <v>369</v>
      </c>
      <c r="D1276" t="s">
        <v>2984</v>
      </c>
      <c r="E1276" t="s">
        <v>3010</v>
      </c>
      <c r="F1276" s="117" t="s">
        <v>3010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144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>
      <c r="A1277" s="72" t="s">
        <v>2900</v>
      </c>
      <c r="B1277" s="149" t="str">
        <f>IFERROR(VLOOKUP(Proc[[#This Row],[App]],Table2[],3,0),"open")</f>
        <v>ok</v>
      </c>
      <c r="C1277" s="72" t="s">
        <v>369</v>
      </c>
      <c r="D1277" t="s">
        <v>2985</v>
      </c>
      <c r="E1277" t="s">
        <v>3010</v>
      </c>
      <c r="F1277" s="117" t="s">
        <v>3010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144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>
      <c r="A1278" s="72" t="s">
        <v>2900</v>
      </c>
      <c r="B1278" s="149" t="str">
        <f>IFERROR(VLOOKUP(Proc[[#This Row],[App]],Table2[],3,0),"open")</f>
        <v>ok</v>
      </c>
      <c r="C1278" s="72" t="s">
        <v>369</v>
      </c>
      <c r="D1278" t="s">
        <v>2986</v>
      </c>
      <c r="E1278" t="s">
        <v>3010</v>
      </c>
      <c r="F1278" s="117" t="s">
        <v>3010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144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>
      <c r="A1279" s="72" t="s">
        <v>2900</v>
      </c>
      <c r="B1279" s="149" t="str">
        <f>IFERROR(VLOOKUP(Proc[[#This Row],[App]],Table2[],3,0),"open")</f>
        <v>ok</v>
      </c>
      <c r="C1279" s="72" t="s">
        <v>369</v>
      </c>
      <c r="D1279" t="s">
        <v>2987</v>
      </c>
      <c r="E1279" t="s">
        <v>3010</v>
      </c>
      <c r="F1279" s="117" t="s">
        <v>3010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144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>
      <c r="A1280" s="72" t="s">
        <v>2900</v>
      </c>
      <c r="B1280" s="149" t="str">
        <f>IFERROR(VLOOKUP(Proc[[#This Row],[App]],Table2[],3,0),"open")</f>
        <v>ok</v>
      </c>
      <c r="C1280" s="72" t="s">
        <v>369</v>
      </c>
      <c r="D1280" t="s">
        <v>2988</v>
      </c>
      <c r="E1280" t="s">
        <v>3010</v>
      </c>
      <c r="F1280" s="117" t="s">
        <v>3010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144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>
      <c r="A1281" s="72" t="s">
        <v>2900</v>
      </c>
      <c r="B1281" s="149" t="str">
        <f>IFERROR(VLOOKUP(Proc[[#This Row],[App]],Table2[],3,0),"open")</f>
        <v>ok</v>
      </c>
      <c r="C1281" s="72" t="s">
        <v>369</v>
      </c>
      <c r="D1281" t="s">
        <v>2989</v>
      </c>
      <c r="E1281" t="s">
        <v>3010</v>
      </c>
      <c r="F1281" s="117" t="s">
        <v>3010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144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>
      <c r="A1282" s="72" t="s">
        <v>2900</v>
      </c>
      <c r="B1282" s="149" t="str">
        <f>IFERROR(VLOOKUP(Proc[[#This Row],[App]],Table2[],3,0),"open")</f>
        <v>ok</v>
      </c>
      <c r="C1282" s="72" t="s">
        <v>369</v>
      </c>
      <c r="D1282" t="s">
        <v>2990</v>
      </c>
      <c r="E1282" t="s">
        <v>3010</v>
      </c>
      <c r="F1282" s="117" t="s">
        <v>3010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144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>
      <c r="A1283" s="72" t="s">
        <v>2900</v>
      </c>
      <c r="B1283" s="149" t="str">
        <f>IFERROR(VLOOKUP(Proc[[#This Row],[App]],Table2[],3,0),"open")</f>
        <v>ok</v>
      </c>
      <c r="C1283" s="72" t="s">
        <v>369</v>
      </c>
      <c r="D1283" t="s">
        <v>2991</v>
      </c>
      <c r="E1283" t="s">
        <v>3010</v>
      </c>
      <c r="F1283" s="117" t="s">
        <v>3010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144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>
      <c r="A1284" s="72" t="s">
        <v>2900</v>
      </c>
      <c r="B1284" s="149" t="str">
        <f>IFERROR(VLOOKUP(Proc[[#This Row],[App]],Table2[],3,0),"open")</f>
        <v>ok</v>
      </c>
      <c r="C1284" s="72" t="s">
        <v>369</v>
      </c>
      <c r="D1284" t="s">
        <v>2992</v>
      </c>
      <c r="E1284" t="s">
        <v>3010</v>
      </c>
      <c r="F1284" s="117" t="s">
        <v>3010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144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>
      <c r="A1285" s="72" t="s">
        <v>2900</v>
      </c>
      <c r="B1285" s="149" t="str">
        <f>IFERROR(VLOOKUP(Proc[[#This Row],[App]],Table2[],3,0),"open")</f>
        <v>ok</v>
      </c>
      <c r="C1285" s="72" t="s">
        <v>369</v>
      </c>
      <c r="D1285" t="s">
        <v>2993</v>
      </c>
      <c r="E1285" t="s">
        <v>3010</v>
      </c>
      <c r="F1285" s="117" t="s">
        <v>3010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144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>
      <c r="A1286" s="72" t="s">
        <v>2900</v>
      </c>
      <c r="B1286" s="149" t="str">
        <f>IFERROR(VLOOKUP(Proc[[#This Row],[App]],Table2[],3,0),"open")</f>
        <v>ok</v>
      </c>
      <c r="C1286" s="72" t="s">
        <v>369</v>
      </c>
      <c r="D1286" t="s">
        <v>2994</v>
      </c>
      <c r="E1286" t="s">
        <v>3010</v>
      </c>
      <c r="F1286" s="117" t="s">
        <v>3010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144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>
      <c r="A1287" s="72" t="s">
        <v>2900</v>
      </c>
      <c r="B1287" s="149" t="str">
        <f>IFERROR(VLOOKUP(Proc[[#This Row],[App]],Table2[],3,0),"open")</f>
        <v>ok</v>
      </c>
      <c r="C1287" s="72" t="s">
        <v>369</v>
      </c>
      <c r="D1287" t="s">
        <v>2995</v>
      </c>
      <c r="E1287" t="s">
        <v>3010</v>
      </c>
      <c r="F1287" s="117" t="s">
        <v>3010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144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>
      <c r="A1288" s="72" t="s">
        <v>2900</v>
      </c>
      <c r="B1288" s="149" t="str">
        <f>IFERROR(VLOOKUP(Proc[[#This Row],[App]],Table2[],3,0),"open")</f>
        <v>ok</v>
      </c>
      <c r="C1288" s="72" t="s">
        <v>369</v>
      </c>
      <c r="D1288" t="s">
        <v>2996</v>
      </c>
      <c r="E1288" t="s">
        <v>3010</v>
      </c>
      <c r="F1288" s="117" t="s">
        <v>3010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144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>
      <c r="A1289" s="72" t="s">
        <v>2900</v>
      </c>
      <c r="B1289" s="149" t="str">
        <f>IFERROR(VLOOKUP(Proc[[#This Row],[App]],Table2[],3,0),"open")</f>
        <v>ok</v>
      </c>
      <c r="C1289" s="72" t="s">
        <v>369</v>
      </c>
      <c r="D1289" t="s">
        <v>2997</v>
      </c>
      <c r="E1289" t="s">
        <v>3010</v>
      </c>
      <c r="F1289" s="117" t="s">
        <v>3010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144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>
      <c r="A1290" s="72" t="s">
        <v>2900</v>
      </c>
      <c r="B1290" s="149" t="str">
        <f>IFERROR(VLOOKUP(Proc[[#This Row],[App]],Table2[],3,0),"open")</f>
        <v>ok</v>
      </c>
      <c r="C1290" s="72" t="s">
        <v>369</v>
      </c>
      <c r="D1290" t="s">
        <v>2998</v>
      </c>
      <c r="E1290" t="s">
        <v>3010</v>
      </c>
      <c r="F1290" s="117" t="s">
        <v>3010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144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>
      <c r="A1291" s="72" t="s">
        <v>2900</v>
      </c>
      <c r="B1291" s="149" t="str">
        <f>IFERROR(VLOOKUP(Proc[[#This Row],[App]],Table2[],3,0),"open")</f>
        <v>ok</v>
      </c>
      <c r="C1291" s="72" t="s">
        <v>369</v>
      </c>
      <c r="D1291" t="s">
        <v>2999</v>
      </c>
      <c r="E1291" t="s">
        <v>3010</v>
      </c>
      <c r="F1291" s="117" t="s">
        <v>3010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144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>
      <c r="A1292" s="72" t="s">
        <v>2900</v>
      </c>
      <c r="B1292" s="149" t="str">
        <f>IFERROR(VLOOKUP(Proc[[#This Row],[App]],Table2[],3,0),"open")</f>
        <v>ok</v>
      </c>
      <c r="C1292" s="72" t="s">
        <v>369</v>
      </c>
      <c r="D1292" t="s">
        <v>3000</v>
      </c>
      <c r="E1292" t="s">
        <v>3010</v>
      </c>
      <c r="F1292" s="117" t="s">
        <v>3010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144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>
      <c r="A1293" s="72" t="s">
        <v>2900</v>
      </c>
      <c r="B1293" s="149" t="str">
        <f>IFERROR(VLOOKUP(Proc[[#This Row],[App]],Table2[],3,0),"open")</f>
        <v>ok</v>
      </c>
      <c r="C1293" s="72" t="s">
        <v>369</v>
      </c>
      <c r="D1293" t="s">
        <v>3001</v>
      </c>
      <c r="E1293" t="s">
        <v>3010</v>
      </c>
      <c r="F1293" s="117" t="s">
        <v>3010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144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>
      <c r="A1294" t="s">
        <v>3013</v>
      </c>
      <c r="B1294" s="149" t="str">
        <f>IFERROR(VLOOKUP(Proc[[#This Row],[App]],Table2[],3,0),"open")</f>
        <v>ok</v>
      </c>
      <c r="C1294" s="72" t="s">
        <v>369</v>
      </c>
      <c r="D1294" t="s">
        <v>3011</v>
      </c>
      <c r="E1294" t="s">
        <v>3012</v>
      </c>
      <c r="F1294" s="117" t="s">
        <v>3012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144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>
      <c r="A1295" t="s">
        <v>3015</v>
      </c>
      <c r="B1295" s="149" t="str">
        <f>IFERROR(VLOOKUP(Proc[[#This Row],[App]],Table2[],3,0),"open")</f>
        <v>ok</v>
      </c>
      <c r="C1295" t="s">
        <v>369</v>
      </c>
      <c r="D1295" t="s">
        <v>3016</v>
      </c>
      <c r="E1295" t="s">
        <v>3017</v>
      </c>
      <c r="F1295" s="117" t="s">
        <v>3017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144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>
      <c r="A1296" s="72" t="s">
        <v>3015</v>
      </c>
      <c r="B1296" s="14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144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>
      <c r="A1297" t="s">
        <v>3018</v>
      </c>
      <c r="B1297" s="149" t="str">
        <f>IFERROR(VLOOKUP(Proc[[#This Row],[App]],Table2[],3,0),"open")</f>
        <v>ok</v>
      </c>
      <c r="C1297" s="72" t="s">
        <v>369</v>
      </c>
      <c r="D1297" t="s">
        <v>3019</v>
      </c>
      <c r="E1297" t="s">
        <v>3020</v>
      </c>
      <c r="F1297" s="117" t="s">
        <v>3020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144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>
      <c r="A1298" t="s">
        <v>3021</v>
      </c>
      <c r="B1298" s="149" t="str">
        <f>IFERROR(VLOOKUP(Proc[[#This Row],[App]],Table2[],3,0),"open")</f>
        <v>ok</v>
      </c>
      <c r="C1298" s="72" t="s">
        <v>369</v>
      </c>
      <c r="D1298" t="s">
        <v>3022</v>
      </c>
      <c r="E1298" t="s">
        <v>3023</v>
      </c>
      <c r="F1298" s="117" t="s">
        <v>3023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144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>
      <c r="A1299" t="s">
        <v>3065</v>
      </c>
      <c r="B1299" s="149" t="str">
        <f>IFERROR(VLOOKUP(Proc[[#This Row],[App]],Table2[],3,0),"open")</f>
        <v>ok</v>
      </c>
      <c r="C1299" t="s">
        <v>369</v>
      </c>
      <c r="D1299" t="s">
        <v>3024</v>
      </c>
      <c r="E1299" t="s">
        <v>3025</v>
      </c>
      <c r="F1299" s="117" t="s">
        <v>3025</v>
      </c>
      <c r="G1299" s="72" t="s">
        <v>400</v>
      </c>
      <c r="H1299" s="69" t="str">
        <f>IF(Proc[[#This Row],[type]]="LFF (MDG-F)",MID(Proc[[#This Row],[Obj]],13,10),"")</f>
        <v/>
      </c>
      <c r="I1299" t="s">
        <v>3061</v>
      </c>
      <c r="J1299" s="69" t="b">
        <f>Proc[[#This Row],[Requested]]=Proc[[#This Row],[CurrentParent]]</f>
        <v>1</v>
      </c>
      <c r="K1299" s="144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>
      <c r="A1300" s="72" t="s">
        <v>3065</v>
      </c>
      <c r="B1300" s="149" t="str">
        <f>IFERROR(VLOOKUP(Proc[[#This Row],[App]],Table2[],3,0),"open")</f>
        <v>ok</v>
      </c>
      <c r="C1300" s="72" t="s">
        <v>369</v>
      </c>
      <c r="D1300" t="s">
        <v>3026</v>
      </c>
      <c r="E1300" t="s">
        <v>3025</v>
      </c>
      <c r="F1300" s="117" t="s">
        <v>3025</v>
      </c>
      <c r="G1300" s="72" t="s">
        <v>400</v>
      </c>
      <c r="H1300" s="69" t="str">
        <f>IF(Proc[[#This Row],[type]]="LFF (MDG-F)",MID(Proc[[#This Row],[Obj]],13,10),"")</f>
        <v/>
      </c>
      <c r="I1300" t="s">
        <v>3061</v>
      </c>
      <c r="J1300" s="69" t="b">
        <f>Proc[[#This Row],[Requested]]=Proc[[#This Row],[CurrentParent]]</f>
        <v>1</v>
      </c>
      <c r="K1300" s="144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>
      <c r="A1301" s="72" t="s">
        <v>3065</v>
      </c>
      <c r="B1301" s="149" t="str">
        <f>IFERROR(VLOOKUP(Proc[[#This Row],[App]],Table2[],3,0),"open")</f>
        <v>ok</v>
      </c>
      <c r="C1301" s="72" t="s">
        <v>369</v>
      </c>
      <c r="D1301" t="s">
        <v>3027</v>
      </c>
      <c r="E1301" t="s">
        <v>3025</v>
      </c>
      <c r="F1301" s="117" t="s">
        <v>3025</v>
      </c>
      <c r="G1301" s="72" t="s">
        <v>400</v>
      </c>
      <c r="H1301" s="69" t="str">
        <f>IF(Proc[[#This Row],[type]]="LFF (MDG-F)",MID(Proc[[#This Row],[Obj]],13,10),"")</f>
        <v/>
      </c>
      <c r="I1301" t="s">
        <v>3061</v>
      </c>
      <c r="J1301" s="69" t="b">
        <f>Proc[[#This Row],[Requested]]=Proc[[#This Row],[CurrentParent]]</f>
        <v>1</v>
      </c>
      <c r="K1301" s="144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>
      <c r="A1302" s="72" t="s">
        <v>3065</v>
      </c>
      <c r="B1302" s="149" t="str">
        <f>IFERROR(VLOOKUP(Proc[[#This Row],[App]],Table2[],3,0),"open")</f>
        <v>ok</v>
      </c>
      <c r="C1302" s="72" t="s">
        <v>369</v>
      </c>
      <c r="D1302" t="s">
        <v>3028</v>
      </c>
      <c r="E1302" t="s">
        <v>3025</v>
      </c>
      <c r="F1302" s="117" t="s">
        <v>3025</v>
      </c>
      <c r="G1302" s="72" t="s">
        <v>400</v>
      </c>
      <c r="H1302" s="69" t="str">
        <f>IF(Proc[[#This Row],[type]]="LFF (MDG-F)",MID(Proc[[#This Row],[Obj]],13,10),"")</f>
        <v/>
      </c>
      <c r="I1302" t="s">
        <v>3061</v>
      </c>
      <c r="J1302" s="69" t="b">
        <f>Proc[[#This Row],[Requested]]=Proc[[#This Row],[CurrentParent]]</f>
        <v>1</v>
      </c>
      <c r="K1302" s="144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>
      <c r="A1303" s="72" t="s">
        <v>3065</v>
      </c>
      <c r="B1303" s="149" t="str">
        <f>IFERROR(VLOOKUP(Proc[[#This Row],[App]],Table2[],3,0),"open")</f>
        <v>ok</v>
      </c>
      <c r="C1303" s="72" t="s">
        <v>369</v>
      </c>
      <c r="D1303" t="s">
        <v>3029</v>
      </c>
      <c r="E1303" t="s">
        <v>3025</v>
      </c>
      <c r="F1303" s="117" t="s">
        <v>3025</v>
      </c>
      <c r="G1303" s="72" t="s">
        <v>400</v>
      </c>
      <c r="H1303" s="69" t="str">
        <f>IF(Proc[[#This Row],[type]]="LFF (MDG-F)",MID(Proc[[#This Row],[Obj]],13,10),"")</f>
        <v/>
      </c>
      <c r="I1303" t="s">
        <v>3062</v>
      </c>
      <c r="J1303" s="69" t="b">
        <f>Proc[[#This Row],[Requested]]=Proc[[#This Row],[CurrentParent]]</f>
        <v>1</v>
      </c>
      <c r="K1303" s="144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>
      <c r="A1304" s="72" t="s">
        <v>3065</v>
      </c>
      <c r="B1304" s="149" t="str">
        <f>IFERROR(VLOOKUP(Proc[[#This Row],[App]],Table2[],3,0),"open")</f>
        <v>ok</v>
      </c>
      <c r="C1304" s="72" t="s">
        <v>369</v>
      </c>
      <c r="D1304" t="s">
        <v>3030</v>
      </c>
      <c r="E1304" t="s">
        <v>3025</v>
      </c>
      <c r="F1304" s="117" t="s">
        <v>3025</v>
      </c>
      <c r="G1304" s="72" t="s">
        <v>400</v>
      </c>
      <c r="H1304" s="69" t="str">
        <f>IF(Proc[[#This Row],[type]]="LFF (MDG-F)",MID(Proc[[#This Row],[Obj]],13,10),"")</f>
        <v/>
      </c>
      <c r="I1304" t="s">
        <v>3062</v>
      </c>
      <c r="J1304" s="69" t="b">
        <f>Proc[[#This Row],[Requested]]=Proc[[#This Row],[CurrentParent]]</f>
        <v>1</v>
      </c>
      <c r="K1304" s="144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>
      <c r="A1305" s="72" t="s">
        <v>3065</v>
      </c>
      <c r="B1305" s="149" t="str">
        <f>IFERROR(VLOOKUP(Proc[[#This Row],[App]],Table2[],3,0),"open")</f>
        <v>ok</v>
      </c>
      <c r="C1305" s="72" t="s">
        <v>369</v>
      </c>
      <c r="D1305" t="s">
        <v>3031</v>
      </c>
      <c r="E1305" t="s">
        <v>3025</v>
      </c>
      <c r="F1305" s="117" t="s">
        <v>3025</v>
      </c>
      <c r="G1305" s="72" t="s">
        <v>400</v>
      </c>
      <c r="H1305" s="69" t="str">
        <f>IF(Proc[[#This Row],[type]]="LFF (MDG-F)",MID(Proc[[#This Row],[Obj]],13,10),"")</f>
        <v/>
      </c>
      <c r="I1305" t="s">
        <v>3062</v>
      </c>
      <c r="J1305" s="69" t="b">
        <f>Proc[[#This Row],[Requested]]=Proc[[#This Row],[CurrentParent]]</f>
        <v>1</v>
      </c>
      <c r="K1305" s="144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>
      <c r="A1306" s="72" t="s">
        <v>3065</v>
      </c>
      <c r="B1306" s="149" t="str">
        <f>IFERROR(VLOOKUP(Proc[[#This Row],[App]],Table2[],3,0),"open")</f>
        <v>ok</v>
      </c>
      <c r="C1306" s="72" t="s">
        <v>369</v>
      </c>
      <c r="D1306" t="s">
        <v>3032</v>
      </c>
      <c r="E1306" t="s">
        <v>3025</v>
      </c>
      <c r="F1306" s="117" t="s">
        <v>3025</v>
      </c>
      <c r="G1306" s="72" t="s">
        <v>400</v>
      </c>
      <c r="H1306" s="69" t="str">
        <f>IF(Proc[[#This Row],[type]]="LFF (MDG-F)",MID(Proc[[#This Row],[Obj]],13,10),"")</f>
        <v/>
      </c>
      <c r="I1306" t="s">
        <v>3062</v>
      </c>
      <c r="J1306" s="69" t="b">
        <f>Proc[[#This Row],[Requested]]=Proc[[#This Row],[CurrentParent]]</f>
        <v>1</v>
      </c>
      <c r="K1306" s="144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>
      <c r="A1307" s="72" t="s">
        <v>3065</v>
      </c>
      <c r="B1307" s="149" t="str">
        <f>IFERROR(VLOOKUP(Proc[[#This Row],[App]],Table2[],3,0),"open")</f>
        <v>ok</v>
      </c>
      <c r="C1307" s="72" t="s">
        <v>369</v>
      </c>
      <c r="D1307" t="s">
        <v>3033</v>
      </c>
      <c r="E1307" t="s">
        <v>3025</v>
      </c>
      <c r="F1307" s="117" t="s">
        <v>3025</v>
      </c>
      <c r="G1307" s="72" t="s">
        <v>400</v>
      </c>
      <c r="H1307" s="69" t="str">
        <f>IF(Proc[[#This Row],[type]]="LFF (MDG-F)",MID(Proc[[#This Row],[Obj]],13,10),"")</f>
        <v/>
      </c>
      <c r="I1307" t="s">
        <v>3062</v>
      </c>
      <c r="J1307" s="69" t="b">
        <f>Proc[[#This Row],[Requested]]=Proc[[#This Row],[CurrentParent]]</f>
        <v>1</v>
      </c>
      <c r="K1307" s="144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>
      <c r="A1308" s="72" t="s">
        <v>3065</v>
      </c>
      <c r="B1308" s="149" t="str">
        <f>IFERROR(VLOOKUP(Proc[[#This Row],[App]],Table2[],3,0),"open")</f>
        <v>ok</v>
      </c>
      <c r="C1308" s="72" t="s">
        <v>369</v>
      </c>
      <c r="D1308" t="s">
        <v>3034</v>
      </c>
      <c r="E1308" t="s">
        <v>3025</v>
      </c>
      <c r="F1308" s="117" t="s">
        <v>3025</v>
      </c>
      <c r="G1308" s="72" t="s">
        <v>400</v>
      </c>
      <c r="H1308" s="69" t="str">
        <f>IF(Proc[[#This Row],[type]]="LFF (MDG-F)",MID(Proc[[#This Row],[Obj]],13,10),"")</f>
        <v/>
      </c>
      <c r="I1308" t="s">
        <v>3062</v>
      </c>
      <c r="J1308" s="69" t="b">
        <f>Proc[[#This Row],[Requested]]=Proc[[#This Row],[CurrentParent]]</f>
        <v>1</v>
      </c>
      <c r="K1308" s="144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>
      <c r="A1309" s="72" t="s">
        <v>3065</v>
      </c>
      <c r="B1309" s="149" t="str">
        <f>IFERROR(VLOOKUP(Proc[[#This Row],[App]],Table2[],3,0),"open")</f>
        <v>ok</v>
      </c>
      <c r="C1309" s="72" t="s">
        <v>369</v>
      </c>
      <c r="D1309" t="s">
        <v>3035</v>
      </c>
      <c r="E1309" t="s">
        <v>3025</v>
      </c>
      <c r="F1309" s="117" t="s">
        <v>3025</v>
      </c>
      <c r="G1309" s="72" t="s">
        <v>400</v>
      </c>
      <c r="H1309" s="69" t="str">
        <f>IF(Proc[[#This Row],[type]]="LFF (MDG-F)",MID(Proc[[#This Row],[Obj]],13,10),"")</f>
        <v/>
      </c>
      <c r="I1309" t="s">
        <v>3062</v>
      </c>
      <c r="J1309" s="69" t="b">
        <f>Proc[[#This Row],[Requested]]=Proc[[#This Row],[CurrentParent]]</f>
        <v>1</v>
      </c>
      <c r="K1309" s="144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>
      <c r="A1310" s="72" t="s">
        <v>3065</v>
      </c>
      <c r="B1310" s="149" t="str">
        <f>IFERROR(VLOOKUP(Proc[[#This Row],[App]],Table2[],3,0),"open")</f>
        <v>ok</v>
      </c>
      <c r="C1310" s="72" t="s">
        <v>369</v>
      </c>
      <c r="D1310" t="s">
        <v>3036</v>
      </c>
      <c r="E1310" t="s">
        <v>3025</v>
      </c>
      <c r="F1310" s="117" t="s">
        <v>3025</v>
      </c>
      <c r="G1310" s="72" t="s">
        <v>400</v>
      </c>
      <c r="H1310" s="69" t="str">
        <f>IF(Proc[[#This Row],[type]]="LFF (MDG-F)",MID(Proc[[#This Row],[Obj]],13,10),"")</f>
        <v/>
      </c>
      <c r="I1310" t="s">
        <v>3062</v>
      </c>
      <c r="J1310" s="69" t="b">
        <f>Proc[[#This Row],[Requested]]=Proc[[#This Row],[CurrentParent]]</f>
        <v>1</v>
      </c>
      <c r="K1310" s="144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>
      <c r="A1311" s="72" t="s">
        <v>3065</v>
      </c>
      <c r="B1311" s="149" t="str">
        <f>IFERROR(VLOOKUP(Proc[[#This Row],[App]],Table2[],3,0),"open")</f>
        <v>ok</v>
      </c>
      <c r="C1311" s="72" t="s">
        <v>369</v>
      </c>
      <c r="D1311" t="s">
        <v>3037</v>
      </c>
      <c r="E1311" t="s">
        <v>3025</v>
      </c>
      <c r="F1311" s="117" t="s">
        <v>3025</v>
      </c>
      <c r="G1311" s="72" t="s">
        <v>400</v>
      </c>
      <c r="H1311" s="69" t="str">
        <f>IF(Proc[[#This Row],[type]]="LFF (MDG-F)",MID(Proc[[#This Row],[Obj]],13,10),"")</f>
        <v/>
      </c>
      <c r="I1311" t="s">
        <v>3062</v>
      </c>
      <c r="J1311" s="69" t="b">
        <f>Proc[[#This Row],[Requested]]=Proc[[#This Row],[CurrentParent]]</f>
        <v>1</v>
      </c>
      <c r="K1311" s="144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>
      <c r="A1312" s="72" t="s">
        <v>3065</v>
      </c>
      <c r="B1312" s="149" t="str">
        <f>IFERROR(VLOOKUP(Proc[[#This Row],[App]],Table2[],3,0),"open")</f>
        <v>ok</v>
      </c>
      <c r="C1312" s="72" t="s">
        <v>369</v>
      </c>
      <c r="D1312" t="s">
        <v>3038</v>
      </c>
      <c r="E1312" t="s">
        <v>3025</v>
      </c>
      <c r="F1312" s="117" t="s">
        <v>3025</v>
      </c>
      <c r="G1312" s="72" t="s">
        <v>400</v>
      </c>
      <c r="H1312" s="69" t="str">
        <f>IF(Proc[[#This Row],[type]]="LFF (MDG-F)",MID(Proc[[#This Row],[Obj]],13,10),"")</f>
        <v/>
      </c>
      <c r="I1312" t="s">
        <v>3062</v>
      </c>
      <c r="J1312" s="69" t="b">
        <f>Proc[[#This Row],[Requested]]=Proc[[#This Row],[CurrentParent]]</f>
        <v>1</v>
      </c>
      <c r="K1312" s="144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>
      <c r="A1313" s="72" t="s">
        <v>3065</v>
      </c>
      <c r="B1313" s="149" t="str">
        <f>IFERROR(VLOOKUP(Proc[[#This Row],[App]],Table2[],3,0),"open")</f>
        <v>ok</v>
      </c>
      <c r="C1313" s="72" t="s">
        <v>369</v>
      </c>
      <c r="D1313" t="s">
        <v>3039</v>
      </c>
      <c r="E1313" t="s">
        <v>3025</v>
      </c>
      <c r="F1313" s="117" t="s">
        <v>3025</v>
      </c>
      <c r="G1313" s="72" t="s">
        <v>400</v>
      </c>
      <c r="H1313" s="69" t="str">
        <f>IF(Proc[[#This Row],[type]]="LFF (MDG-F)",MID(Proc[[#This Row],[Obj]],13,10),"")</f>
        <v/>
      </c>
      <c r="I1313" t="s">
        <v>3062</v>
      </c>
      <c r="J1313" s="69" t="b">
        <f>Proc[[#This Row],[Requested]]=Proc[[#This Row],[CurrentParent]]</f>
        <v>1</v>
      </c>
      <c r="K1313" s="144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>
      <c r="A1314" s="72" t="s">
        <v>3065</v>
      </c>
      <c r="B1314" s="149" t="str">
        <f>IFERROR(VLOOKUP(Proc[[#This Row],[App]],Table2[],3,0),"open")</f>
        <v>ok</v>
      </c>
      <c r="C1314" s="72" t="s">
        <v>369</v>
      </c>
      <c r="D1314" t="s">
        <v>3040</v>
      </c>
      <c r="E1314" t="s">
        <v>3025</v>
      </c>
      <c r="F1314" s="117" t="s">
        <v>3025</v>
      </c>
      <c r="G1314" s="72" t="s">
        <v>400</v>
      </c>
      <c r="H1314" s="69" t="str">
        <f>IF(Proc[[#This Row],[type]]="LFF (MDG-F)",MID(Proc[[#This Row],[Obj]],13,10),"")</f>
        <v/>
      </c>
      <c r="I1314" t="s">
        <v>3062</v>
      </c>
      <c r="J1314" s="69" t="b">
        <f>Proc[[#This Row],[Requested]]=Proc[[#This Row],[CurrentParent]]</f>
        <v>1</v>
      </c>
      <c r="K1314" s="144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>
      <c r="A1315" s="72" t="s">
        <v>3065</v>
      </c>
      <c r="B1315" s="149" t="str">
        <f>IFERROR(VLOOKUP(Proc[[#This Row],[App]],Table2[],3,0),"open")</f>
        <v>ok</v>
      </c>
      <c r="C1315" s="72" t="s">
        <v>369</v>
      </c>
      <c r="D1315" t="s">
        <v>3041</v>
      </c>
      <c r="E1315" t="s">
        <v>3025</v>
      </c>
      <c r="F1315" s="117" t="s">
        <v>3025</v>
      </c>
      <c r="G1315" s="72" t="s">
        <v>400</v>
      </c>
      <c r="H1315" s="69" t="str">
        <f>IF(Proc[[#This Row],[type]]="LFF (MDG-F)",MID(Proc[[#This Row],[Obj]],13,10),"")</f>
        <v/>
      </c>
      <c r="I1315" t="s">
        <v>3063</v>
      </c>
      <c r="J1315" s="69" t="b">
        <f>Proc[[#This Row],[Requested]]=Proc[[#This Row],[CurrentParent]]</f>
        <v>1</v>
      </c>
      <c r="K1315" s="144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>
      <c r="A1316" s="72" t="s">
        <v>3065</v>
      </c>
      <c r="B1316" s="149" t="str">
        <f>IFERROR(VLOOKUP(Proc[[#This Row],[App]],Table2[],3,0),"open")</f>
        <v>ok</v>
      </c>
      <c r="C1316" s="72" t="s">
        <v>369</v>
      </c>
      <c r="D1316" t="s">
        <v>3042</v>
      </c>
      <c r="E1316" t="s">
        <v>3025</v>
      </c>
      <c r="F1316" s="117" t="s">
        <v>3025</v>
      </c>
      <c r="G1316" s="72" t="s">
        <v>400</v>
      </c>
      <c r="H1316" s="69" t="str">
        <f>IF(Proc[[#This Row],[type]]="LFF (MDG-F)",MID(Proc[[#This Row],[Obj]],13,10),"")</f>
        <v/>
      </c>
      <c r="I1316" t="s">
        <v>3063</v>
      </c>
      <c r="J1316" s="69" t="b">
        <f>Proc[[#This Row],[Requested]]=Proc[[#This Row],[CurrentParent]]</f>
        <v>1</v>
      </c>
      <c r="K1316" s="144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>
      <c r="A1317" s="72" t="s">
        <v>3065</v>
      </c>
      <c r="B1317" s="149" t="str">
        <f>IFERROR(VLOOKUP(Proc[[#This Row],[App]],Table2[],3,0),"open")</f>
        <v>ok</v>
      </c>
      <c r="C1317" s="72" t="s">
        <v>369</v>
      </c>
      <c r="D1317" t="s">
        <v>3043</v>
      </c>
      <c r="E1317" t="s">
        <v>3025</v>
      </c>
      <c r="F1317" s="117" t="s">
        <v>3025</v>
      </c>
      <c r="G1317" s="72" t="s">
        <v>400</v>
      </c>
      <c r="H1317" s="69" t="str">
        <f>IF(Proc[[#This Row],[type]]="LFF (MDG-F)",MID(Proc[[#This Row],[Obj]],13,10),"")</f>
        <v/>
      </c>
      <c r="I1317" t="s">
        <v>3063</v>
      </c>
      <c r="J1317" s="69" t="b">
        <f>Proc[[#This Row],[Requested]]=Proc[[#This Row],[CurrentParent]]</f>
        <v>1</v>
      </c>
      <c r="K1317" s="144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>
      <c r="A1318" s="72" t="s">
        <v>3065</v>
      </c>
      <c r="B1318" s="149" t="str">
        <f>IFERROR(VLOOKUP(Proc[[#This Row],[App]],Table2[],3,0),"open")</f>
        <v>ok</v>
      </c>
      <c r="C1318" s="72" t="s">
        <v>369</v>
      </c>
      <c r="D1318" t="s">
        <v>3044</v>
      </c>
      <c r="E1318" t="s">
        <v>3025</v>
      </c>
      <c r="F1318" s="117" t="s">
        <v>3025</v>
      </c>
      <c r="G1318" s="72" t="s">
        <v>400</v>
      </c>
      <c r="H1318" s="69" t="str">
        <f>IF(Proc[[#This Row],[type]]="LFF (MDG-F)",MID(Proc[[#This Row],[Obj]],13,10),"")</f>
        <v/>
      </c>
      <c r="I1318" t="s">
        <v>3063</v>
      </c>
      <c r="J1318" s="69" t="b">
        <f>Proc[[#This Row],[Requested]]=Proc[[#This Row],[CurrentParent]]</f>
        <v>1</v>
      </c>
      <c r="K1318" s="144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>
      <c r="A1319" s="72" t="s">
        <v>3065</v>
      </c>
      <c r="B1319" s="149" t="str">
        <f>IFERROR(VLOOKUP(Proc[[#This Row],[App]],Table2[],3,0),"open")</f>
        <v>ok</v>
      </c>
      <c r="C1319" s="72" t="s">
        <v>369</v>
      </c>
      <c r="D1319" t="s">
        <v>3045</v>
      </c>
      <c r="E1319" t="s">
        <v>3025</v>
      </c>
      <c r="F1319" s="117" t="s">
        <v>3025</v>
      </c>
      <c r="G1319" s="72" t="s">
        <v>400</v>
      </c>
      <c r="H1319" s="69" t="str">
        <f>IF(Proc[[#This Row],[type]]="LFF (MDG-F)",MID(Proc[[#This Row],[Obj]],13,10),"")</f>
        <v/>
      </c>
      <c r="I1319" t="s">
        <v>3063</v>
      </c>
      <c r="J1319" s="69" t="b">
        <f>Proc[[#This Row],[Requested]]=Proc[[#This Row],[CurrentParent]]</f>
        <v>1</v>
      </c>
      <c r="K1319" s="144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>
      <c r="A1320" s="72" t="s">
        <v>3065</v>
      </c>
      <c r="B1320" s="149" t="str">
        <f>IFERROR(VLOOKUP(Proc[[#This Row],[App]],Table2[],3,0),"open")</f>
        <v>ok</v>
      </c>
      <c r="C1320" s="72" t="s">
        <v>369</v>
      </c>
      <c r="D1320" t="s">
        <v>3046</v>
      </c>
      <c r="E1320" t="s">
        <v>3025</v>
      </c>
      <c r="F1320" s="117" t="s">
        <v>3025</v>
      </c>
      <c r="G1320" s="72" t="s">
        <v>400</v>
      </c>
      <c r="H1320" s="69" t="str">
        <f>IF(Proc[[#This Row],[type]]="LFF (MDG-F)",MID(Proc[[#This Row],[Obj]],13,10),"")</f>
        <v/>
      </c>
      <c r="I1320" t="s">
        <v>3063</v>
      </c>
      <c r="J1320" s="69" t="b">
        <f>Proc[[#This Row],[Requested]]=Proc[[#This Row],[CurrentParent]]</f>
        <v>1</v>
      </c>
      <c r="K1320" s="144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>
      <c r="A1321" s="72" t="s">
        <v>3065</v>
      </c>
      <c r="B1321" s="149" t="str">
        <f>IFERROR(VLOOKUP(Proc[[#This Row],[App]],Table2[],3,0),"open")</f>
        <v>ok</v>
      </c>
      <c r="C1321" s="72" t="s">
        <v>369</v>
      </c>
      <c r="D1321" t="s">
        <v>3047</v>
      </c>
      <c r="E1321" t="s">
        <v>3025</v>
      </c>
      <c r="F1321" s="117" t="s">
        <v>3025</v>
      </c>
      <c r="G1321" s="72" t="s">
        <v>400</v>
      </c>
      <c r="H1321" s="69" t="str">
        <f>IF(Proc[[#This Row],[type]]="LFF (MDG-F)",MID(Proc[[#This Row],[Obj]],13,10),"")</f>
        <v/>
      </c>
      <c r="I1321" t="s">
        <v>3063</v>
      </c>
      <c r="J1321" s="69" t="b">
        <f>Proc[[#This Row],[Requested]]=Proc[[#This Row],[CurrentParent]]</f>
        <v>1</v>
      </c>
      <c r="K1321" s="144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>
      <c r="A1322" s="72" t="s">
        <v>3065</v>
      </c>
      <c r="B1322" s="149" t="str">
        <f>IFERROR(VLOOKUP(Proc[[#This Row],[App]],Table2[],3,0),"open")</f>
        <v>ok</v>
      </c>
      <c r="C1322" s="72" t="s">
        <v>369</v>
      </c>
      <c r="D1322" t="s">
        <v>3048</v>
      </c>
      <c r="E1322" t="s">
        <v>3025</v>
      </c>
      <c r="F1322" s="117" t="s">
        <v>3025</v>
      </c>
      <c r="G1322" s="72" t="s">
        <v>400</v>
      </c>
      <c r="H1322" s="69" t="str">
        <f>IF(Proc[[#This Row],[type]]="LFF (MDG-F)",MID(Proc[[#This Row],[Obj]],13,10),"")</f>
        <v/>
      </c>
      <c r="I1322" t="s">
        <v>3063</v>
      </c>
      <c r="J1322" s="69" t="b">
        <f>Proc[[#This Row],[Requested]]=Proc[[#This Row],[CurrentParent]]</f>
        <v>1</v>
      </c>
      <c r="K1322" s="144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>
      <c r="A1323" s="72" t="s">
        <v>3065</v>
      </c>
      <c r="B1323" s="149" t="str">
        <f>IFERROR(VLOOKUP(Proc[[#This Row],[App]],Table2[],3,0),"open")</f>
        <v>ok</v>
      </c>
      <c r="C1323" s="72" t="s">
        <v>369</v>
      </c>
      <c r="D1323" t="s">
        <v>3049</v>
      </c>
      <c r="E1323" t="s">
        <v>3025</v>
      </c>
      <c r="F1323" s="117" t="s">
        <v>3025</v>
      </c>
      <c r="G1323" s="72" t="s">
        <v>400</v>
      </c>
      <c r="H1323" s="69" t="str">
        <f>IF(Proc[[#This Row],[type]]="LFF (MDG-F)",MID(Proc[[#This Row],[Obj]],13,10),"")</f>
        <v/>
      </c>
      <c r="I1323" t="s">
        <v>3063</v>
      </c>
      <c r="J1323" s="69" t="b">
        <f>Proc[[#This Row],[Requested]]=Proc[[#This Row],[CurrentParent]]</f>
        <v>1</v>
      </c>
      <c r="K1323" s="144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>
      <c r="A1324" s="72" t="s">
        <v>3065</v>
      </c>
      <c r="B1324" s="149" t="str">
        <f>IFERROR(VLOOKUP(Proc[[#This Row],[App]],Table2[],3,0),"open")</f>
        <v>ok</v>
      </c>
      <c r="C1324" s="72" t="s">
        <v>369</v>
      </c>
      <c r="D1324" t="s">
        <v>3050</v>
      </c>
      <c r="E1324" t="s">
        <v>3025</v>
      </c>
      <c r="F1324" s="117" t="s">
        <v>3025</v>
      </c>
      <c r="G1324" s="72" t="s">
        <v>400</v>
      </c>
      <c r="H1324" s="69" t="str">
        <f>IF(Proc[[#This Row],[type]]="LFF (MDG-F)",MID(Proc[[#This Row],[Obj]],13,10),"")</f>
        <v/>
      </c>
      <c r="I1324" t="s">
        <v>3063</v>
      </c>
      <c r="J1324" s="69" t="b">
        <f>Proc[[#This Row],[Requested]]=Proc[[#This Row],[CurrentParent]]</f>
        <v>1</v>
      </c>
      <c r="K1324" s="144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>
      <c r="A1325" s="72" t="s">
        <v>3065</v>
      </c>
      <c r="B1325" s="149" t="str">
        <f>IFERROR(VLOOKUP(Proc[[#This Row],[App]],Table2[],3,0),"open")</f>
        <v>ok</v>
      </c>
      <c r="C1325" s="72" t="s">
        <v>369</v>
      </c>
      <c r="D1325" t="s">
        <v>3051</v>
      </c>
      <c r="E1325" t="s">
        <v>3025</v>
      </c>
      <c r="F1325" s="117" t="s">
        <v>3025</v>
      </c>
      <c r="G1325" s="72" t="s">
        <v>400</v>
      </c>
      <c r="H1325" s="69" t="str">
        <f>IF(Proc[[#This Row],[type]]="LFF (MDG-F)",MID(Proc[[#This Row],[Obj]],13,10),"")</f>
        <v/>
      </c>
      <c r="I1325" t="s">
        <v>3063</v>
      </c>
      <c r="J1325" s="69" t="b">
        <f>Proc[[#This Row],[Requested]]=Proc[[#This Row],[CurrentParent]]</f>
        <v>1</v>
      </c>
      <c r="K1325" s="144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>
      <c r="A1326" s="72" t="s">
        <v>3065</v>
      </c>
      <c r="B1326" s="149" t="str">
        <f>IFERROR(VLOOKUP(Proc[[#This Row],[App]],Table2[],3,0),"open")</f>
        <v>ok</v>
      </c>
      <c r="C1326" s="72" t="s">
        <v>369</v>
      </c>
      <c r="D1326" t="s">
        <v>3052</v>
      </c>
      <c r="E1326" t="s">
        <v>3025</v>
      </c>
      <c r="F1326" s="117" t="s">
        <v>3025</v>
      </c>
      <c r="G1326" s="72" t="s">
        <v>400</v>
      </c>
      <c r="H1326" s="69" t="str">
        <f>IF(Proc[[#This Row],[type]]="LFF (MDG-F)",MID(Proc[[#This Row],[Obj]],13,10),"")</f>
        <v/>
      </c>
      <c r="I1326" t="s">
        <v>3064</v>
      </c>
      <c r="J1326" s="69" t="b">
        <f>Proc[[#This Row],[Requested]]=Proc[[#This Row],[CurrentParent]]</f>
        <v>1</v>
      </c>
      <c r="K1326" s="144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>
      <c r="A1327" s="72" t="s">
        <v>3065</v>
      </c>
      <c r="B1327" s="149" t="str">
        <f>IFERROR(VLOOKUP(Proc[[#This Row],[App]],Table2[],3,0),"open")</f>
        <v>ok</v>
      </c>
      <c r="C1327" s="72" t="s">
        <v>369</v>
      </c>
      <c r="D1327" t="s">
        <v>3053</v>
      </c>
      <c r="E1327" t="s">
        <v>3025</v>
      </c>
      <c r="F1327" s="117" t="s">
        <v>3025</v>
      </c>
      <c r="G1327" s="72" t="s">
        <v>400</v>
      </c>
      <c r="H1327" s="69" t="str">
        <f>IF(Proc[[#This Row],[type]]="LFF (MDG-F)",MID(Proc[[#This Row],[Obj]],13,10),"")</f>
        <v/>
      </c>
      <c r="I1327" t="s">
        <v>3064</v>
      </c>
      <c r="J1327" s="69" t="b">
        <f>Proc[[#This Row],[Requested]]=Proc[[#This Row],[CurrentParent]]</f>
        <v>1</v>
      </c>
      <c r="K1327" s="144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>
      <c r="A1328" s="72" t="s">
        <v>3065</v>
      </c>
      <c r="B1328" s="149" t="str">
        <f>IFERROR(VLOOKUP(Proc[[#This Row],[App]],Table2[],3,0),"open")</f>
        <v>ok</v>
      </c>
      <c r="C1328" s="72" t="s">
        <v>369</v>
      </c>
      <c r="D1328" t="s">
        <v>3054</v>
      </c>
      <c r="E1328" t="s">
        <v>3025</v>
      </c>
      <c r="F1328" s="117" t="s">
        <v>3025</v>
      </c>
      <c r="G1328" s="72" t="s">
        <v>400</v>
      </c>
      <c r="H1328" s="69" t="str">
        <f>IF(Proc[[#This Row],[type]]="LFF (MDG-F)",MID(Proc[[#This Row],[Obj]],13,10),"")</f>
        <v/>
      </c>
      <c r="I1328" t="s">
        <v>3064</v>
      </c>
      <c r="J1328" s="69" t="b">
        <f>Proc[[#This Row],[Requested]]=Proc[[#This Row],[CurrentParent]]</f>
        <v>1</v>
      </c>
      <c r="K1328" s="144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>
      <c r="A1329" s="72" t="s">
        <v>3065</v>
      </c>
      <c r="B1329" s="149" t="str">
        <f>IFERROR(VLOOKUP(Proc[[#This Row],[App]],Table2[],3,0),"open")</f>
        <v>ok</v>
      </c>
      <c r="C1329" s="72" t="s">
        <v>369</v>
      </c>
      <c r="D1329" t="s">
        <v>3055</v>
      </c>
      <c r="E1329" t="s">
        <v>3025</v>
      </c>
      <c r="F1329" s="117" t="s">
        <v>3025</v>
      </c>
      <c r="G1329" s="72" t="s">
        <v>400</v>
      </c>
      <c r="H1329" s="69" t="str">
        <f>IF(Proc[[#This Row],[type]]="LFF (MDG-F)",MID(Proc[[#This Row],[Obj]],13,10),"")</f>
        <v/>
      </c>
      <c r="I1329" t="s">
        <v>3064</v>
      </c>
      <c r="J1329" s="69" t="b">
        <f>Proc[[#This Row],[Requested]]=Proc[[#This Row],[CurrentParent]]</f>
        <v>1</v>
      </c>
      <c r="K1329" s="144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>
      <c r="A1330" s="72" t="s">
        <v>3065</v>
      </c>
      <c r="B1330" s="149" t="str">
        <f>IFERROR(VLOOKUP(Proc[[#This Row],[App]],Table2[],3,0),"open")</f>
        <v>ok</v>
      </c>
      <c r="C1330" s="72" t="s">
        <v>369</v>
      </c>
      <c r="D1330" t="s">
        <v>3056</v>
      </c>
      <c r="E1330" t="s">
        <v>3025</v>
      </c>
      <c r="F1330" s="117" t="s">
        <v>3025</v>
      </c>
      <c r="G1330" s="72" t="s">
        <v>400</v>
      </c>
      <c r="H1330" s="69" t="str">
        <f>IF(Proc[[#This Row],[type]]="LFF (MDG-F)",MID(Proc[[#This Row],[Obj]],13,10),"")</f>
        <v/>
      </c>
      <c r="I1330" t="s">
        <v>3064</v>
      </c>
      <c r="J1330" s="69" t="b">
        <f>Proc[[#This Row],[Requested]]=Proc[[#This Row],[CurrentParent]]</f>
        <v>1</v>
      </c>
      <c r="K1330" s="144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>
      <c r="A1331" s="72" t="s">
        <v>3065</v>
      </c>
      <c r="B1331" s="149" t="str">
        <f>IFERROR(VLOOKUP(Proc[[#This Row],[App]],Table2[],3,0),"open")</f>
        <v>ok</v>
      </c>
      <c r="C1331" s="72" t="s">
        <v>369</v>
      </c>
      <c r="D1331" t="s">
        <v>3057</v>
      </c>
      <c r="E1331" t="s">
        <v>3025</v>
      </c>
      <c r="F1331" s="117" t="s">
        <v>3025</v>
      </c>
      <c r="G1331" s="72" t="s">
        <v>400</v>
      </c>
      <c r="H1331" s="69" t="str">
        <f>IF(Proc[[#This Row],[type]]="LFF (MDG-F)",MID(Proc[[#This Row],[Obj]],13,10),"")</f>
        <v/>
      </c>
      <c r="I1331" t="s">
        <v>3064</v>
      </c>
      <c r="J1331" s="69" t="b">
        <f>Proc[[#This Row],[Requested]]=Proc[[#This Row],[CurrentParent]]</f>
        <v>1</v>
      </c>
      <c r="K1331" s="144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>
      <c r="A1332" s="72" t="s">
        <v>3065</v>
      </c>
      <c r="B1332" s="149" t="str">
        <f>IFERROR(VLOOKUP(Proc[[#This Row],[App]],Table2[],3,0),"open")</f>
        <v>ok</v>
      </c>
      <c r="C1332" s="72" t="s">
        <v>369</v>
      </c>
      <c r="D1332" t="s">
        <v>3058</v>
      </c>
      <c r="E1332" t="s">
        <v>3025</v>
      </c>
      <c r="F1332" s="117" t="s">
        <v>3025</v>
      </c>
      <c r="G1332" s="72" t="s">
        <v>400</v>
      </c>
      <c r="H1332" s="69" t="str">
        <f>IF(Proc[[#This Row],[type]]="LFF (MDG-F)",MID(Proc[[#This Row],[Obj]],13,10),"")</f>
        <v/>
      </c>
      <c r="I1332" t="s">
        <v>3064</v>
      </c>
      <c r="J1332" s="69" t="b">
        <f>Proc[[#This Row],[Requested]]=Proc[[#This Row],[CurrentParent]]</f>
        <v>1</v>
      </c>
      <c r="K1332" s="144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>
      <c r="A1333" s="72" t="s">
        <v>3065</v>
      </c>
      <c r="B1333" s="149" t="str">
        <f>IFERROR(VLOOKUP(Proc[[#This Row],[App]],Table2[],3,0),"open")</f>
        <v>ok</v>
      </c>
      <c r="C1333" s="72" t="s">
        <v>369</v>
      </c>
      <c r="D1333" t="s">
        <v>3059</v>
      </c>
      <c r="E1333" t="s">
        <v>3025</v>
      </c>
      <c r="F1333" s="117" t="s">
        <v>3025</v>
      </c>
      <c r="G1333" s="72" t="s">
        <v>400</v>
      </c>
      <c r="H1333" s="69" t="str">
        <f>IF(Proc[[#This Row],[type]]="LFF (MDG-F)",MID(Proc[[#This Row],[Obj]],13,10),"")</f>
        <v/>
      </c>
      <c r="I1333" t="s">
        <v>3064</v>
      </c>
      <c r="J1333" s="69" t="b">
        <f>Proc[[#This Row],[Requested]]=Proc[[#This Row],[CurrentParent]]</f>
        <v>1</v>
      </c>
      <c r="K1333" s="144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>
      <c r="A1334" s="72" t="s">
        <v>3065</v>
      </c>
      <c r="B1334" s="149" t="str">
        <f>IFERROR(VLOOKUP(Proc[[#This Row],[App]],Table2[],3,0),"open")</f>
        <v>ok</v>
      </c>
      <c r="C1334" s="72" t="s">
        <v>369</v>
      </c>
      <c r="D1334" t="s">
        <v>3060</v>
      </c>
      <c r="E1334" t="s">
        <v>3025</v>
      </c>
      <c r="F1334" s="117" t="s">
        <v>3025</v>
      </c>
      <c r="G1334" s="72" t="s">
        <v>400</v>
      </c>
      <c r="H1334" s="69" t="str">
        <f>IF(Proc[[#This Row],[type]]="LFF (MDG-F)",MID(Proc[[#This Row],[Obj]],13,10),"")</f>
        <v/>
      </c>
      <c r="I1334" t="s">
        <v>3064</v>
      </c>
      <c r="J1334" s="69" t="b">
        <f>Proc[[#This Row],[Requested]]=Proc[[#This Row],[CurrentParent]]</f>
        <v>1</v>
      </c>
      <c r="K1334" s="144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>
      <c r="A1335" t="s">
        <v>3083</v>
      </c>
      <c r="B1335" s="149" t="str">
        <f>IFERROR(VLOOKUP(Proc[[#This Row],[App]],Table2[],3,0),"open")</f>
        <v>ok</v>
      </c>
      <c r="C1335" s="72" t="s">
        <v>369</v>
      </c>
      <c r="D1335" t="s">
        <v>3066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144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>
      <c r="A1336" s="72" t="s">
        <v>3083</v>
      </c>
      <c r="B1336" s="149" t="str">
        <f>IFERROR(VLOOKUP(Proc[[#This Row],[App]],Table2[],3,0),"open")</f>
        <v>ok</v>
      </c>
      <c r="C1336" s="72" t="s">
        <v>369</v>
      </c>
      <c r="D1336" t="s">
        <v>3067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144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>
      <c r="A1337" s="72" t="s">
        <v>3083</v>
      </c>
      <c r="B1337" s="149" t="str">
        <f>IFERROR(VLOOKUP(Proc[[#This Row],[App]],Table2[],3,0),"open")</f>
        <v>ok</v>
      </c>
      <c r="C1337" s="72" t="s">
        <v>369</v>
      </c>
      <c r="D1337" t="s">
        <v>3068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144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>
      <c r="A1338" s="72" t="s">
        <v>3083</v>
      </c>
      <c r="B1338" s="149" t="str">
        <f>IFERROR(VLOOKUP(Proc[[#This Row],[App]],Table2[],3,0),"open")</f>
        <v>ok</v>
      </c>
      <c r="C1338" s="72" t="s">
        <v>369</v>
      </c>
      <c r="D1338" t="s">
        <v>3069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144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>
      <c r="A1339" s="72" t="s">
        <v>3083</v>
      </c>
      <c r="B1339" s="149" t="str">
        <f>IFERROR(VLOOKUP(Proc[[#This Row],[App]],Table2[],3,0),"open")</f>
        <v>ok</v>
      </c>
      <c r="C1339" s="72" t="s">
        <v>369</v>
      </c>
      <c r="D1339" t="s">
        <v>3070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144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>
      <c r="A1340" s="72" t="s">
        <v>3083</v>
      </c>
      <c r="B1340" s="149" t="str">
        <f>IFERROR(VLOOKUP(Proc[[#This Row],[App]],Table2[],3,0),"open")</f>
        <v>ok</v>
      </c>
      <c r="C1340" s="72" t="s">
        <v>369</v>
      </c>
      <c r="D1340" t="s">
        <v>3071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144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>
      <c r="A1341" s="72" t="s">
        <v>3083</v>
      </c>
      <c r="B1341" s="149" t="str">
        <f>IFERROR(VLOOKUP(Proc[[#This Row],[App]],Table2[],3,0),"open")</f>
        <v>ok</v>
      </c>
      <c r="C1341" s="72" t="s">
        <v>369</v>
      </c>
      <c r="D1341" t="s">
        <v>3072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144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>
      <c r="A1342" s="72" t="s">
        <v>3083</v>
      </c>
      <c r="B1342" s="149" t="str">
        <f>IFERROR(VLOOKUP(Proc[[#This Row],[App]],Table2[],3,0),"open")</f>
        <v>ok</v>
      </c>
      <c r="C1342" s="72" t="s">
        <v>369</v>
      </c>
      <c r="D1342" t="s">
        <v>3073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144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>
      <c r="A1343" s="72" t="s">
        <v>3083</v>
      </c>
      <c r="B1343" s="149" t="str">
        <f>IFERROR(VLOOKUP(Proc[[#This Row],[App]],Table2[],3,0),"open")</f>
        <v>ok</v>
      </c>
      <c r="C1343" s="72" t="s">
        <v>369</v>
      </c>
      <c r="D1343" t="s">
        <v>3074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144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>
      <c r="A1344" s="72" t="s">
        <v>3083</v>
      </c>
      <c r="B1344" s="149" t="str">
        <f>IFERROR(VLOOKUP(Proc[[#This Row],[App]],Table2[],3,0),"open")</f>
        <v>ok</v>
      </c>
      <c r="C1344" s="72" t="s">
        <v>369</v>
      </c>
      <c r="D1344" t="s">
        <v>3075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144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>
      <c r="A1345" s="72" t="s">
        <v>3083</v>
      </c>
      <c r="B1345" s="149" t="str">
        <f>IFERROR(VLOOKUP(Proc[[#This Row],[App]],Table2[],3,0),"open")</f>
        <v>ok</v>
      </c>
      <c r="C1345" s="72" t="s">
        <v>369</v>
      </c>
      <c r="D1345" t="s">
        <v>3076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144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>
      <c r="A1346" s="72" t="s">
        <v>3083</v>
      </c>
      <c r="B1346" s="149" t="str">
        <f>IFERROR(VLOOKUP(Proc[[#This Row],[App]],Table2[],3,0),"open")</f>
        <v>ok</v>
      </c>
      <c r="C1346" s="72" t="s">
        <v>369</v>
      </c>
      <c r="D1346" t="s">
        <v>3077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144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>
      <c r="A1347" s="72" t="s">
        <v>3083</v>
      </c>
      <c r="B1347" s="149" t="str">
        <f>IFERROR(VLOOKUP(Proc[[#This Row],[App]],Table2[],3,0),"open")</f>
        <v>ok</v>
      </c>
      <c r="C1347" s="72" t="s">
        <v>369</v>
      </c>
      <c r="D1347" t="s">
        <v>3078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144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>
      <c r="A1348" s="72" t="s">
        <v>3083</v>
      </c>
      <c r="B1348" s="149" t="str">
        <f>IFERROR(VLOOKUP(Proc[[#This Row],[App]],Table2[],3,0),"open")</f>
        <v>ok</v>
      </c>
      <c r="C1348" s="72" t="s">
        <v>369</v>
      </c>
      <c r="D1348" t="s">
        <v>3079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144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>
      <c r="A1349" s="72" t="s">
        <v>3083</v>
      </c>
      <c r="B1349" s="149" t="str">
        <f>IFERROR(VLOOKUP(Proc[[#This Row],[App]],Table2[],3,0),"open")</f>
        <v>ok</v>
      </c>
      <c r="C1349" s="72" t="s">
        <v>369</v>
      </c>
      <c r="D1349" t="s">
        <v>3080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144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>
      <c r="A1350" s="72" t="s">
        <v>3083</v>
      </c>
      <c r="B1350" s="149" t="str">
        <f>IFERROR(VLOOKUP(Proc[[#This Row],[App]],Table2[],3,0),"open")</f>
        <v>ok</v>
      </c>
      <c r="C1350" s="72" t="s">
        <v>369</v>
      </c>
      <c r="D1350" t="s">
        <v>3081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144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>
      <c r="A1351" s="72" t="s">
        <v>3083</v>
      </c>
      <c r="B1351" s="149" t="str">
        <f>IFERROR(VLOOKUP(Proc[[#This Row],[App]],Table2[],3,0),"open")</f>
        <v>ok</v>
      </c>
      <c r="C1351" s="72" t="s">
        <v>369</v>
      </c>
      <c r="D1351" t="s">
        <v>3082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144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>
      <c r="A1352" t="s">
        <v>3084</v>
      </c>
      <c r="B1352" s="149" t="str">
        <f>IFERROR(VLOOKUP(Proc[[#This Row],[App]],Table2[],3,0),"open")</f>
        <v>ok</v>
      </c>
      <c r="C1352" s="72" t="s">
        <v>369</v>
      </c>
      <c r="D1352" t="s">
        <v>2888</v>
      </c>
      <c r="E1352" t="s">
        <v>2889</v>
      </c>
      <c r="F1352" s="117" t="s">
        <v>2889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144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>
      <c r="A1353" t="s">
        <v>3085</v>
      </c>
      <c r="B1353" s="149" t="str">
        <f>IFERROR(VLOOKUP(Proc[[#This Row],[App]],Table2[],3,0),"open")</f>
        <v>ok</v>
      </c>
      <c r="C1353" s="72" t="s">
        <v>369</v>
      </c>
      <c r="D1353" t="s">
        <v>3086</v>
      </c>
      <c r="E1353" t="s">
        <v>3164</v>
      </c>
      <c r="F1353" s="117" t="s">
        <v>3164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144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>
      <c r="A1354" s="72" t="s">
        <v>3085</v>
      </c>
      <c r="B1354" s="149" t="str">
        <f>IFERROR(VLOOKUP(Proc[[#This Row],[App]],Table2[],3,0),"open")</f>
        <v>ok</v>
      </c>
      <c r="C1354" s="72" t="s">
        <v>369</v>
      </c>
      <c r="D1354" t="s">
        <v>3087</v>
      </c>
      <c r="E1354" t="s">
        <v>3165</v>
      </c>
      <c r="F1354" s="117" t="s">
        <v>3165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144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>
      <c r="A1355" s="72" t="s">
        <v>3085</v>
      </c>
      <c r="B1355" s="149" t="str">
        <f>IFERROR(VLOOKUP(Proc[[#This Row],[App]],Table2[],3,0),"open")</f>
        <v>ok</v>
      </c>
      <c r="C1355" s="72" t="s">
        <v>369</v>
      </c>
      <c r="D1355" t="s">
        <v>3088</v>
      </c>
      <c r="E1355" t="s">
        <v>3166</v>
      </c>
      <c r="F1355" s="117" t="s">
        <v>3166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144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>
      <c r="A1356" s="72" t="s">
        <v>3085</v>
      </c>
      <c r="B1356" s="149" t="str">
        <f>IFERROR(VLOOKUP(Proc[[#This Row],[App]],Table2[],3,0),"open")</f>
        <v>ok</v>
      </c>
      <c r="C1356" s="72" t="s">
        <v>369</v>
      </c>
      <c r="D1356" t="s">
        <v>3089</v>
      </c>
      <c r="E1356" t="s">
        <v>3167</v>
      </c>
      <c r="F1356" s="117" t="s">
        <v>3167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144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>
      <c r="A1357" s="72" t="s">
        <v>3085</v>
      </c>
      <c r="B1357" s="149" t="str">
        <f>IFERROR(VLOOKUP(Proc[[#This Row],[App]],Table2[],3,0),"open")</f>
        <v>ok</v>
      </c>
      <c r="C1357" s="72" t="s">
        <v>369</v>
      </c>
      <c r="D1357" t="s">
        <v>3090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144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>
      <c r="A1358" s="72" t="s">
        <v>3085</v>
      </c>
      <c r="B1358" s="149" t="str">
        <f>IFERROR(VLOOKUP(Proc[[#This Row],[App]],Table2[],3,0),"open")</f>
        <v>ok</v>
      </c>
      <c r="C1358" s="72" t="s">
        <v>369</v>
      </c>
      <c r="D1358" t="s">
        <v>3091</v>
      </c>
      <c r="E1358" t="s">
        <v>3168</v>
      </c>
      <c r="F1358" s="117" t="s">
        <v>3168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144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>
      <c r="A1359" s="72" t="s">
        <v>3085</v>
      </c>
      <c r="B1359" s="149" t="str">
        <f>IFERROR(VLOOKUP(Proc[[#This Row],[App]],Table2[],3,0),"open")</f>
        <v>ok</v>
      </c>
      <c r="C1359" s="72" t="s">
        <v>369</v>
      </c>
      <c r="D1359" t="s">
        <v>3092</v>
      </c>
      <c r="E1359" t="s">
        <v>3164</v>
      </c>
      <c r="F1359" s="117" t="s">
        <v>3164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144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>
      <c r="A1360" s="72" t="s">
        <v>3085</v>
      </c>
      <c r="B1360" s="149" t="str">
        <f>IFERROR(VLOOKUP(Proc[[#This Row],[App]],Table2[],3,0),"open")</f>
        <v>ok</v>
      </c>
      <c r="C1360" s="72" t="s">
        <v>369</v>
      </c>
      <c r="D1360" t="s">
        <v>3093</v>
      </c>
      <c r="E1360" t="s">
        <v>3169</v>
      </c>
      <c r="F1360" s="117" t="s">
        <v>3169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3181</v>
      </c>
      <c r="J1360" s="69" t="b">
        <f>Proc[[#This Row],[Requested]]=Proc[[#This Row],[CurrentParent]]</f>
        <v>1</v>
      </c>
      <c r="K1360" s="144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>
      <c r="A1361" s="72" t="s">
        <v>3085</v>
      </c>
      <c r="B1361" s="149" t="str">
        <f>IFERROR(VLOOKUP(Proc[[#This Row],[App]],Table2[],3,0),"open")</f>
        <v>ok</v>
      </c>
      <c r="C1361" s="72" t="s">
        <v>369</v>
      </c>
      <c r="D1361" t="s">
        <v>3094</v>
      </c>
      <c r="E1361" t="s">
        <v>3168</v>
      </c>
      <c r="F1361" s="117" t="s">
        <v>3168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3181</v>
      </c>
      <c r="J1361" s="69" t="b">
        <f>Proc[[#This Row],[Requested]]=Proc[[#This Row],[CurrentParent]]</f>
        <v>1</v>
      </c>
      <c r="K1361" s="144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>
      <c r="A1362" s="72" t="s">
        <v>3085</v>
      </c>
      <c r="B1362" s="149" t="str">
        <f>IFERROR(VLOOKUP(Proc[[#This Row],[App]],Table2[],3,0),"open")</f>
        <v>ok</v>
      </c>
      <c r="C1362" s="72" t="s">
        <v>369</v>
      </c>
      <c r="D1362" t="s">
        <v>3095</v>
      </c>
      <c r="E1362" t="s">
        <v>3164</v>
      </c>
      <c r="F1362" s="117" t="s">
        <v>3164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3181</v>
      </c>
      <c r="J1362" s="69" t="b">
        <f>Proc[[#This Row],[Requested]]=Proc[[#This Row],[CurrentParent]]</f>
        <v>1</v>
      </c>
      <c r="K1362" s="144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>
      <c r="A1363" s="72" t="s">
        <v>3085</v>
      </c>
      <c r="B1363" s="149" t="str">
        <f>IFERROR(VLOOKUP(Proc[[#This Row],[App]],Table2[],3,0),"open")</f>
        <v>ok</v>
      </c>
      <c r="C1363" s="72" t="s">
        <v>369</v>
      </c>
      <c r="D1363" t="s">
        <v>3096</v>
      </c>
      <c r="E1363" t="s">
        <v>3170</v>
      </c>
      <c r="F1363" s="117" t="s">
        <v>3170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3181</v>
      </c>
      <c r="J1363" s="69" t="b">
        <f>Proc[[#This Row],[Requested]]=Proc[[#This Row],[CurrentParent]]</f>
        <v>1</v>
      </c>
      <c r="K1363" s="144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>
      <c r="A1364" s="72" t="s">
        <v>3085</v>
      </c>
      <c r="B1364" s="149" t="str">
        <f>IFERROR(VLOOKUP(Proc[[#This Row],[App]],Table2[],3,0),"open")</f>
        <v>ok</v>
      </c>
      <c r="C1364" s="72" t="s">
        <v>369</v>
      </c>
      <c r="D1364" t="s">
        <v>3097</v>
      </c>
      <c r="E1364" t="s">
        <v>3167</v>
      </c>
      <c r="F1364" s="117" t="s">
        <v>3167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3181</v>
      </c>
      <c r="J1364" s="69" t="b">
        <f>Proc[[#This Row],[Requested]]=Proc[[#This Row],[CurrentParent]]</f>
        <v>1</v>
      </c>
      <c r="K1364" s="144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>
      <c r="A1365" s="72" t="s">
        <v>3085</v>
      </c>
      <c r="B1365" s="149" t="str">
        <f>IFERROR(VLOOKUP(Proc[[#This Row],[App]],Table2[],3,0),"open")</f>
        <v>ok</v>
      </c>
      <c r="C1365" s="72" t="s">
        <v>369</v>
      </c>
      <c r="D1365" t="s">
        <v>3098</v>
      </c>
      <c r="E1365" t="s">
        <v>3171</v>
      </c>
      <c r="F1365" s="117" t="s">
        <v>3171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3181</v>
      </c>
      <c r="J1365" s="69" t="b">
        <f>Proc[[#This Row],[Requested]]=Proc[[#This Row],[CurrentParent]]</f>
        <v>1</v>
      </c>
      <c r="K1365" s="144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>
      <c r="A1366" s="72" t="s">
        <v>3085</v>
      </c>
      <c r="B1366" s="149" t="str">
        <f>IFERROR(VLOOKUP(Proc[[#This Row],[App]],Table2[],3,0),"open")</f>
        <v>ok</v>
      </c>
      <c r="C1366" s="72" t="s">
        <v>369</v>
      </c>
      <c r="D1366" t="s">
        <v>3099</v>
      </c>
      <c r="E1366" t="s">
        <v>3167</v>
      </c>
      <c r="F1366" s="117" t="s">
        <v>3167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144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>
      <c r="A1367" s="72" t="s">
        <v>3085</v>
      </c>
      <c r="B1367" s="149" t="str">
        <f>IFERROR(VLOOKUP(Proc[[#This Row],[App]],Table2[],3,0),"open")</f>
        <v>ok</v>
      </c>
      <c r="C1367" s="72" t="s">
        <v>369</v>
      </c>
      <c r="D1367" t="s">
        <v>3100</v>
      </c>
      <c r="E1367" t="s">
        <v>3167</v>
      </c>
      <c r="F1367" s="117" t="s">
        <v>3167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144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>
      <c r="A1368" s="72" t="s">
        <v>3085</v>
      </c>
      <c r="B1368" s="149" t="str">
        <f>IFERROR(VLOOKUP(Proc[[#This Row],[App]],Table2[],3,0),"open")</f>
        <v>ok</v>
      </c>
      <c r="C1368" s="72" t="s">
        <v>369</v>
      </c>
      <c r="D1368" t="s">
        <v>3101</v>
      </c>
      <c r="E1368" t="s">
        <v>3165</v>
      </c>
      <c r="F1368" s="117" t="s">
        <v>3165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144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>
      <c r="A1369" s="72" t="s">
        <v>3085</v>
      </c>
      <c r="B1369" s="149" t="str">
        <f>IFERROR(VLOOKUP(Proc[[#This Row],[App]],Table2[],3,0),"open")</f>
        <v>ok</v>
      </c>
      <c r="C1369" s="72" t="s">
        <v>369</v>
      </c>
      <c r="D1369" t="s">
        <v>3102</v>
      </c>
      <c r="E1369" t="s">
        <v>3164</v>
      </c>
      <c r="F1369" s="117" t="s">
        <v>3164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144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>
      <c r="A1370" s="72" t="s">
        <v>3085</v>
      </c>
      <c r="B1370" s="149" t="str">
        <f>IFERROR(VLOOKUP(Proc[[#This Row],[App]],Table2[],3,0),"open")</f>
        <v>ok</v>
      </c>
      <c r="C1370" s="72" t="s">
        <v>369</v>
      </c>
      <c r="D1370" t="s">
        <v>3103</v>
      </c>
      <c r="E1370" t="s">
        <v>3170</v>
      </c>
      <c r="F1370" s="117" t="s">
        <v>3170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144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>
      <c r="A1371" s="72" t="s">
        <v>3085</v>
      </c>
      <c r="B1371" s="149" t="str">
        <f>IFERROR(VLOOKUP(Proc[[#This Row],[App]],Table2[],3,0),"open")</f>
        <v>ok</v>
      </c>
      <c r="C1371" s="72" t="s">
        <v>369</v>
      </c>
      <c r="D1371" t="s">
        <v>3104</v>
      </c>
      <c r="E1371" t="s">
        <v>3168</v>
      </c>
      <c r="F1371" s="117" t="s">
        <v>3168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144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>
      <c r="A1372" s="72" t="s">
        <v>3085</v>
      </c>
      <c r="B1372" s="149" t="str">
        <f>IFERROR(VLOOKUP(Proc[[#This Row],[App]],Table2[],3,0),"open")</f>
        <v>ok</v>
      </c>
      <c r="C1372" s="72" t="s">
        <v>369</v>
      </c>
      <c r="D1372" t="s">
        <v>3105</v>
      </c>
      <c r="E1372" t="s">
        <v>3168</v>
      </c>
      <c r="F1372" s="117" t="s">
        <v>3168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144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>
      <c r="A1373" s="72" t="s">
        <v>3085</v>
      </c>
      <c r="B1373" s="149" t="str">
        <f>IFERROR(VLOOKUP(Proc[[#This Row],[App]],Table2[],3,0),"open")</f>
        <v>ok</v>
      </c>
      <c r="C1373" s="72" t="s">
        <v>369</v>
      </c>
      <c r="D1373" t="s">
        <v>3106</v>
      </c>
      <c r="E1373" t="s">
        <v>3169</v>
      </c>
      <c r="F1373" s="117" t="s">
        <v>3169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144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>
      <c r="A1374" s="72" t="s">
        <v>3085</v>
      </c>
      <c r="B1374" s="149" t="str">
        <f>IFERROR(VLOOKUP(Proc[[#This Row],[App]],Table2[],3,0),"open")</f>
        <v>ok</v>
      </c>
      <c r="C1374" s="72" t="s">
        <v>369</v>
      </c>
      <c r="D1374" t="s">
        <v>3107</v>
      </c>
      <c r="E1374" t="s">
        <v>3171</v>
      </c>
      <c r="F1374" s="117" t="s">
        <v>3171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144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>
      <c r="A1375" s="72" t="s">
        <v>3085</v>
      </c>
      <c r="B1375" s="149" t="str">
        <f>IFERROR(VLOOKUP(Proc[[#This Row],[App]],Table2[],3,0),"open")</f>
        <v>ok</v>
      </c>
      <c r="C1375" s="72" t="s">
        <v>369</v>
      </c>
      <c r="D1375" t="s">
        <v>3108</v>
      </c>
      <c r="E1375" t="s">
        <v>3169</v>
      </c>
      <c r="F1375" s="117" t="s">
        <v>3169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144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>
      <c r="A1376" s="72" t="s">
        <v>3085</v>
      </c>
      <c r="B1376" s="149" t="str">
        <f>IFERROR(VLOOKUP(Proc[[#This Row],[App]],Table2[],3,0),"open")</f>
        <v>ok</v>
      </c>
      <c r="C1376" s="72" t="s">
        <v>369</v>
      </c>
      <c r="D1376" t="s">
        <v>3109</v>
      </c>
      <c r="E1376" t="s">
        <v>3171</v>
      </c>
      <c r="F1376" s="117" t="s">
        <v>3171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144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>
      <c r="A1377" s="72" t="s">
        <v>3085</v>
      </c>
      <c r="B1377" s="149" t="str">
        <f>IFERROR(VLOOKUP(Proc[[#This Row],[App]],Table2[],3,0),"open")</f>
        <v>ok</v>
      </c>
      <c r="C1377" s="72" t="s">
        <v>369</v>
      </c>
      <c r="D1377" t="s">
        <v>3110</v>
      </c>
      <c r="E1377" t="s">
        <v>3172</v>
      </c>
      <c r="F1377" s="117" t="s">
        <v>3172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144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>
      <c r="A1378" s="72" t="s">
        <v>3085</v>
      </c>
      <c r="B1378" s="149" t="str">
        <f>IFERROR(VLOOKUP(Proc[[#This Row],[App]],Table2[],3,0),"open")</f>
        <v>ok</v>
      </c>
      <c r="C1378" s="72" t="s">
        <v>369</v>
      </c>
      <c r="D1378" t="s">
        <v>3111</v>
      </c>
      <c r="E1378" t="s">
        <v>3173</v>
      </c>
      <c r="F1378" s="117" t="s">
        <v>3173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144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>
      <c r="A1379" s="72" t="s">
        <v>3085</v>
      </c>
      <c r="B1379" s="149" t="str">
        <f>IFERROR(VLOOKUP(Proc[[#This Row],[App]],Table2[],3,0),"open")</f>
        <v>ok</v>
      </c>
      <c r="C1379" s="72" t="s">
        <v>369</v>
      </c>
      <c r="D1379" t="s">
        <v>3112</v>
      </c>
      <c r="E1379" t="s">
        <v>3165</v>
      </c>
      <c r="F1379" s="117" t="s">
        <v>3165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144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>
      <c r="A1380" s="72" t="s">
        <v>3085</v>
      </c>
      <c r="B1380" s="149" t="str">
        <f>IFERROR(VLOOKUP(Proc[[#This Row],[App]],Table2[],3,0),"open")</f>
        <v>ok</v>
      </c>
      <c r="C1380" s="72" t="s">
        <v>369</v>
      </c>
      <c r="D1380" t="s">
        <v>3113</v>
      </c>
      <c r="E1380" t="s">
        <v>3169</v>
      </c>
      <c r="F1380" s="117" t="s">
        <v>3169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144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>
      <c r="A1381" s="72" t="s">
        <v>3085</v>
      </c>
      <c r="B1381" s="149" t="str">
        <f>IFERROR(VLOOKUP(Proc[[#This Row],[App]],Table2[],3,0),"open")</f>
        <v>ok</v>
      </c>
      <c r="C1381" s="72" t="s">
        <v>369</v>
      </c>
      <c r="D1381" t="s">
        <v>3114</v>
      </c>
      <c r="E1381" t="s">
        <v>3167</v>
      </c>
      <c r="F1381" s="117" t="s">
        <v>3167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144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>
      <c r="A1382" s="72" t="s">
        <v>3085</v>
      </c>
      <c r="B1382" s="149" t="str">
        <f>IFERROR(VLOOKUP(Proc[[#This Row],[App]],Table2[],3,0),"open")</f>
        <v>ok</v>
      </c>
      <c r="C1382" s="72" t="s">
        <v>369</v>
      </c>
      <c r="D1382" t="s">
        <v>3115</v>
      </c>
      <c r="E1382" t="s">
        <v>3167</v>
      </c>
      <c r="F1382" s="117" t="s">
        <v>3167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144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>
      <c r="A1383" s="72" t="s">
        <v>3085</v>
      </c>
      <c r="B1383" s="149" t="str">
        <f>IFERROR(VLOOKUP(Proc[[#This Row],[App]],Table2[],3,0),"open")</f>
        <v>ok</v>
      </c>
      <c r="C1383" s="72" t="s">
        <v>369</v>
      </c>
      <c r="D1383" t="s">
        <v>3116</v>
      </c>
      <c r="E1383" t="s">
        <v>3170</v>
      </c>
      <c r="F1383" s="117" t="s">
        <v>3170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144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>
      <c r="A1384" s="72" t="s">
        <v>3085</v>
      </c>
      <c r="B1384" s="149" t="str">
        <f>IFERROR(VLOOKUP(Proc[[#This Row],[App]],Table2[],3,0),"open")</f>
        <v>ok</v>
      </c>
      <c r="C1384" s="72" t="s">
        <v>369</v>
      </c>
      <c r="D1384" t="s">
        <v>3117</v>
      </c>
      <c r="E1384" t="s">
        <v>3166</v>
      </c>
      <c r="F1384" s="117" t="s">
        <v>3166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144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>
      <c r="A1385" s="72" t="s">
        <v>3085</v>
      </c>
      <c r="B1385" s="149" t="str">
        <f>IFERROR(VLOOKUP(Proc[[#This Row],[App]],Table2[],3,0),"open")</f>
        <v>ok</v>
      </c>
      <c r="C1385" s="72" t="s">
        <v>369</v>
      </c>
      <c r="D1385" t="s">
        <v>3118</v>
      </c>
      <c r="E1385" t="s">
        <v>3173</v>
      </c>
      <c r="F1385" s="117" t="s">
        <v>3173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144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>
      <c r="A1386" s="72" t="s">
        <v>3085</v>
      </c>
      <c r="B1386" s="149" t="str">
        <f>IFERROR(VLOOKUP(Proc[[#This Row],[App]],Table2[],3,0),"open")</f>
        <v>ok</v>
      </c>
      <c r="C1386" s="72" t="s">
        <v>369</v>
      </c>
      <c r="D1386" t="s">
        <v>3119</v>
      </c>
      <c r="E1386" t="s">
        <v>3167</v>
      </c>
      <c r="F1386" s="117" t="s">
        <v>3167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144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>
      <c r="A1387" s="72" t="s">
        <v>3085</v>
      </c>
      <c r="B1387" s="149" t="str">
        <f>IFERROR(VLOOKUP(Proc[[#This Row],[App]],Table2[],3,0),"open")</f>
        <v>ok</v>
      </c>
      <c r="C1387" s="72" t="s">
        <v>369</v>
      </c>
      <c r="D1387" t="s">
        <v>3120</v>
      </c>
      <c r="E1387" t="s">
        <v>3167</v>
      </c>
      <c r="F1387" s="117" t="s">
        <v>3167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144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>
      <c r="A1388" s="72" t="s">
        <v>3085</v>
      </c>
      <c r="B1388" s="149" t="str">
        <f>IFERROR(VLOOKUP(Proc[[#This Row],[App]],Table2[],3,0),"open")</f>
        <v>ok</v>
      </c>
      <c r="C1388" s="72" t="s">
        <v>369</v>
      </c>
      <c r="D1388" t="s">
        <v>3121</v>
      </c>
      <c r="E1388" t="s">
        <v>3170</v>
      </c>
      <c r="F1388" s="117" t="s">
        <v>3170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144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>
      <c r="A1389" s="72" t="s">
        <v>3085</v>
      </c>
      <c r="B1389" s="149" t="str">
        <f>IFERROR(VLOOKUP(Proc[[#This Row],[App]],Table2[],3,0),"open")</f>
        <v>ok</v>
      </c>
      <c r="C1389" s="72" t="s">
        <v>369</v>
      </c>
      <c r="D1389" t="s">
        <v>3122</v>
      </c>
      <c r="E1389" t="s">
        <v>3164</v>
      </c>
      <c r="F1389" s="117" t="s">
        <v>3164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144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>
      <c r="A1390" s="72" t="s">
        <v>3085</v>
      </c>
      <c r="B1390" s="149" t="str">
        <f>IFERROR(VLOOKUP(Proc[[#This Row],[App]],Table2[],3,0),"open")</f>
        <v>ok</v>
      </c>
      <c r="C1390" s="72" t="s">
        <v>369</v>
      </c>
      <c r="D1390" t="s">
        <v>3123</v>
      </c>
      <c r="E1390" t="s">
        <v>3171</v>
      </c>
      <c r="F1390" s="117" t="s">
        <v>3171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144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>
      <c r="A1391" s="72" t="s">
        <v>3085</v>
      </c>
      <c r="B1391" s="149" t="str">
        <f>IFERROR(VLOOKUP(Proc[[#This Row],[App]],Table2[],3,0),"open")</f>
        <v>ok</v>
      </c>
      <c r="C1391" s="72" t="s">
        <v>369</v>
      </c>
      <c r="D1391" t="s">
        <v>3124</v>
      </c>
      <c r="E1391" t="s">
        <v>3173</v>
      </c>
      <c r="F1391" s="117" t="s">
        <v>3173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144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>
      <c r="A1392" s="72" t="s">
        <v>3085</v>
      </c>
      <c r="B1392" s="149" t="str">
        <f>IFERROR(VLOOKUP(Proc[[#This Row],[App]],Table2[],3,0),"open")</f>
        <v>ok</v>
      </c>
      <c r="C1392" s="72" t="s">
        <v>369</v>
      </c>
      <c r="D1392" t="s">
        <v>3125</v>
      </c>
      <c r="E1392" t="s">
        <v>3174</v>
      </c>
      <c r="F1392" s="117" t="s">
        <v>3174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144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>
      <c r="A1393" s="72" t="s">
        <v>3085</v>
      </c>
      <c r="B1393" s="149" t="str">
        <f>IFERROR(VLOOKUP(Proc[[#This Row],[App]],Table2[],3,0),"open")</f>
        <v>ok</v>
      </c>
      <c r="C1393" s="72" t="s">
        <v>369</v>
      </c>
      <c r="D1393" t="s">
        <v>3126</v>
      </c>
      <c r="E1393" t="s">
        <v>3167</v>
      </c>
      <c r="F1393" s="117" t="s">
        <v>3167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144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>
      <c r="A1394" s="72" t="s">
        <v>3085</v>
      </c>
      <c r="B1394" s="149" t="str">
        <f>IFERROR(VLOOKUP(Proc[[#This Row],[App]],Table2[],3,0),"open")</f>
        <v>ok</v>
      </c>
      <c r="C1394" s="72" t="s">
        <v>369</v>
      </c>
      <c r="D1394" t="s">
        <v>3127</v>
      </c>
      <c r="E1394" t="s">
        <v>3171</v>
      </c>
      <c r="F1394" s="117" t="s">
        <v>3171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144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>
      <c r="A1395" s="72" t="s">
        <v>3085</v>
      </c>
      <c r="B1395" s="149" t="str">
        <f>IFERROR(VLOOKUP(Proc[[#This Row],[App]],Table2[],3,0),"open")</f>
        <v>ok</v>
      </c>
      <c r="C1395" s="72" t="s">
        <v>369</v>
      </c>
      <c r="D1395" t="s">
        <v>3128</v>
      </c>
      <c r="E1395" t="s">
        <v>3166</v>
      </c>
      <c r="F1395" s="117" t="s">
        <v>3166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144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>
      <c r="A1396" s="72" t="s">
        <v>3085</v>
      </c>
      <c r="B1396" s="149" t="str">
        <f>IFERROR(VLOOKUP(Proc[[#This Row],[App]],Table2[],3,0),"open")</f>
        <v>ok</v>
      </c>
      <c r="C1396" s="72" t="s">
        <v>369</v>
      </c>
      <c r="D1396" t="s">
        <v>3129</v>
      </c>
      <c r="E1396" t="s">
        <v>3175</v>
      </c>
      <c r="F1396" s="117" t="s">
        <v>3175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144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>
      <c r="A1397" s="72" t="s">
        <v>3085</v>
      </c>
      <c r="B1397" s="149" t="str">
        <f>IFERROR(VLOOKUP(Proc[[#This Row],[App]],Table2[],3,0),"open")</f>
        <v>ok</v>
      </c>
      <c r="C1397" s="72" t="s">
        <v>369</v>
      </c>
      <c r="D1397" t="s">
        <v>3130</v>
      </c>
      <c r="E1397" t="s">
        <v>3167</v>
      </c>
      <c r="F1397" s="117" t="s">
        <v>3167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144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>
      <c r="A1398" s="72" t="s">
        <v>3085</v>
      </c>
      <c r="B1398" s="149" t="str">
        <f>IFERROR(VLOOKUP(Proc[[#This Row],[App]],Table2[],3,0),"open")</f>
        <v>ok</v>
      </c>
      <c r="C1398" s="72" t="s">
        <v>369</v>
      </c>
      <c r="D1398" t="s">
        <v>3131</v>
      </c>
      <c r="E1398" t="s">
        <v>3165</v>
      </c>
      <c r="F1398" s="117" t="s">
        <v>3165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144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>
      <c r="A1399" s="72" t="s">
        <v>3085</v>
      </c>
      <c r="B1399" s="149" t="str">
        <f>IFERROR(VLOOKUP(Proc[[#This Row],[App]],Table2[],3,0),"open")</f>
        <v>ok</v>
      </c>
      <c r="C1399" s="72" t="s">
        <v>369</v>
      </c>
      <c r="D1399" t="s">
        <v>3132</v>
      </c>
      <c r="E1399" t="s">
        <v>3176</v>
      </c>
      <c r="F1399" s="117" t="s">
        <v>3176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144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>
      <c r="A1400" s="72" t="s">
        <v>3085</v>
      </c>
      <c r="B1400" s="149" t="str">
        <f>IFERROR(VLOOKUP(Proc[[#This Row],[App]],Table2[],3,0),"open")</f>
        <v>ok</v>
      </c>
      <c r="C1400" s="72" t="s">
        <v>369</v>
      </c>
      <c r="D1400" t="s">
        <v>3133</v>
      </c>
      <c r="E1400" t="s">
        <v>3170</v>
      </c>
      <c r="F1400" s="117" t="s">
        <v>3170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144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>
      <c r="A1401" s="72" t="s">
        <v>3085</v>
      </c>
      <c r="B1401" s="149" t="str">
        <f>IFERROR(VLOOKUP(Proc[[#This Row],[App]],Table2[],3,0),"open")</f>
        <v>ok</v>
      </c>
      <c r="C1401" s="72" t="s">
        <v>369</v>
      </c>
      <c r="D1401" t="s">
        <v>3134</v>
      </c>
      <c r="E1401" t="s">
        <v>3176</v>
      </c>
      <c r="F1401" s="117" t="s">
        <v>3176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144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>
      <c r="A1402" s="72" t="s">
        <v>3085</v>
      </c>
      <c r="B1402" s="149" t="str">
        <f>IFERROR(VLOOKUP(Proc[[#This Row],[App]],Table2[],3,0),"open")</f>
        <v>ok</v>
      </c>
      <c r="C1402" s="72" t="s">
        <v>369</v>
      </c>
      <c r="D1402" t="s">
        <v>3135</v>
      </c>
      <c r="E1402" t="s">
        <v>3169</v>
      </c>
      <c r="F1402" s="117" t="s">
        <v>3169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144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>
      <c r="A1403" s="72" t="s">
        <v>3085</v>
      </c>
      <c r="B1403" s="149" t="str">
        <f>IFERROR(VLOOKUP(Proc[[#This Row],[App]],Table2[],3,0),"open")</f>
        <v>ok</v>
      </c>
      <c r="C1403" s="72" t="s">
        <v>369</v>
      </c>
      <c r="D1403" t="s">
        <v>3136</v>
      </c>
      <c r="E1403" t="s">
        <v>3170</v>
      </c>
      <c r="F1403" s="117" t="s">
        <v>3170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144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>
      <c r="A1404" s="72" t="s">
        <v>3085</v>
      </c>
      <c r="B1404" s="149" t="str">
        <f>IFERROR(VLOOKUP(Proc[[#This Row],[App]],Table2[],3,0),"open")</f>
        <v>ok</v>
      </c>
      <c r="C1404" s="72" t="s">
        <v>369</v>
      </c>
      <c r="D1404" t="s">
        <v>3137</v>
      </c>
      <c r="E1404" t="s">
        <v>3169</v>
      </c>
      <c r="F1404" s="117" t="s">
        <v>3169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144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>
      <c r="A1405" s="72" t="s">
        <v>3085</v>
      </c>
      <c r="B1405" s="149" t="str">
        <f>IFERROR(VLOOKUP(Proc[[#This Row],[App]],Table2[],3,0),"open")</f>
        <v>ok</v>
      </c>
      <c r="C1405" s="72" t="s">
        <v>369</v>
      </c>
      <c r="D1405" t="s">
        <v>3138</v>
      </c>
      <c r="E1405" t="s">
        <v>3166</v>
      </c>
      <c r="F1405" s="117" t="s">
        <v>3166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144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>
      <c r="A1406" s="72" t="s">
        <v>3085</v>
      </c>
      <c r="B1406" s="149" t="str">
        <f>IFERROR(VLOOKUP(Proc[[#This Row],[App]],Table2[],3,0),"open")</f>
        <v>ok</v>
      </c>
      <c r="C1406" s="72" t="s">
        <v>369</v>
      </c>
      <c r="D1406" t="s">
        <v>3139</v>
      </c>
      <c r="E1406" t="s">
        <v>3164</v>
      </c>
      <c r="F1406" s="117" t="s">
        <v>3164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144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>
      <c r="A1407" s="72" t="s">
        <v>3085</v>
      </c>
      <c r="B1407" s="149" t="str">
        <f>IFERROR(VLOOKUP(Proc[[#This Row],[App]],Table2[],3,0),"open")</f>
        <v>ok</v>
      </c>
      <c r="C1407" s="72" t="s">
        <v>369</v>
      </c>
      <c r="D1407" t="s">
        <v>3140</v>
      </c>
      <c r="E1407" t="s">
        <v>3177</v>
      </c>
      <c r="F1407" s="117" t="s">
        <v>3177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144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>
      <c r="A1408" s="72" t="s">
        <v>3085</v>
      </c>
      <c r="B1408" s="149" t="str">
        <f>IFERROR(VLOOKUP(Proc[[#This Row],[App]],Table2[],3,0),"open")</f>
        <v>ok</v>
      </c>
      <c r="C1408" s="72" t="s">
        <v>369</v>
      </c>
      <c r="D1408" t="s">
        <v>3141</v>
      </c>
      <c r="E1408" t="s">
        <v>3171</v>
      </c>
      <c r="F1408" s="117" t="s">
        <v>3171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144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>
      <c r="A1409" s="72" t="s">
        <v>3085</v>
      </c>
      <c r="B1409" s="149" t="str">
        <f>IFERROR(VLOOKUP(Proc[[#This Row],[App]],Table2[],3,0),"open")</f>
        <v>ok</v>
      </c>
      <c r="C1409" s="72" t="s">
        <v>369</v>
      </c>
      <c r="D1409" t="s">
        <v>3142</v>
      </c>
      <c r="E1409" t="s">
        <v>3178</v>
      </c>
      <c r="F1409" s="117" t="s">
        <v>3178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144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>
      <c r="A1410" s="72" t="s">
        <v>3085</v>
      </c>
      <c r="B1410" s="149" t="str">
        <f>IFERROR(VLOOKUP(Proc[[#This Row],[App]],Table2[],3,0),"open")</f>
        <v>ok</v>
      </c>
      <c r="C1410" s="72" t="s">
        <v>369</v>
      </c>
      <c r="D1410" t="s">
        <v>3143</v>
      </c>
      <c r="E1410" t="s">
        <v>3179</v>
      </c>
      <c r="F1410" s="117" t="s">
        <v>3179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144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>
      <c r="A1411" s="72" t="s">
        <v>3085</v>
      </c>
      <c r="B1411" s="149" t="str">
        <f>IFERROR(VLOOKUP(Proc[[#This Row],[App]],Table2[],3,0),"open")</f>
        <v>ok</v>
      </c>
      <c r="C1411" s="72" t="s">
        <v>369</v>
      </c>
      <c r="D1411" t="s">
        <v>3144</v>
      </c>
      <c r="E1411" t="s">
        <v>3177</v>
      </c>
      <c r="F1411" s="117" t="s">
        <v>3177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144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>
      <c r="A1412" s="72" t="s">
        <v>3085</v>
      </c>
      <c r="B1412" s="149" t="str">
        <f>IFERROR(VLOOKUP(Proc[[#This Row],[App]],Table2[],3,0),"open")</f>
        <v>ok</v>
      </c>
      <c r="C1412" s="72" t="s">
        <v>369</v>
      </c>
      <c r="D1412" t="s">
        <v>3145</v>
      </c>
      <c r="E1412" t="s">
        <v>3171</v>
      </c>
      <c r="F1412" s="117" t="s">
        <v>3171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144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>
      <c r="A1413" s="72" t="s">
        <v>3085</v>
      </c>
      <c r="B1413" s="149" t="str">
        <f>IFERROR(VLOOKUP(Proc[[#This Row],[App]],Table2[],3,0),"open")</f>
        <v>ok</v>
      </c>
      <c r="C1413" s="72" t="s">
        <v>369</v>
      </c>
      <c r="D1413" t="s">
        <v>3146</v>
      </c>
      <c r="E1413" t="s">
        <v>3180</v>
      </c>
      <c r="F1413" s="117" t="s">
        <v>3180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144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>
      <c r="A1414" s="72" t="s">
        <v>3085</v>
      </c>
      <c r="B1414" s="149" t="str">
        <f>IFERROR(VLOOKUP(Proc[[#This Row],[App]],Table2[],3,0),"open")</f>
        <v>ok</v>
      </c>
      <c r="C1414" s="72" t="s">
        <v>369</v>
      </c>
      <c r="D1414" t="s">
        <v>3147</v>
      </c>
      <c r="E1414" t="s">
        <v>3169</v>
      </c>
      <c r="F1414" s="117" t="s">
        <v>3169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144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>
      <c r="A1415" s="72" t="s">
        <v>3085</v>
      </c>
      <c r="B1415" s="149" t="str">
        <f>IFERROR(VLOOKUP(Proc[[#This Row],[App]],Table2[],3,0),"open")</f>
        <v>ok</v>
      </c>
      <c r="C1415" s="72" t="s">
        <v>369</v>
      </c>
      <c r="D1415" t="s">
        <v>3148</v>
      </c>
      <c r="E1415" t="s">
        <v>3169</v>
      </c>
      <c r="F1415" s="117" t="s">
        <v>3169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144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>
      <c r="A1416" s="72" t="s">
        <v>3085</v>
      </c>
      <c r="B1416" s="149" t="str">
        <f>IFERROR(VLOOKUP(Proc[[#This Row],[App]],Table2[],3,0),"open")</f>
        <v>ok</v>
      </c>
      <c r="C1416" s="72" t="s">
        <v>369</v>
      </c>
      <c r="D1416" t="s">
        <v>3149</v>
      </c>
      <c r="E1416" t="s">
        <v>3165</v>
      </c>
      <c r="F1416" s="117" t="s">
        <v>3165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144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>
      <c r="A1417" s="72" t="s">
        <v>3085</v>
      </c>
      <c r="B1417" s="149" t="str">
        <f>IFERROR(VLOOKUP(Proc[[#This Row],[App]],Table2[],3,0),"open")</f>
        <v>ok</v>
      </c>
      <c r="C1417" s="72" t="s">
        <v>369</v>
      </c>
      <c r="D1417" t="s">
        <v>3150</v>
      </c>
      <c r="E1417" t="s">
        <v>3174</v>
      </c>
      <c r="F1417" s="117" t="s">
        <v>3174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144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>
      <c r="A1418" s="72" t="s">
        <v>3085</v>
      </c>
      <c r="B1418" s="149" t="str">
        <f>IFERROR(VLOOKUP(Proc[[#This Row],[App]],Table2[],3,0),"open")</f>
        <v>ok</v>
      </c>
      <c r="C1418" s="72" t="s">
        <v>369</v>
      </c>
      <c r="D1418" t="s">
        <v>3151</v>
      </c>
      <c r="E1418" t="s">
        <v>3180</v>
      </c>
      <c r="F1418" s="117" t="s">
        <v>3180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144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>
      <c r="A1419" s="72" t="s">
        <v>3085</v>
      </c>
      <c r="B1419" s="149" t="str">
        <f>IFERROR(VLOOKUP(Proc[[#This Row],[App]],Table2[],3,0),"open")</f>
        <v>ok</v>
      </c>
      <c r="C1419" s="72" t="s">
        <v>369</v>
      </c>
      <c r="D1419" t="s">
        <v>3152</v>
      </c>
      <c r="E1419" t="s">
        <v>3164</v>
      </c>
      <c r="F1419" s="117" t="s">
        <v>3164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144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>
      <c r="A1420" s="72" t="s">
        <v>3085</v>
      </c>
      <c r="B1420" s="149" t="str">
        <f>IFERROR(VLOOKUP(Proc[[#This Row],[App]],Table2[],3,0),"open")</f>
        <v>ok</v>
      </c>
      <c r="C1420" s="72" t="s">
        <v>369</v>
      </c>
      <c r="D1420" t="s">
        <v>3153</v>
      </c>
      <c r="E1420" t="s">
        <v>3166</v>
      </c>
      <c r="F1420" s="117" t="s">
        <v>3166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144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>
      <c r="A1421" s="72" t="s">
        <v>3085</v>
      </c>
      <c r="B1421" s="149" t="str">
        <f>IFERROR(VLOOKUP(Proc[[#This Row],[App]],Table2[],3,0),"open")</f>
        <v>ok</v>
      </c>
      <c r="C1421" s="72" t="s">
        <v>369</v>
      </c>
      <c r="D1421" t="s">
        <v>3154</v>
      </c>
      <c r="E1421" t="s">
        <v>3167</v>
      </c>
      <c r="F1421" s="117" t="s">
        <v>3167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144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>
      <c r="A1422" s="72" t="s">
        <v>3085</v>
      </c>
      <c r="B1422" s="149" t="str">
        <f>IFERROR(VLOOKUP(Proc[[#This Row],[App]],Table2[],3,0),"open")</f>
        <v>ok</v>
      </c>
      <c r="C1422" s="72" t="s">
        <v>369</v>
      </c>
      <c r="D1422" t="s">
        <v>3155</v>
      </c>
      <c r="E1422" t="s">
        <v>3171</v>
      </c>
      <c r="F1422" s="117" t="s">
        <v>3171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144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>
      <c r="A1423" s="72" t="s">
        <v>3085</v>
      </c>
      <c r="B1423" s="149" t="str">
        <f>IFERROR(VLOOKUP(Proc[[#This Row],[App]],Table2[],3,0),"open")</f>
        <v>ok</v>
      </c>
      <c r="C1423" s="72" t="s">
        <v>369</v>
      </c>
      <c r="D1423" t="s">
        <v>3156</v>
      </c>
      <c r="E1423" t="s">
        <v>3167</v>
      </c>
      <c r="F1423" s="117" t="s">
        <v>3167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144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>
      <c r="A1424" s="72" t="s">
        <v>3085</v>
      </c>
      <c r="B1424" s="149" t="str">
        <f>IFERROR(VLOOKUP(Proc[[#This Row],[App]],Table2[],3,0),"open")</f>
        <v>ok</v>
      </c>
      <c r="C1424" s="72" t="s">
        <v>369</v>
      </c>
      <c r="D1424" t="s">
        <v>3157</v>
      </c>
      <c r="E1424" t="s">
        <v>3171</v>
      </c>
      <c r="F1424" s="117" t="s">
        <v>3171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144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>
      <c r="A1425" s="72" t="s">
        <v>3085</v>
      </c>
      <c r="B1425" s="149" t="str">
        <f>IFERROR(VLOOKUP(Proc[[#This Row],[App]],Table2[],3,0),"open")</f>
        <v>ok</v>
      </c>
      <c r="C1425" s="72" t="s">
        <v>369</v>
      </c>
      <c r="D1425" t="s">
        <v>3158</v>
      </c>
      <c r="E1425" t="s">
        <v>3170</v>
      </c>
      <c r="F1425" s="117" t="s">
        <v>3170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144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>
      <c r="A1426" s="72" t="s">
        <v>3085</v>
      </c>
      <c r="B1426" s="149" t="str">
        <f>IFERROR(VLOOKUP(Proc[[#This Row],[App]],Table2[],3,0),"open")</f>
        <v>ok</v>
      </c>
      <c r="C1426" s="72" t="s">
        <v>369</v>
      </c>
      <c r="D1426" t="s">
        <v>3159</v>
      </c>
      <c r="E1426" t="s">
        <v>3175</v>
      </c>
      <c r="F1426" s="117" t="s">
        <v>3175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144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>
      <c r="A1427" s="72" t="s">
        <v>3085</v>
      </c>
      <c r="B1427" s="149" t="str">
        <f>IFERROR(VLOOKUP(Proc[[#This Row],[App]],Table2[],3,0),"open")</f>
        <v>ok</v>
      </c>
      <c r="C1427" s="72" t="s">
        <v>369</v>
      </c>
      <c r="D1427" t="s">
        <v>3160</v>
      </c>
      <c r="E1427" t="s">
        <v>3173</v>
      </c>
      <c r="F1427" s="117" t="s">
        <v>3173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144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>
      <c r="A1428" s="72" t="s">
        <v>3085</v>
      </c>
      <c r="B1428" s="149" t="str">
        <f>IFERROR(VLOOKUP(Proc[[#This Row],[App]],Table2[],3,0),"open")</f>
        <v>ok</v>
      </c>
      <c r="C1428" s="72" t="s">
        <v>369</v>
      </c>
      <c r="D1428" t="s">
        <v>3161</v>
      </c>
      <c r="E1428" t="s">
        <v>3164</v>
      </c>
      <c r="F1428" s="117" t="s">
        <v>3164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144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>
      <c r="A1429" s="72" t="s">
        <v>3085</v>
      </c>
      <c r="B1429" s="149" t="str">
        <f>IFERROR(VLOOKUP(Proc[[#This Row],[App]],Table2[],3,0),"open")</f>
        <v>ok</v>
      </c>
      <c r="C1429" s="72" t="s">
        <v>369</v>
      </c>
      <c r="D1429" t="s">
        <v>3162</v>
      </c>
      <c r="E1429" t="s">
        <v>3164</v>
      </c>
      <c r="F1429" s="117" t="s">
        <v>3164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144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>
      <c r="A1430" s="72" t="s">
        <v>3085</v>
      </c>
      <c r="B1430" s="149" t="str">
        <f>IFERROR(VLOOKUP(Proc[[#This Row],[App]],Table2[],3,0),"open")</f>
        <v>ok</v>
      </c>
      <c r="C1430" s="72" t="s">
        <v>377</v>
      </c>
      <c r="D1430" t="s">
        <v>3163</v>
      </c>
      <c r="E1430" t="s">
        <v>3164</v>
      </c>
      <c r="F1430" s="103" t="s">
        <v>3164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144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>
      <c r="A1431" t="s">
        <v>3182</v>
      </c>
      <c r="B1431" s="149" t="str">
        <f>IFERROR(VLOOKUP(Proc[[#This Row],[App]],Table2[],3,0),"open")</f>
        <v>ok</v>
      </c>
      <c r="C1431" t="s">
        <v>369</v>
      </c>
      <c r="D1431" t="s">
        <v>3183</v>
      </c>
      <c r="E1431" t="s">
        <v>3185</v>
      </c>
      <c r="F1431" s="117" t="s">
        <v>3185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144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>
      <c r="A1432" s="72" t="s">
        <v>3182</v>
      </c>
      <c r="B1432" s="149" t="str">
        <f>IFERROR(VLOOKUP(Proc[[#This Row],[App]],Table2[],3,0),"open")</f>
        <v>ok</v>
      </c>
      <c r="C1432" s="84" t="s">
        <v>369</v>
      </c>
      <c r="D1432" t="s">
        <v>3184</v>
      </c>
      <c r="E1432" t="s">
        <v>3186</v>
      </c>
      <c r="F1432" s="117" t="s">
        <v>3186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3187</v>
      </c>
      <c r="J1432" s="69" t="b">
        <f>Proc[[#This Row],[Requested]]=Proc[[#This Row],[CurrentParent]]</f>
        <v>1</v>
      </c>
      <c r="K1432" s="144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>
      <c r="A1433" t="s">
        <v>3188</v>
      </c>
      <c r="B1433" s="149" t="str">
        <f>IFERROR(VLOOKUP(Proc[[#This Row],[App]],Table2[],3,0),"open")</f>
        <v>ok</v>
      </c>
      <c r="C1433" s="84" t="s">
        <v>369</v>
      </c>
      <c r="D1433" s="82" t="s">
        <v>3189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3190</v>
      </c>
      <c r="J1433" s="69" t="b">
        <f>Proc[[#This Row],[Requested]]=Proc[[#This Row],[CurrentParent]]</f>
        <v>1</v>
      </c>
      <c r="K1433" s="144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>
      <c r="A1434" t="s">
        <v>3191</v>
      </c>
      <c r="B1434" s="14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144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153</v>
      </c>
      <c r="R1434" s="80" t="s">
        <v>489</v>
      </c>
      <c r="S1434" s="69"/>
    </row>
    <row r="1435" spans="1:19">
      <c r="A1435" s="72" t="s">
        <v>3191</v>
      </c>
      <c r="B1435" s="14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144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153</v>
      </c>
      <c r="R1435" s="80" t="s">
        <v>489</v>
      </c>
      <c r="S1435" s="69"/>
    </row>
    <row r="1436" spans="1:19">
      <c r="A1436" s="72" t="s">
        <v>3191</v>
      </c>
      <c r="B1436" s="14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144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153</v>
      </c>
      <c r="R1436" s="80" t="s">
        <v>489</v>
      </c>
      <c r="S1436" s="69"/>
    </row>
    <row r="1437" spans="1:19">
      <c r="A1437" s="72" t="s">
        <v>3191</v>
      </c>
      <c r="B1437" s="14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144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153</v>
      </c>
      <c r="R1437" s="80" t="s">
        <v>489</v>
      </c>
      <c r="S1437" s="69"/>
    </row>
    <row r="1438" spans="1:19">
      <c r="A1438" s="72" t="s">
        <v>3191</v>
      </c>
      <c r="B1438" s="14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144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153</v>
      </c>
      <c r="R1438" s="80" t="s">
        <v>489</v>
      </c>
      <c r="S1438" s="69"/>
    </row>
    <row r="1439" spans="1:19">
      <c r="A1439" s="72" t="s">
        <v>3191</v>
      </c>
      <c r="B1439" s="14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144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153</v>
      </c>
      <c r="R1439" s="80" t="s">
        <v>489</v>
      </c>
      <c r="S1439" s="69"/>
    </row>
    <row r="1440" spans="1:19">
      <c r="A1440" s="72" t="s">
        <v>3191</v>
      </c>
      <c r="B1440" s="14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144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153</v>
      </c>
      <c r="R1440" s="80" t="s">
        <v>489</v>
      </c>
      <c r="S1440" s="69"/>
    </row>
    <row r="1441" spans="1:19">
      <c r="A1441" s="72" t="s">
        <v>3191</v>
      </c>
      <c r="B1441" s="14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144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153</v>
      </c>
      <c r="R1441" s="80" t="s">
        <v>489</v>
      </c>
      <c r="S1441" s="69"/>
    </row>
    <row r="1442" spans="1:19">
      <c r="A1442" s="72" t="s">
        <v>3191</v>
      </c>
      <c r="B1442" s="14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144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153</v>
      </c>
      <c r="R1442" s="80" t="s">
        <v>489</v>
      </c>
      <c r="S1442" s="69"/>
    </row>
    <row r="1443" spans="1:19">
      <c r="A1443" s="72" t="s">
        <v>3191</v>
      </c>
      <c r="B1443" s="14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144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153</v>
      </c>
      <c r="R1443" s="80" t="s">
        <v>489</v>
      </c>
      <c r="S1443" s="69"/>
    </row>
    <row r="1444" spans="1:19">
      <c r="A1444" s="72" t="s">
        <v>3191</v>
      </c>
      <c r="B1444" s="14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144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153</v>
      </c>
      <c r="R1444" s="80" t="s">
        <v>489</v>
      </c>
      <c r="S1444" s="69"/>
    </row>
    <row r="1445" spans="1:19">
      <c r="A1445" s="72" t="s">
        <v>3191</v>
      </c>
      <c r="B1445" s="149" t="str">
        <f>IFERROR(VLOOKUP(Proc[[#This Row],[App]],Table2[],3,0),"open")</f>
        <v>ok</v>
      </c>
      <c r="C1445" s="84" t="s">
        <v>369</v>
      </c>
      <c r="D1445" t="s">
        <v>3192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144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153</v>
      </c>
      <c r="R1445" s="80" t="s">
        <v>489</v>
      </c>
      <c r="S1445" s="69"/>
    </row>
    <row r="1446" spans="1:19">
      <c r="A1446" s="72" t="s">
        <v>3191</v>
      </c>
      <c r="B1446" s="149" t="str">
        <f>IFERROR(VLOOKUP(Proc[[#This Row],[App]],Table2[],3,0),"open")</f>
        <v>ok</v>
      </c>
      <c r="C1446" s="84" t="s">
        <v>369</v>
      </c>
      <c r="D1446" t="s">
        <v>3193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144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153</v>
      </c>
      <c r="R1446" s="80" t="s">
        <v>489</v>
      </c>
      <c r="S1446" s="69"/>
    </row>
    <row r="1447" spans="1:19">
      <c r="A1447" s="72" t="s">
        <v>3191</v>
      </c>
      <c r="B1447" s="149" t="str">
        <f>IFERROR(VLOOKUP(Proc[[#This Row],[App]],Table2[],3,0),"open")</f>
        <v>ok</v>
      </c>
      <c r="C1447" s="84" t="s">
        <v>369</v>
      </c>
      <c r="D1447" t="s">
        <v>3194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144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153</v>
      </c>
      <c r="R1447" s="80" t="s">
        <v>489</v>
      </c>
      <c r="S1447" s="69"/>
    </row>
    <row r="1448" spans="1:19">
      <c r="A1448" s="72" t="s">
        <v>3191</v>
      </c>
      <c r="B1448" s="149" t="str">
        <f>IFERROR(VLOOKUP(Proc[[#This Row],[App]],Table2[],3,0),"open")</f>
        <v>ok</v>
      </c>
      <c r="C1448" s="84" t="s">
        <v>369</v>
      </c>
      <c r="D1448" t="s">
        <v>3195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144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153</v>
      </c>
      <c r="R1448" s="80" t="s">
        <v>489</v>
      </c>
      <c r="S1448" s="69"/>
    </row>
    <row r="1449" spans="1:19">
      <c r="A1449" s="72" t="s">
        <v>3191</v>
      </c>
      <c r="B1449" s="149" t="str">
        <f>IFERROR(VLOOKUP(Proc[[#This Row],[App]],Table2[],3,0),"open")</f>
        <v>ok</v>
      </c>
      <c r="C1449" s="84" t="s">
        <v>369</v>
      </c>
      <c r="D1449" t="s">
        <v>3196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144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153</v>
      </c>
      <c r="R1449" s="80" t="s">
        <v>489</v>
      </c>
      <c r="S1449" s="69"/>
    </row>
    <row r="1450" spans="1:19">
      <c r="A1450" s="72" t="s">
        <v>3191</v>
      </c>
      <c r="B1450" s="149" t="str">
        <f>IFERROR(VLOOKUP(Proc[[#This Row],[App]],Table2[],3,0),"open")</f>
        <v>ok</v>
      </c>
      <c r="C1450" s="84" t="s">
        <v>369</v>
      </c>
      <c r="D1450" t="s">
        <v>3200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144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153</v>
      </c>
      <c r="R1450" s="80" t="s">
        <v>489</v>
      </c>
      <c r="S1450" s="69"/>
    </row>
    <row r="1451" spans="1:19">
      <c r="A1451" s="72" t="s">
        <v>3191</v>
      </c>
      <c r="B1451" s="149" t="str">
        <f>IFERROR(VLOOKUP(Proc[[#This Row],[App]],Table2[],3,0),"open")</f>
        <v>ok</v>
      </c>
      <c r="C1451" s="84" t="s">
        <v>369</v>
      </c>
      <c r="D1451" t="s">
        <v>3197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144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153</v>
      </c>
      <c r="R1451" s="80" t="s">
        <v>489</v>
      </c>
      <c r="S1451" s="69"/>
    </row>
    <row r="1452" spans="1:19">
      <c r="A1452" s="72" t="s">
        <v>3191</v>
      </c>
      <c r="B1452" s="149" t="str">
        <f>IFERROR(VLOOKUP(Proc[[#This Row],[App]],Table2[],3,0),"open")</f>
        <v>ok</v>
      </c>
      <c r="C1452" s="84" t="s">
        <v>369</v>
      </c>
      <c r="D1452" t="s">
        <v>3198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144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153</v>
      </c>
      <c r="R1452" s="80" t="s">
        <v>489</v>
      </c>
      <c r="S1452" s="69"/>
    </row>
    <row r="1453" spans="1:19">
      <c r="A1453" s="72" t="s">
        <v>3191</v>
      </c>
      <c r="B1453" s="149" t="str">
        <f>IFERROR(VLOOKUP(Proc[[#This Row],[App]],Table2[],3,0),"open")</f>
        <v>ok</v>
      </c>
      <c r="C1453" s="84" t="s">
        <v>369</v>
      </c>
      <c r="D1453" t="s">
        <v>3199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144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153</v>
      </c>
      <c r="R1453" s="80" t="s">
        <v>489</v>
      </c>
      <c r="S1453" s="69"/>
    </row>
    <row r="1454" spans="1:19">
      <c r="A1454" t="s">
        <v>3201</v>
      </c>
      <c r="B1454" s="149" t="str">
        <f>IFERROR(VLOOKUP(Proc[[#This Row],[App]],Table2[],3,0),"open")</f>
        <v>ok</v>
      </c>
      <c r="C1454" t="s">
        <v>369</v>
      </c>
      <c r="D1454" t="s">
        <v>3202</v>
      </c>
      <c r="E1454" s="84" t="s">
        <v>3227</v>
      </c>
      <c r="F1454" s="117" t="s">
        <v>3227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3285</v>
      </c>
      <c r="J1454" s="85" t="b">
        <f>Proc[[#This Row],[Requested]]=Proc[[#This Row],[CurrentParent]]</f>
        <v>1</v>
      </c>
      <c r="K1454" s="144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>
      <c r="A1455" s="84" t="s">
        <v>3201</v>
      </c>
      <c r="B1455" s="149" t="str">
        <f>IFERROR(VLOOKUP(Proc[[#This Row],[App]],Table2[],3,0),"open")</f>
        <v>ok</v>
      </c>
      <c r="C1455" s="84" t="s">
        <v>369</v>
      </c>
      <c r="D1455" t="s">
        <v>3203</v>
      </c>
      <c r="E1455" s="84" t="s">
        <v>3227</v>
      </c>
      <c r="F1455" s="117" t="s">
        <v>3227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3285</v>
      </c>
      <c r="J1455" s="85" t="b">
        <f>Proc[[#This Row],[Requested]]=Proc[[#This Row],[CurrentParent]]</f>
        <v>1</v>
      </c>
      <c r="K1455" s="144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>
      <c r="A1456" s="84" t="s">
        <v>3201</v>
      </c>
      <c r="B1456" s="149" t="str">
        <f>IFERROR(VLOOKUP(Proc[[#This Row],[App]],Table2[],3,0),"open")</f>
        <v>ok</v>
      </c>
      <c r="C1456" s="84" t="s">
        <v>369</v>
      </c>
      <c r="D1456" t="s">
        <v>3204</v>
      </c>
      <c r="E1456" t="s">
        <v>3227</v>
      </c>
      <c r="F1456" s="117" t="s">
        <v>3227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3285</v>
      </c>
      <c r="J1456" s="85" t="b">
        <f>Proc[[#This Row],[Requested]]=Proc[[#This Row],[CurrentParent]]</f>
        <v>1</v>
      </c>
      <c r="K1456" s="144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>
      <c r="A1457" s="84" t="s">
        <v>3201</v>
      </c>
      <c r="B1457" s="149" t="str">
        <f>IFERROR(VLOOKUP(Proc[[#This Row],[App]],Table2[],3,0),"open")</f>
        <v>ok</v>
      </c>
      <c r="C1457" s="84" t="s">
        <v>369</v>
      </c>
      <c r="D1457" t="s">
        <v>3205</v>
      </c>
      <c r="E1457" t="s">
        <v>3226</v>
      </c>
      <c r="F1457" s="117" t="s">
        <v>3226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3285</v>
      </c>
      <c r="J1457" s="85" t="b">
        <f>Proc[[#This Row],[Requested]]=Proc[[#This Row],[CurrentParent]]</f>
        <v>1</v>
      </c>
      <c r="K1457" s="144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>
      <c r="A1458" s="84" t="s">
        <v>3201</v>
      </c>
      <c r="B1458" s="149" t="str">
        <f>IFERROR(VLOOKUP(Proc[[#This Row],[App]],Table2[],3,0),"open")</f>
        <v>ok</v>
      </c>
      <c r="C1458" s="84" t="s">
        <v>369</v>
      </c>
      <c r="D1458" t="s">
        <v>3206</v>
      </c>
      <c r="E1458" t="s">
        <v>3225</v>
      </c>
      <c r="F1458" s="117" t="s">
        <v>3225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144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>
      <c r="A1459" s="84" t="s">
        <v>3201</v>
      </c>
      <c r="B1459" s="149" t="str">
        <f>IFERROR(VLOOKUP(Proc[[#This Row],[App]],Table2[],3,0),"open")</f>
        <v>ok</v>
      </c>
      <c r="C1459" s="84" t="s">
        <v>369</v>
      </c>
      <c r="D1459" t="s">
        <v>3207</v>
      </c>
      <c r="E1459" s="84" t="s">
        <v>3225</v>
      </c>
      <c r="F1459" s="117" t="s">
        <v>3225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144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>
      <c r="A1460" s="84" t="s">
        <v>3201</v>
      </c>
      <c r="B1460" s="149" t="str">
        <f>IFERROR(VLOOKUP(Proc[[#This Row],[App]],Table2[],3,0),"open")</f>
        <v>ok</v>
      </c>
      <c r="C1460" s="84" t="s">
        <v>369</v>
      </c>
      <c r="D1460" t="s">
        <v>3208</v>
      </c>
      <c r="E1460" s="84" t="s">
        <v>3225</v>
      </c>
      <c r="F1460" s="117" t="s">
        <v>3225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3285</v>
      </c>
      <c r="J1460" s="85" t="b">
        <f>Proc[[#This Row],[Requested]]=Proc[[#This Row],[CurrentParent]]</f>
        <v>1</v>
      </c>
      <c r="K1460" s="144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>
      <c r="A1461" s="84" t="s">
        <v>3201</v>
      </c>
      <c r="B1461" s="149" t="str">
        <f>IFERROR(VLOOKUP(Proc[[#This Row],[App]],Table2[],3,0),"open")</f>
        <v>ok</v>
      </c>
      <c r="C1461" s="84" t="s">
        <v>369</v>
      </c>
      <c r="D1461" t="s">
        <v>3209</v>
      </c>
      <c r="E1461" s="84" t="s">
        <v>3225</v>
      </c>
      <c r="F1461" s="117" t="s">
        <v>3225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3285</v>
      </c>
      <c r="J1461" s="85" t="b">
        <f>Proc[[#This Row],[Requested]]=Proc[[#This Row],[CurrentParent]]</f>
        <v>1</v>
      </c>
      <c r="K1461" s="144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>
      <c r="A1462" s="84" t="s">
        <v>3201</v>
      </c>
      <c r="B1462" s="149" t="str">
        <f>IFERROR(VLOOKUP(Proc[[#This Row],[App]],Table2[],3,0),"open")</f>
        <v>ok</v>
      </c>
      <c r="C1462" s="84" t="s">
        <v>369</v>
      </c>
      <c r="D1462" t="s">
        <v>3210</v>
      </c>
      <c r="E1462" s="84" t="s">
        <v>3225</v>
      </c>
      <c r="F1462" s="117" t="s">
        <v>3225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3285</v>
      </c>
      <c r="J1462" s="85" t="b">
        <f>Proc[[#This Row],[Requested]]=Proc[[#This Row],[CurrentParent]]</f>
        <v>1</v>
      </c>
      <c r="K1462" s="144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>
      <c r="A1463" s="84" t="s">
        <v>3201</v>
      </c>
      <c r="B1463" s="149" t="str">
        <f>IFERROR(VLOOKUP(Proc[[#This Row],[App]],Table2[],3,0),"open")</f>
        <v>ok</v>
      </c>
      <c r="C1463" s="84" t="s">
        <v>369</v>
      </c>
      <c r="D1463" t="s">
        <v>3211</v>
      </c>
      <c r="E1463" s="84" t="s">
        <v>3225</v>
      </c>
      <c r="F1463" s="117" t="s">
        <v>3225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3285</v>
      </c>
      <c r="J1463" s="85" t="b">
        <f>Proc[[#This Row],[Requested]]=Proc[[#This Row],[CurrentParent]]</f>
        <v>1</v>
      </c>
      <c r="K1463" s="144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>
      <c r="A1464" s="84" t="s">
        <v>3201</v>
      </c>
      <c r="B1464" s="149" t="str">
        <f>IFERROR(VLOOKUP(Proc[[#This Row],[App]],Table2[],3,0),"open")</f>
        <v>ok</v>
      </c>
      <c r="C1464" s="84" t="s">
        <v>369</v>
      </c>
      <c r="D1464" t="s">
        <v>3212</v>
      </c>
      <c r="E1464" s="84" t="s">
        <v>3225</v>
      </c>
      <c r="F1464" s="117" t="s">
        <v>3225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3285</v>
      </c>
      <c r="J1464" s="85" t="b">
        <f>Proc[[#This Row],[Requested]]=Proc[[#This Row],[CurrentParent]]</f>
        <v>1</v>
      </c>
      <c r="K1464" s="144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>
      <c r="A1465" s="84" t="s">
        <v>3201</v>
      </c>
      <c r="B1465" s="149" t="str">
        <f>IFERROR(VLOOKUP(Proc[[#This Row],[App]],Table2[],3,0),"open")</f>
        <v>ok</v>
      </c>
      <c r="C1465" s="84" t="s">
        <v>369</v>
      </c>
      <c r="D1465" t="s">
        <v>3213</v>
      </c>
      <c r="E1465" s="84" t="s">
        <v>3225</v>
      </c>
      <c r="F1465" s="117" t="s">
        <v>3225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3285</v>
      </c>
      <c r="J1465" s="85" t="b">
        <f>Proc[[#This Row],[Requested]]=Proc[[#This Row],[CurrentParent]]</f>
        <v>1</v>
      </c>
      <c r="K1465" s="144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>
      <c r="A1466" s="84" t="s">
        <v>3201</v>
      </c>
      <c r="B1466" s="149" t="str">
        <f>IFERROR(VLOOKUP(Proc[[#This Row],[App]],Table2[],3,0),"open")</f>
        <v>ok</v>
      </c>
      <c r="C1466" s="84" t="s">
        <v>369</v>
      </c>
      <c r="D1466" t="s">
        <v>3214</v>
      </c>
      <c r="E1466" s="84" t="s">
        <v>3225</v>
      </c>
      <c r="F1466" s="117" t="s">
        <v>3225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3286</v>
      </c>
      <c r="J1466" s="85" t="b">
        <f>Proc[[#This Row],[Requested]]=Proc[[#This Row],[CurrentParent]]</f>
        <v>1</v>
      </c>
      <c r="K1466" s="144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>
      <c r="A1467" s="84" t="s">
        <v>3201</v>
      </c>
      <c r="B1467" s="149" t="str">
        <f>IFERROR(VLOOKUP(Proc[[#This Row],[App]],Table2[],3,0),"open")</f>
        <v>ok</v>
      </c>
      <c r="C1467" s="84" t="s">
        <v>369</v>
      </c>
      <c r="D1467" t="s">
        <v>3215</v>
      </c>
      <c r="E1467" s="84" t="s">
        <v>3225</v>
      </c>
      <c r="F1467" s="117" t="s">
        <v>3225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3285</v>
      </c>
      <c r="J1467" s="85" t="b">
        <f>Proc[[#This Row],[Requested]]=Proc[[#This Row],[CurrentParent]]</f>
        <v>1</v>
      </c>
      <c r="K1467" s="144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>
      <c r="A1468" s="84" t="s">
        <v>3201</v>
      </c>
      <c r="B1468" s="149" t="str">
        <f>IFERROR(VLOOKUP(Proc[[#This Row],[App]],Table2[],3,0),"open")</f>
        <v>ok</v>
      </c>
      <c r="C1468" s="84" t="s">
        <v>369</v>
      </c>
      <c r="D1468" t="s">
        <v>3216</v>
      </c>
      <c r="E1468" s="84" t="s">
        <v>3225</v>
      </c>
      <c r="F1468" s="117" t="s">
        <v>3225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144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>
      <c r="A1469" s="84" t="s">
        <v>3201</v>
      </c>
      <c r="B1469" s="149" t="str">
        <f>IFERROR(VLOOKUP(Proc[[#This Row],[App]],Table2[],3,0),"open")</f>
        <v>ok</v>
      </c>
      <c r="C1469" s="84" t="s">
        <v>369</v>
      </c>
      <c r="D1469" t="s">
        <v>3217</v>
      </c>
      <c r="E1469" s="84" t="s">
        <v>3225</v>
      </c>
      <c r="F1469" s="117" t="s">
        <v>3225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144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>
      <c r="A1470" s="84" t="s">
        <v>3201</v>
      </c>
      <c r="B1470" s="149" t="str">
        <f>IFERROR(VLOOKUP(Proc[[#This Row],[App]],Table2[],3,0),"open")</f>
        <v>ok</v>
      </c>
      <c r="C1470" s="84" t="s">
        <v>369</v>
      </c>
      <c r="D1470" t="s">
        <v>3218</v>
      </c>
      <c r="E1470" s="84" t="s">
        <v>3225</v>
      </c>
      <c r="F1470" s="117" t="s">
        <v>3225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144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>
      <c r="A1471" s="84" t="s">
        <v>3201</v>
      </c>
      <c r="B1471" s="149" t="str">
        <f>IFERROR(VLOOKUP(Proc[[#This Row],[App]],Table2[],3,0),"open")</f>
        <v>ok</v>
      </c>
      <c r="C1471" s="84" t="s">
        <v>369</v>
      </c>
      <c r="D1471" t="s">
        <v>3219</v>
      </c>
      <c r="E1471" s="84" t="s">
        <v>3225</v>
      </c>
      <c r="F1471" s="117" t="s">
        <v>3225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144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>
      <c r="A1472" s="84" t="s">
        <v>3201</v>
      </c>
      <c r="B1472" s="149" t="str">
        <f>IFERROR(VLOOKUP(Proc[[#This Row],[App]],Table2[],3,0),"open")</f>
        <v>ok</v>
      </c>
      <c r="C1472" s="84" t="s">
        <v>369</v>
      </c>
      <c r="D1472" t="s">
        <v>3220</v>
      </c>
      <c r="E1472" s="84" t="s">
        <v>3225</v>
      </c>
      <c r="F1472" s="117" t="s">
        <v>3225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144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>
      <c r="A1473" s="84" t="s">
        <v>3201</v>
      </c>
      <c r="B1473" s="149" t="str">
        <f>IFERROR(VLOOKUP(Proc[[#This Row],[App]],Table2[],3,0),"open")</f>
        <v>ok</v>
      </c>
      <c r="C1473" s="84" t="s">
        <v>369</v>
      </c>
      <c r="D1473" t="s">
        <v>3221</v>
      </c>
      <c r="E1473" s="84" t="s">
        <v>3225</v>
      </c>
      <c r="F1473" s="117" t="s">
        <v>3225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144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>
      <c r="A1474" s="84" t="s">
        <v>3201</v>
      </c>
      <c r="B1474" s="149" t="str">
        <f>IFERROR(VLOOKUP(Proc[[#This Row],[App]],Table2[],3,0),"open")</f>
        <v>ok</v>
      </c>
      <c r="C1474" s="84" t="s">
        <v>369</v>
      </c>
      <c r="D1474" t="s">
        <v>3222</v>
      </c>
      <c r="E1474" s="84" t="s">
        <v>3225</v>
      </c>
      <c r="F1474" s="117" t="s">
        <v>3225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144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>
      <c r="A1475" s="84" t="s">
        <v>3201</v>
      </c>
      <c r="B1475" s="149" t="str">
        <f>IFERROR(VLOOKUP(Proc[[#This Row],[App]],Table2[],3,0),"open")</f>
        <v>ok</v>
      </c>
      <c r="C1475" s="84" t="s">
        <v>369</v>
      </c>
      <c r="D1475" t="s">
        <v>3223</v>
      </c>
      <c r="E1475" s="84" t="s">
        <v>3225</v>
      </c>
      <c r="F1475" s="117" t="s">
        <v>3225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144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>
      <c r="A1476" s="84" t="s">
        <v>3201</v>
      </c>
      <c r="B1476" s="149" t="str">
        <f>IFERROR(VLOOKUP(Proc[[#This Row],[App]],Table2[],3,0),"open")</f>
        <v>ok</v>
      </c>
      <c r="C1476" s="84" t="s">
        <v>369</v>
      </c>
      <c r="D1476" t="s">
        <v>3224</v>
      </c>
      <c r="E1476" s="84" t="s">
        <v>3225</v>
      </c>
      <c r="F1476" s="117" t="s">
        <v>3225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144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>
      <c r="A1477" t="s">
        <v>3228</v>
      </c>
      <c r="B1477" s="149" t="str">
        <f>IFERROR(VLOOKUP(Proc[[#This Row],[App]],Table2[],3,0),"open")</f>
        <v>ok</v>
      </c>
      <c r="C1477" s="84" t="s">
        <v>369</v>
      </c>
      <c r="D1477" t="s">
        <v>3229</v>
      </c>
      <c r="E1477" t="s">
        <v>3248</v>
      </c>
      <c r="F1477" s="117" t="s">
        <v>3248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3259</v>
      </c>
      <c r="J1477" s="85" t="b">
        <f>Proc[[#This Row],[Requested]]=Proc[[#This Row],[CurrentParent]]</f>
        <v>1</v>
      </c>
      <c r="K1477" s="144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>
      <c r="A1478" s="84" t="s">
        <v>3228</v>
      </c>
      <c r="B1478" s="149" t="str">
        <f>IFERROR(VLOOKUP(Proc[[#This Row],[App]],Table2[],3,0),"open")</f>
        <v>ok</v>
      </c>
      <c r="C1478" s="84" t="s">
        <v>369</v>
      </c>
      <c r="D1478" t="s">
        <v>3230</v>
      </c>
      <c r="E1478" t="s">
        <v>3249</v>
      </c>
      <c r="F1478" s="117" t="s">
        <v>3249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3259</v>
      </c>
      <c r="J1478" s="85" t="b">
        <f>Proc[[#This Row],[Requested]]=Proc[[#This Row],[CurrentParent]]</f>
        <v>1</v>
      </c>
      <c r="K1478" s="144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>
      <c r="A1479" s="84" t="s">
        <v>3228</v>
      </c>
      <c r="B1479" s="149" t="str">
        <f>IFERROR(VLOOKUP(Proc[[#This Row],[App]],Table2[],3,0),"open")</f>
        <v>ok</v>
      </c>
      <c r="C1479" s="84" t="s">
        <v>369</v>
      </c>
      <c r="D1479" t="s">
        <v>3231</v>
      </c>
      <c r="E1479" t="s">
        <v>3250</v>
      </c>
      <c r="F1479" s="117" t="s">
        <v>3250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3259</v>
      </c>
      <c r="J1479" s="85" t="b">
        <f>Proc[[#This Row],[Requested]]=Proc[[#This Row],[CurrentParent]]</f>
        <v>1</v>
      </c>
      <c r="K1479" s="144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>
      <c r="A1480" s="84" t="s">
        <v>3228</v>
      </c>
      <c r="B1480" s="149" t="str">
        <f>IFERROR(VLOOKUP(Proc[[#This Row],[App]],Table2[],3,0),"open")</f>
        <v>ok</v>
      </c>
      <c r="C1480" s="84" t="s">
        <v>369</v>
      </c>
      <c r="D1480" t="s">
        <v>3232</v>
      </c>
      <c r="E1480" t="s">
        <v>3250</v>
      </c>
      <c r="F1480" s="117" t="s">
        <v>3250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3259</v>
      </c>
      <c r="J1480" s="85" t="b">
        <f>Proc[[#This Row],[Requested]]=Proc[[#This Row],[CurrentParent]]</f>
        <v>1</v>
      </c>
      <c r="K1480" s="144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>
      <c r="A1481" s="84" t="s">
        <v>3228</v>
      </c>
      <c r="B1481" s="149" t="str">
        <f>IFERROR(VLOOKUP(Proc[[#This Row],[App]],Table2[],3,0),"open")</f>
        <v>ok</v>
      </c>
      <c r="C1481" s="84" t="s">
        <v>369</v>
      </c>
      <c r="D1481" t="s">
        <v>3233</v>
      </c>
      <c r="E1481" t="s">
        <v>3249</v>
      </c>
      <c r="F1481" s="117" t="s">
        <v>3249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3259</v>
      </c>
      <c r="J1481" s="85" t="b">
        <f>Proc[[#This Row],[Requested]]=Proc[[#This Row],[CurrentParent]]</f>
        <v>1</v>
      </c>
      <c r="K1481" s="144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>
      <c r="A1482" s="84" t="s">
        <v>3228</v>
      </c>
      <c r="B1482" s="149" t="str">
        <f>IFERROR(VLOOKUP(Proc[[#This Row],[App]],Table2[],3,0),"open")</f>
        <v>ok</v>
      </c>
      <c r="C1482" s="84" t="s">
        <v>369</v>
      </c>
      <c r="D1482" t="s">
        <v>3234</v>
      </c>
      <c r="E1482" t="s">
        <v>3251</v>
      </c>
      <c r="F1482" s="117" t="s">
        <v>3251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3259</v>
      </c>
      <c r="J1482" s="85" t="b">
        <f>Proc[[#This Row],[Requested]]=Proc[[#This Row],[CurrentParent]]</f>
        <v>1</v>
      </c>
      <c r="K1482" s="144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>
      <c r="A1483" s="84" t="s">
        <v>3228</v>
      </c>
      <c r="B1483" s="149" t="str">
        <f>IFERROR(VLOOKUP(Proc[[#This Row],[App]],Table2[],3,0),"open")</f>
        <v>ok</v>
      </c>
      <c r="C1483" s="84" t="s">
        <v>369</v>
      </c>
      <c r="D1483" t="s">
        <v>3235</v>
      </c>
      <c r="E1483" t="s">
        <v>3252</v>
      </c>
      <c r="F1483" s="117" t="s">
        <v>3252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3259</v>
      </c>
      <c r="J1483" s="85" t="b">
        <f>Proc[[#This Row],[Requested]]=Proc[[#This Row],[CurrentParent]]</f>
        <v>1</v>
      </c>
      <c r="K1483" s="144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>
      <c r="A1484" s="84" t="s">
        <v>3228</v>
      </c>
      <c r="B1484" s="149" t="str">
        <f>IFERROR(VLOOKUP(Proc[[#This Row],[App]],Table2[],3,0),"open")</f>
        <v>ok</v>
      </c>
      <c r="C1484" s="84" t="s">
        <v>369</v>
      </c>
      <c r="D1484" t="s">
        <v>3236</v>
      </c>
      <c r="E1484" t="s">
        <v>3253</v>
      </c>
      <c r="F1484" s="117" t="s">
        <v>3253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3259</v>
      </c>
      <c r="J1484" s="85" t="b">
        <f>Proc[[#This Row],[Requested]]=Proc[[#This Row],[CurrentParent]]</f>
        <v>1</v>
      </c>
      <c r="K1484" s="144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>
      <c r="A1485" s="84" t="s">
        <v>3228</v>
      </c>
      <c r="B1485" s="149" t="str">
        <f>IFERROR(VLOOKUP(Proc[[#This Row],[App]],Table2[],3,0),"open")</f>
        <v>ok</v>
      </c>
      <c r="C1485" s="84" t="s">
        <v>369</v>
      </c>
      <c r="D1485" t="s">
        <v>3237</v>
      </c>
      <c r="E1485" t="s">
        <v>3249</v>
      </c>
      <c r="F1485" s="117" t="s">
        <v>3249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3259</v>
      </c>
      <c r="J1485" s="85" t="b">
        <f>Proc[[#This Row],[Requested]]=Proc[[#This Row],[CurrentParent]]</f>
        <v>1</v>
      </c>
      <c r="K1485" s="144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>
      <c r="A1486" s="84" t="s">
        <v>3228</v>
      </c>
      <c r="B1486" s="149" t="str">
        <f>IFERROR(VLOOKUP(Proc[[#This Row],[App]],Table2[],3,0),"open")</f>
        <v>ok</v>
      </c>
      <c r="C1486" s="84" t="s">
        <v>369</v>
      </c>
      <c r="D1486" t="s">
        <v>3238</v>
      </c>
      <c r="E1486" t="s">
        <v>3248</v>
      </c>
      <c r="F1486" s="117" t="s">
        <v>3248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3259</v>
      </c>
      <c r="J1486" s="85" t="b">
        <f>Proc[[#This Row],[Requested]]=Proc[[#This Row],[CurrentParent]]</f>
        <v>1</v>
      </c>
      <c r="K1486" s="144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>
      <c r="A1487" s="84" t="s">
        <v>3228</v>
      </c>
      <c r="B1487" s="149" t="str">
        <f>IFERROR(VLOOKUP(Proc[[#This Row],[App]],Table2[],3,0),"open")</f>
        <v>ok</v>
      </c>
      <c r="C1487" s="84" t="s">
        <v>369</v>
      </c>
      <c r="D1487" t="s">
        <v>3239</v>
      </c>
      <c r="E1487" t="s">
        <v>3254</v>
      </c>
      <c r="F1487" s="117" t="s">
        <v>3254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3259</v>
      </c>
      <c r="J1487" s="85" t="b">
        <f>Proc[[#This Row],[Requested]]=Proc[[#This Row],[CurrentParent]]</f>
        <v>1</v>
      </c>
      <c r="K1487" s="144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>
      <c r="A1488" s="84" t="s">
        <v>3228</v>
      </c>
      <c r="B1488" s="149" t="str">
        <f>IFERROR(VLOOKUP(Proc[[#This Row],[App]],Table2[],3,0),"open")</f>
        <v>ok</v>
      </c>
      <c r="C1488" s="84" t="s">
        <v>369</v>
      </c>
      <c r="D1488" t="s">
        <v>3240</v>
      </c>
      <c r="E1488" t="s">
        <v>3253</v>
      </c>
      <c r="F1488" s="117" t="s">
        <v>3253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3259</v>
      </c>
      <c r="J1488" s="85" t="b">
        <f>Proc[[#This Row],[Requested]]=Proc[[#This Row],[CurrentParent]]</f>
        <v>1</v>
      </c>
      <c r="K1488" s="144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>
      <c r="A1489" s="84" t="s">
        <v>3228</v>
      </c>
      <c r="B1489" s="149" t="str">
        <f>IFERROR(VLOOKUP(Proc[[#This Row],[App]],Table2[],3,0),"open")</f>
        <v>ok</v>
      </c>
      <c r="C1489" s="84" t="s">
        <v>369</v>
      </c>
      <c r="D1489" t="s">
        <v>3241</v>
      </c>
      <c r="E1489" t="s">
        <v>3248</v>
      </c>
      <c r="F1489" s="117" t="s">
        <v>3248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3259</v>
      </c>
      <c r="J1489" s="85" t="b">
        <f>Proc[[#This Row],[Requested]]=Proc[[#This Row],[CurrentParent]]</f>
        <v>1</v>
      </c>
      <c r="K1489" s="144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>
      <c r="A1490" s="84" t="s">
        <v>3228</v>
      </c>
      <c r="B1490" s="149" t="str">
        <f>IFERROR(VLOOKUP(Proc[[#This Row],[App]],Table2[],3,0),"open")</f>
        <v>ok</v>
      </c>
      <c r="C1490" s="84" t="s">
        <v>369</v>
      </c>
      <c r="D1490" t="s">
        <v>3242</v>
      </c>
      <c r="E1490" t="s">
        <v>3249</v>
      </c>
      <c r="F1490" s="117" t="s">
        <v>3249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3259</v>
      </c>
      <c r="J1490" s="85" t="b">
        <f>Proc[[#This Row],[Requested]]=Proc[[#This Row],[CurrentParent]]</f>
        <v>1</v>
      </c>
      <c r="K1490" s="144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>
      <c r="A1491" s="84" t="s">
        <v>3228</v>
      </c>
      <c r="B1491" s="149" t="str">
        <f>IFERROR(VLOOKUP(Proc[[#This Row],[App]],Table2[],3,0),"open")</f>
        <v>ok</v>
      </c>
      <c r="C1491" s="84" t="s">
        <v>369</v>
      </c>
      <c r="D1491" t="s">
        <v>3243</v>
      </c>
      <c r="E1491" t="s">
        <v>3248</v>
      </c>
      <c r="F1491" s="117" t="s">
        <v>3248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144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>
      <c r="A1492" s="84" t="s">
        <v>3228</v>
      </c>
      <c r="B1492" s="149" t="str">
        <f>IFERROR(VLOOKUP(Proc[[#This Row],[App]],Table2[],3,0),"open")</f>
        <v>ok</v>
      </c>
      <c r="C1492" s="84" t="s">
        <v>369</v>
      </c>
      <c r="D1492" t="s">
        <v>3244</v>
      </c>
      <c r="E1492" t="s">
        <v>3249</v>
      </c>
      <c r="F1492" s="117" t="s">
        <v>3249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144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>
      <c r="A1493" s="84" t="s">
        <v>3228</v>
      </c>
      <c r="B1493" s="149" t="str">
        <f>IFERROR(VLOOKUP(Proc[[#This Row],[App]],Table2[],3,0),"open")</f>
        <v>ok</v>
      </c>
      <c r="C1493" s="84" t="s">
        <v>369</v>
      </c>
      <c r="D1493" t="s">
        <v>3245</v>
      </c>
      <c r="E1493" t="s">
        <v>3252</v>
      </c>
      <c r="F1493" s="117" t="s">
        <v>3252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144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>
      <c r="A1494" s="84" t="s">
        <v>3228</v>
      </c>
      <c r="B1494" s="149" t="str">
        <f>IFERROR(VLOOKUP(Proc[[#This Row],[App]],Table2[],3,0),"open")</f>
        <v>ok</v>
      </c>
      <c r="C1494" s="84" t="s">
        <v>369</v>
      </c>
      <c r="D1494" t="s">
        <v>3246</v>
      </c>
      <c r="E1494" t="s">
        <v>3248</v>
      </c>
      <c r="F1494" s="117" t="s">
        <v>3248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144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>
      <c r="A1495" s="84" t="s">
        <v>3228</v>
      </c>
      <c r="B1495" s="149" t="str">
        <f>IFERROR(VLOOKUP(Proc[[#This Row],[App]],Table2[],3,0),"open")</f>
        <v>ok</v>
      </c>
      <c r="C1495" s="84" t="s">
        <v>369</v>
      </c>
      <c r="D1495" t="s">
        <v>3247</v>
      </c>
      <c r="E1495" t="s">
        <v>3249</v>
      </c>
      <c r="F1495" s="117" t="s">
        <v>3249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144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>
      <c r="A1496" t="s">
        <v>3255</v>
      </c>
      <c r="B1496" s="149" t="str">
        <f>IFERROR(VLOOKUP(Proc[[#This Row],[App]],Table2[],3,0),"open")</f>
        <v>ok</v>
      </c>
      <c r="C1496" s="84" t="s">
        <v>369</v>
      </c>
      <c r="D1496" t="s">
        <v>2601</v>
      </c>
      <c r="E1496" t="s">
        <v>3257</v>
      </c>
      <c r="F1496" s="117" t="s">
        <v>3257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144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>
      <c r="A1497" s="84" t="s">
        <v>3255</v>
      </c>
      <c r="B1497" s="149" t="str">
        <f>IFERROR(VLOOKUP(Proc[[#This Row],[App]],Table2[],3,0),"open")</f>
        <v>ok</v>
      </c>
      <c r="C1497" s="84" t="s">
        <v>369</v>
      </c>
      <c r="D1497" t="s">
        <v>3256</v>
      </c>
      <c r="E1497" t="s">
        <v>3258</v>
      </c>
      <c r="F1497" s="117" t="s">
        <v>3258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144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>
      <c r="A1498" t="s">
        <v>3260</v>
      </c>
      <c r="B1498" s="149" t="str">
        <f>IFERROR(VLOOKUP(Proc[[#This Row],[App]],Table2[],3,0),"open")</f>
        <v>ok</v>
      </c>
      <c r="C1498" s="84" t="s">
        <v>369</v>
      </c>
      <c r="D1498" t="s">
        <v>3261</v>
      </c>
      <c r="E1498" t="s">
        <v>3264</v>
      </c>
      <c r="F1498" s="117" t="s">
        <v>3264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144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>
      <c r="A1499" s="84" t="s">
        <v>3260</v>
      </c>
      <c r="B1499" s="149" t="str">
        <f>IFERROR(VLOOKUP(Proc[[#This Row],[App]],Table2[],3,0),"open")</f>
        <v>ok</v>
      </c>
      <c r="C1499" s="84" t="s">
        <v>369</v>
      </c>
      <c r="D1499" t="s">
        <v>3262</v>
      </c>
      <c r="E1499" t="s">
        <v>3265</v>
      </c>
      <c r="F1499" s="117" t="s">
        <v>3265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144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>
      <c r="A1500" s="84" t="s">
        <v>3260</v>
      </c>
      <c r="B1500" s="149" t="str">
        <f>IFERROR(VLOOKUP(Proc[[#This Row],[App]],Table2[],3,0),"open")</f>
        <v>ok</v>
      </c>
      <c r="C1500" s="84" t="s">
        <v>369</v>
      </c>
      <c r="D1500" t="s">
        <v>3263</v>
      </c>
      <c r="E1500" t="s">
        <v>3266</v>
      </c>
      <c r="F1500" s="117" t="s">
        <v>3266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144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>
      <c r="A1501" t="s">
        <v>3267</v>
      </c>
      <c r="B1501" s="149" t="str">
        <f>IFERROR(VLOOKUP(Proc[[#This Row],[App]],Table2[],3,0),"open")</f>
        <v>ok</v>
      </c>
      <c r="C1501" s="84" t="s">
        <v>369</v>
      </c>
      <c r="D1501" t="s">
        <v>3268</v>
      </c>
      <c r="E1501" t="s">
        <v>3279</v>
      </c>
      <c r="F1501" s="117" t="s">
        <v>3279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144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3284</v>
      </c>
      <c r="S1501" s="85"/>
    </row>
    <row r="1502" spans="1:19">
      <c r="A1502" s="84" t="s">
        <v>3267</v>
      </c>
      <c r="B1502" s="149" t="str">
        <f>IFERROR(VLOOKUP(Proc[[#This Row],[App]],Table2[],3,0),"open")</f>
        <v>ok</v>
      </c>
      <c r="C1502" s="84" t="s">
        <v>369</v>
      </c>
      <c r="D1502" t="s">
        <v>3269</v>
      </c>
      <c r="E1502" t="s">
        <v>3280</v>
      </c>
      <c r="F1502" s="117" t="s">
        <v>3280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144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3284</v>
      </c>
      <c r="S1502" s="85"/>
    </row>
    <row r="1503" spans="1:19">
      <c r="A1503" s="84" t="s">
        <v>3267</v>
      </c>
      <c r="B1503" s="149" t="str">
        <f>IFERROR(VLOOKUP(Proc[[#This Row],[App]],Table2[],3,0),"open")</f>
        <v>ok</v>
      </c>
      <c r="C1503" s="84" t="s">
        <v>369</v>
      </c>
      <c r="D1503" t="s">
        <v>3270</v>
      </c>
      <c r="E1503" t="s">
        <v>3281</v>
      </c>
      <c r="F1503" s="117" t="s">
        <v>3281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144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3284</v>
      </c>
      <c r="S1503" s="85"/>
    </row>
    <row r="1504" spans="1:19">
      <c r="A1504" s="84" t="s">
        <v>3267</v>
      </c>
      <c r="B1504" s="149" t="str">
        <f>IFERROR(VLOOKUP(Proc[[#This Row],[App]],Table2[],3,0),"open")</f>
        <v>ok</v>
      </c>
      <c r="C1504" s="84" t="s">
        <v>369</v>
      </c>
      <c r="D1504" t="s">
        <v>3271</v>
      </c>
      <c r="E1504" t="s">
        <v>3282</v>
      </c>
      <c r="F1504" s="117" t="s">
        <v>3282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144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3284</v>
      </c>
      <c r="S1504" s="85"/>
    </row>
    <row r="1505" spans="1:19">
      <c r="A1505" s="84" t="s">
        <v>3267</v>
      </c>
      <c r="B1505" s="149" t="str">
        <f>IFERROR(VLOOKUP(Proc[[#This Row],[App]],Table2[],3,0),"open")</f>
        <v>ok</v>
      </c>
      <c r="C1505" s="84" t="s">
        <v>369</v>
      </c>
      <c r="D1505" t="s">
        <v>3272</v>
      </c>
      <c r="E1505" t="s">
        <v>3283</v>
      </c>
      <c r="F1505" s="117" t="s">
        <v>3283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144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3284</v>
      </c>
      <c r="S1505" s="85"/>
    </row>
    <row r="1506" spans="1:19">
      <c r="A1506" s="84" t="s">
        <v>3267</v>
      </c>
      <c r="B1506" s="149" t="str">
        <f>IFERROR(VLOOKUP(Proc[[#This Row],[App]],Table2[],3,0),"open")</f>
        <v>ok</v>
      </c>
      <c r="C1506" s="84" t="s">
        <v>369</v>
      </c>
      <c r="D1506" t="s">
        <v>3273</v>
      </c>
      <c r="E1506" t="s">
        <v>3283</v>
      </c>
      <c r="F1506" s="117" t="s">
        <v>3283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144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3284</v>
      </c>
      <c r="S1506" s="85"/>
    </row>
    <row r="1507" spans="1:19">
      <c r="A1507" s="84" t="s">
        <v>3267</v>
      </c>
      <c r="B1507" s="149" t="str">
        <f>IFERROR(VLOOKUP(Proc[[#This Row],[App]],Table2[],3,0),"open")</f>
        <v>ok</v>
      </c>
      <c r="C1507" s="84" t="s">
        <v>369</v>
      </c>
      <c r="D1507" t="s">
        <v>3274</v>
      </c>
      <c r="E1507" t="s">
        <v>3280</v>
      </c>
      <c r="F1507" s="117" t="s">
        <v>3280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144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3284</v>
      </c>
      <c r="S1507" s="85"/>
    </row>
    <row r="1508" spans="1:19">
      <c r="A1508" s="84" t="s">
        <v>3267</v>
      </c>
      <c r="B1508" s="149" t="str">
        <f>IFERROR(VLOOKUP(Proc[[#This Row],[App]],Table2[],3,0),"open")</f>
        <v>ok</v>
      </c>
      <c r="C1508" s="84" t="s">
        <v>369</v>
      </c>
      <c r="D1508" t="s">
        <v>3275</v>
      </c>
      <c r="E1508" t="s">
        <v>3280</v>
      </c>
      <c r="F1508" s="117" t="s">
        <v>3280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144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3284</v>
      </c>
      <c r="S1508" s="85"/>
    </row>
    <row r="1509" spans="1:19">
      <c r="A1509" s="84" t="s">
        <v>3267</v>
      </c>
      <c r="B1509" s="149" t="str">
        <f>IFERROR(VLOOKUP(Proc[[#This Row],[App]],Table2[],3,0),"open")</f>
        <v>ok</v>
      </c>
      <c r="C1509" s="84" t="s">
        <v>369</v>
      </c>
      <c r="D1509" t="s">
        <v>3276</v>
      </c>
      <c r="E1509" t="s">
        <v>3280</v>
      </c>
      <c r="F1509" s="117" t="s">
        <v>3280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144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3284</v>
      </c>
      <c r="S1509" s="85"/>
    </row>
    <row r="1510" spans="1:19">
      <c r="A1510" s="84" t="s">
        <v>3267</v>
      </c>
      <c r="B1510" s="149" t="str">
        <f>IFERROR(VLOOKUP(Proc[[#This Row],[App]],Table2[],3,0),"open")</f>
        <v>ok</v>
      </c>
      <c r="C1510" s="84" t="s">
        <v>369</v>
      </c>
      <c r="D1510" t="s">
        <v>3277</v>
      </c>
      <c r="E1510" t="s">
        <v>3280</v>
      </c>
      <c r="F1510" s="117" t="s">
        <v>3280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144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3284</v>
      </c>
      <c r="S1510" s="85"/>
    </row>
    <row r="1511" spans="1:19">
      <c r="A1511" s="84" t="s">
        <v>3267</v>
      </c>
      <c r="B1511" s="149" t="str">
        <f>IFERROR(VLOOKUP(Proc[[#This Row],[App]],Table2[],3,0),"open")</f>
        <v>ok</v>
      </c>
      <c r="C1511" s="84" t="s">
        <v>369</v>
      </c>
      <c r="D1511" t="s">
        <v>3278</v>
      </c>
      <c r="E1511" t="s">
        <v>3279</v>
      </c>
      <c r="F1511" s="117" t="s">
        <v>3279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144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3284</v>
      </c>
      <c r="S1511" s="85"/>
    </row>
    <row r="1512" spans="1:19">
      <c r="A1512" t="s">
        <v>3289</v>
      </c>
      <c r="B1512" s="149" t="str">
        <f>IFERROR(VLOOKUP(Proc[[#This Row],[App]],Table2[],3,0),"open")</f>
        <v>ok</v>
      </c>
      <c r="C1512" s="84" t="s">
        <v>369</v>
      </c>
      <c r="D1512" t="s">
        <v>3287</v>
      </c>
      <c r="E1512" t="s">
        <v>3288</v>
      </c>
      <c r="F1512" s="117" t="s">
        <v>3288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144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3290</v>
      </c>
      <c r="S1512" s="85"/>
    </row>
    <row r="1513" spans="1:19">
      <c r="A1513" t="s">
        <v>3291</v>
      </c>
      <c r="B1513" s="149" t="str">
        <f>IFERROR(VLOOKUP(Proc[[#This Row],[App]],Table2[],3,0),"open")</f>
        <v>ok</v>
      </c>
      <c r="C1513" s="84" t="s">
        <v>369</v>
      </c>
      <c r="D1513" t="s">
        <v>4135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4137</v>
      </c>
      <c r="J1513" s="85" t="b">
        <f>Proc[[#This Row],[Requested]]=Proc[[#This Row],[CurrentParent]]</f>
        <v>1</v>
      </c>
      <c r="K1513" s="144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150</v>
      </c>
      <c r="R1513" s="86" t="s">
        <v>515</v>
      </c>
      <c r="S1513" s="85"/>
    </row>
    <row r="1514" spans="1:19">
      <c r="A1514" s="84" t="s">
        <v>3291</v>
      </c>
      <c r="B1514" s="149" t="str">
        <f>IFERROR(VLOOKUP(Proc[[#This Row],[App]],Table2[],3,0),"open")</f>
        <v>ok</v>
      </c>
      <c r="C1514" s="103" t="s">
        <v>369</v>
      </c>
      <c r="D1514" t="s">
        <v>4136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4137</v>
      </c>
      <c r="J1514" s="85" t="b">
        <f>Proc[[#This Row],[Requested]]=Proc[[#This Row],[CurrentParent]]</f>
        <v>1</v>
      </c>
      <c r="K1514" s="144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150</v>
      </c>
      <c r="R1514" s="86" t="s">
        <v>515</v>
      </c>
      <c r="S1514" s="85"/>
    </row>
    <row r="1515" spans="1:19" s="103" customFormat="1">
      <c r="A1515" s="103" t="s">
        <v>3291</v>
      </c>
      <c r="B1515" s="149" t="str">
        <f>IFERROR(VLOOKUP(Proc[[#This Row],[App]],Table2[],3,0),"open")</f>
        <v>ok</v>
      </c>
      <c r="C1515" s="65" t="s">
        <v>369</v>
      </c>
      <c r="D1515" s="103" t="s">
        <v>4134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4137</v>
      </c>
      <c r="J1515" s="94" t="b">
        <f>Proc[[#This Row],[Requested]]=Proc[[#This Row],[CurrentParent]]</f>
        <v>1</v>
      </c>
      <c r="K1515" s="14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>
      <c r="A1516" s="103" t="s">
        <v>3291</v>
      </c>
      <c r="B1516" s="149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4138</v>
      </c>
      <c r="J1516" s="94" t="b">
        <f>Proc[[#This Row],[Requested]]=Proc[[#This Row],[CurrentParent]]</f>
        <v>1</v>
      </c>
      <c r="K1516" s="14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>
      <c r="A1517" t="s">
        <v>3292</v>
      </c>
      <c r="B1517" s="149" t="str">
        <f>IFERROR(VLOOKUP(Proc[[#This Row],[App]],Table2[],3,0),"open")</f>
        <v>ok</v>
      </c>
      <c r="C1517" s="84" t="s">
        <v>369</v>
      </c>
      <c r="D1517" t="s">
        <v>3293</v>
      </c>
      <c r="E1517" t="s">
        <v>3294</v>
      </c>
      <c r="F1517" s="117" t="s">
        <v>3294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144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150</v>
      </c>
      <c r="R1517" s="86" t="s">
        <v>3290</v>
      </c>
      <c r="S1517" s="85"/>
    </row>
    <row r="1518" spans="1:19">
      <c r="A1518" t="s">
        <v>3297</v>
      </c>
      <c r="B1518" s="149" t="str">
        <f>IFERROR(VLOOKUP(Proc[[#This Row],[App]],Table2[],3,0),"open")</f>
        <v>ok</v>
      </c>
      <c r="C1518" s="89" t="s">
        <v>369</v>
      </c>
      <c r="D1518" t="s">
        <v>3295</v>
      </c>
      <c r="E1518" t="s">
        <v>3296</v>
      </c>
      <c r="F1518" s="117" t="s">
        <v>3296</v>
      </c>
      <c r="G1518" t="s">
        <v>406</v>
      </c>
      <c r="H1518" s="85" t="str">
        <f>IF(Proc[[#This Row],[type]]="LFF (MDG-F)",MID(Proc[[#This Row],[Obj]],13,10),"")</f>
        <v>2137C00001</v>
      </c>
      <c r="I1518" t="s">
        <v>3329</v>
      </c>
      <c r="J1518" s="85" t="b">
        <f>Proc[[#This Row],[Requested]]=Proc[[#This Row],[CurrentParent]]</f>
        <v>1</v>
      </c>
      <c r="K1518" s="144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150</v>
      </c>
      <c r="R1518" s="86" t="s">
        <v>3290</v>
      </c>
      <c r="S1518" s="85"/>
    </row>
    <row r="1519" spans="1:19">
      <c r="A1519" t="s">
        <v>3326</v>
      </c>
      <c r="B1519" s="149" t="str">
        <f>IFERROR(VLOOKUP(Proc[[#This Row],[App]],Table2[],3,0),"open")</f>
        <v>ok</v>
      </c>
      <c r="C1519" s="84" t="s">
        <v>369</v>
      </c>
      <c r="D1519" t="s">
        <v>3298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144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149</v>
      </c>
      <c r="R1519" s="86" t="s">
        <v>478</v>
      </c>
      <c r="S1519" s="85"/>
    </row>
    <row r="1520" spans="1:19">
      <c r="A1520" s="84" t="s">
        <v>3326</v>
      </c>
      <c r="B1520" s="149" t="str">
        <f>IFERROR(VLOOKUP(Proc[[#This Row],[App]],Table2[],3,0),"open")</f>
        <v>ok</v>
      </c>
      <c r="C1520" s="84" t="s">
        <v>369</v>
      </c>
      <c r="D1520" t="s">
        <v>3299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144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149</v>
      </c>
      <c r="R1520" s="86" t="s">
        <v>478</v>
      </c>
      <c r="S1520" s="85"/>
    </row>
    <row r="1521" spans="1:19">
      <c r="A1521" s="84" t="s">
        <v>3326</v>
      </c>
      <c r="B1521" s="149" t="str">
        <f>IFERROR(VLOOKUP(Proc[[#This Row],[App]],Table2[],3,0),"open")</f>
        <v>ok</v>
      </c>
      <c r="C1521" s="84" t="s">
        <v>369</v>
      </c>
      <c r="D1521" t="s">
        <v>3300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144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149</v>
      </c>
      <c r="R1521" s="86" t="s">
        <v>478</v>
      </c>
      <c r="S1521" s="85"/>
    </row>
    <row r="1522" spans="1:19">
      <c r="A1522" s="84" t="s">
        <v>3326</v>
      </c>
      <c r="B1522" s="149" t="str">
        <f>IFERROR(VLOOKUP(Proc[[#This Row],[App]],Table2[],3,0),"open")</f>
        <v>ok</v>
      </c>
      <c r="C1522" s="84" t="s">
        <v>369</v>
      </c>
      <c r="D1522" t="s">
        <v>3301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144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149</v>
      </c>
      <c r="R1522" s="86" t="s">
        <v>478</v>
      </c>
      <c r="S1522" s="85"/>
    </row>
    <row r="1523" spans="1:19">
      <c r="A1523" s="84" t="s">
        <v>3326</v>
      </c>
      <c r="B1523" s="149" t="str">
        <f>IFERROR(VLOOKUP(Proc[[#This Row],[App]],Table2[],3,0),"open")</f>
        <v>ok</v>
      </c>
      <c r="C1523" s="84" t="s">
        <v>369</v>
      </c>
      <c r="D1523" t="s">
        <v>3302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144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149</v>
      </c>
      <c r="R1523" s="86" t="s">
        <v>478</v>
      </c>
      <c r="S1523" s="85"/>
    </row>
    <row r="1524" spans="1:19">
      <c r="A1524" s="84" t="s">
        <v>3326</v>
      </c>
      <c r="B1524" s="149" t="str">
        <f>IFERROR(VLOOKUP(Proc[[#This Row],[App]],Table2[],3,0),"open")</f>
        <v>ok</v>
      </c>
      <c r="C1524" s="84" t="s">
        <v>369</v>
      </c>
      <c r="D1524" t="s">
        <v>3303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144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149</v>
      </c>
      <c r="R1524" s="86" t="s">
        <v>478</v>
      </c>
      <c r="S1524" s="85"/>
    </row>
    <row r="1525" spans="1:19">
      <c r="A1525" s="84" t="s">
        <v>3326</v>
      </c>
      <c r="B1525" s="149" t="str">
        <f>IFERROR(VLOOKUP(Proc[[#This Row],[App]],Table2[],3,0),"open")</f>
        <v>ok</v>
      </c>
      <c r="C1525" s="84" t="s">
        <v>369</v>
      </c>
      <c r="D1525" t="s">
        <v>3304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144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149</v>
      </c>
      <c r="R1525" s="86" t="s">
        <v>478</v>
      </c>
      <c r="S1525" s="85"/>
    </row>
    <row r="1526" spans="1:19">
      <c r="A1526" s="84" t="s">
        <v>3326</v>
      </c>
      <c r="B1526" s="149" t="str">
        <f>IFERROR(VLOOKUP(Proc[[#This Row],[App]],Table2[],3,0),"open")</f>
        <v>ok</v>
      </c>
      <c r="C1526" s="84" t="s">
        <v>369</v>
      </c>
      <c r="D1526" t="s">
        <v>3305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144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149</v>
      </c>
      <c r="R1526" s="86" t="s">
        <v>478</v>
      </c>
      <c r="S1526" s="85"/>
    </row>
    <row r="1527" spans="1:19">
      <c r="A1527" s="84" t="s">
        <v>3326</v>
      </c>
      <c r="B1527" s="149" t="str">
        <f>IFERROR(VLOOKUP(Proc[[#This Row],[App]],Table2[],3,0),"open")</f>
        <v>ok</v>
      </c>
      <c r="C1527" s="84" t="s">
        <v>369</v>
      </c>
      <c r="D1527" t="s">
        <v>3306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144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149</v>
      </c>
      <c r="R1527" s="86" t="s">
        <v>478</v>
      </c>
      <c r="S1527" s="85"/>
    </row>
    <row r="1528" spans="1:19">
      <c r="A1528" s="84" t="s">
        <v>3326</v>
      </c>
      <c r="B1528" s="149" t="str">
        <f>IFERROR(VLOOKUP(Proc[[#This Row],[App]],Table2[],3,0),"open")</f>
        <v>ok</v>
      </c>
      <c r="C1528" s="84" t="s">
        <v>369</v>
      </c>
      <c r="D1528" t="s">
        <v>3307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144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149</v>
      </c>
      <c r="R1528" s="86" t="s">
        <v>478</v>
      </c>
      <c r="S1528" s="85"/>
    </row>
    <row r="1529" spans="1:19">
      <c r="A1529" s="84" t="s">
        <v>3326</v>
      </c>
      <c r="B1529" s="149" t="str">
        <f>IFERROR(VLOOKUP(Proc[[#This Row],[App]],Table2[],3,0),"open")</f>
        <v>ok</v>
      </c>
      <c r="C1529" s="84" t="s">
        <v>369</v>
      </c>
      <c r="D1529" t="s">
        <v>3308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144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149</v>
      </c>
      <c r="R1529" s="86" t="s">
        <v>478</v>
      </c>
      <c r="S1529" s="85"/>
    </row>
    <row r="1530" spans="1:19">
      <c r="A1530" s="84" t="s">
        <v>3326</v>
      </c>
      <c r="B1530" s="149" t="str">
        <f>IFERROR(VLOOKUP(Proc[[#This Row],[App]],Table2[],3,0),"open")</f>
        <v>ok</v>
      </c>
      <c r="C1530" s="84" t="s">
        <v>369</v>
      </c>
      <c r="D1530" t="s">
        <v>3309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144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149</v>
      </c>
      <c r="R1530" s="86" t="s">
        <v>478</v>
      </c>
      <c r="S1530" s="85"/>
    </row>
    <row r="1531" spans="1:19">
      <c r="A1531" s="84" t="s">
        <v>3326</v>
      </c>
      <c r="B1531" s="149" t="str">
        <f>IFERROR(VLOOKUP(Proc[[#This Row],[App]],Table2[],3,0),"open")</f>
        <v>ok</v>
      </c>
      <c r="C1531" s="84" t="s">
        <v>369</v>
      </c>
      <c r="D1531" t="s">
        <v>3310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144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149</v>
      </c>
      <c r="R1531" s="86" t="s">
        <v>478</v>
      </c>
      <c r="S1531" s="85"/>
    </row>
    <row r="1532" spans="1:19">
      <c r="A1532" s="84" t="s">
        <v>3326</v>
      </c>
      <c r="B1532" s="149" t="str">
        <f>IFERROR(VLOOKUP(Proc[[#This Row],[App]],Table2[],3,0),"open")</f>
        <v>ok</v>
      </c>
      <c r="C1532" s="84" t="s">
        <v>369</v>
      </c>
      <c r="D1532" t="s">
        <v>3311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144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149</v>
      </c>
      <c r="R1532" s="86" t="s">
        <v>478</v>
      </c>
      <c r="S1532" s="85"/>
    </row>
    <row r="1533" spans="1:19">
      <c r="A1533" s="84" t="s">
        <v>3326</v>
      </c>
      <c r="B1533" s="149" t="str">
        <f>IFERROR(VLOOKUP(Proc[[#This Row],[App]],Table2[],3,0),"open")</f>
        <v>ok</v>
      </c>
      <c r="C1533" s="84" t="s">
        <v>369</v>
      </c>
      <c r="D1533" t="s">
        <v>3312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144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149</v>
      </c>
      <c r="R1533" s="86" t="s">
        <v>478</v>
      </c>
      <c r="S1533" s="85"/>
    </row>
    <row r="1534" spans="1:19">
      <c r="A1534" s="84" t="s">
        <v>3326</v>
      </c>
      <c r="B1534" s="149" t="str">
        <f>IFERROR(VLOOKUP(Proc[[#This Row],[App]],Table2[],3,0),"open")</f>
        <v>ok</v>
      </c>
      <c r="C1534" s="84" t="s">
        <v>369</v>
      </c>
      <c r="D1534" t="s">
        <v>3313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144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149</v>
      </c>
      <c r="R1534" s="86" t="s">
        <v>478</v>
      </c>
      <c r="S1534" s="85"/>
    </row>
    <row r="1535" spans="1:19">
      <c r="A1535" s="84" t="s">
        <v>3326</v>
      </c>
      <c r="B1535" s="149" t="str">
        <f>IFERROR(VLOOKUP(Proc[[#This Row],[App]],Table2[],3,0),"open")</f>
        <v>ok</v>
      </c>
      <c r="C1535" s="84" t="s">
        <v>369</v>
      </c>
      <c r="D1535" t="s">
        <v>3314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144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149</v>
      </c>
      <c r="R1535" s="86" t="s">
        <v>478</v>
      </c>
      <c r="S1535" s="85"/>
    </row>
    <row r="1536" spans="1:19">
      <c r="A1536" s="84" t="s">
        <v>3326</v>
      </c>
      <c r="B1536" s="149" t="str">
        <f>IFERROR(VLOOKUP(Proc[[#This Row],[App]],Table2[],3,0),"open")</f>
        <v>ok</v>
      </c>
      <c r="C1536" s="84" t="s">
        <v>369</v>
      </c>
      <c r="D1536" t="s">
        <v>3315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144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149</v>
      </c>
      <c r="R1536" s="86" t="s">
        <v>478</v>
      </c>
      <c r="S1536" s="85"/>
    </row>
    <row r="1537" spans="1:19">
      <c r="A1537" s="84" t="s">
        <v>3326</v>
      </c>
      <c r="B1537" s="149" t="str">
        <f>IFERROR(VLOOKUP(Proc[[#This Row],[App]],Table2[],3,0),"open")</f>
        <v>ok</v>
      </c>
      <c r="C1537" s="84" t="s">
        <v>369</v>
      </c>
      <c r="D1537" t="s">
        <v>3316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144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149</v>
      </c>
      <c r="R1537" s="86" t="s">
        <v>478</v>
      </c>
      <c r="S1537" s="85"/>
    </row>
    <row r="1538" spans="1:19">
      <c r="A1538" s="84" t="s">
        <v>3326</v>
      </c>
      <c r="B1538" s="149" t="str">
        <f>IFERROR(VLOOKUP(Proc[[#This Row],[App]],Table2[],3,0),"open")</f>
        <v>ok</v>
      </c>
      <c r="C1538" s="84" t="s">
        <v>369</v>
      </c>
      <c r="D1538" t="s">
        <v>3317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144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149</v>
      </c>
      <c r="R1538" s="86" t="s">
        <v>478</v>
      </c>
      <c r="S1538" s="85"/>
    </row>
    <row r="1539" spans="1:19">
      <c r="A1539" s="84" t="s">
        <v>3326</v>
      </c>
      <c r="B1539" s="149" t="str">
        <f>IFERROR(VLOOKUP(Proc[[#This Row],[App]],Table2[],3,0),"open")</f>
        <v>ok</v>
      </c>
      <c r="C1539" s="84" t="s">
        <v>369</v>
      </c>
      <c r="D1539" t="s">
        <v>3318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144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149</v>
      </c>
      <c r="R1539" s="86" t="s">
        <v>478</v>
      </c>
      <c r="S1539" s="85"/>
    </row>
    <row r="1540" spans="1:19">
      <c r="A1540" s="84" t="s">
        <v>3326</v>
      </c>
      <c r="B1540" s="149" t="str">
        <f>IFERROR(VLOOKUP(Proc[[#This Row],[App]],Table2[],3,0),"open")</f>
        <v>ok</v>
      </c>
      <c r="C1540" s="84" t="s">
        <v>369</v>
      </c>
      <c r="D1540" t="s">
        <v>3319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144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149</v>
      </c>
      <c r="R1540" s="86" t="s">
        <v>478</v>
      </c>
      <c r="S1540" s="85"/>
    </row>
    <row r="1541" spans="1:19">
      <c r="A1541" s="84" t="s">
        <v>3326</v>
      </c>
      <c r="B1541" s="149" t="str">
        <f>IFERROR(VLOOKUP(Proc[[#This Row],[App]],Table2[],3,0),"open")</f>
        <v>ok</v>
      </c>
      <c r="C1541" s="84" t="s">
        <v>369</v>
      </c>
      <c r="D1541" t="s">
        <v>3320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144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149</v>
      </c>
      <c r="R1541" s="86" t="s">
        <v>478</v>
      </c>
      <c r="S1541" s="85"/>
    </row>
    <row r="1542" spans="1:19">
      <c r="A1542" s="84" t="s">
        <v>3326</v>
      </c>
      <c r="B1542" s="149" t="str">
        <f>IFERROR(VLOOKUP(Proc[[#This Row],[App]],Table2[],3,0),"open")</f>
        <v>ok</v>
      </c>
      <c r="C1542" s="84" t="s">
        <v>369</v>
      </c>
      <c r="D1542" t="s">
        <v>3321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144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149</v>
      </c>
      <c r="R1542" s="86" t="s">
        <v>478</v>
      </c>
      <c r="S1542" s="85"/>
    </row>
    <row r="1543" spans="1:19">
      <c r="A1543" s="84" t="s">
        <v>3326</v>
      </c>
      <c r="B1543" s="149" t="str">
        <f>IFERROR(VLOOKUP(Proc[[#This Row],[App]],Table2[],3,0),"open")</f>
        <v>ok</v>
      </c>
      <c r="C1543" s="84" t="s">
        <v>369</v>
      </c>
      <c r="D1543" t="s">
        <v>3322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144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149</v>
      </c>
      <c r="R1543" s="86" t="s">
        <v>478</v>
      </c>
      <c r="S1543" s="85"/>
    </row>
    <row r="1544" spans="1:19">
      <c r="A1544" s="84" t="s">
        <v>3326</v>
      </c>
      <c r="B1544" s="149" t="str">
        <f>IFERROR(VLOOKUP(Proc[[#This Row],[App]],Table2[],3,0),"open")</f>
        <v>ok</v>
      </c>
      <c r="C1544" s="84" t="s">
        <v>369</v>
      </c>
      <c r="D1544" t="s">
        <v>3323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144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149</v>
      </c>
      <c r="R1544" s="86" t="s">
        <v>478</v>
      </c>
      <c r="S1544" s="85"/>
    </row>
    <row r="1545" spans="1:19">
      <c r="A1545" s="84" t="s">
        <v>3326</v>
      </c>
      <c r="B1545" s="149" t="str">
        <f>IFERROR(VLOOKUP(Proc[[#This Row],[App]],Table2[],3,0),"open")</f>
        <v>ok</v>
      </c>
      <c r="C1545" s="84" t="s">
        <v>369</v>
      </c>
      <c r="D1545" t="s">
        <v>3324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144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149</v>
      </c>
      <c r="R1545" s="86" t="s">
        <v>478</v>
      </c>
      <c r="S1545" s="85"/>
    </row>
    <row r="1546" spans="1:19">
      <c r="A1546" s="84" t="s">
        <v>3326</v>
      </c>
      <c r="B1546" s="149" t="str">
        <f>IFERROR(VLOOKUP(Proc[[#This Row],[App]],Table2[],3,0),"open")</f>
        <v>ok</v>
      </c>
      <c r="C1546" s="84" t="s">
        <v>369</v>
      </c>
      <c r="D1546" t="s">
        <v>3325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144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149</v>
      </c>
      <c r="R1546" s="86" t="s">
        <v>478</v>
      </c>
      <c r="S1546" s="85"/>
    </row>
    <row r="1547" spans="1:19">
      <c r="A1547" t="s">
        <v>3327</v>
      </c>
      <c r="B1547" s="149" t="str">
        <f>IFERROR(VLOOKUP(Proc[[#This Row],[App]],Table2[],3,0),"open")</f>
        <v>ok</v>
      </c>
      <c r="C1547" s="84" t="s">
        <v>369</v>
      </c>
      <c r="D1547" t="s">
        <v>3328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144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149</v>
      </c>
      <c r="R1547" s="86" t="s">
        <v>478</v>
      </c>
      <c r="S1547" s="85"/>
    </row>
    <row r="1548" spans="1:19">
      <c r="A1548" t="s">
        <v>3331</v>
      </c>
      <c r="B1548" s="149" t="str">
        <f>IFERROR(VLOOKUP(Proc[[#This Row],[App]],Table2[],3,0),"open")</f>
        <v>ok</v>
      </c>
      <c r="C1548" s="89" t="s">
        <v>369</v>
      </c>
      <c r="D1548" t="s">
        <v>3330</v>
      </c>
      <c r="E1548" t="s">
        <v>3280</v>
      </c>
      <c r="F1548" s="117" t="s">
        <v>3280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144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149</v>
      </c>
      <c r="R1548" s="86" t="s">
        <v>3284</v>
      </c>
      <c r="S1548" s="85"/>
    </row>
    <row r="1549" spans="1:19">
      <c r="A1549" t="s">
        <v>3332</v>
      </c>
      <c r="B1549" s="149" t="str">
        <f>IFERROR(VLOOKUP(Proc[[#This Row],[App]],Table2[],3,0),"open")</f>
        <v>ok</v>
      </c>
      <c r="C1549" s="89" t="s">
        <v>369</v>
      </c>
      <c r="D1549" t="s">
        <v>3333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144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148</v>
      </c>
      <c r="R1549" s="86" t="s">
        <v>972</v>
      </c>
      <c r="S1549" s="85"/>
    </row>
    <row r="1550" spans="1:19">
      <c r="A1550" s="84" t="s">
        <v>3332</v>
      </c>
      <c r="B1550" s="149" t="str">
        <f>IFERROR(VLOOKUP(Proc[[#This Row],[App]],Table2[],3,0),"open")</f>
        <v>ok</v>
      </c>
      <c r="C1550" s="89" t="s">
        <v>369</v>
      </c>
      <c r="D1550" t="s">
        <v>3334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144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148</v>
      </c>
      <c r="R1550" s="86" t="s">
        <v>972</v>
      </c>
      <c r="S1550" s="85"/>
    </row>
    <row r="1551" spans="1:19">
      <c r="A1551" s="84" t="s">
        <v>3332</v>
      </c>
      <c r="B1551" s="149" t="str">
        <f>IFERROR(VLOOKUP(Proc[[#This Row],[App]],Table2[],3,0),"open")</f>
        <v>ok</v>
      </c>
      <c r="C1551" s="89" t="s">
        <v>369</v>
      </c>
      <c r="D1551" t="s">
        <v>3335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144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148</v>
      </c>
      <c r="R1551" s="86" t="s">
        <v>972</v>
      </c>
      <c r="S1551" s="85"/>
    </row>
    <row r="1552" spans="1:19">
      <c r="A1552" s="84" t="s">
        <v>3332</v>
      </c>
      <c r="B1552" s="149" t="str">
        <f>IFERROR(VLOOKUP(Proc[[#This Row],[App]],Table2[],3,0),"open")</f>
        <v>ok</v>
      </c>
      <c r="C1552" s="89" t="s">
        <v>369</v>
      </c>
      <c r="D1552" t="s">
        <v>3336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144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148</v>
      </c>
      <c r="R1552" s="86" t="s">
        <v>972</v>
      </c>
      <c r="S1552" s="85"/>
    </row>
    <row r="1553" spans="1:19">
      <c r="A1553" s="84" t="s">
        <v>3332</v>
      </c>
      <c r="B1553" s="149" t="str">
        <f>IFERROR(VLOOKUP(Proc[[#This Row],[App]],Table2[],3,0),"open")</f>
        <v>ok</v>
      </c>
      <c r="C1553" s="89" t="s">
        <v>369</v>
      </c>
      <c r="D1553" t="s">
        <v>3337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144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148</v>
      </c>
      <c r="R1553" s="86" t="s">
        <v>972</v>
      </c>
      <c r="S1553" s="85"/>
    </row>
    <row r="1554" spans="1:19">
      <c r="A1554" s="84" t="s">
        <v>3332</v>
      </c>
      <c r="B1554" s="149" t="str">
        <f>IFERROR(VLOOKUP(Proc[[#This Row],[App]],Table2[],3,0),"open")</f>
        <v>ok</v>
      </c>
      <c r="C1554" s="89" t="s">
        <v>369</v>
      </c>
      <c r="D1554" t="s">
        <v>3338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144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148</v>
      </c>
      <c r="R1554" s="86" t="s">
        <v>972</v>
      </c>
      <c r="S1554" s="85"/>
    </row>
    <row r="1555" spans="1:19">
      <c r="A1555" s="84" t="s">
        <v>3332</v>
      </c>
      <c r="B1555" s="149" t="str">
        <f>IFERROR(VLOOKUP(Proc[[#This Row],[App]],Table2[],3,0),"open")</f>
        <v>ok</v>
      </c>
      <c r="C1555" s="89" t="s">
        <v>369</v>
      </c>
      <c r="D1555" t="s">
        <v>3339</v>
      </c>
      <c r="E1555" t="s">
        <v>3343</v>
      </c>
      <c r="F1555" s="117" t="s">
        <v>3343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144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148</v>
      </c>
      <c r="R1555" s="86" t="s">
        <v>972</v>
      </c>
      <c r="S1555" s="85"/>
    </row>
    <row r="1556" spans="1:19">
      <c r="A1556" s="84" t="s">
        <v>3332</v>
      </c>
      <c r="B1556" s="149" t="str">
        <f>IFERROR(VLOOKUP(Proc[[#This Row],[App]],Table2[],3,0),"open")</f>
        <v>ok</v>
      </c>
      <c r="C1556" s="89" t="s">
        <v>369</v>
      </c>
      <c r="D1556" t="s">
        <v>3340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144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148</v>
      </c>
      <c r="R1556" s="86" t="s">
        <v>972</v>
      </c>
      <c r="S1556" s="85"/>
    </row>
    <row r="1557" spans="1:19">
      <c r="A1557" s="84" t="s">
        <v>3332</v>
      </c>
      <c r="B1557" s="149" t="str">
        <f>IFERROR(VLOOKUP(Proc[[#This Row],[App]],Table2[],3,0),"open")</f>
        <v>ok</v>
      </c>
      <c r="C1557" s="89" t="s">
        <v>369</v>
      </c>
      <c r="D1557" t="s">
        <v>3341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144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148</v>
      </c>
      <c r="R1557" s="86" t="s">
        <v>972</v>
      </c>
      <c r="S1557" s="85"/>
    </row>
    <row r="1558" spans="1:19">
      <c r="A1558" s="84" t="s">
        <v>3332</v>
      </c>
      <c r="B1558" s="149" t="str">
        <f>IFERROR(VLOOKUP(Proc[[#This Row],[App]],Table2[],3,0),"open")</f>
        <v>ok</v>
      </c>
      <c r="C1558" s="89" t="s">
        <v>369</v>
      </c>
      <c r="D1558" t="s">
        <v>3342</v>
      </c>
      <c r="E1558" t="s">
        <v>3344</v>
      </c>
      <c r="F1558" s="117" t="s">
        <v>3344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144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148</v>
      </c>
      <c r="R1558" s="86" t="s">
        <v>972</v>
      </c>
      <c r="S1558" s="85"/>
    </row>
    <row r="1559" spans="1:19">
      <c r="A1559" t="s">
        <v>3345</v>
      </c>
      <c r="B1559" s="149" t="str">
        <f>IFERROR(VLOOKUP(Proc[[#This Row],[App]],Table2[],3,0),"open")</f>
        <v>ok</v>
      </c>
      <c r="C1559" s="89" t="s">
        <v>369</v>
      </c>
      <c r="D1559" t="s">
        <v>3359</v>
      </c>
      <c r="E1559" t="s">
        <v>3346</v>
      </c>
      <c r="F1559" s="117" t="s">
        <v>3346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144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148</v>
      </c>
      <c r="R1559" s="86" t="s">
        <v>551</v>
      </c>
      <c r="S1559" s="85"/>
    </row>
    <row r="1560" spans="1:19">
      <c r="A1560" s="88" t="s">
        <v>3345</v>
      </c>
      <c r="B1560" s="149" t="str">
        <f>IFERROR(VLOOKUP(Proc[[#This Row],[App]],Table2[],3,0),"open")</f>
        <v>ok</v>
      </c>
      <c r="C1560" s="89" t="s">
        <v>369</v>
      </c>
      <c r="D1560" t="s">
        <v>3360</v>
      </c>
      <c r="E1560" t="s">
        <v>3346</v>
      </c>
      <c r="F1560" s="117" t="s">
        <v>3346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144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148</v>
      </c>
      <c r="R1560" s="86" t="s">
        <v>551</v>
      </c>
      <c r="S1560" s="85"/>
    </row>
    <row r="1561" spans="1:19">
      <c r="A1561" s="88" t="s">
        <v>3345</v>
      </c>
      <c r="B1561" s="149" t="str">
        <f>IFERROR(VLOOKUP(Proc[[#This Row],[App]],Table2[],3,0),"open")</f>
        <v>ok</v>
      </c>
      <c r="C1561" s="89" t="s">
        <v>369</v>
      </c>
      <c r="D1561" t="s">
        <v>3361</v>
      </c>
      <c r="E1561" t="s">
        <v>3346</v>
      </c>
      <c r="F1561" s="117" t="s">
        <v>3346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144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148</v>
      </c>
      <c r="R1561" s="86" t="s">
        <v>551</v>
      </c>
      <c r="S1561" s="85"/>
    </row>
    <row r="1562" spans="1:19">
      <c r="A1562" t="s">
        <v>3347</v>
      </c>
      <c r="B1562" s="149" t="str">
        <f>IFERROR(VLOOKUP(Proc[[#This Row],[App]],Table2[],3,0),"open")</f>
        <v>ok</v>
      </c>
      <c r="C1562" t="s">
        <v>369</v>
      </c>
      <c r="D1562" t="s">
        <v>3348</v>
      </c>
      <c r="E1562" t="s">
        <v>3349</v>
      </c>
      <c r="F1562" s="117" t="s">
        <v>3349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144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>
      <c r="A1563" t="s">
        <v>3347</v>
      </c>
      <c r="B1563" s="149" t="str">
        <f>IFERROR(VLOOKUP(Proc[[#This Row],[App]],Table2[],3,0),"open")</f>
        <v>ok</v>
      </c>
      <c r="C1563" s="88" t="s">
        <v>369</v>
      </c>
      <c r="D1563" t="s">
        <v>3350</v>
      </c>
      <c r="E1563" t="s">
        <v>3349</v>
      </c>
      <c r="F1563" s="117" t="s">
        <v>3349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144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>
      <c r="A1564" t="s">
        <v>3347</v>
      </c>
      <c r="B1564" s="149" t="str">
        <f>IFERROR(VLOOKUP(Proc[[#This Row],[App]],Table2[],3,0),"open")</f>
        <v>ok</v>
      </c>
      <c r="C1564" s="89" t="s">
        <v>369</v>
      </c>
      <c r="D1564" t="s">
        <v>3351</v>
      </c>
      <c r="E1564" t="s">
        <v>3349</v>
      </c>
      <c r="F1564" s="117" t="s">
        <v>3349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3367</v>
      </c>
      <c r="J1564" s="85" t="b">
        <f>Proc[[#This Row],[Requested]]=Proc[[#This Row],[CurrentParent]]</f>
        <v>1</v>
      </c>
      <c r="K1564" s="144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>
      <c r="A1565" t="s">
        <v>3347</v>
      </c>
      <c r="B1565" s="149" t="str">
        <f>IFERROR(VLOOKUP(Proc[[#This Row],[App]],Table2[],3,0),"open")</f>
        <v>ok</v>
      </c>
      <c r="C1565" s="88" t="s">
        <v>369</v>
      </c>
      <c r="D1565" t="s">
        <v>3352</v>
      </c>
      <c r="E1565" t="s">
        <v>3349</v>
      </c>
      <c r="F1565" s="117" t="s">
        <v>3349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144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>
      <c r="A1566" t="s">
        <v>3347</v>
      </c>
      <c r="B1566" s="149" t="str">
        <f>IFERROR(VLOOKUP(Proc[[#This Row],[App]],Table2[],3,0),"open")</f>
        <v>ok</v>
      </c>
      <c r="C1566" s="88" t="s">
        <v>369</v>
      </c>
      <c r="D1566" t="s">
        <v>3353</v>
      </c>
      <c r="E1566" t="s">
        <v>3349</v>
      </c>
      <c r="F1566" s="117" t="s">
        <v>3349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144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>
      <c r="A1567" t="s">
        <v>3347</v>
      </c>
      <c r="B1567" s="149" t="str">
        <f>IFERROR(VLOOKUP(Proc[[#This Row],[App]],Table2[],3,0),"open")</f>
        <v>ok</v>
      </c>
      <c r="C1567" s="89" t="s">
        <v>369</v>
      </c>
      <c r="D1567" t="s">
        <v>3354</v>
      </c>
      <c r="E1567" t="s">
        <v>3349</v>
      </c>
      <c r="F1567" s="117" t="s">
        <v>3349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3367</v>
      </c>
      <c r="J1567" s="85" t="b">
        <f>Proc[[#This Row],[Requested]]=Proc[[#This Row],[CurrentParent]]</f>
        <v>1</v>
      </c>
      <c r="K1567" s="144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>
      <c r="A1568" t="s">
        <v>3355</v>
      </c>
      <c r="B1568" s="149" t="str">
        <f>IFERROR(VLOOKUP(Proc[[#This Row],[App]],Table2[],3,0),"open")</f>
        <v>ok</v>
      </c>
      <c r="C1568" s="89" t="s">
        <v>369</v>
      </c>
      <c r="D1568" s="89" t="s">
        <v>3362</v>
      </c>
      <c r="E1568" t="s">
        <v>3356</v>
      </c>
      <c r="F1568" s="117" t="s">
        <v>3356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144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148</v>
      </c>
      <c r="R1568" s="86" t="s">
        <v>551</v>
      </c>
      <c r="S1568" s="85"/>
    </row>
    <row r="1569" spans="1:19">
      <c r="A1569" t="s">
        <v>3357</v>
      </c>
      <c r="B1569" s="149" t="str">
        <f>IFERROR(VLOOKUP(Proc[[#This Row],[App]],Table2[],3,0),"open")</f>
        <v>ok</v>
      </c>
      <c r="C1569" s="89" t="s">
        <v>369</v>
      </c>
      <c r="D1569" t="s">
        <v>3363</v>
      </c>
      <c r="E1569" t="s">
        <v>3358</v>
      </c>
      <c r="F1569" s="117" t="s">
        <v>3358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144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148</v>
      </c>
      <c r="R1569" s="86" t="s">
        <v>551</v>
      </c>
      <c r="S1569" s="85"/>
    </row>
    <row r="1570" spans="1:19">
      <c r="A1570" s="89" t="s">
        <v>3357</v>
      </c>
      <c r="B1570" s="149" t="str">
        <f>IFERROR(VLOOKUP(Proc[[#This Row],[App]],Table2[],3,0),"open")</f>
        <v>ok</v>
      </c>
      <c r="C1570" s="89" t="s">
        <v>369</v>
      </c>
      <c r="D1570" t="s">
        <v>3364</v>
      </c>
      <c r="E1570" s="89" t="s">
        <v>3358</v>
      </c>
      <c r="F1570" s="117" t="s">
        <v>3358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144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148</v>
      </c>
      <c r="R1570" s="86" t="s">
        <v>551</v>
      </c>
      <c r="S1570" s="85"/>
    </row>
    <row r="1571" spans="1:19">
      <c r="A1571" s="89" t="s">
        <v>3357</v>
      </c>
      <c r="B1571" s="149" t="str">
        <f>IFERROR(VLOOKUP(Proc[[#This Row],[App]],Table2[],3,0),"open")</f>
        <v>ok</v>
      </c>
      <c r="C1571" s="89" t="s">
        <v>369</v>
      </c>
      <c r="D1571" t="s">
        <v>3365</v>
      </c>
      <c r="E1571" s="89" t="s">
        <v>3358</v>
      </c>
      <c r="F1571" s="117" t="s">
        <v>3358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144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148</v>
      </c>
      <c r="R1571" s="86" t="s">
        <v>551</v>
      </c>
      <c r="S1571" s="85"/>
    </row>
    <row r="1572" spans="1:19">
      <c r="A1572" s="89" t="s">
        <v>3357</v>
      </c>
      <c r="B1572" s="149" t="str">
        <f>IFERROR(VLOOKUP(Proc[[#This Row],[App]],Table2[],3,0),"open")</f>
        <v>ok</v>
      </c>
      <c r="C1572" s="89" t="s">
        <v>369</v>
      </c>
      <c r="D1572" t="s">
        <v>3366</v>
      </c>
      <c r="E1572" s="89" t="s">
        <v>3358</v>
      </c>
      <c r="F1572" s="117" t="s">
        <v>3358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144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148</v>
      </c>
      <c r="R1572" s="86" t="s">
        <v>551</v>
      </c>
      <c r="S1572" s="85"/>
    </row>
    <row r="1573" spans="1:19">
      <c r="A1573" t="s">
        <v>3368</v>
      </c>
      <c r="B1573" s="149" t="str">
        <f>IFERROR(VLOOKUP(Proc[[#This Row],[App]],Table2[],3,0),"open")</f>
        <v>ok</v>
      </c>
      <c r="C1573" s="89" t="s">
        <v>369</v>
      </c>
      <c r="D1573" t="s">
        <v>3369</v>
      </c>
      <c r="E1573" t="s">
        <v>3371</v>
      </c>
      <c r="F1573" s="117" t="s">
        <v>3371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144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>
      <c r="A1574" s="89" t="s">
        <v>3368</v>
      </c>
      <c r="B1574" s="149" t="str">
        <f>IFERROR(VLOOKUP(Proc[[#This Row],[App]],Table2[],3,0),"open")</f>
        <v>ok</v>
      </c>
      <c r="C1574" s="89" t="s">
        <v>369</v>
      </c>
      <c r="D1574" t="s">
        <v>3370</v>
      </c>
      <c r="E1574" t="s">
        <v>3372</v>
      </c>
      <c r="F1574" s="117" t="s">
        <v>3372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144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>
      <c r="A1575" t="s">
        <v>3374</v>
      </c>
      <c r="B1575" s="149" t="str">
        <f>IFERROR(VLOOKUP(Proc[[#This Row],[App]],Table2[],3,0),"open")</f>
        <v>ok</v>
      </c>
      <c r="C1575" s="89" t="s">
        <v>369</v>
      </c>
      <c r="D1575" t="s">
        <v>3373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144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>
      <c r="A1576" t="s">
        <v>3375</v>
      </c>
      <c r="B1576" s="149" t="str">
        <f>IFERROR(VLOOKUP(Proc[[#This Row],[App]],Table2[],3,0),"open")</f>
        <v>ok</v>
      </c>
      <c r="C1576" s="89" t="s">
        <v>369</v>
      </c>
      <c r="D1576" t="s">
        <v>3376</v>
      </c>
      <c r="E1576" t="s">
        <v>3377</v>
      </c>
      <c r="F1576" s="117" t="s">
        <v>3377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144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>
      <c r="A1577" t="s">
        <v>3380</v>
      </c>
      <c r="B1577" s="149" t="str">
        <f>IFERROR(VLOOKUP(Proc[[#This Row],[App]],Table2[],3,0),"open")</f>
        <v>ok</v>
      </c>
      <c r="C1577" s="89" t="s">
        <v>369</v>
      </c>
      <c r="D1577" t="s">
        <v>3378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3383</v>
      </c>
      <c r="J1577" s="85" t="b">
        <f>Proc[[#This Row],[Requested]]=Proc[[#This Row],[CurrentParent]]</f>
        <v>1</v>
      </c>
      <c r="K1577" s="144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>
      <c r="A1578" s="89" t="s">
        <v>3380</v>
      </c>
      <c r="B1578" s="149" t="str">
        <f>IFERROR(VLOOKUP(Proc[[#This Row],[App]],Table2[],3,0),"open")</f>
        <v>ok</v>
      </c>
      <c r="C1578" s="89" t="s">
        <v>369</v>
      </c>
      <c r="D1578" t="s">
        <v>3379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3383</v>
      </c>
      <c r="J1578" s="85" t="b">
        <f>Proc[[#This Row],[Requested]]=Proc[[#This Row],[CurrentParent]]</f>
        <v>1</v>
      </c>
      <c r="K1578" s="144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>
      <c r="A1579" t="s">
        <v>3384</v>
      </c>
      <c r="B1579" s="149" t="str">
        <f>IFERROR(VLOOKUP(Proc[[#This Row],[App]],Table2[],3,0),"open")</f>
        <v>ok</v>
      </c>
      <c r="C1579" s="89" t="s">
        <v>369</v>
      </c>
      <c r="D1579" t="s">
        <v>3385</v>
      </c>
      <c r="E1579" t="s">
        <v>3394</v>
      </c>
      <c r="F1579" s="117" t="s">
        <v>3394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144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>
      <c r="A1580" s="89" t="s">
        <v>3384</v>
      </c>
      <c r="B1580" s="149" t="str">
        <f>IFERROR(VLOOKUP(Proc[[#This Row],[App]],Table2[],3,0),"open")</f>
        <v>ok</v>
      </c>
      <c r="C1580" s="89" t="s">
        <v>369</v>
      </c>
      <c r="D1580" t="s">
        <v>3386</v>
      </c>
      <c r="E1580" t="s">
        <v>3377</v>
      </c>
      <c r="F1580" s="117" t="s">
        <v>3377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144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>
      <c r="A1581" s="89" t="s">
        <v>3384</v>
      </c>
      <c r="B1581" s="149" t="str">
        <f>IFERROR(VLOOKUP(Proc[[#This Row],[App]],Table2[],3,0),"open")</f>
        <v>ok</v>
      </c>
      <c r="C1581" s="89" t="s">
        <v>369</v>
      </c>
      <c r="D1581" t="s">
        <v>3387</v>
      </c>
      <c r="E1581" t="s">
        <v>3377</v>
      </c>
      <c r="F1581" s="117" t="s">
        <v>3377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144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>
      <c r="A1582" s="89" t="s">
        <v>3384</v>
      </c>
      <c r="B1582" s="149" t="str">
        <f>IFERROR(VLOOKUP(Proc[[#This Row],[App]],Table2[],3,0),"open")</f>
        <v>ok</v>
      </c>
      <c r="C1582" s="89" t="s">
        <v>369</v>
      </c>
      <c r="D1582" t="s">
        <v>3388</v>
      </c>
      <c r="E1582" t="s">
        <v>3377</v>
      </c>
      <c r="F1582" s="117" t="s">
        <v>3377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144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>
      <c r="A1583" s="89" t="s">
        <v>3384</v>
      </c>
      <c r="B1583" s="149" t="str">
        <f>IFERROR(VLOOKUP(Proc[[#This Row],[App]],Table2[],3,0),"open")</f>
        <v>ok</v>
      </c>
      <c r="C1583" s="89" t="s">
        <v>369</v>
      </c>
      <c r="D1583" t="s">
        <v>3389</v>
      </c>
      <c r="E1583" t="s">
        <v>3377</v>
      </c>
      <c r="F1583" s="117" t="s">
        <v>3377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144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>
      <c r="A1584" s="89" t="s">
        <v>3384</v>
      </c>
      <c r="B1584" s="149" t="str">
        <f>IFERROR(VLOOKUP(Proc[[#This Row],[App]],Table2[],3,0),"open")</f>
        <v>ok</v>
      </c>
      <c r="C1584" s="89" t="s">
        <v>369</v>
      </c>
      <c r="D1584" t="s">
        <v>3390</v>
      </c>
      <c r="E1584" t="s">
        <v>3377</v>
      </c>
      <c r="F1584" s="117" t="s">
        <v>3377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144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>
      <c r="A1585" s="89" t="s">
        <v>3384</v>
      </c>
      <c r="B1585" s="149" t="str">
        <f>IFERROR(VLOOKUP(Proc[[#This Row],[App]],Table2[],3,0),"open")</f>
        <v>ok</v>
      </c>
      <c r="C1585" s="89" t="s">
        <v>369</v>
      </c>
      <c r="D1585" t="s">
        <v>3391</v>
      </c>
      <c r="E1585" t="s">
        <v>3377</v>
      </c>
      <c r="F1585" s="117" t="s">
        <v>3377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144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>
      <c r="A1586" s="89" t="s">
        <v>3384</v>
      </c>
      <c r="B1586" s="149" t="str">
        <f>IFERROR(VLOOKUP(Proc[[#This Row],[App]],Table2[],3,0),"open")</f>
        <v>ok</v>
      </c>
      <c r="C1586" s="89" t="s">
        <v>369</v>
      </c>
      <c r="D1586" t="s">
        <v>3392</v>
      </c>
      <c r="E1586" t="s">
        <v>3377</v>
      </c>
      <c r="F1586" s="117" t="s">
        <v>3377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144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>
      <c r="A1587" s="89" t="s">
        <v>3384</v>
      </c>
      <c r="B1587" s="149" t="str">
        <f>IFERROR(VLOOKUP(Proc[[#This Row],[App]],Table2[],3,0),"open")</f>
        <v>ok</v>
      </c>
      <c r="C1587" s="89" t="s">
        <v>369</v>
      </c>
      <c r="D1587" t="s">
        <v>3393</v>
      </c>
      <c r="E1587" t="s">
        <v>3377</v>
      </c>
      <c r="F1587" s="117" t="s">
        <v>3377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144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>
      <c r="A1588" t="s">
        <v>3395</v>
      </c>
      <c r="B1588" s="149" t="str">
        <f>IFERROR(VLOOKUP(Proc[[#This Row],[App]],Table2[],3,0),"open")</f>
        <v>ok</v>
      </c>
      <c r="C1588" s="89" t="s">
        <v>369</v>
      </c>
      <c r="D1588" t="s">
        <v>2947</v>
      </c>
      <c r="E1588" t="s">
        <v>3396</v>
      </c>
      <c r="F1588" s="117" t="s">
        <v>3396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144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>
      <c r="A1589" s="89" t="s">
        <v>3395</v>
      </c>
      <c r="B1589" s="149" t="str">
        <f>IFERROR(VLOOKUP(Proc[[#This Row],[App]],Table2[],3,0),"open")</f>
        <v>ok</v>
      </c>
      <c r="C1589" s="89" t="s">
        <v>369</v>
      </c>
      <c r="D1589" t="s">
        <v>2948</v>
      </c>
      <c r="E1589" t="s">
        <v>3396</v>
      </c>
      <c r="F1589" s="117" t="s">
        <v>3396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144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>
      <c r="A1590" s="89" t="s">
        <v>3395</v>
      </c>
      <c r="B1590" s="149" t="str">
        <f>IFERROR(VLOOKUP(Proc[[#This Row],[App]],Table2[],3,0),"open")</f>
        <v>ok</v>
      </c>
      <c r="C1590" s="89" t="s">
        <v>369</v>
      </c>
      <c r="D1590" t="s">
        <v>2949</v>
      </c>
      <c r="E1590" t="s">
        <v>3397</v>
      </c>
      <c r="F1590" s="117" t="s">
        <v>3397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144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>
      <c r="A1591" s="89" t="s">
        <v>3395</v>
      </c>
      <c r="B1591" s="149" t="str">
        <f>IFERROR(VLOOKUP(Proc[[#This Row],[App]],Table2[],3,0),"open")</f>
        <v>ok</v>
      </c>
      <c r="C1591" s="89" t="s">
        <v>369</v>
      </c>
      <c r="D1591" t="s">
        <v>2950</v>
      </c>
      <c r="E1591" t="s">
        <v>3397</v>
      </c>
      <c r="F1591" s="117" t="s">
        <v>3397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144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>
      <c r="A1592" s="89" t="s">
        <v>3395</v>
      </c>
      <c r="B1592" s="149" t="str">
        <f>IFERROR(VLOOKUP(Proc[[#This Row],[App]],Table2[],3,0),"open")</f>
        <v>ok</v>
      </c>
      <c r="C1592" s="89" t="s">
        <v>369</v>
      </c>
      <c r="D1592" t="s">
        <v>2951</v>
      </c>
      <c r="E1592" t="s">
        <v>3397</v>
      </c>
      <c r="F1592" s="117" t="s">
        <v>3397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144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>
      <c r="A1593" s="89" t="s">
        <v>3395</v>
      </c>
      <c r="B1593" s="149" t="str">
        <f>IFERROR(VLOOKUP(Proc[[#This Row],[App]],Table2[],3,0),"open")</f>
        <v>ok</v>
      </c>
      <c r="C1593" s="89" t="s">
        <v>369</v>
      </c>
      <c r="D1593" t="s">
        <v>2952</v>
      </c>
      <c r="E1593" t="s">
        <v>3398</v>
      </c>
      <c r="F1593" s="117" t="s">
        <v>3398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144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>
      <c r="A1594" s="89" t="s">
        <v>3395</v>
      </c>
      <c r="B1594" s="149" t="str">
        <f>IFERROR(VLOOKUP(Proc[[#This Row],[App]],Table2[],3,0),"open")</f>
        <v>ok</v>
      </c>
      <c r="C1594" s="89" t="s">
        <v>369</v>
      </c>
      <c r="D1594" t="s">
        <v>2953</v>
      </c>
      <c r="E1594" t="s">
        <v>3396</v>
      </c>
      <c r="F1594" s="117" t="s">
        <v>3396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144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>
      <c r="A1595" s="89" t="s">
        <v>3395</v>
      </c>
      <c r="B1595" s="149" t="str">
        <f>IFERROR(VLOOKUP(Proc[[#This Row],[App]],Table2[],3,0),"open")</f>
        <v>ok</v>
      </c>
      <c r="C1595" s="89" t="s">
        <v>369</v>
      </c>
      <c r="D1595" t="s">
        <v>2954</v>
      </c>
      <c r="E1595" t="s">
        <v>3396</v>
      </c>
      <c r="F1595" s="117" t="s">
        <v>3396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144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>
      <c r="A1596" s="89" t="s">
        <v>3395</v>
      </c>
      <c r="B1596" s="149" t="str">
        <f>IFERROR(VLOOKUP(Proc[[#This Row],[App]],Table2[],3,0),"open")</f>
        <v>ok</v>
      </c>
      <c r="C1596" s="89" t="s">
        <v>369</v>
      </c>
      <c r="D1596" t="s">
        <v>2955</v>
      </c>
      <c r="E1596" t="s">
        <v>3399</v>
      </c>
      <c r="F1596" s="117" t="s">
        <v>3399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144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>
      <c r="A1597" s="89" t="s">
        <v>3395</v>
      </c>
      <c r="B1597" s="149" t="str">
        <f>IFERROR(VLOOKUP(Proc[[#This Row],[App]],Table2[],3,0),"open")</f>
        <v>ok</v>
      </c>
      <c r="C1597" s="89" t="s">
        <v>369</v>
      </c>
      <c r="D1597" t="s">
        <v>2956</v>
      </c>
      <c r="E1597" t="s">
        <v>3399</v>
      </c>
      <c r="F1597" s="117" t="s">
        <v>3399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144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>
      <c r="A1598" s="89" t="s">
        <v>3395</v>
      </c>
      <c r="B1598" s="149" t="str">
        <f>IFERROR(VLOOKUP(Proc[[#This Row],[App]],Table2[],3,0),"open")</f>
        <v>ok</v>
      </c>
      <c r="C1598" s="89" t="s">
        <v>369</v>
      </c>
      <c r="D1598" t="s">
        <v>2957</v>
      </c>
      <c r="E1598" t="s">
        <v>3400</v>
      </c>
      <c r="F1598" s="117" t="s">
        <v>3400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144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>
      <c r="A1599" s="89" t="s">
        <v>3395</v>
      </c>
      <c r="B1599" s="149" t="str">
        <f>IFERROR(VLOOKUP(Proc[[#This Row],[App]],Table2[],3,0),"open")</f>
        <v>ok</v>
      </c>
      <c r="C1599" s="89" t="s">
        <v>369</v>
      </c>
      <c r="D1599" t="s">
        <v>2958</v>
      </c>
      <c r="E1599" t="s">
        <v>3400</v>
      </c>
      <c r="F1599" s="117" t="s">
        <v>3400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144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>
      <c r="A1600" s="89" t="s">
        <v>3395</v>
      </c>
      <c r="B1600" s="149" t="str">
        <f>IFERROR(VLOOKUP(Proc[[#This Row],[App]],Table2[],3,0),"open")</f>
        <v>ok</v>
      </c>
      <c r="C1600" s="89" t="s">
        <v>369</v>
      </c>
      <c r="D1600" t="s">
        <v>2959</v>
      </c>
      <c r="E1600" t="s">
        <v>3400</v>
      </c>
      <c r="F1600" s="117" t="s">
        <v>3400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144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>
      <c r="A1601" s="89" t="s">
        <v>3395</v>
      </c>
      <c r="B1601" s="149" t="str">
        <f>IFERROR(VLOOKUP(Proc[[#This Row],[App]],Table2[],3,0),"open")</f>
        <v>ok</v>
      </c>
      <c r="C1601" s="89" t="s">
        <v>369</v>
      </c>
      <c r="D1601" t="s">
        <v>2960</v>
      </c>
      <c r="E1601" t="s">
        <v>3400</v>
      </c>
      <c r="F1601" s="117" t="s">
        <v>3400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144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>
      <c r="A1602" s="89" t="s">
        <v>3395</v>
      </c>
      <c r="B1602" s="149" t="str">
        <f>IFERROR(VLOOKUP(Proc[[#This Row],[App]],Table2[],3,0),"open")</f>
        <v>ok</v>
      </c>
      <c r="C1602" s="89" t="s">
        <v>369</v>
      </c>
      <c r="D1602" t="s">
        <v>2961</v>
      </c>
      <c r="E1602" t="s">
        <v>3397</v>
      </c>
      <c r="F1602" s="117" t="s">
        <v>3397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144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>
      <c r="A1603" s="89" t="s">
        <v>3395</v>
      </c>
      <c r="B1603" s="149" t="str">
        <f>IFERROR(VLOOKUP(Proc[[#This Row],[App]],Table2[],3,0),"open")</f>
        <v>ok</v>
      </c>
      <c r="C1603" s="89" t="s">
        <v>369</v>
      </c>
      <c r="D1603" t="s">
        <v>2962</v>
      </c>
      <c r="E1603" t="s">
        <v>3397</v>
      </c>
      <c r="F1603" s="117" t="s">
        <v>3397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144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>
      <c r="A1604" s="89" t="s">
        <v>3395</v>
      </c>
      <c r="B1604" s="149" t="str">
        <f>IFERROR(VLOOKUP(Proc[[#This Row],[App]],Table2[],3,0),"open")</f>
        <v>ok</v>
      </c>
      <c r="C1604" s="89" t="s">
        <v>369</v>
      </c>
      <c r="D1604" t="s">
        <v>2963</v>
      </c>
      <c r="E1604" t="s">
        <v>3400</v>
      </c>
      <c r="F1604" s="117" t="s">
        <v>3400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144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>
      <c r="A1605" s="89" t="s">
        <v>3395</v>
      </c>
      <c r="B1605" s="149" t="str">
        <f>IFERROR(VLOOKUP(Proc[[#This Row],[App]],Table2[],3,0),"open")</f>
        <v>ok</v>
      </c>
      <c r="C1605" s="89" t="s">
        <v>369</v>
      </c>
      <c r="D1605" t="s">
        <v>2964</v>
      </c>
      <c r="E1605" t="s">
        <v>3400</v>
      </c>
      <c r="F1605" s="117" t="s">
        <v>3400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144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>
      <c r="A1606" s="89" t="s">
        <v>3395</v>
      </c>
      <c r="B1606" s="149" t="str">
        <f>IFERROR(VLOOKUP(Proc[[#This Row],[App]],Table2[],3,0),"open")</f>
        <v>ok</v>
      </c>
      <c r="C1606" s="89" t="s">
        <v>369</v>
      </c>
      <c r="D1606" t="s">
        <v>2965</v>
      </c>
      <c r="E1606" t="s">
        <v>3400</v>
      </c>
      <c r="F1606" s="117" t="s">
        <v>3400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144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>
      <c r="A1607" s="89" t="s">
        <v>3395</v>
      </c>
      <c r="B1607" s="149" t="str">
        <f>IFERROR(VLOOKUP(Proc[[#This Row],[App]],Table2[],3,0),"open")</f>
        <v>ok</v>
      </c>
      <c r="C1607" s="89" t="s">
        <v>369</v>
      </c>
      <c r="D1607" t="s">
        <v>2966</v>
      </c>
      <c r="E1607" t="s">
        <v>3401</v>
      </c>
      <c r="F1607" s="117" t="s">
        <v>3401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144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>
      <c r="A1608" s="89" t="s">
        <v>3395</v>
      </c>
      <c r="B1608" s="149" t="str">
        <f>IFERROR(VLOOKUP(Proc[[#This Row],[App]],Table2[],3,0),"open")</f>
        <v>ok</v>
      </c>
      <c r="C1608" s="89" t="s">
        <v>369</v>
      </c>
      <c r="D1608" t="s">
        <v>2967</v>
      </c>
      <c r="E1608" t="s">
        <v>3401</v>
      </c>
      <c r="F1608" s="117" t="s">
        <v>3401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144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>
      <c r="A1609" s="89" t="s">
        <v>3395</v>
      </c>
      <c r="B1609" s="149" t="str">
        <f>IFERROR(VLOOKUP(Proc[[#This Row],[App]],Table2[],3,0),"open")</f>
        <v>ok</v>
      </c>
      <c r="C1609" s="89" t="s">
        <v>369</v>
      </c>
      <c r="D1609" t="s">
        <v>2968</v>
      </c>
      <c r="E1609" t="s">
        <v>3401</v>
      </c>
      <c r="F1609" s="117" t="s">
        <v>3401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144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>
      <c r="A1610" s="89" t="s">
        <v>3395</v>
      </c>
      <c r="B1610" s="149" t="str">
        <f>IFERROR(VLOOKUP(Proc[[#This Row],[App]],Table2[],3,0),"open")</f>
        <v>ok</v>
      </c>
      <c r="C1610" s="89" t="s">
        <v>369</v>
      </c>
      <c r="D1610" t="s">
        <v>2969</v>
      </c>
      <c r="E1610" t="s">
        <v>3401</v>
      </c>
      <c r="F1610" s="117" t="s">
        <v>3401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144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>
      <c r="A1611" s="89" t="s">
        <v>3395</v>
      </c>
      <c r="B1611" s="149" t="str">
        <f>IFERROR(VLOOKUP(Proc[[#This Row],[App]],Table2[],3,0),"open")</f>
        <v>ok</v>
      </c>
      <c r="C1611" s="89" t="s">
        <v>369</v>
      </c>
      <c r="D1611" t="s">
        <v>2970</v>
      </c>
      <c r="E1611" t="s">
        <v>3401</v>
      </c>
      <c r="F1611" s="117" t="s">
        <v>3401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144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>
      <c r="A1612" s="89" t="s">
        <v>3395</v>
      </c>
      <c r="B1612" s="149" t="str">
        <f>IFERROR(VLOOKUP(Proc[[#This Row],[App]],Table2[],3,0),"open")</f>
        <v>ok</v>
      </c>
      <c r="C1612" s="89" t="s">
        <v>369</v>
      </c>
      <c r="D1612" t="s">
        <v>2971</v>
      </c>
      <c r="E1612" t="s">
        <v>3401</v>
      </c>
      <c r="F1612" s="117" t="s">
        <v>3401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144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>
      <c r="A1613" s="89" t="s">
        <v>3395</v>
      </c>
      <c r="B1613" s="149" t="str">
        <f>IFERROR(VLOOKUP(Proc[[#This Row],[App]],Table2[],3,0),"open")</f>
        <v>ok</v>
      </c>
      <c r="C1613" s="89" t="s">
        <v>369</v>
      </c>
      <c r="D1613" t="s">
        <v>2972</v>
      </c>
      <c r="E1613" t="s">
        <v>3401</v>
      </c>
      <c r="F1613" s="117" t="s">
        <v>3401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144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>
      <c r="A1614" s="89" t="s">
        <v>3395</v>
      </c>
      <c r="B1614" s="149" t="str">
        <f>IFERROR(VLOOKUP(Proc[[#This Row],[App]],Table2[],3,0),"open")</f>
        <v>ok</v>
      </c>
      <c r="C1614" s="89" t="s">
        <v>369</v>
      </c>
      <c r="D1614" t="s">
        <v>2973</v>
      </c>
      <c r="E1614" t="s">
        <v>3401</v>
      </c>
      <c r="F1614" s="117" t="s">
        <v>3401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144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>
      <c r="A1615" s="89" t="s">
        <v>3395</v>
      </c>
      <c r="B1615" s="149" t="str">
        <f>IFERROR(VLOOKUP(Proc[[#This Row],[App]],Table2[],3,0),"open")</f>
        <v>ok</v>
      </c>
      <c r="C1615" s="89" t="s">
        <v>369</v>
      </c>
      <c r="D1615" t="s">
        <v>2974</v>
      </c>
      <c r="E1615" t="s">
        <v>3401</v>
      </c>
      <c r="F1615" s="117" t="s">
        <v>3401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144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>
      <c r="A1616" s="89" t="s">
        <v>3395</v>
      </c>
      <c r="B1616" s="149" t="str">
        <f>IFERROR(VLOOKUP(Proc[[#This Row],[App]],Table2[],3,0),"open")</f>
        <v>ok</v>
      </c>
      <c r="C1616" s="89" t="s">
        <v>369</v>
      </c>
      <c r="D1616" t="s">
        <v>2975</v>
      </c>
      <c r="E1616" t="s">
        <v>3401</v>
      </c>
      <c r="F1616" s="117" t="s">
        <v>3401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144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>
      <c r="A1617" s="89" t="s">
        <v>3395</v>
      </c>
      <c r="B1617" s="149" t="str">
        <f>IFERROR(VLOOKUP(Proc[[#This Row],[App]],Table2[],3,0),"open")</f>
        <v>ok</v>
      </c>
      <c r="C1617" s="89" t="s">
        <v>369</v>
      </c>
      <c r="D1617" t="s">
        <v>2976</v>
      </c>
      <c r="E1617" t="s">
        <v>3401</v>
      </c>
      <c r="F1617" s="117" t="s">
        <v>3401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144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>
      <c r="A1618" s="89" t="s">
        <v>3395</v>
      </c>
      <c r="B1618" s="149" t="str">
        <f>IFERROR(VLOOKUP(Proc[[#This Row],[App]],Table2[],3,0),"open")</f>
        <v>ok</v>
      </c>
      <c r="C1618" s="89" t="s">
        <v>369</v>
      </c>
      <c r="D1618" t="s">
        <v>2977</v>
      </c>
      <c r="E1618" t="s">
        <v>3401</v>
      </c>
      <c r="F1618" s="117" t="s">
        <v>3401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144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>
      <c r="A1619" s="89" t="s">
        <v>3395</v>
      </c>
      <c r="B1619" s="149" t="str">
        <f>IFERROR(VLOOKUP(Proc[[#This Row],[App]],Table2[],3,0),"open")</f>
        <v>ok</v>
      </c>
      <c r="C1619" s="89" t="s">
        <v>369</v>
      </c>
      <c r="D1619" t="s">
        <v>2978</v>
      </c>
      <c r="E1619" t="s">
        <v>3401</v>
      </c>
      <c r="F1619" s="117" t="s">
        <v>3401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144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>
      <c r="A1620" s="89" t="s">
        <v>3395</v>
      </c>
      <c r="B1620" s="149" t="str">
        <f>IFERROR(VLOOKUP(Proc[[#This Row],[App]],Table2[],3,0),"open")</f>
        <v>ok</v>
      </c>
      <c r="C1620" s="89" t="s">
        <v>369</v>
      </c>
      <c r="D1620" t="s">
        <v>2979</v>
      </c>
      <c r="E1620" t="s">
        <v>3401</v>
      </c>
      <c r="F1620" s="117" t="s">
        <v>3401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144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>
      <c r="A1621" s="89" t="s">
        <v>3395</v>
      </c>
      <c r="B1621" s="149" t="str">
        <f>IFERROR(VLOOKUP(Proc[[#This Row],[App]],Table2[],3,0),"open")</f>
        <v>ok</v>
      </c>
      <c r="C1621" s="89" t="s">
        <v>369</v>
      </c>
      <c r="D1621" t="s">
        <v>2980</v>
      </c>
      <c r="E1621" t="s">
        <v>3401</v>
      </c>
      <c r="F1621" s="117" t="s">
        <v>3401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144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>
      <c r="A1622" s="89" t="s">
        <v>3395</v>
      </c>
      <c r="B1622" s="149" t="str">
        <f>IFERROR(VLOOKUP(Proc[[#This Row],[App]],Table2[],3,0),"open")</f>
        <v>ok</v>
      </c>
      <c r="C1622" s="89" t="s">
        <v>369</v>
      </c>
      <c r="D1622" t="s">
        <v>2981</v>
      </c>
      <c r="E1622" t="s">
        <v>3401</v>
      </c>
      <c r="F1622" s="117" t="s">
        <v>3401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144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>
      <c r="A1623" s="89" t="s">
        <v>3395</v>
      </c>
      <c r="B1623" s="149" t="str">
        <f>IFERROR(VLOOKUP(Proc[[#This Row],[App]],Table2[],3,0),"open")</f>
        <v>ok</v>
      </c>
      <c r="C1623" s="89" t="s">
        <v>369</v>
      </c>
      <c r="D1623" t="s">
        <v>2982</v>
      </c>
      <c r="E1623" t="s">
        <v>3401</v>
      </c>
      <c r="F1623" s="117" t="s">
        <v>3401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144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>
      <c r="A1624" s="89" t="s">
        <v>3395</v>
      </c>
      <c r="B1624" s="149" t="str">
        <f>IFERROR(VLOOKUP(Proc[[#This Row],[App]],Table2[],3,0),"open")</f>
        <v>ok</v>
      </c>
      <c r="C1624" s="89" t="s">
        <v>369</v>
      </c>
      <c r="D1624" t="s">
        <v>2983</v>
      </c>
      <c r="E1624" t="s">
        <v>3401</v>
      </c>
      <c r="F1624" s="117" t="s">
        <v>3401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144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>
      <c r="A1625" s="89" t="s">
        <v>3395</v>
      </c>
      <c r="B1625" s="149" t="str">
        <f>IFERROR(VLOOKUP(Proc[[#This Row],[App]],Table2[],3,0),"open")</f>
        <v>ok</v>
      </c>
      <c r="C1625" s="89" t="s">
        <v>369</v>
      </c>
      <c r="D1625" t="s">
        <v>2984</v>
      </c>
      <c r="E1625" t="s">
        <v>3401</v>
      </c>
      <c r="F1625" s="117" t="s">
        <v>3401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144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>
      <c r="A1626" s="89" t="s">
        <v>3395</v>
      </c>
      <c r="B1626" s="149" t="str">
        <f>IFERROR(VLOOKUP(Proc[[#This Row],[App]],Table2[],3,0),"open")</f>
        <v>ok</v>
      </c>
      <c r="C1626" s="89" t="s">
        <v>369</v>
      </c>
      <c r="D1626" t="s">
        <v>2985</v>
      </c>
      <c r="E1626" t="s">
        <v>3401</v>
      </c>
      <c r="F1626" s="117" t="s">
        <v>3401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144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>
      <c r="A1627" s="89" t="s">
        <v>3395</v>
      </c>
      <c r="B1627" s="149" t="str">
        <f>IFERROR(VLOOKUP(Proc[[#This Row],[App]],Table2[],3,0),"open")</f>
        <v>ok</v>
      </c>
      <c r="C1627" s="89" t="s">
        <v>369</v>
      </c>
      <c r="D1627" t="s">
        <v>2986</v>
      </c>
      <c r="E1627" t="s">
        <v>3401</v>
      </c>
      <c r="F1627" s="117" t="s">
        <v>3401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144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>
      <c r="A1628" s="89" t="s">
        <v>3395</v>
      </c>
      <c r="B1628" s="149" t="str">
        <f>IFERROR(VLOOKUP(Proc[[#This Row],[App]],Table2[],3,0),"open")</f>
        <v>ok</v>
      </c>
      <c r="C1628" s="89" t="s">
        <v>369</v>
      </c>
      <c r="D1628" t="s">
        <v>2987</v>
      </c>
      <c r="E1628" t="s">
        <v>3401</v>
      </c>
      <c r="F1628" s="117" t="s">
        <v>3401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144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>
      <c r="A1629" s="89" t="s">
        <v>3395</v>
      </c>
      <c r="B1629" s="149" t="str">
        <f>IFERROR(VLOOKUP(Proc[[#This Row],[App]],Table2[],3,0),"open")</f>
        <v>ok</v>
      </c>
      <c r="C1629" s="89" t="s">
        <v>369</v>
      </c>
      <c r="D1629" t="s">
        <v>2988</v>
      </c>
      <c r="E1629" t="s">
        <v>3401</v>
      </c>
      <c r="F1629" s="117" t="s">
        <v>3401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144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>
      <c r="A1630" s="89" t="s">
        <v>3395</v>
      </c>
      <c r="B1630" s="149" t="str">
        <f>IFERROR(VLOOKUP(Proc[[#This Row],[App]],Table2[],3,0),"open")</f>
        <v>ok</v>
      </c>
      <c r="C1630" s="89" t="s">
        <v>369</v>
      </c>
      <c r="D1630" t="s">
        <v>2989</v>
      </c>
      <c r="E1630" t="s">
        <v>3401</v>
      </c>
      <c r="F1630" s="117" t="s">
        <v>3401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144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>
      <c r="A1631" s="89" t="s">
        <v>3395</v>
      </c>
      <c r="B1631" s="149" t="str">
        <f>IFERROR(VLOOKUP(Proc[[#This Row],[App]],Table2[],3,0),"open")</f>
        <v>ok</v>
      </c>
      <c r="C1631" s="89" t="s">
        <v>369</v>
      </c>
      <c r="D1631" t="s">
        <v>2990</v>
      </c>
      <c r="E1631" t="s">
        <v>3401</v>
      </c>
      <c r="F1631" s="117" t="s">
        <v>3401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144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>
      <c r="A1632" s="89" t="s">
        <v>3395</v>
      </c>
      <c r="B1632" s="149" t="str">
        <f>IFERROR(VLOOKUP(Proc[[#This Row],[App]],Table2[],3,0),"open")</f>
        <v>ok</v>
      </c>
      <c r="C1632" s="89" t="s">
        <v>369</v>
      </c>
      <c r="D1632" t="s">
        <v>2991</v>
      </c>
      <c r="E1632" t="s">
        <v>3401</v>
      </c>
      <c r="F1632" s="117" t="s">
        <v>3401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144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>
      <c r="A1633" s="89" t="s">
        <v>3395</v>
      </c>
      <c r="B1633" s="149" t="str">
        <f>IFERROR(VLOOKUP(Proc[[#This Row],[App]],Table2[],3,0),"open")</f>
        <v>ok</v>
      </c>
      <c r="C1633" s="89" t="s">
        <v>369</v>
      </c>
      <c r="D1633" t="s">
        <v>2992</v>
      </c>
      <c r="E1633" t="s">
        <v>3401</v>
      </c>
      <c r="F1633" s="117" t="s">
        <v>3401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144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>
      <c r="A1634" s="89" t="s">
        <v>3395</v>
      </c>
      <c r="B1634" s="149" t="str">
        <f>IFERROR(VLOOKUP(Proc[[#This Row],[App]],Table2[],3,0),"open")</f>
        <v>ok</v>
      </c>
      <c r="C1634" s="89" t="s">
        <v>369</v>
      </c>
      <c r="D1634" t="s">
        <v>2993</v>
      </c>
      <c r="E1634" t="s">
        <v>3401</v>
      </c>
      <c r="F1634" s="117" t="s">
        <v>3401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144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>
      <c r="A1635" s="89" t="s">
        <v>3395</v>
      </c>
      <c r="B1635" s="149" t="str">
        <f>IFERROR(VLOOKUP(Proc[[#This Row],[App]],Table2[],3,0),"open")</f>
        <v>ok</v>
      </c>
      <c r="C1635" s="89" t="s">
        <v>369</v>
      </c>
      <c r="D1635" t="s">
        <v>2994</v>
      </c>
      <c r="E1635" t="s">
        <v>3401</v>
      </c>
      <c r="F1635" s="117" t="s">
        <v>3401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144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>
      <c r="A1636" s="89" t="s">
        <v>3395</v>
      </c>
      <c r="B1636" s="149" t="str">
        <f>IFERROR(VLOOKUP(Proc[[#This Row],[App]],Table2[],3,0),"open")</f>
        <v>ok</v>
      </c>
      <c r="C1636" s="89" t="s">
        <v>369</v>
      </c>
      <c r="D1636" t="s">
        <v>2995</v>
      </c>
      <c r="E1636" t="s">
        <v>3401</v>
      </c>
      <c r="F1636" s="117" t="s">
        <v>3401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144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>
      <c r="A1637" s="89" t="s">
        <v>3395</v>
      </c>
      <c r="B1637" s="149" t="str">
        <f>IFERROR(VLOOKUP(Proc[[#This Row],[App]],Table2[],3,0),"open")</f>
        <v>ok</v>
      </c>
      <c r="C1637" s="89" t="s">
        <v>369</v>
      </c>
      <c r="D1637" t="s">
        <v>2996</v>
      </c>
      <c r="E1637" t="s">
        <v>3401</v>
      </c>
      <c r="F1637" s="117" t="s">
        <v>3401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144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>
      <c r="A1638" s="89" t="s">
        <v>3395</v>
      </c>
      <c r="B1638" s="149" t="str">
        <f>IFERROR(VLOOKUP(Proc[[#This Row],[App]],Table2[],3,0),"open")</f>
        <v>ok</v>
      </c>
      <c r="C1638" s="89" t="s">
        <v>369</v>
      </c>
      <c r="D1638" t="s">
        <v>2997</v>
      </c>
      <c r="E1638" t="s">
        <v>3401</v>
      </c>
      <c r="F1638" s="117" t="s">
        <v>3401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144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>
      <c r="A1639" s="89" t="s">
        <v>3395</v>
      </c>
      <c r="B1639" s="149" t="str">
        <f>IFERROR(VLOOKUP(Proc[[#This Row],[App]],Table2[],3,0),"open")</f>
        <v>ok</v>
      </c>
      <c r="C1639" s="89" t="s">
        <v>369</v>
      </c>
      <c r="D1639" t="s">
        <v>2998</v>
      </c>
      <c r="E1639" t="s">
        <v>3401</v>
      </c>
      <c r="F1639" s="117" t="s">
        <v>3401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144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>
      <c r="A1640" s="89" t="s">
        <v>3395</v>
      </c>
      <c r="B1640" s="149" t="str">
        <f>IFERROR(VLOOKUP(Proc[[#This Row],[App]],Table2[],3,0),"open")</f>
        <v>ok</v>
      </c>
      <c r="C1640" s="89" t="s">
        <v>369</v>
      </c>
      <c r="D1640" t="s">
        <v>2999</v>
      </c>
      <c r="E1640" t="s">
        <v>3401</v>
      </c>
      <c r="F1640" s="117" t="s">
        <v>3401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144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>
      <c r="A1641" s="89" t="s">
        <v>3395</v>
      </c>
      <c r="B1641" s="149" t="str">
        <f>IFERROR(VLOOKUP(Proc[[#This Row],[App]],Table2[],3,0),"open")</f>
        <v>ok</v>
      </c>
      <c r="C1641" s="89" t="s">
        <v>369</v>
      </c>
      <c r="D1641" t="s">
        <v>3000</v>
      </c>
      <c r="E1641" t="s">
        <v>3401</v>
      </c>
      <c r="F1641" s="117" t="s">
        <v>3401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144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>
      <c r="A1642" s="89" t="s">
        <v>3395</v>
      </c>
      <c r="B1642" s="149" t="str">
        <f>IFERROR(VLOOKUP(Proc[[#This Row],[App]],Table2[],3,0),"open")</f>
        <v>ok</v>
      </c>
      <c r="C1642" s="89" t="s">
        <v>369</v>
      </c>
      <c r="D1642" t="s">
        <v>3001</v>
      </c>
      <c r="E1642" t="s">
        <v>3401</v>
      </c>
      <c r="F1642" s="117" t="s">
        <v>3401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144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>
      <c r="A1643" t="s">
        <v>3403</v>
      </c>
      <c r="B1643" s="149" t="str">
        <f>IFERROR(VLOOKUP(Proc[[#This Row],[App]],Table2[],3,0),"open")</f>
        <v>ok</v>
      </c>
      <c r="C1643" s="89" t="s">
        <v>369</v>
      </c>
      <c r="D1643" t="s">
        <v>3402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144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>
      <c r="A1644" t="s">
        <v>3404</v>
      </c>
      <c r="B1644" s="149" t="str">
        <f>IFERROR(VLOOKUP(Proc[[#This Row],[App]],Table2[],3,0),"open")</f>
        <v>ok</v>
      </c>
      <c r="C1644" t="s">
        <v>369</v>
      </c>
      <c r="D1644" t="s">
        <v>3405</v>
      </c>
      <c r="E1644" t="s">
        <v>3514</v>
      </c>
      <c r="F1644" s="117" t="s">
        <v>3514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144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144</v>
      </c>
      <c r="R1644" s="90" t="s">
        <v>489</v>
      </c>
      <c r="S1644" s="85"/>
    </row>
    <row r="1645" spans="1:19">
      <c r="A1645" s="89" t="s">
        <v>3404</v>
      </c>
      <c r="B1645" s="149" t="str">
        <f>IFERROR(VLOOKUP(Proc[[#This Row],[App]],Table2[],3,0),"open")</f>
        <v>ok</v>
      </c>
      <c r="C1645" s="89" t="s">
        <v>369</v>
      </c>
      <c r="D1645" t="s">
        <v>3406</v>
      </c>
      <c r="E1645" t="s">
        <v>3515</v>
      </c>
      <c r="F1645" s="117" t="s">
        <v>3515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144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144</v>
      </c>
      <c r="R1645" s="90" t="s">
        <v>489</v>
      </c>
      <c r="S1645" s="85"/>
    </row>
    <row r="1646" spans="1:19">
      <c r="A1646" s="89" t="s">
        <v>3404</v>
      </c>
      <c r="B1646" s="149" t="str">
        <f>IFERROR(VLOOKUP(Proc[[#This Row],[App]],Table2[],3,0),"open")</f>
        <v>ok</v>
      </c>
      <c r="C1646" s="89" t="s">
        <v>369</v>
      </c>
      <c r="D1646" t="s">
        <v>3407</v>
      </c>
      <c r="E1646" t="s">
        <v>3515</v>
      </c>
      <c r="F1646" s="117" t="s">
        <v>3515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144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144</v>
      </c>
      <c r="R1646" s="90" t="s">
        <v>489</v>
      </c>
      <c r="S1646" s="85"/>
    </row>
    <row r="1647" spans="1:19">
      <c r="A1647" s="89" t="s">
        <v>3404</v>
      </c>
      <c r="B1647" s="149" t="str">
        <f>IFERROR(VLOOKUP(Proc[[#This Row],[App]],Table2[],3,0),"open")</f>
        <v>ok</v>
      </c>
      <c r="C1647" s="89" t="s">
        <v>369</v>
      </c>
      <c r="D1647" t="s">
        <v>3408</v>
      </c>
      <c r="E1647" t="s">
        <v>3516</v>
      </c>
      <c r="F1647" s="117" t="s">
        <v>3516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144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144</v>
      </c>
      <c r="R1647" s="90" t="s">
        <v>489</v>
      </c>
      <c r="S1647" s="85"/>
    </row>
    <row r="1648" spans="1:19">
      <c r="A1648" s="89" t="s">
        <v>3404</v>
      </c>
      <c r="B1648" s="149" t="str">
        <f>IFERROR(VLOOKUP(Proc[[#This Row],[App]],Table2[],3,0),"open")</f>
        <v>ok</v>
      </c>
      <c r="C1648" s="89" t="s">
        <v>369</v>
      </c>
      <c r="D1648" t="s">
        <v>3409</v>
      </c>
      <c r="E1648" t="s">
        <v>3517</v>
      </c>
      <c r="F1648" s="117" t="s">
        <v>3517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144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144</v>
      </c>
      <c r="R1648" s="90" t="s">
        <v>489</v>
      </c>
      <c r="S1648" s="85"/>
    </row>
    <row r="1649" spans="1:19">
      <c r="A1649" s="89" t="s">
        <v>3404</v>
      </c>
      <c r="B1649" s="149" t="str">
        <f>IFERROR(VLOOKUP(Proc[[#This Row],[App]],Table2[],3,0),"open")</f>
        <v>ok</v>
      </c>
      <c r="C1649" s="89" t="s">
        <v>369</v>
      </c>
      <c r="D1649" t="s">
        <v>3410</v>
      </c>
      <c r="E1649" t="s">
        <v>3517</v>
      </c>
      <c r="F1649" s="117" t="s">
        <v>3517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144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144</v>
      </c>
      <c r="R1649" s="90" t="s">
        <v>489</v>
      </c>
      <c r="S1649" s="85"/>
    </row>
    <row r="1650" spans="1:19">
      <c r="A1650" s="89" t="s">
        <v>3404</v>
      </c>
      <c r="B1650" s="149" t="str">
        <f>IFERROR(VLOOKUP(Proc[[#This Row],[App]],Table2[],3,0),"open")</f>
        <v>ok</v>
      </c>
      <c r="C1650" s="89" t="s">
        <v>369</v>
      </c>
      <c r="D1650" t="s">
        <v>3411</v>
      </c>
      <c r="E1650" t="s">
        <v>3517</v>
      </c>
      <c r="F1650" s="117" t="s">
        <v>3517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144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144</v>
      </c>
      <c r="R1650" s="90" t="s">
        <v>489</v>
      </c>
      <c r="S1650" s="85"/>
    </row>
    <row r="1651" spans="1:19">
      <c r="A1651" s="89" t="s">
        <v>3404</v>
      </c>
      <c r="B1651" s="149" t="str">
        <f>IFERROR(VLOOKUP(Proc[[#This Row],[App]],Table2[],3,0),"open")</f>
        <v>ok</v>
      </c>
      <c r="C1651" s="89" t="s">
        <v>369</v>
      </c>
      <c r="D1651" t="s">
        <v>3412</v>
      </c>
      <c r="E1651" t="s">
        <v>3518</v>
      </c>
      <c r="F1651" s="117" t="s">
        <v>3518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144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144</v>
      </c>
      <c r="R1651" s="90" t="s">
        <v>489</v>
      </c>
      <c r="S1651" s="85"/>
    </row>
    <row r="1652" spans="1:19">
      <c r="A1652" s="89" t="s">
        <v>3404</v>
      </c>
      <c r="B1652" s="149" t="str">
        <f>IFERROR(VLOOKUP(Proc[[#This Row],[App]],Table2[],3,0),"open")</f>
        <v>ok</v>
      </c>
      <c r="C1652" s="89" t="s">
        <v>369</v>
      </c>
      <c r="D1652" t="s">
        <v>3413</v>
      </c>
      <c r="E1652" t="s">
        <v>3515</v>
      </c>
      <c r="F1652" s="117" t="s">
        <v>3515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144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144</v>
      </c>
      <c r="R1652" s="90" t="s">
        <v>489</v>
      </c>
      <c r="S1652" s="85"/>
    </row>
    <row r="1653" spans="1:19">
      <c r="A1653" s="89" t="s">
        <v>3404</v>
      </c>
      <c r="B1653" s="149" t="str">
        <f>IFERROR(VLOOKUP(Proc[[#This Row],[App]],Table2[],3,0),"open")</f>
        <v>ok</v>
      </c>
      <c r="C1653" s="89" t="s">
        <v>369</v>
      </c>
      <c r="D1653" t="s">
        <v>3414</v>
      </c>
      <c r="E1653" t="s">
        <v>3519</v>
      </c>
      <c r="F1653" s="117" t="s">
        <v>3519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144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144</v>
      </c>
      <c r="R1653" s="90" t="s">
        <v>489</v>
      </c>
      <c r="S1653" s="85"/>
    </row>
    <row r="1654" spans="1:19">
      <c r="A1654" s="89" t="s">
        <v>3404</v>
      </c>
      <c r="B1654" s="149" t="str">
        <f>IFERROR(VLOOKUP(Proc[[#This Row],[App]],Table2[],3,0),"open")</f>
        <v>ok</v>
      </c>
      <c r="C1654" s="89" t="s">
        <v>369</v>
      </c>
      <c r="D1654" t="s">
        <v>3415</v>
      </c>
      <c r="E1654" t="s">
        <v>3520</v>
      </c>
      <c r="F1654" s="117" t="s">
        <v>3520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144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144</v>
      </c>
      <c r="R1654" s="90" t="s">
        <v>489</v>
      </c>
      <c r="S1654" s="85"/>
    </row>
    <row r="1655" spans="1:19">
      <c r="A1655" s="89" t="s">
        <v>3404</v>
      </c>
      <c r="B1655" s="149" t="str">
        <f>IFERROR(VLOOKUP(Proc[[#This Row],[App]],Table2[],3,0),"open")</f>
        <v>ok</v>
      </c>
      <c r="C1655" s="89" t="s">
        <v>369</v>
      </c>
      <c r="D1655" t="s">
        <v>3416</v>
      </c>
      <c r="E1655" t="s">
        <v>3520</v>
      </c>
      <c r="F1655" s="117" t="s">
        <v>3520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144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144</v>
      </c>
      <c r="R1655" s="90" t="s">
        <v>489</v>
      </c>
      <c r="S1655" s="85"/>
    </row>
    <row r="1656" spans="1:19">
      <c r="A1656" s="89" t="s">
        <v>3404</v>
      </c>
      <c r="B1656" s="149" t="str">
        <f>IFERROR(VLOOKUP(Proc[[#This Row],[App]],Table2[],3,0),"open")</f>
        <v>ok</v>
      </c>
      <c r="C1656" s="89" t="s">
        <v>369</v>
      </c>
      <c r="D1656" t="s">
        <v>3417</v>
      </c>
      <c r="E1656" t="s">
        <v>3521</v>
      </c>
      <c r="F1656" s="117" t="s">
        <v>3521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144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144</v>
      </c>
      <c r="R1656" s="90" t="s">
        <v>489</v>
      </c>
      <c r="S1656" s="85"/>
    </row>
    <row r="1657" spans="1:19">
      <c r="A1657" s="89" t="s">
        <v>3404</v>
      </c>
      <c r="B1657" s="149" t="str">
        <f>IFERROR(VLOOKUP(Proc[[#This Row],[App]],Table2[],3,0),"open")</f>
        <v>ok</v>
      </c>
      <c r="C1657" s="89" t="s">
        <v>369</v>
      </c>
      <c r="D1657" t="s">
        <v>3418</v>
      </c>
      <c r="E1657" t="s">
        <v>3515</v>
      </c>
      <c r="F1657" s="117" t="s">
        <v>3515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144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144</v>
      </c>
      <c r="R1657" s="90" t="s">
        <v>489</v>
      </c>
      <c r="S1657" s="85"/>
    </row>
    <row r="1658" spans="1:19">
      <c r="A1658" s="89" t="s">
        <v>3404</v>
      </c>
      <c r="B1658" s="149" t="str">
        <f>IFERROR(VLOOKUP(Proc[[#This Row],[App]],Table2[],3,0),"open")</f>
        <v>ok</v>
      </c>
      <c r="C1658" s="89" t="s">
        <v>369</v>
      </c>
      <c r="D1658" t="s">
        <v>3419</v>
      </c>
      <c r="E1658" t="s">
        <v>3522</v>
      </c>
      <c r="F1658" s="117" t="s">
        <v>3522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144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144</v>
      </c>
      <c r="R1658" s="90" t="s">
        <v>489</v>
      </c>
      <c r="S1658" s="85"/>
    </row>
    <row r="1659" spans="1:19">
      <c r="A1659" s="89" t="s">
        <v>3404</v>
      </c>
      <c r="B1659" s="149" t="str">
        <f>IFERROR(VLOOKUP(Proc[[#This Row],[App]],Table2[],3,0),"open")</f>
        <v>ok</v>
      </c>
      <c r="C1659" s="89" t="s">
        <v>369</v>
      </c>
      <c r="D1659" t="s">
        <v>3420</v>
      </c>
      <c r="E1659" t="s">
        <v>3515</v>
      </c>
      <c r="F1659" s="117" t="s">
        <v>3515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144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144</v>
      </c>
      <c r="R1659" s="90" t="s">
        <v>489</v>
      </c>
      <c r="S1659" s="85"/>
    </row>
    <row r="1660" spans="1:19">
      <c r="A1660" s="89" t="s">
        <v>3404</v>
      </c>
      <c r="B1660" s="149" t="str">
        <f>IFERROR(VLOOKUP(Proc[[#This Row],[App]],Table2[],3,0),"open")</f>
        <v>ok</v>
      </c>
      <c r="C1660" s="89" t="s">
        <v>369</v>
      </c>
      <c r="D1660" t="s">
        <v>3421</v>
      </c>
      <c r="E1660" t="s">
        <v>3515</v>
      </c>
      <c r="F1660" s="117" t="s">
        <v>3515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144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144</v>
      </c>
      <c r="R1660" s="90" t="s">
        <v>489</v>
      </c>
      <c r="S1660" s="85"/>
    </row>
    <row r="1661" spans="1:19">
      <c r="A1661" s="89" t="s">
        <v>3404</v>
      </c>
      <c r="B1661" s="149" t="str">
        <f>IFERROR(VLOOKUP(Proc[[#This Row],[App]],Table2[],3,0),"open")</f>
        <v>ok</v>
      </c>
      <c r="C1661" s="89" t="s">
        <v>369</v>
      </c>
      <c r="D1661" t="s">
        <v>3422</v>
      </c>
      <c r="E1661" t="s">
        <v>3523</v>
      </c>
      <c r="F1661" s="117" t="s">
        <v>3523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144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144</v>
      </c>
      <c r="R1661" s="90" t="s">
        <v>489</v>
      </c>
      <c r="S1661" s="85"/>
    </row>
    <row r="1662" spans="1:19">
      <c r="A1662" s="89" t="s">
        <v>3404</v>
      </c>
      <c r="B1662" s="149" t="str">
        <f>IFERROR(VLOOKUP(Proc[[#This Row],[App]],Table2[],3,0),"open")</f>
        <v>ok</v>
      </c>
      <c r="C1662" s="89" t="s">
        <v>369</v>
      </c>
      <c r="D1662" t="s">
        <v>3423</v>
      </c>
      <c r="E1662" t="s">
        <v>3524</v>
      </c>
      <c r="F1662" s="117" t="s">
        <v>3524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144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144</v>
      </c>
      <c r="R1662" s="90" t="s">
        <v>489</v>
      </c>
      <c r="S1662" s="85"/>
    </row>
    <row r="1663" spans="1:19">
      <c r="A1663" s="89" t="s">
        <v>3404</v>
      </c>
      <c r="B1663" s="149" t="str">
        <f>IFERROR(VLOOKUP(Proc[[#This Row],[App]],Table2[],3,0),"open")</f>
        <v>ok</v>
      </c>
      <c r="C1663" s="89" t="s">
        <v>369</v>
      </c>
      <c r="D1663" t="s">
        <v>3424</v>
      </c>
      <c r="E1663" t="s">
        <v>3515</v>
      </c>
      <c r="F1663" s="117" t="s">
        <v>3515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144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144</v>
      </c>
      <c r="R1663" s="90" t="s">
        <v>489</v>
      </c>
      <c r="S1663" s="85"/>
    </row>
    <row r="1664" spans="1:19">
      <c r="A1664" s="89" t="s">
        <v>3404</v>
      </c>
      <c r="B1664" s="149" t="str">
        <f>IFERROR(VLOOKUP(Proc[[#This Row],[App]],Table2[],3,0),"open")</f>
        <v>ok</v>
      </c>
      <c r="C1664" s="89" t="s">
        <v>369</v>
      </c>
      <c r="D1664" t="s">
        <v>3425</v>
      </c>
      <c r="E1664" t="s">
        <v>3515</v>
      </c>
      <c r="F1664" s="117" t="s">
        <v>3515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144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144</v>
      </c>
      <c r="R1664" s="90" t="s">
        <v>489</v>
      </c>
      <c r="S1664" s="85"/>
    </row>
    <row r="1665" spans="1:19">
      <c r="A1665" s="89" t="s">
        <v>3404</v>
      </c>
      <c r="B1665" s="149" t="str">
        <f>IFERROR(VLOOKUP(Proc[[#This Row],[App]],Table2[],3,0),"open")</f>
        <v>ok</v>
      </c>
      <c r="C1665" s="89" t="s">
        <v>369</v>
      </c>
      <c r="D1665" t="s">
        <v>3426</v>
      </c>
      <c r="E1665" t="s">
        <v>3515</v>
      </c>
      <c r="F1665" s="117" t="s">
        <v>3515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144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144</v>
      </c>
      <c r="R1665" s="90" t="s">
        <v>489</v>
      </c>
      <c r="S1665" s="85"/>
    </row>
    <row r="1666" spans="1:19">
      <c r="A1666" s="89" t="s">
        <v>3404</v>
      </c>
      <c r="B1666" s="149" t="str">
        <f>IFERROR(VLOOKUP(Proc[[#This Row],[App]],Table2[],3,0),"open")</f>
        <v>ok</v>
      </c>
      <c r="C1666" s="89" t="s">
        <v>369</v>
      </c>
      <c r="D1666" t="s">
        <v>3427</v>
      </c>
      <c r="E1666" t="s">
        <v>3525</v>
      </c>
      <c r="F1666" s="117" t="s">
        <v>3525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144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144</v>
      </c>
      <c r="R1666" s="90" t="s">
        <v>489</v>
      </c>
      <c r="S1666" s="85"/>
    </row>
    <row r="1667" spans="1:19">
      <c r="A1667" s="89" t="s">
        <v>3404</v>
      </c>
      <c r="B1667" s="149" t="str">
        <f>IFERROR(VLOOKUP(Proc[[#This Row],[App]],Table2[],3,0),"open")</f>
        <v>ok</v>
      </c>
      <c r="C1667" s="89" t="s">
        <v>369</v>
      </c>
      <c r="D1667" t="s">
        <v>3428</v>
      </c>
      <c r="E1667" t="s">
        <v>3515</v>
      </c>
      <c r="F1667" s="117" t="s">
        <v>3515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144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144</v>
      </c>
      <c r="R1667" s="90" t="s">
        <v>489</v>
      </c>
      <c r="S1667" s="85"/>
    </row>
    <row r="1668" spans="1:19">
      <c r="A1668" s="89" t="s">
        <v>3404</v>
      </c>
      <c r="B1668" s="149" t="str">
        <f>IFERROR(VLOOKUP(Proc[[#This Row],[App]],Table2[],3,0),"open")</f>
        <v>ok</v>
      </c>
      <c r="C1668" s="89" t="s">
        <v>369</v>
      </c>
      <c r="D1668" t="s">
        <v>3429</v>
      </c>
      <c r="E1668" t="s">
        <v>3526</v>
      </c>
      <c r="F1668" s="117" t="s">
        <v>3526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144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144</v>
      </c>
      <c r="R1668" s="90" t="s">
        <v>489</v>
      </c>
      <c r="S1668" s="85"/>
    </row>
    <row r="1669" spans="1:19">
      <c r="A1669" s="89" t="s">
        <v>3404</v>
      </c>
      <c r="B1669" s="149" t="str">
        <f>IFERROR(VLOOKUP(Proc[[#This Row],[App]],Table2[],3,0),"open")</f>
        <v>ok</v>
      </c>
      <c r="C1669" s="89" t="s">
        <v>369</v>
      </c>
      <c r="D1669" t="s">
        <v>3189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144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>
      <c r="A1670" s="89" t="s">
        <v>3404</v>
      </c>
      <c r="B1670" s="149" t="str">
        <f>IFERROR(VLOOKUP(Proc[[#This Row],[App]],Table2[],3,0),"open")</f>
        <v>ok</v>
      </c>
      <c r="C1670" s="89" t="s">
        <v>369</v>
      </c>
      <c r="D1670" t="s">
        <v>3430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3558</v>
      </c>
      <c r="J1670" s="85" t="b">
        <f>Proc[[#This Row],[Requested]]=Proc[[#This Row],[CurrentParent]]</f>
        <v>1</v>
      </c>
      <c r="K1670" s="144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>
      <c r="A1671" s="89" t="s">
        <v>3404</v>
      </c>
      <c r="B1671" s="149" t="str">
        <f>IFERROR(VLOOKUP(Proc[[#This Row],[App]],Table2[],3,0),"open")</f>
        <v>ok</v>
      </c>
      <c r="C1671" s="89" t="s">
        <v>369</v>
      </c>
      <c r="D1671" t="s">
        <v>3431</v>
      </c>
      <c r="E1671" t="s">
        <v>3525</v>
      </c>
      <c r="F1671" s="117" t="s">
        <v>3525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3558</v>
      </c>
      <c r="J1671" s="85" t="b">
        <f>Proc[[#This Row],[Requested]]=Proc[[#This Row],[CurrentParent]]</f>
        <v>1</v>
      </c>
      <c r="K1671" s="144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>
      <c r="A1672" s="89" t="s">
        <v>3404</v>
      </c>
      <c r="B1672" s="149" t="str">
        <f>IFERROR(VLOOKUP(Proc[[#This Row],[App]],Table2[],3,0),"open")</f>
        <v>ok</v>
      </c>
      <c r="C1672" s="89" t="s">
        <v>369</v>
      </c>
      <c r="D1672" t="s">
        <v>3432</v>
      </c>
      <c r="E1672" t="s">
        <v>3527</v>
      </c>
      <c r="F1672" s="117" t="s">
        <v>3527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3558</v>
      </c>
      <c r="J1672" s="85" t="b">
        <f>Proc[[#This Row],[Requested]]=Proc[[#This Row],[CurrentParent]]</f>
        <v>1</v>
      </c>
      <c r="K1672" s="144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>
      <c r="A1673" s="89" t="s">
        <v>3404</v>
      </c>
      <c r="B1673" s="149" t="str">
        <f>IFERROR(VLOOKUP(Proc[[#This Row],[App]],Table2[],3,0),"open")</f>
        <v>ok</v>
      </c>
      <c r="C1673" s="89" t="s">
        <v>369</v>
      </c>
      <c r="D1673" t="s">
        <v>3433</v>
      </c>
      <c r="E1673" t="s">
        <v>3528</v>
      </c>
      <c r="F1673" s="117" t="s">
        <v>3528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3558</v>
      </c>
      <c r="J1673" s="85" t="b">
        <f>Proc[[#This Row],[Requested]]=Proc[[#This Row],[CurrentParent]]</f>
        <v>1</v>
      </c>
      <c r="K1673" s="144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>
      <c r="A1674" s="89" t="s">
        <v>3404</v>
      </c>
      <c r="B1674" s="149" t="str">
        <f>IFERROR(VLOOKUP(Proc[[#This Row],[App]],Table2[],3,0),"open")</f>
        <v>ok</v>
      </c>
      <c r="C1674" s="89" t="s">
        <v>369</v>
      </c>
      <c r="D1674" t="s">
        <v>3434</v>
      </c>
      <c r="E1674" t="s">
        <v>3529</v>
      </c>
      <c r="F1674" s="117" t="s">
        <v>3529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3558</v>
      </c>
      <c r="J1674" s="85" t="b">
        <f>Proc[[#This Row],[Requested]]=Proc[[#This Row],[CurrentParent]]</f>
        <v>1</v>
      </c>
      <c r="K1674" s="144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>
      <c r="A1675" s="89" t="s">
        <v>3404</v>
      </c>
      <c r="B1675" s="149" t="str">
        <f>IFERROR(VLOOKUP(Proc[[#This Row],[App]],Table2[],3,0),"open")</f>
        <v>ok</v>
      </c>
      <c r="C1675" s="89" t="s">
        <v>369</v>
      </c>
      <c r="D1675" t="s">
        <v>3435</v>
      </c>
      <c r="E1675" t="s">
        <v>3516</v>
      </c>
      <c r="F1675" s="117" t="s">
        <v>3516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3558</v>
      </c>
      <c r="J1675" s="85" t="b">
        <f>Proc[[#This Row],[Requested]]=Proc[[#This Row],[CurrentParent]]</f>
        <v>1</v>
      </c>
      <c r="K1675" s="144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>
      <c r="A1676" s="89" t="s">
        <v>3404</v>
      </c>
      <c r="B1676" s="149" t="str">
        <f>IFERROR(VLOOKUP(Proc[[#This Row],[App]],Table2[],3,0),"open")</f>
        <v>ok</v>
      </c>
      <c r="C1676" s="89" t="s">
        <v>369</v>
      </c>
      <c r="D1676" t="s">
        <v>3436</v>
      </c>
      <c r="E1676" t="s">
        <v>3530</v>
      </c>
      <c r="F1676" s="117" t="s">
        <v>3530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3558</v>
      </c>
      <c r="J1676" s="85" t="b">
        <f>Proc[[#This Row],[Requested]]=Proc[[#This Row],[CurrentParent]]</f>
        <v>1</v>
      </c>
      <c r="K1676" s="144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>
      <c r="A1677" s="89" t="s">
        <v>3404</v>
      </c>
      <c r="B1677" s="149" t="str">
        <f>IFERROR(VLOOKUP(Proc[[#This Row],[App]],Table2[],3,0),"open")</f>
        <v>ok</v>
      </c>
      <c r="C1677" s="89" t="s">
        <v>369</v>
      </c>
      <c r="D1677" t="s">
        <v>3437</v>
      </c>
      <c r="E1677" t="s">
        <v>3531</v>
      </c>
      <c r="F1677" s="117" t="s">
        <v>3531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3558</v>
      </c>
      <c r="J1677" s="85" t="b">
        <f>Proc[[#This Row],[Requested]]=Proc[[#This Row],[CurrentParent]]</f>
        <v>1</v>
      </c>
      <c r="K1677" s="144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>
      <c r="A1678" s="89" t="s">
        <v>3404</v>
      </c>
      <c r="B1678" s="149" t="str">
        <f>IFERROR(VLOOKUP(Proc[[#This Row],[App]],Table2[],3,0),"open")</f>
        <v>ok</v>
      </c>
      <c r="C1678" s="89" t="s">
        <v>369</v>
      </c>
      <c r="D1678" t="s">
        <v>3438</v>
      </c>
      <c r="E1678" t="s">
        <v>3532</v>
      </c>
      <c r="F1678" s="117" t="s">
        <v>3532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3558</v>
      </c>
      <c r="J1678" s="85" t="b">
        <f>Proc[[#This Row],[Requested]]=Proc[[#This Row],[CurrentParent]]</f>
        <v>1</v>
      </c>
      <c r="K1678" s="144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>
      <c r="A1679" s="89" t="s">
        <v>3404</v>
      </c>
      <c r="B1679" s="149" t="str">
        <f>IFERROR(VLOOKUP(Proc[[#This Row],[App]],Table2[],3,0),"open")</f>
        <v>ok</v>
      </c>
      <c r="C1679" s="89" t="s">
        <v>369</v>
      </c>
      <c r="D1679" t="s">
        <v>3439</v>
      </c>
      <c r="E1679" t="s">
        <v>3526</v>
      </c>
      <c r="F1679" s="117" t="s">
        <v>3526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3558</v>
      </c>
      <c r="J1679" s="85" t="b">
        <f>Proc[[#This Row],[Requested]]=Proc[[#This Row],[CurrentParent]]</f>
        <v>1</v>
      </c>
      <c r="K1679" s="144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>
      <c r="A1680" s="89" t="s">
        <v>3404</v>
      </c>
      <c r="B1680" s="149" t="str">
        <f>IFERROR(VLOOKUP(Proc[[#This Row],[App]],Table2[],3,0),"open")</f>
        <v>ok</v>
      </c>
      <c r="C1680" s="89" t="s">
        <v>369</v>
      </c>
      <c r="D1680" t="s">
        <v>3440</v>
      </c>
      <c r="E1680" t="s">
        <v>3531</v>
      </c>
      <c r="F1680" s="117" t="s">
        <v>3531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3558</v>
      </c>
      <c r="J1680" s="85" t="b">
        <f>Proc[[#This Row],[Requested]]=Proc[[#This Row],[CurrentParent]]</f>
        <v>1</v>
      </c>
      <c r="K1680" s="144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>
      <c r="A1681" s="89" t="s">
        <v>3404</v>
      </c>
      <c r="B1681" s="149" t="str">
        <f>IFERROR(VLOOKUP(Proc[[#This Row],[App]],Table2[],3,0),"open")</f>
        <v>ok</v>
      </c>
      <c r="C1681" s="89" t="s">
        <v>369</v>
      </c>
      <c r="D1681" t="s">
        <v>3441</v>
      </c>
      <c r="E1681" t="s">
        <v>3531</v>
      </c>
      <c r="F1681" s="117" t="s">
        <v>3531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3558</v>
      </c>
      <c r="J1681" s="85" t="b">
        <f>Proc[[#This Row],[Requested]]=Proc[[#This Row],[CurrentParent]]</f>
        <v>1</v>
      </c>
      <c r="K1681" s="144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>
      <c r="A1682" s="89" t="s">
        <v>3404</v>
      </c>
      <c r="B1682" s="149" t="str">
        <f>IFERROR(VLOOKUP(Proc[[#This Row],[App]],Table2[],3,0),"open")</f>
        <v>ok</v>
      </c>
      <c r="C1682" s="89" t="s">
        <v>369</v>
      </c>
      <c r="D1682" t="s">
        <v>3442</v>
      </c>
      <c r="E1682" t="s">
        <v>3526</v>
      </c>
      <c r="F1682" s="117" t="s">
        <v>3526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3558</v>
      </c>
      <c r="J1682" s="85" t="b">
        <f>Proc[[#This Row],[Requested]]=Proc[[#This Row],[CurrentParent]]</f>
        <v>1</v>
      </c>
      <c r="K1682" s="144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>
      <c r="A1683" s="89" t="s">
        <v>3404</v>
      </c>
      <c r="B1683" s="149" t="str">
        <f>IFERROR(VLOOKUP(Proc[[#This Row],[App]],Table2[],3,0),"open")</f>
        <v>ok</v>
      </c>
      <c r="C1683" s="89" t="s">
        <v>369</v>
      </c>
      <c r="D1683" t="s">
        <v>3443</v>
      </c>
      <c r="E1683" t="s">
        <v>3531</v>
      </c>
      <c r="F1683" s="117" t="s">
        <v>3531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3558</v>
      </c>
      <c r="J1683" s="85" t="b">
        <f>Proc[[#This Row],[Requested]]=Proc[[#This Row],[CurrentParent]]</f>
        <v>1</v>
      </c>
      <c r="K1683" s="144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>
      <c r="A1684" s="89" t="s">
        <v>3404</v>
      </c>
      <c r="B1684" s="149" t="str">
        <f>IFERROR(VLOOKUP(Proc[[#This Row],[App]],Table2[],3,0),"open")</f>
        <v>ok</v>
      </c>
      <c r="C1684" s="89" t="s">
        <v>369</v>
      </c>
      <c r="D1684" t="s">
        <v>3444</v>
      </c>
      <c r="E1684" t="s">
        <v>3528</v>
      </c>
      <c r="F1684" s="117" t="s">
        <v>3528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3558</v>
      </c>
      <c r="J1684" s="85" t="b">
        <f>Proc[[#This Row],[Requested]]=Proc[[#This Row],[CurrentParent]]</f>
        <v>1</v>
      </c>
      <c r="K1684" s="144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>
      <c r="A1685" s="89" t="s">
        <v>3404</v>
      </c>
      <c r="B1685" s="149" t="str">
        <f>IFERROR(VLOOKUP(Proc[[#This Row],[App]],Table2[],3,0),"open")</f>
        <v>ok</v>
      </c>
      <c r="C1685" s="89" t="s">
        <v>369</v>
      </c>
      <c r="D1685" t="s">
        <v>3445</v>
      </c>
      <c r="E1685" t="s">
        <v>3527</v>
      </c>
      <c r="F1685" s="117" t="s">
        <v>3527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3558</v>
      </c>
      <c r="J1685" s="85" t="b">
        <f>Proc[[#This Row],[Requested]]=Proc[[#This Row],[CurrentParent]]</f>
        <v>1</v>
      </c>
      <c r="K1685" s="144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>
      <c r="A1686" s="89" t="s">
        <v>3404</v>
      </c>
      <c r="B1686" s="149" t="str">
        <f>IFERROR(VLOOKUP(Proc[[#This Row],[App]],Table2[],3,0),"open")</f>
        <v>ok</v>
      </c>
      <c r="C1686" s="89" t="s">
        <v>369</v>
      </c>
      <c r="D1686" t="s">
        <v>3446</v>
      </c>
      <c r="E1686" t="s">
        <v>3533</v>
      </c>
      <c r="F1686" s="117" t="s">
        <v>3533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3558</v>
      </c>
      <c r="J1686" s="85" t="b">
        <f>Proc[[#This Row],[Requested]]=Proc[[#This Row],[CurrentParent]]</f>
        <v>1</v>
      </c>
      <c r="K1686" s="144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>
      <c r="A1687" s="89" t="s">
        <v>3404</v>
      </c>
      <c r="B1687" s="149" t="str">
        <f>IFERROR(VLOOKUP(Proc[[#This Row],[App]],Table2[],3,0),"open")</f>
        <v>ok</v>
      </c>
      <c r="C1687" s="89" t="s">
        <v>369</v>
      </c>
      <c r="D1687" t="s">
        <v>3447</v>
      </c>
      <c r="E1687" t="s">
        <v>3519</v>
      </c>
      <c r="F1687" s="117" t="s">
        <v>3519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3558</v>
      </c>
      <c r="J1687" s="85" t="b">
        <f>Proc[[#This Row],[Requested]]=Proc[[#This Row],[CurrentParent]]</f>
        <v>1</v>
      </c>
      <c r="K1687" s="144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>
      <c r="A1688" s="89" t="s">
        <v>3404</v>
      </c>
      <c r="B1688" s="149" t="str">
        <f>IFERROR(VLOOKUP(Proc[[#This Row],[App]],Table2[],3,0),"open")</f>
        <v>ok</v>
      </c>
      <c r="C1688" s="89" t="s">
        <v>369</v>
      </c>
      <c r="D1688" t="s">
        <v>3448</v>
      </c>
      <c r="E1688" t="s">
        <v>3534</v>
      </c>
      <c r="F1688" s="117" t="s">
        <v>3534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3558</v>
      </c>
      <c r="J1688" s="85" t="b">
        <f>Proc[[#This Row],[Requested]]=Proc[[#This Row],[CurrentParent]]</f>
        <v>1</v>
      </c>
      <c r="K1688" s="144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>
      <c r="A1689" s="89" t="s">
        <v>3404</v>
      </c>
      <c r="B1689" s="149" t="str">
        <f>IFERROR(VLOOKUP(Proc[[#This Row],[App]],Table2[],3,0),"open")</f>
        <v>ok</v>
      </c>
      <c r="C1689" s="89" t="s">
        <v>369</v>
      </c>
      <c r="D1689" t="s">
        <v>3449</v>
      </c>
      <c r="E1689" t="s">
        <v>3516</v>
      </c>
      <c r="F1689" s="117" t="s">
        <v>3516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3558</v>
      </c>
      <c r="J1689" s="85" t="b">
        <f>Proc[[#This Row],[Requested]]=Proc[[#This Row],[CurrentParent]]</f>
        <v>1</v>
      </c>
      <c r="K1689" s="144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>
      <c r="A1690" s="89" t="s">
        <v>3404</v>
      </c>
      <c r="B1690" s="149" t="str">
        <f>IFERROR(VLOOKUP(Proc[[#This Row],[App]],Table2[],3,0),"open")</f>
        <v>ok</v>
      </c>
      <c r="C1690" s="89" t="s">
        <v>369</v>
      </c>
      <c r="D1690" t="s">
        <v>3450</v>
      </c>
      <c r="E1690" t="s">
        <v>3535</v>
      </c>
      <c r="F1690" s="117" t="s">
        <v>3535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3558</v>
      </c>
      <c r="J1690" s="85" t="b">
        <f>Proc[[#This Row],[Requested]]=Proc[[#This Row],[CurrentParent]]</f>
        <v>1</v>
      </c>
      <c r="K1690" s="144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>
      <c r="A1691" s="89" t="s">
        <v>3404</v>
      </c>
      <c r="B1691" s="149" t="str">
        <f>IFERROR(VLOOKUP(Proc[[#This Row],[App]],Table2[],3,0),"open")</f>
        <v>ok</v>
      </c>
      <c r="C1691" s="89" t="s">
        <v>369</v>
      </c>
      <c r="D1691" t="s">
        <v>3451</v>
      </c>
      <c r="E1691" t="s">
        <v>3535</v>
      </c>
      <c r="F1691" s="117" t="s">
        <v>3535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3558</v>
      </c>
      <c r="J1691" s="85" t="b">
        <f>Proc[[#This Row],[Requested]]=Proc[[#This Row],[CurrentParent]]</f>
        <v>1</v>
      </c>
      <c r="K1691" s="144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>
      <c r="A1692" s="89" t="s">
        <v>3404</v>
      </c>
      <c r="B1692" s="149" t="str">
        <f>IFERROR(VLOOKUP(Proc[[#This Row],[App]],Table2[],3,0),"open")</f>
        <v>ok</v>
      </c>
      <c r="C1692" s="89" t="s">
        <v>369</v>
      </c>
      <c r="D1692" t="s">
        <v>3452</v>
      </c>
      <c r="E1692" t="s">
        <v>3529</v>
      </c>
      <c r="F1692" s="117" t="s">
        <v>3529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3558</v>
      </c>
      <c r="J1692" s="85" t="b">
        <f>Proc[[#This Row],[Requested]]=Proc[[#This Row],[CurrentParent]]</f>
        <v>1</v>
      </c>
      <c r="K1692" s="144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>
      <c r="A1693" s="89" t="s">
        <v>3404</v>
      </c>
      <c r="B1693" s="149" t="str">
        <f>IFERROR(VLOOKUP(Proc[[#This Row],[App]],Table2[],3,0),"open")</f>
        <v>ok</v>
      </c>
      <c r="C1693" s="89" t="s">
        <v>369</v>
      </c>
      <c r="D1693" t="s">
        <v>3453</v>
      </c>
      <c r="E1693" t="s">
        <v>3528</v>
      </c>
      <c r="F1693" s="117" t="s">
        <v>3528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144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144</v>
      </c>
      <c r="R1693" s="90" t="s">
        <v>489</v>
      </c>
      <c r="S1693" s="85"/>
    </row>
    <row r="1694" spans="1:19">
      <c r="A1694" s="89" t="s">
        <v>3404</v>
      </c>
      <c r="B1694" s="149" t="str">
        <f>IFERROR(VLOOKUP(Proc[[#This Row],[App]],Table2[],3,0),"open")</f>
        <v>ok</v>
      </c>
      <c r="C1694" s="89" t="s">
        <v>369</v>
      </c>
      <c r="D1694" t="s">
        <v>3454</v>
      </c>
      <c r="E1694" t="s">
        <v>3517</v>
      </c>
      <c r="F1694" s="117" t="s">
        <v>3517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144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144</v>
      </c>
      <c r="R1694" s="90" t="s">
        <v>489</v>
      </c>
      <c r="S1694" s="85"/>
    </row>
    <row r="1695" spans="1:19">
      <c r="A1695" s="89" t="s">
        <v>3404</v>
      </c>
      <c r="B1695" s="149" t="str">
        <f>IFERROR(VLOOKUP(Proc[[#This Row],[App]],Table2[],3,0),"open")</f>
        <v>ok</v>
      </c>
      <c r="C1695" s="89" t="s">
        <v>369</v>
      </c>
      <c r="D1695" t="s">
        <v>3455</v>
      </c>
      <c r="E1695" t="s">
        <v>3516</v>
      </c>
      <c r="F1695" s="117" t="s">
        <v>3516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144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144</v>
      </c>
      <c r="R1695" s="90" t="s">
        <v>489</v>
      </c>
      <c r="S1695" s="85"/>
    </row>
    <row r="1696" spans="1:19">
      <c r="A1696" s="89" t="s">
        <v>3404</v>
      </c>
      <c r="B1696" s="149" t="str">
        <f>IFERROR(VLOOKUP(Proc[[#This Row],[App]],Table2[],3,0),"open")</f>
        <v>ok</v>
      </c>
      <c r="C1696" s="89" t="s">
        <v>369</v>
      </c>
      <c r="D1696" t="s">
        <v>3456</v>
      </c>
      <c r="E1696" t="s">
        <v>3514</v>
      </c>
      <c r="F1696" s="117" t="s">
        <v>3514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144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144</v>
      </c>
      <c r="R1696" s="90" t="s">
        <v>489</v>
      </c>
      <c r="S1696" s="85"/>
    </row>
    <row r="1697" spans="1:19">
      <c r="A1697" s="89" t="s">
        <v>3404</v>
      </c>
      <c r="B1697" s="149" t="str">
        <f>IFERROR(VLOOKUP(Proc[[#This Row],[App]],Table2[],3,0),"open")</f>
        <v>ok</v>
      </c>
      <c r="C1697" s="89" t="s">
        <v>369</v>
      </c>
      <c r="D1697" t="s">
        <v>3457</v>
      </c>
      <c r="E1697" t="s">
        <v>3531</v>
      </c>
      <c r="F1697" s="117" t="s">
        <v>3531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144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144</v>
      </c>
      <c r="R1697" s="90" t="s">
        <v>489</v>
      </c>
      <c r="S1697" s="85"/>
    </row>
    <row r="1698" spans="1:19">
      <c r="A1698" s="89" t="s">
        <v>3404</v>
      </c>
      <c r="B1698" s="149" t="str">
        <f>IFERROR(VLOOKUP(Proc[[#This Row],[App]],Table2[],3,0),"open")</f>
        <v>ok</v>
      </c>
      <c r="C1698" s="89" t="s">
        <v>369</v>
      </c>
      <c r="D1698" t="s">
        <v>3458</v>
      </c>
      <c r="E1698" t="s">
        <v>3531</v>
      </c>
      <c r="F1698" s="117" t="s">
        <v>3531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144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144</v>
      </c>
      <c r="R1698" s="90" t="s">
        <v>489</v>
      </c>
      <c r="S1698" s="85"/>
    </row>
    <row r="1699" spans="1:19">
      <c r="A1699" s="89" t="s">
        <v>3404</v>
      </c>
      <c r="B1699" s="149" t="str">
        <f>IFERROR(VLOOKUP(Proc[[#This Row],[App]],Table2[],3,0),"open")</f>
        <v>ok</v>
      </c>
      <c r="C1699" s="89" t="s">
        <v>369</v>
      </c>
      <c r="D1699" t="s">
        <v>3459</v>
      </c>
      <c r="E1699" t="s">
        <v>3534</v>
      </c>
      <c r="F1699" s="117" t="s">
        <v>3534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144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144</v>
      </c>
      <c r="R1699" s="90" t="s">
        <v>489</v>
      </c>
      <c r="S1699" s="85"/>
    </row>
    <row r="1700" spans="1:19">
      <c r="A1700" s="89" t="s">
        <v>3404</v>
      </c>
      <c r="B1700" s="149" t="str">
        <f>IFERROR(VLOOKUP(Proc[[#This Row],[App]],Table2[],3,0),"open")</f>
        <v>ok</v>
      </c>
      <c r="C1700" s="89" t="s">
        <v>369</v>
      </c>
      <c r="D1700" t="s">
        <v>3460</v>
      </c>
      <c r="E1700" t="s">
        <v>3516</v>
      </c>
      <c r="F1700" s="117" t="s">
        <v>3516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144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144</v>
      </c>
      <c r="R1700" s="90" t="s">
        <v>489</v>
      </c>
      <c r="S1700" s="85"/>
    </row>
    <row r="1701" spans="1:19">
      <c r="A1701" s="89" t="s">
        <v>3404</v>
      </c>
      <c r="B1701" s="149" t="str">
        <f>IFERROR(VLOOKUP(Proc[[#This Row],[App]],Table2[],3,0),"open")</f>
        <v>ok</v>
      </c>
      <c r="C1701" s="89" t="s">
        <v>369</v>
      </c>
      <c r="D1701" t="s">
        <v>3461</v>
      </c>
      <c r="E1701" t="s">
        <v>3514</v>
      </c>
      <c r="F1701" s="117" t="s">
        <v>3514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144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144</v>
      </c>
      <c r="R1701" s="90" t="s">
        <v>489</v>
      </c>
      <c r="S1701" s="85"/>
    </row>
    <row r="1702" spans="1:19">
      <c r="A1702" s="89" t="s">
        <v>3404</v>
      </c>
      <c r="B1702" s="149" t="str">
        <f>IFERROR(VLOOKUP(Proc[[#This Row],[App]],Table2[],3,0),"open")</f>
        <v>ok</v>
      </c>
      <c r="C1702" s="89" t="s">
        <v>369</v>
      </c>
      <c r="D1702" t="s">
        <v>3462</v>
      </c>
      <c r="E1702" t="s">
        <v>3536</v>
      </c>
      <c r="F1702" s="117" t="s">
        <v>3536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144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144</v>
      </c>
      <c r="R1702" s="90" t="s">
        <v>489</v>
      </c>
      <c r="S1702" s="85"/>
    </row>
    <row r="1703" spans="1:19">
      <c r="A1703" s="89" t="s">
        <v>3404</v>
      </c>
      <c r="B1703" s="149" t="str">
        <f>IFERROR(VLOOKUP(Proc[[#This Row],[App]],Table2[],3,0),"open")</f>
        <v>ok</v>
      </c>
      <c r="C1703" s="89" t="s">
        <v>369</v>
      </c>
      <c r="D1703" t="s">
        <v>3463</v>
      </c>
      <c r="E1703" t="s">
        <v>3515</v>
      </c>
      <c r="F1703" s="117" t="s">
        <v>3515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144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144</v>
      </c>
      <c r="R1703" s="90" t="s">
        <v>489</v>
      </c>
      <c r="S1703" s="85"/>
    </row>
    <row r="1704" spans="1:19">
      <c r="A1704" s="89" t="s">
        <v>3404</v>
      </c>
      <c r="B1704" s="149" t="str">
        <f>IFERROR(VLOOKUP(Proc[[#This Row],[App]],Table2[],3,0),"open")</f>
        <v>ok</v>
      </c>
      <c r="C1704" s="89" t="s">
        <v>369</v>
      </c>
      <c r="D1704" t="s">
        <v>3464</v>
      </c>
      <c r="E1704" t="s">
        <v>3515</v>
      </c>
      <c r="F1704" s="117" t="s">
        <v>3515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144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144</v>
      </c>
      <c r="R1704" s="90" t="s">
        <v>489</v>
      </c>
      <c r="S1704" s="85"/>
    </row>
    <row r="1705" spans="1:19">
      <c r="A1705" s="89" t="s">
        <v>3404</v>
      </c>
      <c r="B1705" s="149" t="str">
        <f>IFERROR(VLOOKUP(Proc[[#This Row],[App]],Table2[],3,0),"open")</f>
        <v>ok</v>
      </c>
      <c r="C1705" s="89" t="s">
        <v>369</v>
      </c>
      <c r="D1705" t="s">
        <v>3465</v>
      </c>
      <c r="E1705" t="s">
        <v>3515</v>
      </c>
      <c r="F1705" s="117" t="s">
        <v>3515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144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144</v>
      </c>
      <c r="R1705" s="90" t="s">
        <v>489</v>
      </c>
      <c r="S1705" s="85"/>
    </row>
    <row r="1706" spans="1:19">
      <c r="A1706" s="89" t="s">
        <v>3404</v>
      </c>
      <c r="B1706" s="149" t="str">
        <f>IFERROR(VLOOKUP(Proc[[#This Row],[App]],Table2[],3,0),"open")</f>
        <v>ok</v>
      </c>
      <c r="C1706" s="89" t="s">
        <v>369</v>
      </c>
      <c r="D1706" t="s">
        <v>3466</v>
      </c>
      <c r="E1706" t="s">
        <v>3529</v>
      </c>
      <c r="F1706" s="117" t="s">
        <v>3529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144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144</v>
      </c>
      <c r="R1706" s="90" t="s">
        <v>489</v>
      </c>
      <c r="S1706" s="85"/>
    </row>
    <row r="1707" spans="1:19">
      <c r="A1707" s="89" t="s">
        <v>3404</v>
      </c>
      <c r="B1707" s="149" t="str">
        <f>IFERROR(VLOOKUP(Proc[[#This Row],[App]],Table2[],3,0),"open")</f>
        <v>ok</v>
      </c>
      <c r="C1707" s="89" t="s">
        <v>369</v>
      </c>
      <c r="D1707" t="s">
        <v>3467</v>
      </c>
      <c r="E1707" t="s">
        <v>3534</v>
      </c>
      <c r="F1707" s="117" t="s">
        <v>3534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144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144</v>
      </c>
      <c r="R1707" s="90" t="s">
        <v>489</v>
      </c>
      <c r="S1707" s="85"/>
    </row>
    <row r="1708" spans="1:19">
      <c r="A1708" s="89" t="s">
        <v>3404</v>
      </c>
      <c r="B1708" s="149" t="str">
        <f>IFERROR(VLOOKUP(Proc[[#This Row],[App]],Table2[],3,0),"open")</f>
        <v>ok</v>
      </c>
      <c r="C1708" s="89" t="s">
        <v>369</v>
      </c>
      <c r="D1708" t="s">
        <v>3468</v>
      </c>
      <c r="E1708" t="s">
        <v>3531</v>
      </c>
      <c r="F1708" s="117" t="s">
        <v>3531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144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144</v>
      </c>
      <c r="R1708" s="90" t="s">
        <v>489</v>
      </c>
      <c r="S1708" s="85"/>
    </row>
    <row r="1709" spans="1:19">
      <c r="A1709" s="89" t="s">
        <v>3404</v>
      </c>
      <c r="B1709" s="149" t="str">
        <f>IFERROR(VLOOKUP(Proc[[#This Row],[App]],Table2[],3,0),"open")</f>
        <v>ok</v>
      </c>
      <c r="C1709" s="89" t="s">
        <v>369</v>
      </c>
      <c r="D1709" t="s">
        <v>3469</v>
      </c>
      <c r="E1709" t="s">
        <v>3537</v>
      </c>
      <c r="F1709" s="117" t="s">
        <v>3537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144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144</v>
      </c>
      <c r="R1709" s="90" t="s">
        <v>489</v>
      </c>
      <c r="S1709" s="85"/>
    </row>
    <row r="1710" spans="1:19">
      <c r="A1710" s="89" t="s">
        <v>3404</v>
      </c>
      <c r="B1710" s="149" t="str">
        <f>IFERROR(VLOOKUP(Proc[[#This Row],[App]],Table2[],3,0),"open")</f>
        <v>ok</v>
      </c>
      <c r="C1710" s="89" t="s">
        <v>369</v>
      </c>
      <c r="D1710" t="s">
        <v>3470</v>
      </c>
      <c r="E1710" t="s">
        <v>3527</v>
      </c>
      <c r="F1710" s="117" t="s">
        <v>3527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144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144</v>
      </c>
      <c r="R1710" s="90" t="s">
        <v>489</v>
      </c>
      <c r="S1710" s="85"/>
    </row>
    <row r="1711" spans="1:19">
      <c r="A1711" s="89" t="s">
        <v>3404</v>
      </c>
      <c r="B1711" s="149" t="str">
        <f>IFERROR(VLOOKUP(Proc[[#This Row],[App]],Table2[],3,0),"open")</f>
        <v>ok</v>
      </c>
      <c r="C1711" s="89" t="s">
        <v>369</v>
      </c>
      <c r="D1711" t="s">
        <v>3471</v>
      </c>
      <c r="E1711" t="s">
        <v>3538</v>
      </c>
      <c r="F1711" s="117" t="s">
        <v>3538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144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144</v>
      </c>
      <c r="R1711" s="90" t="s">
        <v>489</v>
      </c>
      <c r="S1711" s="85"/>
    </row>
    <row r="1712" spans="1:19">
      <c r="A1712" s="89" t="s">
        <v>3404</v>
      </c>
      <c r="B1712" s="149" t="str">
        <f>IFERROR(VLOOKUP(Proc[[#This Row],[App]],Table2[],3,0),"open")</f>
        <v>ok</v>
      </c>
      <c r="C1712" s="89" t="s">
        <v>369</v>
      </c>
      <c r="D1712" t="s">
        <v>2579</v>
      </c>
      <c r="E1712" t="s">
        <v>3539</v>
      </c>
      <c r="F1712" s="117" t="s">
        <v>3539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144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144</v>
      </c>
      <c r="R1712" s="90" t="s">
        <v>489</v>
      </c>
      <c r="S1712" s="85"/>
    </row>
    <row r="1713" spans="1:19">
      <c r="A1713" s="89" t="s">
        <v>3404</v>
      </c>
      <c r="B1713" s="149" t="str">
        <f>IFERROR(VLOOKUP(Proc[[#This Row],[App]],Table2[],3,0),"open")</f>
        <v>ok</v>
      </c>
      <c r="C1713" s="89" t="s">
        <v>369</v>
      </c>
      <c r="D1713" t="s">
        <v>3472</v>
      </c>
      <c r="E1713" t="s">
        <v>3514</v>
      </c>
      <c r="F1713" s="117" t="s">
        <v>3514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144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144</v>
      </c>
      <c r="R1713" s="90" t="s">
        <v>489</v>
      </c>
      <c r="S1713" s="85"/>
    </row>
    <row r="1714" spans="1:19">
      <c r="A1714" s="89" t="s">
        <v>3404</v>
      </c>
      <c r="B1714" s="149" t="str">
        <f>IFERROR(VLOOKUP(Proc[[#This Row],[App]],Table2[],3,0),"open")</f>
        <v>ok</v>
      </c>
      <c r="C1714" s="89" t="s">
        <v>369</v>
      </c>
      <c r="D1714" t="s">
        <v>2580</v>
      </c>
      <c r="E1714" t="s">
        <v>3540</v>
      </c>
      <c r="F1714" s="117" t="s">
        <v>3540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144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144</v>
      </c>
      <c r="R1714" s="90" t="s">
        <v>489</v>
      </c>
      <c r="S1714" s="85"/>
    </row>
    <row r="1715" spans="1:19">
      <c r="A1715" s="89" t="s">
        <v>3404</v>
      </c>
      <c r="B1715" s="149" t="str">
        <f>IFERROR(VLOOKUP(Proc[[#This Row],[App]],Table2[],3,0),"open")</f>
        <v>ok</v>
      </c>
      <c r="C1715" s="89" t="s">
        <v>369</v>
      </c>
      <c r="D1715" t="s">
        <v>3473</v>
      </c>
      <c r="E1715" t="s">
        <v>3520</v>
      </c>
      <c r="F1715" s="117" t="s">
        <v>3520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144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144</v>
      </c>
      <c r="R1715" s="90" t="s">
        <v>489</v>
      </c>
      <c r="S1715" s="85"/>
    </row>
    <row r="1716" spans="1:19">
      <c r="A1716" s="89" t="s">
        <v>3404</v>
      </c>
      <c r="B1716" s="149" t="str">
        <f>IFERROR(VLOOKUP(Proc[[#This Row],[App]],Table2[],3,0),"open")</f>
        <v>ok</v>
      </c>
      <c r="C1716" s="89" t="s">
        <v>369</v>
      </c>
      <c r="D1716" t="s">
        <v>3474</v>
      </c>
      <c r="E1716" t="s">
        <v>3527</v>
      </c>
      <c r="F1716" s="117" t="s">
        <v>3527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144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144</v>
      </c>
      <c r="R1716" s="90" t="s">
        <v>489</v>
      </c>
      <c r="S1716" s="85"/>
    </row>
    <row r="1717" spans="1:19">
      <c r="A1717" s="89" t="s">
        <v>3404</v>
      </c>
      <c r="B1717" s="149" t="str">
        <f>IFERROR(VLOOKUP(Proc[[#This Row],[App]],Table2[],3,0),"open")</f>
        <v>ok</v>
      </c>
      <c r="C1717" s="89" t="s">
        <v>369</v>
      </c>
      <c r="D1717" t="s">
        <v>3475</v>
      </c>
      <c r="E1717" t="s">
        <v>3527</v>
      </c>
      <c r="F1717" s="117" t="s">
        <v>3527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144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144</v>
      </c>
      <c r="R1717" s="90" t="s">
        <v>489</v>
      </c>
      <c r="S1717" s="85"/>
    </row>
    <row r="1718" spans="1:19">
      <c r="A1718" s="89" t="s">
        <v>3404</v>
      </c>
      <c r="B1718" s="149" t="str">
        <f>IFERROR(VLOOKUP(Proc[[#This Row],[App]],Table2[],3,0),"open")</f>
        <v>ok</v>
      </c>
      <c r="C1718" s="89" t="s">
        <v>369</v>
      </c>
      <c r="D1718" t="s">
        <v>3476</v>
      </c>
      <c r="E1718" t="s">
        <v>3516</v>
      </c>
      <c r="F1718" s="117" t="s">
        <v>3516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144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144</v>
      </c>
      <c r="R1718" s="90" t="s">
        <v>489</v>
      </c>
      <c r="S1718" s="85"/>
    </row>
    <row r="1719" spans="1:19">
      <c r="A1719" s="89" t="s">
        <v>3404</v>
      </c>
      <c r="B1719" s="149" t="str">
        <f>IFERROR(VLOOKUP(Proc[[#This Row],[App]],Table2[],3,0),"open")</f>
        <v>ok</v>
      </c>
      <c r="C1719" s="89" t="s">
        <v>369</v>
      </c>
      <c r="D1719" t="s">
        <v>3477</v>
      </c>
      <c r="E1719" t="s">
        <v>3516</v>
      </c>
      <c r="F1719" s="117" t="s">
        <v>3516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144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144</v>
      </c>
      <c r="R1719" s="90" t="s">
        <v>489</v>
      </c>
      <c r="S1719" s="85"/>
    </row>
    <row r="1720" spans="1:19">
      <c r="A1720" s="89" t="s">
        <v>3404</v>
      </c>
      <c r="B1720" s="149" t="str">
        <f>IFERROR(VLOOKUP(Proc[[#This Row],[App]],Table2[],3,0),"open")</f>
        <v>ok</v>
      </c>
      <c r="C1720" s="89" t="s">
        <v>369</v>
      </c>
      <c r="D1720" t="s">
        <v>3478</v>
      </c>
      <c r="E1720" t="s">
        <v>3523</v>
      </c>
      <c r="F1720" s="117" t="s">
        <v>3523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144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144</v>
      </c>
      <c r="R1720" s="90" t="s">
        <v>489</v>
      </c>
      <c r="S1720" s="85"/>
    </row>
    <row r="1721" spans="1:19">
      <c r="A1721" s="89" t="s">
        <v>3404</v>
      </c>
      <c r="B1721" s="149" t="str">
        <f>IFERROR(VLOOKUP(Proc[[#This Row],[App]],Table2[],3,0),"open")</f>
        <v>ok</v>
      </c>
      <c r="C1721" s="89" t="s">
        <v>369</v>
      </c>
      <c r="D1721" t="s">
        <v>3479</v>
      </c>
      <c r="E1721" t="s">
        <v>3536</v>
      </c>
      <c r="F1721" s="117" t="s">
        <v>3536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144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144</v>
      </c>
      <c r="R1721" s="90" t="s">
        <v>489</v>
      </c>
      <c r="S1721" s="85"/>
    </row>
    <row r="1722" spans="1:19">
      <c r="A1722" s="89" t="s">
        <v>3404</v>
      </c>
      <c r="B1722" s="149" t="str">
        <f>IFERROR(VLOOKUP(Proc[[#This Row],[App]],Table2[],3,0),"open")</f>
        <v>ok</v>
      </c>
      <c r="C1722" s="89" t="s">
        <v>369</v>
      </c>
      <c r="D1722" t="s">
        <v>3480</v>
      </c>
      <c r="E1722" t="s">
        <v>3530</v>
      </c>
      <c r="F1722" s="117" t="s">
        <v>3530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144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144</v>
      </c>
      <c r="R1722" s="90" t="s">
        <v>489</v>
      </c>
      <c r="S1722" s="85"/>
    </row>
    <row r="1723" spans="1:19">
      <c r="A1723" s="89" t="s">
        <v>3404</v>
      </c>
      <c r="B1723" s="149" t="str">
        <f>IFERROR(VLOOKUP(Proc[[#This Row],[App]],Table2[],3,0),"open")</f>
        <v>ok</v>
      </c>
      <c r="C1723" s="89" t="s">
        <v>369</v>
      </c>
      <c r="D1723" t="s">
        <v>3481</v>
      </c>
      <c r="E1723" t="s">
        <v>3524</v>
      </c>
      <c r="F1723" s="117" t="s">
        <v>3524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144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144</v>
      </c>
      <c r="R1723" s="90" t="s">
        <v>489</v>
      </c>
      <c r="S1723" s="85"/>
    </row>
    <row r="1724" spans="1:19">
      <c r="A1724" s="89" t="s">
        <v>3404</v>
      </c>
      <c r="B1724" s="149" t="str">
        <f>IFERROR(VLOOKUP(Proc[[#This Row],[App]],Table2[],3,0),"open")</f>
        <v>ok</v>
      </c>
      <c r="C1724" s="89" t="s">
        <v>369</v>
      </c>
      <c r="D1724" t="s">
        <v>3482</v>
      </c>
      <c r="E1724" t="s">
        <v>3530</v>
      </c>
      <c r="F1724" s="117" t="s">
        <v>3530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144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144</v>
      </c>
      <c r="R1724" s="90" t="s">
        <v>489</v>
      </c>
      <c r="S1724" s="85"/>
    </row>
    <row r="1725" spans="1:19">
      <c r="A1725" s="89" t="s">
        <v>3404</v>
      </c>
      <c r="B1725" s="149" t="str">
        <f>IFERROR(VLOOKUP(Proc[[#This Row],[App]],Table2[],3,0),"open")</f>
        <v>ok</v>
      </c>
      <c r="C1725" s="89" t="s">
        <v>369</v>
      </c>
      <c r="D1725" t="s">
        <v>3483</v>
      </c>
      <c r="E1725" t="s">
        <v>3537</v>
      </c>
      <c r="F1725" s="117" t="s">
        <v>3537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144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144</v>
      </c>
      <c r="R1725" s="90" t="s">
        <v>489</v>
      </c>
      <c r="S1725" s="85"/>
    </row>
    <row r="1726" spans="1:19">
      <c r="A1726" s="89" t="s">
        <v>3404</v>
      </c>
      <c r="B1726" s="149" t="str">
        <f>IFERROR(VLOOKUP(Proc[[#This Row],[App]],Table2[],3,0),"open")</f>
        <v>ok</v>
      </c>
      <c r="C1726" s="89" t="s">
        <v>369</v>
      </c>
      <c r="D1726" t="s">
        <v>3484</v>
      </c>
      <c r="E1726" t="s">
        <v>3527</v>
      </c>
      <c r="F1726" s="117" t="s">
        <v>3527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144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144</v>
      </c>
      <c r="R1726" s="90" t="s">
        <v>489</v>
      </c>
      <c r="S1726" s="85"/>
    </row>
    <row r="1727" spans="1:19">
      <c r="A1727" s="89" t="s">
        <v>3404</v>
      </c>
      <c r="B1727" s="149" t="str">
        <f>IFERROR(VLOOKUP(Proc[[#This Row],[App]],Table2[],3,0),"open")</f>
        <v>ok</v>
      </c>
      <c r="C1727" s="89" t="s">
        <v>369</v>
      </c>
      <c r="D1727" t="s">
        <v>3485</v>
      </c>
      <c r="E1727" t="s">
        <v>3541</v>
      </c>
      <c r="F1727" s="117" t="s">
        <v>3541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144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144</v>
      </c>
      <c r="R1727" s="90" t="s">
        <v>489</v>
      </c>
      <c r="S1727" s="85"/>
    </row>
    <row r="1728" spans="1:19">
      <c r="A1728" s="89" t="s">
        <v>3404</v>
      </c>
      <c r="B1728" s="149" t="str">
        <f>IFERROR(VLOOKUP(Proc[[#This Row],[App]],Table2[],3,0),"open")</f>
        <v>ok</v>
      </c>
      <c r="C1728" s="89" t="s">
        <v>369</v>
      </c>
      <c r="D1728" t="s">
        <v>3486</v>
      </c>
      <c r="E1728" t="s">
        <v>3524</v>
      </c>
      <c r="F1728" s="117" t="s">
        <v>3524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144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144</v>
      </c>
      <c r="R1728" s="90" t="s">
        <v>489</v>
      </c>
      <c r="S1728" s="85"/>
    </row>
    <row r="1729" spans="1:19">
      <c r="A1729" s="89" t="s">
        <v>3404</v>
      </c>
      <c r="B1729" s="149" t="str">
        <f>IFERROR(VLOOKUP(Proc[[#This Row],[App]],Table2[],3,0),"open")</f>
        <v>ok</v>
      </c>
      <c r="C1729" s="89" t="s">
        <v>369</v>
      </c>
      <c r="D1729" t="s">
        <v>3487</v>
      </c>
      <c r="E1729" t="s">
        <v>3514</v>
      </c>
      <c r="F1729" s="117" t="s">
        <v>3514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144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144</v>
      </c>
      <c r="R1729" s="90" t="s">
        <v>489</v>
      </c>
      <c r="S1729" s="85"/>
    </row>
    <row r="1730" spans="1:19">
      <c r="A1730" s="89" t="s">
        <v>3404</v>
      </c>
      <c r="B1730" s="149" t="str">
        <f>IFERROR(VLOOKUP(Proc[[#This Row],[App]],Table2[],3,0),"open")</f>
        <v>ok</v>
      </c>
      <c r="C1730" s="89" t="s">
        <v>369</v>
      </c>
      <c r="D1730" t="s">
        <v>3488</v>
      </c>
      <c r="E1730" t="s">
        <v>3516</v>
      </c>
      <c r="F1730" s="117" t="s">
        <v>3516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144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144</v>
      </c>
      <c r="R1730" s="90" t="s">
        <v>489</v>
      </c>
      <c r="S1730" s="85"/>
    </row>
    <row r="1731" spans="1:19">
      <c r="A1731" s="89" t="s">
        <v>3404</v>
      </c>
      <c r="B1731" s="149" t="str">
        <f>IFERROR(VLOOKUP(Proc[[#This Row],[App]],Table2[],3,0),"open")</f>
        <v>ok</v>
      </c>
      <c r="C1731" s="89" t="s">
        <v>369</v>
      </c>
      <c r="D1731" t="s">
        <v>3489</v>
      </c>
      <c r="E1731" t="s">
        <v>3530</v>
      </c>
      <c r="F1731" s="117" t="s">
        <v>3530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144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144</v>
      </c>
      <c r="R1731" s="90" t="s">
        <v>489</v>
      </c>
      <c r="S1731" s="85"/>
    </row>
    <row r="1732" spans="1:19">
      <c r="A1732" s="89" t="s">
        <v>3404</v>
      </c>
      <c r="B1732" s="149" t="str">
        <f>IFERROR(VLOOKUP(Proc[[#This Row],[App]],Table2[],3,0),"open")</f>
        <v>ok</v>
      </c>
      <c r="C1732" s="89" t="s">
        <v>369</v>
      </c>
      <c r="D1732" t="s">
        <v>3490</v>
      </c>
      <c r="E1732" t="s">
        <v>3523</v>
      </c>
      <c r="F1732" s="117" t="s">
        <v>3523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144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144</v>
      </c>
      <c r="R1732" s="90" t="s">
        <v>489</v>
      </c>
      <c r="S1732" s="85"/>
    </row>
    <row r="1733" spans="1:19">
      <c r="A1733" s="89" t="s">
        <v>3404</v>
      </c>
      <c r="B1733" s="149" t="str">
        <f>IFERROR(VLOOKUP(Proc[[#This Row],[App]],Table2[],3,0),"open")</f>
        <v>ok</v>
      </c>
      <c r="C1733" s="89" t="s">
        <v>369</v>
      </c>
      <c r="D1733" t="s">
        <v>3491</v>
      </c>
      <c r="E1733" t="s">
        <v>3527</v>
      </c>
      <c r="F1733" s="117" t="s">
        <v>3527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144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144</v>
      </c>
      <c r="R1733" s="90" t="s">
        <v>489</v>
      </c>
      <c r="S1733" s="85"/>
    </row>
    <row r="1734" spans="1:19">
      <c r="A1734" s="89" t="s">
        <v>3404</v>
      </c>
      <c r="B1734" s="149" t="str">
        <f>IFERROR(VLOOKUP(Proc[[#This Row],[App]],Table2[],3,0),"open")</f>
        <v>ok</v>
      </c>
      <c r="C1734" s="89" t="s">
        <v>369</v>
      </c>
      <c r="D1734" t="s">
        <v>3492</v>
      </c>
      <c r="E1734" t="s">
        <v>3516</v>
      </c>
      <c r="F1734" s="117" t="s">
        <v>3516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144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144</v>
      </c>
      <c r="R1734" s="90" t="s">
        <v>489</v>
      </c>
      <c r="S1734" s="85"/>
    </row>
    <row r="1735" spans="1:19">
      <c r="A1735" s="89" t="s">
        <v>3404</v>
      </c>
      <c r="B1735" s="149" t="str">
        <f>IFERROR(VLOOKUP(Proc[[#This Row],[App]],Table2[],3,0),"open")</f>
        <v>ok</v>
      </c>
      <c r="C1735" s="89" t="s">
        <v>369</v>
      </c>
      <c r="D1735" t="s">
        <v>3493</v>
      </c>
      <c r="E1735" t="s">
        <v>3542</v>
      </c>
      <c r="F1735" s="117" t="s">
        <v>3542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144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144</v>
      </c>
      <c r="R1735" s="90" t="s">
        <v>489</v>
      </c>
      <c r="S1735" s="85"/>
    </row>
    <row r="1736" spans="1:19">
      <c r="A1736" s="89" t="s">
        <v>3404</v>
      </c>
      <c r="B1736" s="149" t="str">
        <f>IFERROR(VLOOKUP(Proc[[#This Row],[App]],Table2[],3,0),"open")</f>
        <v>ok</v>
      </c>
      <c r="C1736" s="89" t="s">
        <v>369</v>
      </c>
      <c r="D1736" t="s">
        <v>3494</v>
      </c>
      <c r="E1736" t="s">
        <v>3514</v>
      </c>
      <c r="F1736" s="117" t="s">
        <v>3514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144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144</v>
      </c>
      <c r="R1736" s="90" t="s">
        <v>489</v>
      </c>
      <c r="S1736" s="85"/>
    </row>
    <row r="1737" spans="1:19">
      <c r="A1737" s="89" t="s">
        <v>3404</v>
      </c>
      <c r="B1737" s="149" t="str">
        <f>IFERROR(VLOOKUP(Proc[[#This Row],[App]],Table2[],3,0),"open")</f>
        <v>ok</v>
      </c>
      <c r="C1737" s="89" t="s">
        <v>369</v>
      </c>
      <c r="D1737" t="s">
        <v>3495</v>
      </c>
      <c r="E1737" t="s">
        <v>3516</v>
      </c>
      <c r="F1737" s="117" t="s">
        <v>3516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144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144</v>
      </c>
      <c r="R1737" s="90" t="s">
        <v>489</v>
      </c>
      <c r="S1737" s="85"/>
    </row>
    <row r="1738" spans="1:19">
      <c r="A1738" s="89" t="s">
        <v>3404</v>
      </c>
      <c r="B1738" s="149" t="str">
        <f>IFERROR(VLOOKUP(Proc[[#This Row],[App]],Table2[],3,0),"open")</f>
        <v>ok</v>
      </c>
      <c r="C1738" s="89" t="s">
        <v>369</v>
      </c>
      <c r="D1738" t="s">
        <v>3496</v>
      </c>
      <c r="E1738" t="s">
        <v>3523</v>
      </c>
      <c r="F1738" s="117" t="s">
        <v>3523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144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144</v>
      </c>
      <c r="R1738" s="90" t="s">
        <v>489</v>
      </c>
      <c r="S1738" s="85"/>
    </row>
    <row r="1739" spans="1:19">
      <c r="A1739" s="89" t="s">
        <v>3404</v>
      </c>
      <c r="B1739" s="149" t="str">
        <f>IFERROR(VLOOKUP(Proc[[#This Row],[App]],Table2[],3,0),"open")</f>
        <v>ok</v>
      </c>
      <c r="C1739" s="89" t="s">
        <v>369</v>
      </c>
      <c r="D1739" t="s">
        <v>3497</v>
      </c>
      <c r="E1739" t="s">
        <v>3543</v>
      </c>
      <c r="F1739" s="117" t="s">
        <v>3543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144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144</v>
      </c>
      <c r="R1739" s="90" t="s">
        <v>489</v>
      </c>
      <c r="S1739" s="85"/>
    </row>
    <row r="1740" spans="1:19">
      <c r="A1740" s="89" t="s">
        <v>3404</v>
      </c>
      <c r="B1740" s="149" t="str">
        <f>IFERROR(VLOOKUP(Proc[[#This Row],[App]],Table2[],3,0),"open")</f>
        <v>ok</v>
      </c>
      <c r="C1740" s="89" t="s">
        <v>369</v>
      </c>
      <c r="D1740" t="s">
        <v>3498</v>
      </c>
      <c r="E1740" t="s">
        <v>3525</v>
      </c>
      <c r="F1740" s="117" t="s">
        <v>3525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144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144</v>
      </c>
      <c r="R1740" s="90" t="s">
        <v>489</v>
      </c>
      <c r="S1740" s="85"/>
    </row>
    <row r="1741" spans="1:19">
      <c r="A1741" s="89" t="s">
        <v>3404</v>
      </c>
      <c r="B1741" s="149" t="str">
        <f>IFERROR(VLOOKUP(Proc[[#This Row],[App]],Table2[],3,0),"open")</f>
        <v>ok</v>
      </c>
      <c r="C1741" s="89" t="s">
        <v>369</v>
      </c>
      <c r="D1741" t="s">
        <v>3499</v>
      </c>
      <c r="E1741" t="s">
        <v>3531</v>
      </c>
      <c r="F1741" s="117" t="s">
        <v>3531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144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144</v>
      </c>
      <c r="R1741" s="90" t="s">
        <v>489</v>
      </c>
      <c r="S1741" s="85"/>
    </row>
    <row r="1742" spans="1:19">
      <c r="A1742" s="89" t="s">
        <v>3404</v>
      </c>
      <c r="B1742" s="149" t="str">
        <f>IFERROR(VLOOKUP(Proc[[#This Row],[App]],Table2[],3,0),"open")</f>
        <v>ok</v>
      </c>
      <c r="C1742" s="89" t="s">
        <v>369</v>
      </c>
      <c r="D1742" t="s">
        <v>3500</v>
      </c>
      <c r="E1742" t="s">
        <v>3517</v>
      </c>
      <c r="F1742" s="117" t="s">
        <v>3517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144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144</v>
      </c>
      <c r="R1742" s="90" t="s">
        <v>489</v>
      </c>
      <c r="S1742" s="85"/>
    </row>
    <row r="1743" spans="1:19">
      <c r="A1743" s="89" t="s">
        <v>3404</v>
      </c>
      <c r="B1743" s="149" t="str">
        <f>IFERROR(VLOOKUP(Proc[[#This Row],[App]],Table2[],3,0),"open")</f>
        <v>ok</v>
      </c>
      <c r="C1743" s="89" t="s">
        <v>369</v>
      </c>
      <c r="D1743" t="s">
        <v>3501</v>
      </c>
      <c r="E1743" t="s">
        <v>3527</v>
      </c>
      <c r="F1743" s="117" t="s">
        <v>3527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144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144</v>
      </c>
      <c r="R1743" s="90" t="s">
        <v>489</v>
      </c>
      <c r="S1743" s="85"/>
    </row>
    <row r="1744" spans="1:19">
      <c r="A1744" s="89" t="s">
        <v>3404</v>
      </c>
      <c r="B1744" s="149" t="str">
        <f>IFERROR(VLOOKUP(Proc[[#This Row],[App]],Table2[],3,0),"open")</f>
        <v>ok</v>
      </c>
      <c r="C1744" s="89" t="s">
        <v>369</v>
      </c>
      <c r="D1744" t="s">
        <v>3502</v>
      </c>
      <c r="E1744" t="s">
        <v>3544</v>
      </c>
      <c r="F1744" s="117" t="s">
        <v>3544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144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144</v>
      </c>
      <c r="R1744" s="90" t="s">
        <v>489</v>
      </c>
      <c r="S1744" s="85"/>
    </row>
    <row r="1745" spans="1:19">
      <c r="A1745" s="89" t="s">
        <v>3404</v>
      </c>
      <c r="B1745" s="149" t="str">
        <f>IFERROR(VLOOKUP(Proc[[#This Row],[App]],Table2[],3,0),"open")</f>
        <v>ok</v>
      </c>
      <c r="C1745" s="89" t="s">
        <v>369</v>
      </c>
      <c r="D1745" t="s">
        <v>3503</v>
      </c>
      <c r="E1745" t="s">
        <v>3514</v>
      </c>
      <c r="F1745" s="117" t="s">
        <v>3514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144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144</v>
      </c>
      <c r="R1745" s="90" t="s">
        <v>489</v>
      </c>
      <c r="S1745" s="85"/>
    </row>
    <row r="1746" spans="1:19">
      <c r="A1746" s="89" t="s">
        <v>3404</v>
      </c>
      <c r="B1746" s="149" t="str">
        <f>IFERROR(VLOOKUP(Proc[[#This Row],[App]],Table2[],3,0),"open")</f>
        <v>ok</v>
      </c>
      <c r="C1746" s="89" t="s">
        <v>369</v>
      </c>
      <c r="D1746" t="s">
        <v>3504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144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144</v>
      </c>
      <c r="R1746" s="90" t="s">
        <v>489</v>
      </c>
      <c r="S1746" s="85"/>
    </row>
    <row r="1747" spans="1:19">
      <c r="A1747" s="89" t="s">
        <v>3404</v>
      </c>
      <c r="B1747" s="149" t="str">
        <f>IFERROR(VLOOKUP(Proc[[#This Row],[App]],Table2[],3,0),"open")</f>
        <v>ok</v>
      </c>
      <c r="C1747" s="89" t="s">
        <v>369</v>
      </c>
      <c r="D1747" t="s">
        <v>3505</v>
      </c>
      <c r="E1747" t="s">
        <v>3545</v>
      </c>
      <c r="F1747" s="117" t="s">
        <v>3545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144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144</v>
      </c>
      <c r="R1747" s="90" t="s">
        <v>489</v>
      </c>
      <c r="S1747" s="85"/>
    </row>
    <row r="1748" spans="1:19">
      <c r="A1748" s="89" t="s">
        <v>3404</v>
      </c>
      <c r="B1748" s="149" t="str">
        <f>IFERROR(VLOOKUP(Proc[[#This Row],[App]],Table2[],3,0),"open")</f>
        <v>ok</v>
      </c>
      <c r="C1748" s="89" t="s">
        <v>369</v>
      </c>
      <c r="D1748" t="s">
        <v>3506</v>
      </c>
      <c r="E1748" t="s">
        <v>3543</v>
      </c>
      <c r="F1748" s="117" t="s">
        <v>3543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144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144</v>
      </c>
      <c r="R1748" s="90" t="s">
        <v>489</v>
      </c>
      <c r="S1748" s="85"/>
    </row>
    <row r="1749" spans="1:19">
      <c r="A1749" s="89" t="s">
        <v>3404</v>
      </c>
      <c r="B1749" s="149" t="str">
        <f>IFERROR(VLOOKUP(Proc[[#This Row],[App]],Table2[],3,0),"open")</f>
        <v>ok</v>
      </c>
      <c r="C1749" s="89" t="s">
        <v>369</v>
      </c>
      <c r="D1749" t="s">
        <v>3507</v>
      </c>
      <c r="E1749" t="s">
        <v>3515</v>
      </c>
      <c r="F1749" s="117" t="s">
        <v>3515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144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144</v>
      </c>
      <c r="R1749" s="90" t="s">
        <v>489</v>
      </c>
      <c r="S1749" s="85"/>
    </row>
    <row r="1750" spans="1:19">
      <c r="A1750" s="89" t="s">
        <v>3404</v>
      </c>
      <c r="B1750" s="149" t="str">
        <f>IFERROR(VLOOKUP(Proc[[#This Row],[App]],Table2[],3,0),"open")</f>
        <v>ok</v>
      </c>
      <c r="C1750" s="89" t="s">
        <v>369</v>
      </c>
      <c r="D1750" t="s">
        <v>3508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144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144</v>
      </c>
      <c r="R1750" s="90" t="s">
        <v>489</v>
      </c>
      <c r="S1750" s="85"/>
    </row>
    <row r="1751" spans="1:19">
      <c r="A1751" s="89" t="s">
        <v>3404</v>
      </c>
      <c r="B1751" s="149" t="str">
        <f>IFERROR(VLOOKUP(Proc[[#This Row],[App]],Table2[],3,0),"open")</f>
        <v>ok</v>
      </c>
      <c r="C1751" s="89" t="s">
        <v>369</v>
      </c>
      <c r="D1751" t="s">
        <v>3509</v>
      </c>
      <c r="E1751" t="s">
        <v>3541</v>
      </c>
      <c r="F1751" s="117" t="s">
        <v>3541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144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144</v>
      </c>
      <c r="R1751" s="90" t="s">
        <v>489</v>
      </c>
      <c r="S1751" s="85"/>
    </row>
    <row r="1752" spans="1:19">
      <c r="A1752" s="89" t="s">
        <v>3404</v>
      </c>
      <c r="B1752" s="149" t="str">
        <f>IFERROR(VLOOKUP(Proc[[#This Row],[App]],Table2[],3,0),"open")</f>
        <v>ok</v>
      </c>
      <c r="C1752" s="89" t="s">
        <v>369</v>
      </c>
      <c r="D1752" t="s">
        <v>3510</v>
      </c>
      <c r="E1752" t="s">
        <v>3523</v>
      </c>
      <c r="F1752" s="117" t="s">
        <v>3523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144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144</v>
      </c>
      <c r="R1752" s="90" t="s">
        <v>489</v>
      </c>
      <c r="S1752" s="85"/>
    </row>
    <row r="1753" spans="1:19">
      <c r="A1753" s="89" t="s">
        <v>3404</v>
      </c>
      <c r="B1753" s="149" t="str">
        <f>IFERROR(VLOOKUP(Proc[[#This Row],[App]],Table2[],3,0),"open")</f>
        <v>ok</v>
      </c>
      <c r="C1753" s="89" t="s">
        <v>369</v>
      </c>
      <c r="D1753" t="s">
        <v>3511</v>
      </c>
      <c r="E1753" t="s">
        <v>3526</v>
      </c>
      <c r="F1753" s="117" t="s">
        <v>3526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144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144</v>
      </c>
      <c r="R1753" s="90" t="s">
        <v>489</v>
      </c>
      <c r="S1753" s="85"/>
    </row>
    <row r="1754" spans="1:19">
      <c r="A1754" s="89" t="s">
        <v>3404</v>
      </c>
      <c r="B1754" s="149" t="str">
        <f>IFERROR(VLOOKUP(Proc[[#This Row],[App]],Table2[],3,0),"open")</f>
        <v>ok</v>
      </c>
      <c r="C1754" s="89" t="s">
        <v>369</v>
      </c>
      <c r="D1754" t="s">
        <v>3512</v>
      </c>
      <c r="E1754" t="s">
        <v>3546</v>
      </c>
      <c r="F1754" s="117" t="s">
        <v>3546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144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144</v>
      </c>
      <c r="R1754" s="90" t="s">
        <v>489</v>
      </c>
      <c r="S1754" s="85"/>
    </row>
    <row r="1755" spans="1:19">
      <c r="A1755" s="89" t="s">
        <v>3404</v>
      </c>
      <c r="B1755" s="149" t="str">
        <f>IFERROR(VLOOKUP(Proc[[#This Row],[App]],Table2[],3,0),"open")</f>
        <v>ok</v>
      </c>
      <c r="C1755" s="89" t="s">
        <v>369</v>
      </c>
      <c r="D1755" t="s">
        <v>3513</v>
      </c>
      <c r="E1755" t="s">
        <v>3534</v>
      </c>
      <c r="F1755" s="117" t="s">
        <v>3534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144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144</v>
      </c>
      <c r="R1755" s="90" t="s">
        <v>489</v>
      </c>
      <c r="S1755" s="85"/>
    </row>
    <row r="1756" spans="1:19">
      <c r="A1756" t="s">
        <v>3547</v>
      </c>
      <c r="B1756" s="149" t="str">
        <f>IFERROR(VLOOKUP(Proc[[#This Row],[App]],Table2[],3,0),"open")</f>
        <v>ok</v>
      </c>
      <c r="C1756" s="89" t="s">
        <v>369</v>
      </c>
      <c r="D1756" t="s">
        <v>3548</v>
      </c>
      <c r="E1756" t="s">
        <v>3555</v>
      </c>
      <c r="F1756" s="117" t="s">
        <v>3555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3558</v>
      </c>
      <c r="J1756" s="85" t="b">
        <f>Proc[[#This Row],[Requested]]=Proc[[#This Row],[CurrentParent]]</f>
        <v>1</v>
      </c>
      <c r="K1756" s="144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>
      <c r="A1757" s="89" t="s">
        <v>3547</v>
      </c>
      <c r="B1757" s="149" t="str">
        <f>IFERROR(VLOOKUP(Proc[[#This Row],[App]],Table2[],3,0),"open")</f>
        <v>ok</v>
      </c>
      <c r="C1757" s="89" t="s">
        <v>369</v>
      </c>
      <c r="D1757" t="s">
        <v>3549</v>
      </c>
      <c r="E1757" t="s">
        <v>3556</v>
      </c>
      <c r="F1757" s="117" t="s">
        <v>3556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3558</v>
      </c>
      <c r="J1757" s="85" t="b">
        <f>Proc[[#This Row],[Requested]]=Proc[[#This Row],[CurrentParent]]</f>
        <v>1</v>
      </c>
      <c r="K1757" s="144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>
      <c r="A1758" s="89" t="s">
        <v>3547</v>
      </c>
      <c r="B1758" s="149" t="str">
        <f>IFERROR(VLOOKUP(Proc[[#This Row],[App]],Table2[],3,0),"open")</f>
        <v>ok</v>
      </c>
      <c r="C1758" s="89" t="s">
        <v>369</v>
      </c>
      <c r="D1758" t="s">
        <v>3550</v>
      </c>
      <c r="E1758" t="s">
        <v>3556</v>
      </c>
      <c r="F1758" s="117" t="s">
        <v>3556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3558</v>
      </c>
      <c r="J1758" s="85" t="b">
        <f>Proc[[#This Row],[Requested]]=Proc[[#This Row],[CurrentParent]]</f>
        <v>1</v>
      </c>
      <c r="K1758" s="144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>
      <c r="A1759" s="89" t="s">
        <v>3547</v>
      </c>
      <c r="B1759" s="149" t="str">
        <f>IFERROR(VLOOKUP(Proc[[#This Row],[App]],Table2[],3,0),"open")</f>
        <v>ok</v>
      </c>
      <c r="C1759" s="89" t="s">
        <v>369</v>
      </c>
      <c r="D1759" t="s">
        <v>3551</v>
      </c>
      <c r="E1759" t="s">
        <v>3556</v>
      </c>
      <c r="F1759" s="117" t="s">
        <v>3556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144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144</v>
      </c>
      <c r="R1759" s="90" t="s">
        <v>489</v>
      </c>
      <c r="S1759" s="85"/>
    </row>
    <row r="1760" spans="1:19">
      <c r="A1760" s="89" t="s">
        <v>3547</v>
      </c>
      <c r="B1760" s="149" t="str">
        <f>IFERROR(VLOOKUP(Proc[[#This Row],[App]],Table2[],3,0),"open")</f>
        <v>ok</v>
      </c>
      <c r="C1760" s="89" t="s">
        <v>369</v>
      </c>
      <c r="D1760" t="s">
        <v>3552</v>
      </c>
      <c r="E1760" t="s">
        <v>3556</v>
      </c>
      <c r="F1760" s="117" t="s">
        <v>3556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144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144</v>
      </c>
      <c r="R1760" s="90" t="s">
        <v>489</v>
      </c>
      <c r="S1760" s="85"/>
    </row>
    <row r="1761" spans="1:19">
      <c r="A1761" s="89" t="s">
        <v>3547</v>
      </c>
      <c r="B1761" s="149" t="str">
        <f>IFERROR(VLOOKUP(Proc[[#This Row],[App]],Table2[],3,0),"open")</f>
        <v>ok</v>
      </c>
      <c r="C1761" s="89" t="s">
        <v>369</v>
      </c>
      <c r="D1761" t="s">
        <v>3553</v>
      </c>
      <c r="E1761" t="s">
        <v>3555</v>
      </c>
      <c r="F1761" s="117" t="s">
        <v>3555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144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144</v>
      </c>
      <c r="R1761" s="90" t="s">
        <v>489</v>
      </c>
      <c r="S1761" s="85"/>
    </row>
    <row r="1762" spans="1:19">
      <c r="A1762" s="89" t="s">
        <v>3547</v>
      </c>
      <c r="B1762" s="149" t="str">
        <f>IFERROR(VLOOKUP(Proc[[#This Row],[App]],Table2[],3,0),"open")</f>
        <v>ok</v>
      </c>
      <c r="C1762" s="89" t="s">
        <v>369</v>
      </c>
      <c r="D1762" t="s">
        <v>3554</v>
      </c>
      <c r="E1762" t="s">
        <v>3557</v>
      </c>
      <c r="F1762" s="117" t="s">
        <v>3557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144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144</v>
      </c>
      <c r="R1762" s="90" t="s">
        <v>489</v>
      </c>
      <c r="S1762" s="85"/>
    </row>
    <row r="1763" spans="1:19">
      <c r="A1763" t="s">
        <v>3559</v>
      </c>
      <c r="B1763" s="149" t="str">
        <f>IFERROR(VLOOKUP(Proc[[#This Row],[App]],Table2[],3,0),"open")</f>
        <v>ok</v>
      </c>
      <c r="C1763" t="s">
        <v>369</v>
      </c>
      <c r="D1763" t="s">
        <v>3560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144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>
      <c r="A1764" s="89" t="s">
        <v>3559</v>
      </c>
      <c r="B1764" s="149" t="str">
        <f>IFERROR(VLOOKUP(Proc[[#This Row],[App]],Table2[],3,0),"open")</f>
        <v>ok</v>
      </c>
      <c r="C1764" s="89" t="s">
        <v>369</v>
      </c>
      <c r="D1764" t="s">
        <v>3561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144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>
      <c r="A1765" s="89" t="s">
        <v>3559</v>
      </c>
      <c r="B1765" s="149" t="str">
        <f>IFERROR(VLOOKUP(Proc[[#This Row],[App]],Table2[],3,0),"open")</f>
        <v>ok</v>
      </c>
      <c r="C1765" s="89" t="s">
        <v>369</v>
      </c>
      <c r="D1765" t="s">
        <v>3562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144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>
      <c r="A1766" s="89" t="s">
        <v>3559</v>
      </c>
      <c r="B1766" s="149" t="str">
        <f>IFERROR(VLOOKUP(Proc[[#This Row],[App]],Table2[],3,0),"open")</f>
        <v>ok</v>
      </c>
      <c r="C1766" s="89" t="s">
        <v>369</v>
      </c>
      <c r="D1766" t="s">
        <v>3563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144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>
      <c r="A1767" s="89" t="s">
        <v>3559</v>
      </c>
      <c r="B1767" s="149" t="str">
        <f>IFERROR(VLOOKUP(Proc[[#This Row],[App]],Table2[],3,0),"open")</f>
        <v>ok</v>
      </c>
      <c r="C1767" s="89" t="s">
        <v>369</v>
      </c>
      <c r="D1767" t="s">
        <v>3564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144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>
      <c r="A1768" s="89" t="s">
        <v>3559</v>
      </c>
      <c r="B1768" s="149" t="str">
        <f>IFERROR(VLOOKUP(Proc[[#This Row],[App]],Table2[],3,0),"open")</f>
        <v>ok</v>
      </c>
      <c r="C1768" s="89" t="s">
        <v>369</v>
      </c>
      <c r="D1768" t="s">
        <v>3565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144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>
      <c r="A1769" s="89" t="s">
        <v>3559</v>
      </c>
      <c r="B1769" s="149" t="str">
        <f>IFERROR(VLOOKUP(Proc[[#This Row],[App]],Table2[],3,0),"open")</f>
        <v>ok</v>
      </c>
      <c r="C1769" s="89" t="s">
        <v>369</v>
      </c>
      <c r="D1769" t="s">
        <v>3566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144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>
      <c r="A1770" s="89" t="s">
        <v>3559</v>
      </c>
      <c r="B1770" s="149" t="str">
        <f>IFERROR(VLOOKUP(Proc[[#This Row],[App]],Table2[],3,0),"open")</f>
        <v>ok</v>
      </c>
      <c r="C1770" s="89" t="s">
        <v>369</v>
      </c>
      <c r="D1770" t="s">
        <v>3567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144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>
      <c r="A1771" t="s">
        <v>3568</v>
      </c>
      <c r="B1771" s="149" t="str">
        <f>IFERROR(VLOOKUP(Proc[[#This Row],[App]],Table2[],3,0),"open")</f>
        <v>ok</v>
      </c>
      <c r="C1771" s="89" t="s">
        <v>369</v>
      </c>
      <c r="D1771" t="s">
        <v>3569</v>
      </c>
      <c r="E1771" t="s">
        <v>3570</v>
      </c>
      <c r="F1771" s="117" t="s">
        <v>3570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3593</v>
      </c>
      <c r="J1771" s="85" t="b">
        <f>Proc[[#This Row],[Requested]]=Proc[[#This Row],[CurrentParent]]</f>
        <v>1</v>
      </c>
      <c r="K1771" s="144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>
      <c r="A1772" s="89" t="s">
        <v>3568</v>
      </c>
      <c r="B1772" s="149" t="str">
        <f>IFERROR(VLOOKUP(Proc[[#This Row],[App]],Table2[],3,0),"open")</f>
        <v>ok</v>
      </c>
      <c r="C1772" s="89" t="s">
        <v>369</v>
      </c>
      <c r="D1772" t="s">
        <v>3571</v>
      </c>
      <c r="E1772" t="s">
        <v>3570</v>
      </c>
      <c r="F1772" s="117" t="s">
        <v>3570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144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>
      <c r="A1773" s="89" t="s">
        <v>3568</v>
      </c>
      <c r="B1773" s="149" t="str">
        <f>IFERROR(VLOOKUP(Proc[[#This Row],[App]],Table2[],3,0),"open")</f>
        <v>ok</v>
      </c>
      <c r="C1773" s="89" t="s">
        <v>369</v>
      </c>
      <c r="D1773" t="s">
        <v>3572</v>
      </c>
      <c r="E1773" t="s">
        <v>3570</v>
      </c>
      <c r="F1773" s="117" t="s">
        <v>3570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144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>
      <c r="A1774" s="89" t="s">
        <v>3568</v>
      </c>
      <c r="B1774" s="149" t="str">
        <f>IFERROR(VLOOKUP(Proc[[#This Row],[App]],Table2[],3,0),"open")</f>
        <v>ok</v>
      </c>
      <c r="C1774" s="89" t="s">
        <v>369</v>
      </c>
      <c r="D1774" t="s">
        <v>3573</v>
      </c>
      <c r="E1774" t="s">
        <v>3570</v>
      </c>
      <c r="F1774" s="117" t="s">
        <v>3570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144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>
      <c r="A1775" s="89" t="s">
        <v>3568</v>
      </c>
      <c r="B1775" s="149" t="str">
        <f>IFERROR(VLOOKUP(Proc[[#This Row],[App]],Table2[],3,0),"open")</f>
        <v>ok</v>
      </c>
      <c r="C1775" s="89" t="s">
        <v>369</v>
      </c>
      <c r="D1775" t="s">
        <v>3574</v>
      </c>
      <c r="E1775" t="s">
        <v>3570</v>
      </c>
      <c r="F1775" s="117" t="s">
        <v>3570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144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>
      <c r="A1776" t="s">
        <v>3575</v>
      </c>
      <c r="B1776" s="149" t="str">
        <f>IFERROR(VLOOKUP(Proc[[#This Row],[App]],Table2[],3,0),"open")</f>
        <v>ok</v>
      </c>
      <c r="C1776" s="89" t="s">
        <v>369</v>
      </c>
      <c r="D1776" t="s">
        <v>3576</v>
      </c>
      <c r="E1776" t="s">
        <v>3577</v>
      </c>
      <c r="F1776" s="117" t="s">
        <v>3577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144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>
      <c r="A1777" s="89" t="s">
        <v>3575</v>
      </c>
      <c r="B1777" s="149" t="str">
        <f>IFERROR(VLOOKUP(Proc[[#This Row],[App]],Table2[],3,0),"open")</f>
        <v>ok</v>
      </c>
      <c r="C1777" s="89" t="s">
        <v>369</v>
      </c>
      <c r="D1777" t="s">
        <v>3578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144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>
      <c r="A1778" s="89" t="s">
        <v>3575</v>
      </c>
      <c r="B1778" s="149" t="str">
        <f>IFERROR(VLOOKUP(Proc[[#This Row],[App]],Table2[],3,0),"open")</f>
        <v>ok</v>
      </c>
      <c r="C1778" s="89" t="s">
        <v>369</v>
      </c>
      <c r="D1778" t="s">
        <v>3579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144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>
      <c r="A1779" s="89" t="s">
        <v>3575</v>
      </c>
      <c r="B1779" s="149" t="str">
        <f>IFERROR(VLOOKUP(Proc[[#This Row],[App]],Table2[],3,0),"open")</f>
        <v>ok</v>
      </c>
      <c r="C1779" s="89" t="s">
        <v>369</v>
      </c>
      <c r="D1779" t="s">
        <v>3580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144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>
      <c r="A1780" s="89" t="s">
        <v>3575</v>
      </c>
      <c r="B1780" s="149" t="str">
        <f>IFERROR(VLOOKUP(Proc[[#This Row],[App]],Table2[],3,0),"open")</f>
        <v>ok</v>
      </c>
      <c r="C1780" s="89" t="s">
        <v>369</v>
      </c>
      <c r="D1780" t="s">
        <v>3581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144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>
      <c r="A1781" s="89" t="s">
        <v>3575</v>
      </c>
      <c r="B1781" s="149" t="str">
        <f>IFERROR(VLOOKUP(Proc[[#This Row],[App]],Table2[],3,0),"open")</f>
        <v>ok</v>
      </c>
      <c r="C1781" s="89" t="s">
        <v>369</v>
      </c>
      <c r="D1781" t="s">
        <v>3582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144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>
      <c r="A1782" s="89" t="s">
        <v>3575</v>
      </c>
      <c r="B1782" s="149" t="str">
        <f>IFERROR(VLOOKUP(Proc[[#This Row],[App]],Table2[],3,0),"open")</f>
        <v>ok</v>
      </c>
      <c r="C1782" s="89" t="s">
        <v>369</v>
      </c>
      <c r="D1782" t="s">
        <v>3583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144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>
      <c r="A1783" s="89" t="s">
        <v>3575</v>
      </c>
      <c r="B1783" s="149" t="str">
        <f>IFERROR(VLOOKUP(Proc[[#This Row],[App]],Table2[],3,0),"open")</f>
        <v>ok</v>
      </c>
      <c r="C1783" s="89" t="s">
        <v>369</v>
      </c>
      <c r="D1783" t="s">
        <v>3584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144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>
      <c r="A1784" s="89" t="s">
        <v>3575</v>
      </c>
      <c r="B1784" s="149" t="str">
        <f>IFERROR(VLOOKUP(Proc[[#This Row],[App]],Table2[],3,0),"open")</f>
        <v>ok</v>
      </c>
      <c r="C1784" s="89" t="s">
        <v>369</v>
      </c>
      <c r="D1784" t="s">
        <v>3585</v>
      </c>
      <c r="E1784" t="s">
        <v>3586</v>
      </c>
      <c r="F1784" s="117" t="s">
        <v>3586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144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>
      <c r="A1785" s="89" t="s">
        <v>3575</v>
      </c>
      <c r="B1785" s="149" t="str">
        <f>IFERROR(VLOOKUP(Proc[[#This Row],[App]],Table2[],3,0),"open")</f>
        <v>ok</v>
      </c>
      <c r="C1785" s="89" t="s">
        <v>369</v>
      </c>
      <c r="D1785" t="s">
        <v>3587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144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>
      <c r="A1786" s="89" t="s">
        <v>3575</v>
      </c>
      <c r="B1786" s="149" t="str">
        <f>IFERROR(VLOOKUP(Proc[[#This Row],[App]],Table2[],3,0),"open")</f>
        <v>ok</v>
      </c>
      <c r="C1786" s="89" t="s">
        <v>369</v>
      </c>
      <c r="D1786" t="s">
        <v>3588</v>
      </c>
      <c r="E1786" t="s">
        <v>3589</v>
      </c>
      <c r="F1786" s="117" t="s">
        <v>3589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144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>
      <c r="A1787" s="89" t="s">
        <v>3575</v>
      </c>
      <c r="B1787" s="149" t="str">
        <f>IFERROR(VLOOKUP(Proc[[#This Row],[App]],Table2[],3,0),"open")</f>
        <v>ok</v>
      </c>
      <c r="C1787" s="89" t="s">
        <v>369</v>
      </c>
      <c r="D1787" t="s">
        <v>3590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144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>
      <c r="A1788" s="89" t="s">
        <v>3575</v>
      </c>
      <c r="B1788" s="149" t="str">
        <f>IFERROR(VLOOKUP(Proc[[#This Row],[App]],Table2[],3,0),"open")</f>
        <v>ok</v>
      </c>
      <c r="C1788" s="89" t="s">
        <v>369</v>
      </c>
      <c r="D1788" t="s">
        <v>3591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144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>
      <c r="A1789" s="89" t="s">
        <v>3575</v>
      </c>
      <c r="B1789" s="149" t="str">
        <f>IFERROR(VLOOKUP(Proc[[#This Row],[App]],Table2[],3,0),"open")</f>
        <v>ok</v>
      </c>
      <c r="C1789" s="89" t="s">
        <v>369</v>
      </c>
      <c r="D1789" t="s">
        <v>3592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144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>
      <c r="A1790" t="s">
        <v>3599</v>
      </c>
      <c r="B1790" s="149" t="str">
        <f>IFERROR(VLOOKUP(Proc[[#This Row],[App]],Table2[],3,0),"open")</f>
        <v>ok</v>
      </c>
      <c r="C1790" s="89" t="s">
        <v>369</v>
      </c>
      <c r="D1790" t="s">
        <v>3594</v>
      </c>
      <c r="E1790" t="s">
        <v>3597</v>
      </c>
      <c r="F1790" s="117" t="s">
        <v>3597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144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>
      <c r="A1791" s="89" t="s">
        <v>3599</v>
      </c>
      <c r="B1791" s="149" t="str">
        <f>IFERROR(VLOOKUP(Proc[[#This Row],[App]],Table2[],3,0),"open")</f>
        <v>ok</v>
      </c>
      <c r="C1791" s="89" t="s">
        <v>369</v>
      </c>
      <c r="D1791" t="s">
        <v>3595</v>
      </c>
      <c r="E1791" t="s">
        <v>3598</v>
      </c>
      <c r="F1791" s="117" t="s">
        <v>3598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144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>
      <c r="A1792" s="89" t="s">
        <v>3599</v>
      </c>
      <c r="B1792" s="149" t="str">
        <f>IFERROR(VLOOKUP(Proc[[#This Row],[App]],Table2[],3,0),"open")</f>
        <v>ok</v>
      </c>
      <c r="C1792" s="89" t="s">
        <v>369</v>
      </c>
      <c r="D1792" t="s">
        <v>3596</v>
      </c>
      <c r="E1792" t="s">
        <v>3598</v>
      </c>
      <c r="F1792" s="117" t="s">
        <v>3598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144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>
      <c r="A1793" t="s">
        <v>3600</v>
      </c>
      <c r="B1793" s="149" t="str">
        <f>IFERROR(VLOOKUP(Proc[[#This Row],[App]],Table2[],3,0),"open")</f>
        <v>ok</v>
      </c>
      <c r="C1793" t="s">
        <v>369</v>
      </c>
      <c r="D1793" t="s">
        <v>3601</v>
      </c>
      <c r="E1793" t="s">
        <v>3602</v>
      </c>
      <c r="F1793" s="117" t="s">
        <v>3602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144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>
      <c r="A1794" s="89" t="s">
        <v>3600</v>
      </c>
      <c r="B1794" s="149" t="str">
        <f>IFERROR(VLOOKUP(Proc[[#This Row],[App]],Table2[],3,0),"open")</f>
        <v>ok</v>
      </c>
      <c r="C1794" s="89" t="s">
        <v>369</v>
      </c>
      <c r="D1794" t="s">
        <v>3603</v>
      </c>
      <c r="E1794" t="s">
        <v>3602</v>
      </c>
      <c r="F1794" s="117" t="s">
        <v>3602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144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>
      <c r="A1795" s="89" t="s">
        <v>3600</v>
      </c>
      <c r="B1795" s="149" t="str">
        <f>IFERROR(VLOOKUP(Proc[[#This Row],[App]],Table2[],3,0),"open")</f>
        <v>ok</v>
      </c>
      <c r="C1795" s="89" t="s">
        <v>369</v>
      </c>
      <c r="D1795" t="s">
        <v>3604</v>
      </c>
      <c r="E1795" t="s">
        <v>3602</v>
      </c>
      <c r="F1795" s="117" t="s">
        <v>3602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144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>
      <c r="A1796" s="89" t="s">
        <v>3600</v>
      </c>
      <c r="B1796" s="149" t="str">
        <f>IFERROR(VLOOKUP(Proc[[#This Row],[App]],Table2[],3,0),"open")</f>
        <v>ok</v>
      </c>
      <c r="C1796" s="89" t="s">
        <v>369</v>
      </c>
      <c r="D1796" t="s">
        <v>3605</v>
      </c>
      <c r="E1796" t="s">
        <v>3602</v>
      </c>
      <c r="F1796" s="117" t="s">
        <v>3602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144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>
      <c r="A1797" s="89" t="s">
        <v>3600</v>
      </c>
      <c r="B1797" s="149" t="str">
        <f>IFERROR(VLOOKUP(Proc[[#This Row],[App]],Table2[],3,0),"open")</f>
        <v>ok</v>
      </c>
      <c r="C1797" s="89" t="s">
        <v>369</v>
      </c>
      <c r="D1797" t="s">
        <v>3606</v>
      </c>
      <c r="E1797" t="s">
        <v>3602</v>
      </c>
      <c r="F1797" s="117" t="s">
        <v>3602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144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>
      <c r="A1798" s="89" t="s">
        <v>3600</v>
      </c>
      <c r="B1798" s="149" t="str">
        <f>IFERROR(VLOOKUP(Proc[[#This Row],[App]],Table2[],3,0),"open")</f>
        <v>ok</v>
      </c>
      <c r="C1798" s="89" t="s">
        <v>369</v>
      </c>
      <c r="D1798" t="s">
        <v>3607</v>
      </c>
      <c r="E1798" t="s">
        <v>3602</v>
      </c>
      <c r="F1798" s="117" t="s">
        <v>3602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144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>
      <c r="A1799" t="s">
        <v>3608</v>
      </c>
      <c r="B1799" s="149" t="str">
        <f>IFERROR(VLOOKUP(Proc[[#This Row],[App]],Table2[],3,0),"open")</f>
        <v>ok</v>
      </c>
      <c r="C1799" s="89" t="s">
        <v>369</v>
      </c>
      <c r="D1799" t="s">
        <v>3609</v>
      </c>
      <c r="E1799" t="s">
        <v>3614</v>
      </c>
      <c r="F1799" s="117" t="s">
        <v>3614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144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>
      <c r="A1800" s="89" t="s">
        <v>3608</v>
      </c>
      <c r="B1800" s="149" t="str">
        <f>IFERROR(VLOOKUP(Proc[[#This Row],[App]],Table2[],3,0),"open")</f>
        <v>ok</v>
      </c>
      <c r="C1800" s="89" t="s">
        <v>369</v>
      </c>
      <c r="D1800" t="s">
        <v>3610</v>
      </c>
      <c r="E1800" t="s">
        <v>3615</v>
      </c>
      <c r="F1800" s="117" t="s">
        <v>3615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144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>
      <c r="A1801" s="89" t="s">
        <v>3608</v>
      </c>
      <c r="B1801" s="149" t="str">
        <f>IFERROR(VLOOKUP(Proc[[#This Row],[App]],Table2[],3,0),"open")</f>
        <v>ok</v>
      </c>
      <c r="C1801" s="89" t="s">
        <v>369</v>
      </c>
      <c r="D1801" t="s">
        <v>3611</v>
      </c>
      <c r="E1801" t="s">
        <v>3616</v>
      </c>
      <c r="F1801" s="117" t="s">
        <v>3616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144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>
      <c r="A1802" s="89" t="s">
        <v>3608</v>
      </c>
      <c r="B1802" s="149" t="str">
        <f>IFERROR(VLOOKUP(Proc[[#This Row],[App]],Table2[],3,0),"open")</f>
        <v>ok</v>
      </c>
      <c r="C1802" s="89" t="s">
        <v>369</v>
      </c>
      <c r="D1802" t="s">
        <v>3612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144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>
      <c r="A1803" s="89" t="s">
        <v>3608</v>
      </c>
      <c r="B1803" s="149" t="str">
        <f>IFERROR(VLOOKUP(Proc[[#This Row],[App]],Table2[],3,0),"open")</f>
        <v>ok</v>
      </c>
      <c r="C1803" s="89" t="s">
        <v>369</v>
      </c>
      <c r="D1803" t="s">
        <v>3613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144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>
      <c r="A1804" t="s">
        <v>3619</v>
      </c>
      <c r="B1804" s="149" t="str">
        <f>IFERROR(VLOOKUP(Proc[[#This Row],[App]],Table2[],3,0),"open")</f>
        <v>ok</v>
      </c>
      <c r="C1804" s="89" t="s">
        <v>369</v>
      </c>
      <c r="D1804" t="s">
        <v>3617</v>
      </c>
      <c r="E1804" t="s">
        <v>3618</v>
      </c>
      <c r="F1804" s="117" t="s">
        <v>3618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3623</v>
      </c>
      <c r="J1804" s="85" t="b">
        <f>Proc[[#This Row],[Requested]]=Proc[[#This Row],[CurrentParent]]</f>
        <v>1</v>
      </c>
      <c r="K1804" s="144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>
      <c r="A1805" t="s">
        <v>3620</v>
      </c>
      <c r="B1805" s="149" t="str">
        <f>IFERROR(VLOOKUP(Proc[[#This Row],[App]],Table2[],3,0),"open")</f>
        <v>ok</v>
      </c>
      <c r="C1805" s="89" t="s">
        <v>369</v>
      </c>
      <c r="D1805" t="s">
        <v>3621</v>
      </c>
      <c r="E1805" t="s">
        <v>3622</v>
      </c>
      <c r="F1805" s="117" t="s">
        <v>3622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144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>
      <c r="A1806" t="s">
        <v>3624</v>
      </c>
      <c r="B1806" s="149" t="str">
        <f>IFERROR(VLOOKUP(Proc[[#This Row],[App]],Table2[],3,0),"open")</f>
        <v>ok</v>
      </c>
      <c r="C1806" t="s">
        <v>369</v>
      </c>
      <c r="D1806" t="s">
        <v>3626</v>
      </c>
      <c r="E1806" t="s">
        <v>3625</v>
      </c>
      <c r="F1806" s="117" t="s">
        <v>3625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144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>
      <c r="A1807" t="s">
        <v>3627</v>
      </c>
      <c r="B1807" s="149" t="str">
        <f>IFERROR(VLOOKUP(Proc[[#This Row],[App]],Table2[],3,0),"open")</f>
        <v>ok</v>
      </c>
      <c r="C1807" s="93" t="s">
        <v>369</v>
      </c>
      <c r="D1807" s="92" t="s">
        <v>3630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144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>
      <c r="A1808" s="92" t="s">
        <v>3627</v>
      </c>
      <c r="B1808" s="149" t="str">
        <f>IFERROR(VLOOKUP(Proc[[#This Row],[App]],Table2[],3,0),"open")</f>
        <v>ok</v>
      </c>
      <c r="C1808" s="93" t="s">
        <v>369</v>
      </c>
      <c r="D1808" s="92" t="s">
        <v>3631</v>
      </c>
      <c r="E1808" t="s">
        <v>3628</v>
      </c>
      <c r="F1808" s="117" t="s">
        <v>3628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144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>
      <c r="A1809" s="92" t="s">
        <v>3627</v>
      </c>
      <c r="B1809" s="149" t="str">
        <f>IFERROR(VLOOKUP(Proc[[#This Row],[App]],Table2[],3,0),"open")</f>
        <v>ok</v>
      </c>
      <c r="C1809" s="93" t="s">
        <v>369</v>
      </c>
      <c r="D1809" s="92" t="s">
        <v>3632</v>
      </c>
      <c r="E1809" t="s">
        <v>3628</v>
      </c>
      <c r="F1809" s="117" t="s">
        <v>3628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144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>
      <c r="A1810" s="92" t="s">
        <v>3627</v>
      </c>
      <c r="B1810" s="149" t="str">
        <f>IFERROR(VLOOKUP(Proc[[#This Row],[App]],Table2[],3,0),"open")</f>
        <v>ok</v>
      </c>
      <c r="C1810" s="93" t="s">
        <v>369</v>
      </c>
      <c r="D1810" s="92" t="s">
        <v>3633</v>
      </c>
      <c r="E1810" s="92" t="s">
        <v>3628</v>
      </c>
      <c r="F1810" s="117" t="s">
        <v>3628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144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>
      <c r="A1811" s="92" t="s">
        <v>3627</v>
      </c>
      <c r="B1811" s="149" t="str">
        <f>IFERROR(VLOOKUP(Proc[[#This Row],[App]],Table2[],3,0),"open")</f>
        <v>ok</v>
      </c>
      <c r="C1811" s="93" t="s">
        <v>369</v>
      </c>
      <c r="D1811" s="92" t="s">
        <v>3634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144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>
      <c r="A1812" s="92" t="s">
        <v>3627</v>
      </c>
      <c r="B1812" s="149" t="str">
        <f>IFERROR(VLOOKUP(Proc[[#This Row],[App]],Table2[],3,0),"open")</f>
        <v>ok</v>
      </c>
      <c r="C1812" s="93" t="s">
        <v>369</v>
      </c>
      <c r="D1812" s="92" t="s">
        <v>3635</v>
      </c>
      <c r="E1812" t="s">
        <v>3629</v>
      </c>
      <c r="F1812" s="117" t="s">
        <v>3629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144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>
      <c r="A1813" t="s">
        <v>3638</v>
      </c>
      <c r="B1813" s="149" t="str">
        <f>IFERROR(VLOOKUP(Proc[[#This Row],[App]],Table2[],3,0),"open")</f>
        <v>ok</v>
      </c>
      <c r="C1813" s="93" t="s">
        <v>369</v>
      </c>
      <c r="D1813" s="93" t="s">
        <v>3636</v>
      </c>
      <c r="E1813" t="s">
        <v>3637</v>
      </c>
      <c r="F1813" s="117" t="s">
        <v>3637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14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3639</v>
      </c>
      <c r="S1813" s="94"/>
    </row>
    <row r="1814" spans="1:19">
      <c r="A1814" t="s">
        <v>3640</v>
      </c>
      <c r="B1814" s="149" t="str">
        <f>IFERROR(VLOOKUP(Proc[[#This Row],[App]],Table2[],3,0),"open")</f>
        <v>ok</v>
      </c>
      <c r="C1814" s="93" t="s">
        <v>369</v>
      </c>
      <c r="D1814" t="s">
        <v>3641</v>
      </c>
      <c r="E1814" t="s">
        <v>3739</v>
      </c>
      <c r="F1814" s="117" t="s">
        <v>3739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14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>
      <c r="A1815" s="93" t="s">
        <v>3640</v>
      </c>
      <c r="B1815" s="149" t="str">
        <f>IFERROR(VLOOKUP(Proc[[#This Row],[App]],Table2[],3,0),"open")</f>
        <v>ok</v>
      </c>
      <c r="C1815" s="93" t="s">
        <v>369</v>
      </c>
      <c r="D1815" t="s">
        <v>3642</v>
      </c>
      <c r="E1815" t="s">
        <v>3006</v>
      </c>
      <c r="F1815" s="117" t="s">
        <v>3006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14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>
      <c r="A1816" s="93" t="s">
        <v>3640</v>
      </c>
      <c r="B1816" s="149" t="str">
        <f>IFERROR(VLOOKUP(Proc[[#This Row],[App]],Table2[],3,0),"open")</f>
        <v>ok</v>
      </c>
      <c r="C1816" s="93" t="s">
        <v>369</v>
      </c>
      <c r="D1816" t="s">
        <v>3643</v>
      </c>
      <c r="E1816" t="s">
        <v>3006</v>
      </c>
      <c r="F1816" s="117" t="s">
        <v>3006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14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>
      <c r="A1817" s="93" t="s">
        <v>3640</v>
      </c>
      <c r="B1817" s="149" t="str">
        <f>IFERROR(VLOOKUP(Proc[[#This Row],[App]],Table2[],3,0),"open")</f>
        <v>ok</v>
      </c>
      <c r="C1817" s="93" t="s">
        <v>369</v>
      </c>
      <c r="D1817" t="s">
        <v>3644</v>
      </c>
      <c r="E1817" t="s">
        <v>3006</v>
      </c>
      <c r="F1817" s="117" t="s">
        <v>3006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14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>
      <c r="A1818" s="93" t="s">
        <v>3640</v>
      </c>
      <c r="B1818" s="149" t="str">
        <f>IFERROR(VLOOKUP(Proc[[#This Row],[App]],Table2[],3,0),"open")</f>
        <v>ok</v>
      </c>
      <c r="C1818" s="93" t="s">
        <v>369</v>
      </c>
      <c r="D1818" t="s">
        <v>3645</v>
      </c>
      <c r="E1818" t="s">
        <v>3006</v>
      </c>
      <c r="F1818" s="117" t="s">
        <v>3006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14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>
      <c r="A1819" s="93" t="s">
        <v>3640</v>
      </c>
      <c r="B1819" s="149" t="str">
        <f>IFERROR(VLOOKUP(Proc[[#This Row],[App]],Table2[],3,0),"open")</f>
        <v>ok</v>
      </c>
      <c r="C1819" s="93" t="s">
        <v>369</v>
      </c>
      <c r="D1819" t="s">
        <v>3646</v>
      </c>
      <c r="E1819" t="s">
        <v>3006</v>
      </c>
      <c r="F1819" s="117" t="s">
        <v>3006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14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>
      <c r="A1820" s="93" t="s">
        <v>3640</v>
      </c>
      <c r="B1820" s="149" t="str">
        <f>IFERROR(VLOOKUP(Proc[[#This Row],[App]],Table2[],3,0),"open")</f>
        <v>ok</v>
      </c>
      <c r="C1820" s="93" t="s">
        <v>369</v>
      </c>
      <c r="D1820" t="s">
        <v>3647</v>
      </c>
      <c r="E1820" t="s">
        <v>3006</v>
      </c>
      <c r="F1820" s="117" t="s">
        <v>3006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14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>
      <c r="A1821" s="93" t="s">
        <v>3640</v>
      </c>
      <c r="B1821" s="149" t="str">
        <f>IFERROR(VLOOKUP(Proc[[#This Row],[App]],Table2[],3,0),"open")</f>
        <v>ok</v>
      </c>
      <c r="C1821" s="93" t="s">
        <v>369</v>
      </c>
      <c r="D1821" t="s">
        <v>3648</v>
      </c>
      <c r="E1821" t="s">
        <v>3006</v>
      </c>
      <c r="F1821" s="117" t="s">
        <v>3006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14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>
      <c r="A1822" s="93" t="s">
        <v>3640</v>
      </c>
      <c r="B1822" s="149" t="str">
        <f>IFERROR(VLOOKUP(Proc[[#This Row],[App]],Table2[],3,0),"open")</f>
        <v>ok</v>
      </c>
      <c r="C1822" s="93" t="s">
        <v>369</v>
      </c>
      <c r="D1822" t="s">
        <v>3649</v>
      </c>
      <c r="E1822" t="s">
        <v>3006</v>
      </c>
      <c r="F1822" s="117" t="s">
        <v>3006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14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>
      <c r="A1823" s="93" t="s">
        <v>3640</v>
      </c>
      <c r="B1823" s="149" t="str">
        <f>IFERROR(VLOOKUP(Proc[[#This Row],[App]],Table2[],3,0),"open")</f>
        <v>ok</v>
      </c>
      <c r="C1823" s="93" t="s">
        <v>369</v>
      </c>
      <c r="D1823" t="s">
        <v>3650</v>
      </c>
      <c r="E1823" t="s">
        <v>3006</v>
      </c>
      <c r="F1823" s="117" t="s">
        <v>3006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14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>
      <c r="A1824" s="93" t="s">
        <v>3640</v>
      </c>
      <c r="B1824" s="149" t="str">
        <f>IFERROR(VLOOKUP(Proc[[#This Row],[App]],Table2[],3,0),"open")</f>
        <v>ok</v>
      </c>
      <c r="C1824" s="93" t="s">
        <v>369</v>
      </c>
      <c r="D1824" t="s">
        <v>3651</v>
      </c>
      <c r="E1824" t="s">
        <v>3740</v>
      </c>
      <c r="F1824" s="117" t="s">
        <v>3740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14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>
      <c r="A1825" s="93" t="s">
        <v>3640</v>
      </c>
      <c r="B1825" s="149" t="str">
        <f>IFERROR(VLOOKUP(Proc[[#This Row],[App]],Table2[],3,0),"open")</f>
        <v>ok</v>
      </c>
      <c r="C1825" s="93" t="s">
        <v>369</v>
      </c>
      <c r="D1825" t="s">
        <v>3652</v>
      </c>
      <c r="E1825" t="s">
        <v>3003</v>
      </c>
      <c r="F1825" s="117" t="s">
        <v>3003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14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>
      <c r="A1826" s="93" t="s">
        <v>3640</v>
      </c>
      <c r="B1826" s="149" t="str">
        <f>IFERROR(VLOOKUP(Proc[[#This Row],[App]],Table2[],3,0),"open")</f>
        <v>ok</v>
      </c>
      <c r="C1826" s="93" t="s">
        <v>369</v>
      </c>
      <c r="D1826" t="s">
        <v>3653</v>
      </c>
      <c r="E1826" t="s">
        <v>3004</v>
      </c>
      <c r="F1826" s="117" t="s">
        <v>3004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14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>
      <c r="A1827" s="93" t="s">
        <v>3640</v>
      </c>
      <c r="B1827" s="149" t="str">
        <f>IFERROR(VLOOKUP(Proc[[#This Row],[App]],Table2[],3,0),"open")</f>
        <v>ok</v>
      </c>
      <c r="C1827" s="93" t="s">
        <v>369</v>
      </c>
      <c r="D1827" t="s">
        <v>3654</v>
      </c>
      <c r="E1827" t="s">
        <v>3006</v>
      </c>
      <c r="F1827" s="117" t="s">
        <v>3006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14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>
      <c r="A1828" s="93" t="s">
        <v>3640</v>
      </c>
      <c r="B1828" s="149" t="str">
        <f>IFERROR(VLOOKUP(Proc[[#This Row],[App]],Table2[],3,0),"open")</f>
        <v>ok</v>
      </c>
      <c r="C1828" s="93" t="s">
        <v>369</v>
      </c>
      <c r="D1828" t="s">
        <v>3655</v>
      </c>
      <c r="E1828" t="s">
        <v>3006</v>
      </c>
      <c r="F1828" s="117" t="s">
        <v>3006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14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>
      <c r="A1829" s="93" t="s">
        <v>3640</v>
      </c>
      <c r="B1829" s="149" t="str">
        <f>IFERROR(VLOOKUP(Proc[[#This Row],[App]],Table2[],3,0),"open")</f>
        <v>ok</v>
      </c>
      <c r="C1829" s="93" t="s">
        <v>369</v>
      </c>
      <c r="D1829" t="s">
        <v>3656</v>
      </c>
      <c r="E1829" t="s">
        <v>3004</v>
      </c>
      <c r="F1829" s="117" t="s">
        <v>3004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14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>
      <c r="A1830" s="93" t="s">
        <v>3640</v>
      </c>
      <c r="B1830" s="149" t="str">
        <f>IFERROR(VLOOKUP(Proc[[#This Row],[App]],Table2[],3,0),"open")</f>
        <v>ok</v>
      </c>
      <c r="C1830" s="93" t="s">
        <v>369</v>
      </c>
      <c r="D1830" t="s">
        <v>3657</v>
      </c>
      <c r="E1830" t="s">
        <v>3004</v>
      </c>
      <c r="F1830" s="117" t="s">
        <v>3004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14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>
      <c r="A1831" s="93" t="s">
        <v>3640</v>
      </c>
      <c r="B1831" s="149" t="str">
        <f>IFERROR(VLOOKUP(Proc[[#This Row],[App]],Table2[],3,0),"open")</f>
        <v>ok</v>
      </c>
      <c r="C1831" s="93" t="s">
        <v>369</v>
      </c>
      <c r="D1831" t="s">
        <v>3658</v>
      </c>
      <c r="E1831" t="s">
        <v>3003</v>
      </c>
      <c r="F1831" s="117" t="s">
        <v>3003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14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>
      <c r="A1832" s="93" t="s">
        <v>3640</v>
      </c>
      <c r="B1832" s="149" t="str">
        <f>IFERROR(VLOOKUP(Proc[[#This Row],[App]],Table2[],3,0),"open")</f>
        <v>ok</v>
      </c>
      <c r="C1832" s="93" t="s">
        <v>369</v>
      </c>
      <c r="D1832" t="s">
        <v>3659</v>
      </c>
      <c r="E1832" t="s">
        <v>3003</v>
      </c>
      <c r="F1832" s="117" t="s">
        <v>3003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14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>
      <c r="A1833" s="93" t="s">
        <v>3640</v>
      </c>
      <c r="B1833" s="149" t="str">
        <f>IFERROR(VLOOKUP(Proc[[#This Row],[App]],Table2[],3,0),"open")</f>
        <v>ok</v>
      </c>
      <c r="C1833" s="93" t="s">
        <v>369</v>
      </c>
      <c r="D1833" t="s">
        <v>3660</v>
      </c>
      <c r="E1833" t="s">
        <v>3003</v>
      </c>
      <c r="F1833" s="117" t="s">
        <v>3003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14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>
      <c r="A1834" s="93" t="s">
        <v>3640</v>
      </c>
      <c r="B1834" s="149" t="str">
        <f>IFERROR(VLOOKUP(Proc[[#This Row],[App]],Table2[],3,0),"open")</f>
        <v>ok</v>
      </c>
      <c r="C1834" s="93" t="s">
        <v>369</v>
      </c>
      <c r="D1834" t="s">
        <v>3661</v>
      </c>
      <c r="E1834" t="s">
        <v>3005</v>
      </c>
      <c r="F1834" s="117" t="s">
        <v>3005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14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>
      <c r="A1835" s="93" t="s">
        <v>3640</v>
      </c>
      <c r="B1835" s="149" t="str">
        <f>IFERROR(VLOOKUP(Proc[[#This Row],[App]],Table2[],3,0),"open")</f>
        <v>ok</v>
      </c>
      <c r="C1835" s="93" t="s">
        <v>369</v>
      </c>
      <c r="D1835" t="s">
        <v>3662</v>
      </c>
      <c r="E1835" t="s">
        <v>3005</v>
      </c>
      <c r="F1835" s="117" t="s">
        <v>3005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14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>
      <c r="A1836" s="93" t="s">
        <v>3640</v>
      </c>
      <c r="B1836" s="149" t="str">
        <f>IFERROR(VLOOKUP(Proc[[#This Row],[App]],Table2[],3,0),"open")</f>
        <v>ok</v>
      </c>
      <c r="C1836" s="93" t="s">
        <v>369</v>
      </c>
      <c r="D1836" t="s">
        <v>3663</v>
      </c>
      <c r="E1836" t="s">
        <v>3005</v>
      </c>
      <c r="F1836" s="117" t="s">
        <v>3005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14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>
      <c r="A1837" s="93" t="s">
        <v>3640</v>
      </c>
      <c r="B1837" s="149" t="str">
        <f>IFERROR(VLOOKUP(Proc[[#This Row],[App]],Table2[],3,0),"open")</f>
        <v>ok</v>
      </c>
      <c r="C1837" s="93" t="s">
        <v>369</v>
      </c>
      <c r="D1837" t="s">
        <v>3664</v>
      </c>
      <c r="E1837" t="s">
        <v>3004</v>
      </c>
      <c r="F1837" s="117" t="s">
        <v>3004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14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>
      <c r="A1838" s="93" t="s">
        <v>3640</v>
      </c>
      <c r="B1838" s="149" t="str">
        <f>IFERROR(VLOOKUP(Proc[[#This Row],[App]],Table2[],3,0),"open")</f>
        <v>ok</v>
      </c>
      <c r="C1838" s="93" t="s">
        <v>369</v>
      </c>
      <c r="D1838" t="s">
        <v>3665</v>
      </c>
      <c r="E1838" t="s">
        <v>3003</v>
      </c>
      <c r="F1838" s="117" t="s">
        <v>3003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14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>
      <c r="A1839" s="93" t="s">
        <v>3640</v>
      </c>
      <c r="B1839" s="149" t="str">
        <f>IFERROR(VLOOKUP(Proc[[#This Row],[App]],Table2[],3,0),"open")</f>
        <v>ok</v>
      </c>
      <c r="C1839" s="93" t="s">
        <v>369</v>
      </c>
      <c r="D1839" t="s">
        <v>3666</v>
      </c>
      <c r="E1839" t="s">
        <v>3003</v>
      </c>
      <c r="F1839" s="117" t="s">
        <v>3003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14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>
      <c r="A1840" s="93" t="s">
        <v>3640</v>
      </c>
      <c r="B1840" s="149" t="str">
        <f>IFERROR(VLOOKUP(Proc[[#This Row],[App]],Table2[],3,0),"open")</f>
        <v>ok</v>
      </c>
      <c r="C1840" s="93" t="s">
        <v>369</v>
      </c>
      <c r="D1840" t="s">
        <v>3667</v>
      </c>
      <c r="E1840" t="s">
        <v>3003</v>
      </c>
      <c r="F1840" s="117" t="s">
        <v>3003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14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>
      <c r="A1841" s="93" t="s">
        <v>3640</v>
      </c>
      <c r="B1841" s="149" t="str">
        <f>IFERROR(VLOOKUP(Proc[[#This Row],[App]],Table2[],3,0),"open")</f>
        <v>ok</v>
      </c>
      <c r="C1841" s="93" t="s">
        <v>369</v>
      </c>
      <c r="D1841" t="s">
        <v>3668</v>
      </c>
      <c r="E1841" t="s">
        <v>3740</v>
      </c>
      <c r="F1841" s="117" t="s">
        <v>3740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14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>
      <c r="A1842" s="93" t="s">
        <v>3640</v>
      </c>
      <c r="B1842" s="149" t="str">
        <f>IFERROR(VLOOKUP(Proc[[#This Row],[App]],Table2[],3,0),"open")</f>
        <v>ok</v>
      </c>
      <c r="C1842" s="93" t="s">
        <v>369</v>
      </c>
      <c r="D1842" t="s">
        <v>3669</v>
      </c>
      <c r="E1842" t="s">
        <v>3003</v>
      </c>
      <c r="F1842" s="117" t="s">
        <v>3003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14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>
      <c r="A1843" s="93" t="s">
        <v>3640</v>
      </c>
      <c r="B1843" s="149" t="str">
        <f>IFERROR(VLOOKUP(Proc[[#This Row],[App]],Table2[],3,0),"open")</f>
        <v>ok</v>
      </c>
      <c r="C1843" s="93" t="s">
        <v>369</v>
      </c>
      <c r="D1843" t="s">
        <v>3670</v>
      </c>
      <c r="E1843" t="s">
        <v>3003</v>
      </c>
      <c r="F1843" s="117" t="s">
        <v>3003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14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>
      <c r="A1844" s="93" t="s">
        <v>3640</v>
      </c>
      <c r="B1844" s="149" t="str">
        <f>IFERROR(VLOOKUP(Proc[[#This Row],[App]],Table2[],3,0),"open")</f>
        <v>ok</v>
      </c>
      <c r="C1844" s="93" t="s">
        <v>369</v>
      </c>
      <c r="D1844" t="s">
        <v>3671</v>
      </c>
      <c r="E1844" t="s">
        <v>3003</v>
      </c>
      <c r="F1844" s="117" t="s">
        <v>3003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14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>
      <c r="A1845" s="93" t="s">
        <v>3640</v>
      </c>
      <c r="B1845" s="149" t="str">
        <f>IFERROR(VLOOKUP(Proc[[#This Row],[App]],Table2[],3,0),"open")</f>
        <v>ok</v>
      </c>
      <c r="C1845" s="93" t="s">
        <v>369</v>
      </c>
      <c r="D1845" t="s">
        <v>3672</v>
      </c>
      <c r="E1845" t="s">
        <v>3005</v>
      </c>
      <c r="F1845" s="117" t="s">
        <v>3005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14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>
      <c r="A1846" s="93" t="s">
        <v>3640</v>
      </c>
      <c r="B1846" s="149" t="str">
        <f>IFERROR(VLOOKUP(Proc[[#This Row],[App]],Table2[],3,0),"open")</f>
        <v>ok</v>
      </c>
      <c r="C1846" s="93" t="s">
        <v>369</v>
      </c>
      <c r="D1846" t="s">
        <v>3673</v>
      </c>
      <c r="E1846" t="s">
        <v>3005</v>
      </c>
      <c r="F1846" s="117" t="s">
        <v>3005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14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>
      <c r="A1847" s="93" t="s">
        <v>3640</v>
      </c>
      <c r="B1847" s="149" t="str">
        <f>IFERROR(VLOOKUP(Proc[[#This Row],[App]],Table2[],3,0),"open")</f>
        <v>ok</v>
      </c>
      <c r="C1847" s="93" t="s">
        <v>369</v>
      </c>
      <c r="D1847" t="s">
        <v>3674</v>
      </c>
      <c r="E1847" t="s">
        <v>3005</v>
      </c>
      <c r="F1847" s="117" t="s">
        <v>3005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14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>
      <c r="A1848" s="93" t="s">
        <v>3640</v>
      </c>
      <c r="B1848" s="149" t="str">
        <f>IFERROR(VLOOKUP(Proc[[#This Row],[App]],Table2[],3,0),"open")</f>
        <v>ok</v>
      </c>
      <c r="C1848" s="93" t="s">
        <v>369</v>
      </c>
      <c r="D1848" t="s">
        <v>3675</v>
      </c>
      <c r="E1848" t="s">
        <v>3003</v>
      </c>
      <c r="F1848" s="117" t="s">
        <v>3003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14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>
      <c r="A1849" s="93" t="s">
        <v>3640</v>
      </c>
      <c r="B1849" s="149" t="str">
        <f>IFERROR(VLOOKUP(Proc[[#This Row],[App]],Table2[],3,0),"open")</f>
        <v>ok</v>
      </c>
      <c r="C1849" s="93" t="s">
        <v>369</v>
      </c>
      <c r="D1849" t="s">
        <v>3676</v>
      </c>
      <c r="E1849" t="s">
        <v>3003</v>
      </c>
      <c r="F1849" s="117" t="s">
        <v>3003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14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>
      <c r="A1850" s="93" t="s">
        <v>3640</v>
      </c>
      <c r="B1850" s="149" t="str">
        <f>IFERROR(VLOOKUP(Proc[[#This Row],[App]],Table2[],3,0),"open")</f>
        <v>ok</v>
      </c>
      <c r="C1850" s="93" t="s">
        <v>369</v>
      </c>
      <c r="D1850" t="s">
        <v>3677</v>
      </c>
      <c r="E1850" t="s">
        <v>3003</v>
      </c>
      <c r="F1850" s="117" t="s">
        <v>3003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14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>
      <c r="A1851" s="93" t="s">
        <v>3640</v>
      </c>
      <c r="B1851" s="149" t="str">
        <f>IFERROR(VLOOKUP(Proc[[#This Row],[App]],Table2[],3,0),"open")</f>
        <v>ok</v>
      </c>
      <c r="C1851" s="93" t="s">
        <v>369</v>
      </c>
      <c r="D1851" t="s">
        <v>3678</v>
      </c>
      <c r="E1851" t="s">
        <v>3003</v>
      </c>
      <c r="F1851" s="117" t="s">
        <v>3003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14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>
      <c r="A1852" s="93" t="s">
        <v>3640</v>
      </c>
      <c r="B1852" s="149" t="str">
        <f>IFERROR(VLOOKUP(Proc[[#This Row],[App]],Table2[],3,0),"open")</f>
        <v>ok</v>
      </c>
      <c r="C1852" s="93" t="s">
        <v>369</v>
      </c>
      <c r="D1852" t="s">
        <v>3679</v>
      </c>
      <c r="E1852" t="s">
        <v>3003</v>
      </c>
      <c r="F1852" s="117" t="s">
        <v>3003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14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>
      <c r="A1853" s="93" t="s">
        <v>3640</v>
      </c>
      <c r="B1853" s="149" t="str">
        <f>IFERROR(VLOOKUP(Proc[[#This Row],[App]],Table2[],3,0),"open")</f>
        <v>ok</v>
      </c>
      <c r="C1853" s="93" t="s">
        <v>369</v>
      </c>
      <c r="D1853" t="s">
        <v>3680</v>
      </c>
      <c r="E1853" t="s">
        <v>3004</v>
      </c>
      <c r="F1853" s="117" t="s">
        <v>3004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14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>
      <c r="A1854" s="93" t="s">
        <v>3640</v>
      </c>
      <c r="B1854" s="149" t="str">
        <f>IFERROR(VLOOKUP(Proc[[#This Row],[App]],Table2[],3,0),"open")</f>
        <v>ok</v>
      </c>
      <c r="C1854" s="93" t="s">
        <v>369</v>
      </c>
      <c r="D1854" t="s">
        <v>3681</v>
      </c>
      <c r="E1854" t="s">
        <v>3003</v>
      </c>
      <c r="F1854" s="117" t="s">
        <v>3003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14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>
      <c r="A1855" s="93" t="s">
        <v>3640</v>
      </c>
      <c r="B1855" s="149" t="str">
        <f>IFERROR(VLOOKUP(Proc[[#This Row],[App]],Table2[],3,0),"open")</f>
        <v>ok</v>
      </c>
      <c r="C1855" s="93" t="s">
        <v>369</v>
      </c>
      <c r="D1855" t="s">
        <v>3682</v>
      </c>
      <c r="E1855" t="s">
        <v>3003</v>
      </c>
      <c r="F1855" s="117" t="s">
        <v>3003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14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>
      <c r="A1856" s="93" t="s">
        <v>3640</v>
      </c>
      <c r="B1856" s="149" t="str">
        <f>IFERROR(VLOOKUP(Proc[[#This Row],[App]],Table2[],3,0),"open")</f>
        <v>ok</v>
      </c>
      <c r="C1856" s="93" t="s">
        <v>369</v>
      </c>
      <c r="D1856" t="s">
        <v>3683</v>
      </c>
      <c r="E1856" t="s">
        <v>3003</v>
      </c>
      <c r="F1856" s="117" t="s">
        <v>3003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14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>
      <c r="A1857" s="93" t="s">
        <v>3640</v>
      </c>
      <c r="B1857" s="149" t="str">
        <f>IFERROR(VLOOKUP(Proc[[#This Row],[App]],Table2[],3,0),"open")</f>
        <v>ok</v>
      </c>
      <c r="C1857" s="93" t="s">
        <v>369</v>
      </c>
      <c r="D1857" t="s">
        <v>3684</v>
      </c>
      <c r="E1857" t="s">
        <v>3003</v>
      </c>
      <c r="F1857" s="117" t="s">
        <v>3003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14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>
      <c r="A1858" s="93" t="s">
        <v>3640</v>
      </c>
      <c r="B1858" s="149" t="str">
        <f>IFERROR(VLOOKUP(Proc[[#This Row],[App]],Table2[],3,0),"open")</f>
        <v>ok</v>
      </c>
      <c r="C1858" s="93" t="s">
        <v>369</v>
      </c>
      <c r="D1858" t="s">
        <v>3685</v>
      </c>
      <c r="E1858" t="s">
        <v>3003</v>
      </c>
      <c r="F1858" s="117" t="s">
        <v>3003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14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>
      <c r="A1859" s="93" t="s">
        <v>3640</v>
      </c>
      <c r="B1859" s="149" t="str">
        <f>IFERROR(VLOOKUP(Proc[[#This Row],[App]],Table2[],3,0),"open")</f>
        <v>ok</v>
      </c>
      <c r="C1859" s="93" t="s">
        <v>369</v>
      </c>
      <c r="D1859" t="s">
        <v>3686</v>
      </c>
      <c r="E1859" t="s">
        <v>3005</v>
      </c>
      <c r="F1859" s="117" t="s">
        <v>3005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14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>
      <c r="A1860" s="93" t="s">
        <v>3640</v>
      </c>
      <c r="B1860" s="149" t="str">
        <f>IFERROR(VLOOKUP(Proc[[#This Row],[App]],Table2[],3,0),"open")</f>
        <v>ok</v>
      </c>
      <c r="C1860" s="93" t="s">
        <v>369</v>
      </c>
      <c r="D1860" t="s">
        <v>3687</v>
      </c>
      <c r="E1860" t="s">
        <v>3005</v>
      </c>
      <c r="F1860" s="117" t="s">
        <v>3005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14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>
      <c r="A1861" s="93" t="s">
        <v>3640</v>
      </c>
      <c r="B1861" s="149" t="str">
        <f>IFERROR(VLOOKUP(Proc[[#This Row],[App]],Table2[],3,0),"open")</f>
        <v>ok</v>
      </c>
      <c r="C1861" s="93" t="s">
        <v>369</v>
      </c>
      <c r="D1861" t="s">
        <v>3688</v>
      </c>
      <c r="E1861" t="s">
        <v>3005</v>
      </c>
      <c r="F1861" s="117" t="s">
        <v>3005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14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>
      <c r="A1862" s="93" t="s">
        <v>3640</v>
      </c>
      <c r="B1862" s="149" t="str">
        <f>IFERROR(VLOOKUP(Proc[[#This Row],[App]],Table2[],3,0),"open")</f>
        <v>ok</v>
      </c>
      <c r="C1862" s="93" t="s">
        <v>369</v>
      </c>
      <c r="D1862" t="s">
        <v>3689</v>
      </c>
      <c r="E1862" t="s">
        <v>3003</v>
      </c>
      <c r="F1862" s="117" t="s">
        <v>3003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14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>
      <c r="A1863" s="93" t="s">
        <v>3640</v>
      </c>
      <c r="B1863" s="149" t="str">
        <f>IFERROR(VLOOKUP(Proc[[#This Row],[App]],Table2[],3,0),"open")</f>
        <v>ok</v>
      </c>
      <c r="C1863" s="93" t="s">
        <v>369</v>
      </c>
      <c r="D1863" t="s">
        <v>3690</v>
      </c>
      <c r="E1863" t="s">
        <v>3740</v>
      </c>
      <c r="F1863" s="117" t="s">
        <v>3740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14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>
      <c r="A1864" s="93" t="s">
        <v>3640</v>
      </c>
      <c r="B1864" s="149" t="str">
        <f>IFERROR(VLOOKUP(Proc[[#This Row],[App]],Table2[],3,0),"open")</f>
        <v>ok</v>
      </c>
      <c r="C1864" s="93" t="s">
        <v>369</v>
      </c>
      <c r="D1864" t="s">
        <v>3691</v>
      </c>
      <c r="E1864" t="s">
        <v>3741</v>
      </c>
      <c r="F1864" s="117" t="s">
        <v>3741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14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>
      <c r="A1865" s="93" t="s">
        <v>3640</v>
      </c>
      <c r="B1865" s="149" t="str">
        <f>IFERROR(VLOOKUP(Proc[[#This Row],[App]],Table2[],3,0),"open")</f>
        <v>ok</v>
      </c>
      <c r="C1865" s="93" t="s">
        <v>369</v>
      </c>
      <c r="D1865" t="s">
        <v>3692</v>
      </c>
      <c r="E1865" t="s">
        <v>3743</v>
      </c>
      <c r="F1865" s="117" t="s">
        <v>3743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14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>
      <c r="A1866" s="93" t="s">
        <v>3640</v>
      </c>
      <c r="B1866" s="149" t="str">
        <f>IFERROR(VLOOKUP(Proc[[#This Row],[App]],Table2[],3,0),"open")</f>
        <v>ok</v>
      </c>
      <c r="C1866" s="93" t="s">
        <v>369</v>
      </c>
      <c r="D1866" t="s">
        <v>3693</v>
      </c>
      <c r="E1866" t="s">
        <v>3745</v>
      </c>
      <c r="F1866" s="117" t="s">
        <v>3745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14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>
      <c r="A1867" s="93" t="s">
        <v>3640</v>
      </c>
      <c r="B1867" s="149" t="str">
        <f>IFERROR(VLOOKUP(Proc[[#This Row],[App]],Table2[],3,0),"open")</f>
        <v>ok</v>
      </c>
      <c r="C1867" s="93" t="s">
        <v>369</v>
      </c>
      <c r="D1867" t="s">
        <v>3694</v>
      </c>
      <c r="E1867" t="s">
        <v>3741</v>
      </c>
      <c r="F1867" s="117" t="s">
        <v>3741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14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>
      <c r="A1868" s="93" t="s">
        <v>3640</v>
      </c>
      <c r="B1868" s="149" t="str">
        <f>IFERROR(VLOOKUP(Proc[[#This Row],[App]],Table2[],3,0),"open")</f>
        <v>ok</v>
      </c>
      <c r="C1868" s="93" t="s">
        <v>369</v>
      </c>
      <c r="D1868" t="s">
        <v>3695</v>
      </c>
      <c r="E1868" s="93" t="s">
        <v>3743</v>
      </c>
      <c r="F1868" s="117" t="s">
        <v>3743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14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>
      <c r="A1869" s="93" t="s">
        <v>3640</v>
      </c>
      <c r="B1869" s="149" t="str">
        <f>IFERROR(VLOOKUP(Proc[[#This Row],[App]],Table2[],3,0),"open")</f>
        <v>ok</v>
      </c>
      <c r="C1869" s="93" t="s">
        <v>369</v>
      </c>
      <c r="D1869" t="s">
        <v>3696</v>
      </c>
      <c r="E1869" t="s">
        <v>3743</v>
      </c>
      <c r="F1869" s="117" t="s">
        <v>3743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14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>
      <c r="A1870" s="93" t="s">
        <v>3640</v>
      </c>
      <c r="B1870" s="149" t="str">
        <f>IFERROR(VLOOKUP(Proc[[#This Row],[App]],Table2[],3,0),"open")</f>
        <v>ok</v>
      </c>
      <c r="C1870" s="93" t="s">
        <v>369</v>
      </c>
      <c r="D1870" t="s">
        <v>3697</v>
      </c>
      <c r="E1870" t="s">
        <v>3746</v>
      </c>
      <c r="F1870" s="117" t="s">
        <v>3746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14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>
      <c r="A1871" s="93" t="s">
        <v>3640</v>
      </c>
      <c r="B1871" s="149" t="str">
        <f>IFERROR(VLOOKUP(Proc[[#This Row],[App]],Table2[],3,0),"open")</f>
        <v>ok</v>
      </c>
      <c r="C1871" s="93" t="s">
        <v>369</v>
      </c>
      <c r="D1871" t="s">
        <v>3698</v>
      </c>
      <c r="E1871" t="s">
        <v>3745</v>
      </c>
      <c r="F1871" s="117" t="s">
        <v>3745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14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>
      <c r="A1872" s="93" t="s">
        <v>3640</v>
      </c>
      <c r="B1872" s="149" t="str">
        <f>IFERROR(VLOOKUP(Proc[[#This Row],[App]],Table2[],3,0),"open")</f>
        <v>ok</v>
      </c>
      <c r="C1872" s="93" t="s">
        <v>369</v>
      </c>
      <c r="D1872" t="s">
        <v>3699</v>
      </c>
      <c r="E1872" t="s">
        <v>3744</v>
      </c>
      <c r="F1872" s="117" t="s">
        <v>3744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14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>
      <c r="A1873" s="93" t="s">
        <v>3640</v>
      </c>
      <c r="B1873" s="149" t="str">
        <f>IFERROR(VLOOKUP(Proc[[#This Row],[App]],Table2[],3,0),"open")</f>
        <v>ok</v>
      </c>
      <c r="C1873" s="93" t="s">
        <v>369</v>
      </c>
      <c r="D1873" t="s">
        <v>3700</v>
      </c>
      <c r="E1873" t="s">
        <v>3743</v>
      </c>
      <c r="F1873" s="117" t="s">
        <v>3743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14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>
      <c r="A1874" s="93" t="s">
        <v>3640</v>
      </c>
      <c r="B1874" s="149" t="str">
        <f>IFERROR(VLOOKUP(Proc[[#This Row],[App]],Table2[],3,0),"open")</f>
        <v>ok</v>
      </c>
      <c r="C1874" s="93" t="s">
        <v>377</v>
      </c>
      <c r="D1874" t="s">
        <v>3701</v>
      </c>
      <c r="E1874" t="s">
        <v>3742</v>
      </c>
      <c r="F1874" s="103" t="s">
        <v>3742</v>
      </c>
      <c r="G1874" s="93" t="s">
        <v>400</v>
      </c>
      <c r="H1874" s="94" t="str">
        <f>IF(Proc[[#This Row],[type]]="LFF (MDG-F)",MID(Proc[[#This Row],[Obj]],13,10),"")</f>
        <v/>
      </c>
      <c r="I1874" t="s">
        <v>4070</v>
      </c>
      <c r="J1874" s="94" t="b">
        <f>Proc[[#This Row],[Requested]]=Proc[[#This Row],[CurrentParent]]</f>
        <v>1</v>
      </c>
      <c r="K1874" s="14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>
      <c r="A1875" s="93" t="s">
        <v>3640</v>
      </c>
      <c r="B1875" s="149" t="str">
        <f>IFERROR(VLOOKUP(Proc[[#This Row],[App]],Table2[],3,0),"open")</f>
        <v>ok</v>
      </c>
      <c r="C1875" s="93" t="s">
        <v>369</v>
      </c>
      <c r="D1875" t="s">
        <v>3702</v>
      </c>
      <c r="E1875" t="s">
        <v>3401</v>
      </c>
      <c r="F1875" s="117" t="s">
        <v>3401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14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>
      <c r="A1876" s="93" t="s">
        <v>3640</v>
      </c>
      <c r="B1876" s="149" t="str">
        <f>IFERROR(VLOOKUP(Proc[[#This Row],[App]],Table2[],3,0),"open")</f>
        <v>ok</v>
      </c>
      <c r="C1876" s="93" t="s">
        <v>369</v>
      </c>
      <c r="D1876" t="s">
        <v>3703</v>
      </c>
      <c r="E1876" s="93" t="s">
        <v>3401</v>
      </c>
      <c r="F1876" s="117" t="s">
        <v>3401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14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>
      <c r="A1877" s="93" t="s">
        <v>3640</v>
      </c>
      <c r="B1877" s="149" t="str">
        <f>IFERROR(VLOOKUP(Proc[[#This Row],[App]],Table2[],3,0),"open")</f>
        <v>ok</v>
      </c>
      <c r="C1877" s="93" t="s">
        <v>369</v>
      </c>
      <c r="D1877" t="s">
        <v>3704</v>
      </c>
      <c r="E1877" s="93" t="s">
        <v>3401</v>
      </c>
      <c r="F1877" s="117" t="s">
        <v>3401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14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>
      <c r="A1878" s="93" t="s">
        <v>3640</v>
      </c>
      <c r="B1878" s="149" t="str">
        <f>IFERROR(VLOOKUP(Proc[[#This Row],[App]],Table2[],3,0),"open")</f>
        <v>ok</v>
      </c>
      <c r="C1878" s="93" t="s">
        <v>369</v>
      </c>
      <c r="D1878" t="s">
        <v>3705</v>
      </c>
      <c r="E1878" s="93" t="s">
        <v>3401</v>
      </c>
      <c r="F1878" s="117" t="s">
        <v>3401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14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>
      <c r="A1879" s="93" t="s">
        <v>3640</v>
      </c>
      <c r="B1879" s="149" t="str">
        <f>IFERROR(VLOOKUP(Proc[[#This Row],[App]],Table2[],3,0),"open")</f>
        <v>ok</v>
      </c>
      <c r="C1879" s="93" t="s">
        <v>369</v>
      </c>
      <c r="D1879" t="s">
        <v>3706</v>
      </c>
      <c r="E1879" s="93" t="s">
        <v>3401</v>
      </c>
      <c r="F1879" s="117" t="s">
        <v>3401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14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>
      <c r="A1880" s="93" t="s">
        <v>3640</v>
      </c>
      <c r="B1880" s="149" t="str">
        <f>IFERROR(VLOOKUP(Proc[[#This Row],[App]],Table2[],3,0),"open")</f>
        <v>ok</v>
      </c>
      <c r="C1880" s="93" t="s">
        <v>369</v>
      </c>
      <c r="D1880" t="s">
        <v>3707</v>
      </c>
      <c r="E1880" s="93" t="s">
        <v>3401</v>
      </c>
      <c r="F1880" s="117" t="s">
        <v>3401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14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>
      <c r="A1881" s="93" t="s">
        <v>3640</v>
      </c>
      <c r="B1881" s="149" t="str">
        <f>IFERROR(VLOOKUP(Proc[[#This Row],[App]],Table2[],3,0),"open")</f>
        <v>ok</v>
      </c>
      <c r="C1881" s="93" t="s">
        <v>369</v>
      </c>
      <c r="D1881" t="s">
        <v>3708</v>
      </c>
      <c r="E1881" s="93" t="s">
        <v>3401</v>
      </c>
      <c r="F1881" s="117" t="s">
        <v>3401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14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>
      <c r="A1882" s="93" t="s">
        <v>3640</v>
      </c>
      <c r="B1882" s="149" t="str">
        <f>IFERROR(VLOOKUP(Proc[[#This Row],[App]],Table2[],3,0),"open")</f>
        <v>ok</v>
      </c>
      <c r="C1882" s="93" t="s">
        <v>369</v>
      </c>
      <c r="D1882" t="s">
        <v>3709</v>
      </c>
      <c r="E1882" s="93" t="s">
        <v>3401</v>
      </c>
      <c r="F1882" s="117" t="s">
        <v>3401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14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>
      <c r="A1883" s="93" t="s">
        <v>3640</v>
      </c>
      <c r="B1883" s="149" t="str">
        <f>IFERROR(VLOOKUP(Proc[[#This Row],[App]],Table2[],3,0),"open")</f>
        <v>ok</v>
      </c>
      <c r="C1883" s="93" t="s">
        <v>369</v>
      </c>
      <c r="D1883" t="s">
        <v>3710</v>
      </c>
      <c r="E1883" s="93" t="s">
        <v>3401</v>
      </c>
      <c r="F1883" s="117" t="s">
        <v>3401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14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>
      <c r="A1884" s="93" t="s">
        <v>3640</v>
      </c>
      <c r="B1884" s="149" t="str">
        <f>IFERROR(VLOOKUP(Proc[[#This Row],[App]],Table2[],3,0),"open")</f>
        <v>ok</v>
      </c>
      <c r="C1884" s="93" t="s">
        <v>369</v>
      </c>
      <c r="D1884" t="s">
        <v>3711</v>
      </c>
      <c r="E1884" s="93" t="s">
        <v>3401</v>
      </c>
      <c r="F1884" s="117" t="s">
        <v>3401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14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>
      <c r="A1885" s="93" t="s">
        <v>3640</v>
      </c>
      <c r="B1885" s="149" t="str">
        <f>IFERROR(VLOOKUP(Proc[[#This Row],[App]],Table2[],3,0),"open")</f>
        <v>ok</v>
      </c>
      <c r="C1885" s="93" t="s">
        <v>369</v>
      </c>
      <c r="D1885" t="s">
        <v>3712</v>
      </c>
      <c r="E1885" s="93" t="s">
        <v>3401</v>
      </c>
      <c r="F1885" s="117" t="s">
        <v>3401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14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>
      <c r="A1886" s="93" t="s">
        <v>3640</v>
      </c>
      <c r="B1886" s="149" t="str">
        <f>IFERROR(VLOOKUP(Proc[[#This Row],[App]],Table2[],3,0),"open")</f>
        <v>ok</v>
      </c>
      <c r="C1886" s="93" t="s">
        <v>369</v>
      </c>
      <c r="D1886" t="s">
        <v>3713</v>
      </c>
      <c r="E1886" s="93" t="s">
        <v>3401</v>
      </c>
      <c r="F1886" s="117" t="s">
        <v>3401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14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>
      <c r="A1887" s="93" t="s">
        <v>3640</v>
      </c>
      <c r="B1887" s="149" t="str">
        <f>IFERROR(VLOOKUP(Proc[[#This Row],[App]],Table2[],3,0),"open")</f>
        <v>ok</v>
      </c>
      <c r="C1887" s="93" t="s">
        <v>369</v>
      </c>
      <c r="D1887" t="s">
        <v>3714</v>
      </c>
      <c r="E1887" s="93" t="s">
        <v>3401</v>
      </c>
      <c r="F1887" s="117" t="s">
        <v>3401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14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>
      <c r="A1888" s="93" t="s">
        <v>3640</v>
      </c>
      <c r="B1888" s="149" t="str">
        <f>IFERROR(VLOOKUP(Proc[[#This Row],[App]],Table2[],3,0),"open")</f>
        <v>ok</v>
      </c>
      <c r="C1888" s="93" t="s">
        <v>369</v>
      </c>
      <c r="D1888" t="s">
        <v>3715</v>
      </c>
      <c r="E1888" s="93" t="s">
        <v>3401</v>
      </c>
      <c r="F1888" s="117" t="s">
        <v>3401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14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>
      <c r="A1889" s="93" t="s">
        <v>3640</v>
      </c>
      <c r="B1889" s="149" t="str">
        <f>IFERROR(VLOOKUP(Proc[[#This Row],[App]],Table2[],3,0),"open")</f>
        <v>ok</v>
      </c>
      <c r="C1889" s="93" t="s">
        <v>369</v>
      </c>
      <c r="D1889" t="s">
        <v>3716</v>
      </c>
      <c r="E1889" s="93" t="s">
        <v>3401</v>
      </c>
      <c r="F1889" s="117" t="s">
        <v>3401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14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>
      <c r="A1890" s="93" t="s">
        <v>3640</v>
      </c>
      <c r="B1890" s="149" t="str">
        <f>IFERROR(VLOOKUP(Proc[[#This Row],[App]],Table2[],3,0),"open")</f>
        <v>ok</v>
      </c>
      <c r="C1890" s="93" t="s">
        <v>369</v>
      </c>
      <c r="D1890" t="s">
        <v>3717</v>
      </c>
      <c r="E1890" s="93" t="s">
        <v>3401</v>
      </c>
      <c r="F1890" s="117" t="s">
        <v>3401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14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>
      <c r="A1891" s="93" t="s">
        <v>3640</v>
      </c>
      <c r="B1891" s="149" t="str">
        <f>IFERROR(VLOOKUP(Proc[[#This Row],[App]],Table2[],3,0),"open")</f>
        <v>ok</v>
      </c>
      <c r="C1891" s="93" t="s">
        <v>369</v>
      </c>
      <c r="D1891" t="s">
        <v>3718</v>
      </c>
      <c r="E1891" s="93" t="s">
        <v>3401</v>
      </c>
      <c r="F1891" s="117" t="s">
        <v>3401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14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>
      <c r="A1892" s="93" t="s">
        <v>3640</v>
      </c>
      <c r="B1892" s="149" t="str">
        <f>IFERROR(VLOOKUP(Proc[[#This Row],[App]],Table2[],3,0),"open")</f>
        <v>ok</v>
      </c>
      <c r="C1892" s="93" t="s">
        <v>369</v>
      </c>
      <c r="D1892" t="s">
        <v>3719</v>
      </c>
      <c r="E1892" s="93" t="s">
        <v>3401</v>
      </c>
      <c r="F1892" s="117" t="s">
        <v>3401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14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>
      <c r="A1893" s="93" t="s">
        <v>3640</v>
      </c>
      <c r="B1893" s="149" t="str">
        <f>IFERROR(VLOOKUP(Proc[[#This Row],[App]],Table2[],3,0),"open")</f>
        <v>ok</v>
      </c>
      <c r="C1893" s="93" t="s">
        <v>369</v>
      </c>
      <c r="D1893" t="s">
        <v>3720</v>
      </c>
      <c r="E1893" s="93" t="s">
        <v>3401</v>
      </c>
      <c r="F1893" s="117" t="s">
        <v>3401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14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>
      <c r="A1894" s="93" t="s">
        <v>3640</v>
      </c>
      <c r="B1894" s="149" t="str">
        <f>IFERROR(VLOOKUP(Proc[[#This Row],[App]],Table2[],3,0),"open")</f>
        <v>ok</v>
      </c>
      <c r="C1894" s="93" t="s">
        <v>369</v>
      </c>
      <c r="D1894" t="s">
        <v>3721</v>
      </c>
      <c r="E1894" s="93" t="s">
        <v>3401</v>
      </c>
      <c r="F1894" s="117" t="s">
        <v>3401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14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>
      <c r="A1895" s="93" t="s">
        <v>3640</v>
      </c>
      <c r="B1895" s="149" t="str">
        <f>IFERROR(VLOOKUP(Proc[[#This Row],[App]],Table2[],3,0),"open")</f>
        <v>ok</v>
      </c>
      <c r="C1895" s="93" t="s">
        <v>369</v>
      </c>
      <c r="D1895" t="s">
        <v>3722</v>
      </c>
      <c r="E1895" s="93" t="s">
        <v>3401</v>
      </c>
      <c r="F1895" s="117" t="s">
        <v>3401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14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>
      <c r="A1896" s="93" t="s">
        <v>3640</v>
      </c>
      <c r="B1896" s="149" t="str">
        <f>IFERROR(VLOOKUP(Proc[[#This Row],[App]],Table2[],3,0),"open")</f>
        <v>ok</v>
      </c>
      <c r="C1896" s="93" t="s">
        <v>369</v>
      </c>
      <c r="D1896" t="s">
        <v>3723</v>
      </c>
      <c r="E1896" s="93" t="s">
        <v>3401</v>
      </c>
      <c r="F1896" s="117" t="s">
        <v>3401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14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>
      <c r="A1897" s="93" t="s">
        <v>3640</v>
      </c>
      <c r="B1897" s="149" t="str">
        <f>IFERROR(VLOOKUP(Proc[[#This Row],[App]],Table2[],3,0),"open")</f>
        <v>ok</v>
      </c>
      <c r="C1897" s="93" t="s">
        <v>369</v>
      </c>
      <c r="D1897" t="s">
        <v>3724</v>
      </c>
      <c r="E1897" s="93" t="s">
        <v>3401</v>
      </c>
      <c r="F1897" s="117" t="s">
        <v>3401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14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>
      <c r="A1898" s="93" t="s">
        <v>3640</v>
      </c>
      <c r="B1898" s="149" t="str">
        <f>IFERROR(VLOOKUP(Proc[[#This Row],[App]],Table2[],3,0),"open")</f>
        <v>ok</v>
      </c>
      <c r="C1898" s="93" t="s">
        <v>369</v>
      </c>
      <c r="D1898" t="s">
        <v>3725</v>
      </c>
      <c r="E1898" s="93" t="s">
        <v>3401</v>
      </c>
      <c r="F1898" s="117" t="s">
        <v>3401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14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>
      <c r="A1899" s="93" t="s">
        <v>3640</v>
      </c>
      <c r="B1899" s="149" t="str">
        <f>IFERROR(VLOOKUP(Proc[[#This Row],[App]],Table2[],3,0),"open")</f>
        <v>ok</v>
      </c>
      <c r="C1899" s="93" t="s">
        <v>369</v>
      </c>
      <c r="D1899" t="s">
        <v>3726</v>
      </c>
      <c r="E1899" s="93" t="s">
        <v>3401</v>
      </c>
      <c r="F1899" s="117" t="s">
        <v>3401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14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>
      <c r="A1900" s="93" t="s">
        <v>3640</v>
      </c>
      <c r="B1900" s="149" t="str">
        <f>IFERROR(VLOOKUP(Proc[[#This Row],[App]],Table2[],3,0),"open")</f>
        <v>ok</v>
      </c>
      <c r="C1900" s="93" t="s">
        <v>369</v>
      </c>
      <c r="D1900" t="s">
        <v>3727</v>
      </c>
      <c r="E1900" s="93" t="s">
        <v>3401</v>
      </c>
      <c r="F1900" s="117" t="s">
        <v>3401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14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>
      <c r="A1901" s="93" t="s">
        <v>3640</v>
      </c>
      <c r="B1901" s="149" t="str">
        <f>IFERROR(VLOOKUP(Proc[[#This Row],[App]],Table2[],3,0),"open")</f>
        <v>ok</v>
      </c>
      <c r="C1901" s="93" t="s">
        <v>369</v>
      </c>
      <c r="D1901" t="s">
        <v>3728</v>
      </c>
      <c r="E1901" s="93" t="s">
        <v>3401</v>
      </c>
      <c r="F1901" s="117" t="s">
        <v>3401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14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>
      <c r="A1902" s="93" t="s">
        <v>3640</v>
      </c>
      <c r="B1902" s="149" t="str">
        <f>IFERROR(VLOOKUP(Proc[[#This Row],[App]],Table2[],3,0),"open")</f>
        <v>ok</v>
      </c>
      <c r="C1902" s="93" t="s">
        <v>369</v>
      </c>
      <c r="D1902" t="s">
        <v>3729</v>
      </c>
      <c r="E1902" s="93" t="s">
        <v>3401</v>
      </c>
      <c r="F1902" s="117" t="s">
        <v>3401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14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>
      <c r="A1903" s="93" t="s">
        <v>3640</v>
      </c>
      <c r="B1903" s="149" t="str">
        <f>IFERROR(VLOOKUP(Proc[[#This Row],[App]],Table2[],3,0),"open")</f>
        <v>ok</v>
      </c>
      <c r="C1903" s="93" t="s">
        <v>369</v>
      </c>
      <c r="D1903" t="s">
        <v>3730</v>
      </c>
      <c r="E1903" s="93" t="s">
        <v>3401</v>
      </c>
      <c r="F1903" s="117" t="s">
        <v>3401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14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>
      <c r="A1904" s="93" t="s">
        <v>3640</v>
      </c>
      <c r="B1904" s="149" t="str">
        <f>IFERROR(VLOOKUP(Proc[[#This Row],[App]],Table2[],3,0),"open")</f>
        <v>ok</v>
      </c>
      <c r="C1904" s="93" t="s">
        <v>369</v>
      </c>
      <c r="D1904" t="s">
        <v>3731</v>
      </c>
      <c r="E1904" s="93" t="s">
        <v>3401</v>
      </c>
      <c r="F1904" s="117" t="s">
        <v>3401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14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>
      <c r="A1905" s="93" t="s">
        <v>3640</v>
      </c>
      <c r="B1905" s="149" t="str">
        <f>IFERROR(VLOOKUP(Proc[[#This Row],[App]],Table2[],3,0),"open")</f>
        <v>ok</v>
      </c>
      <c r="C1905" s="93" t="s">
        <v>369</v>
      </c>
      <c r="D1905" t="s">
        <v>3732</v>
      </c>
      <c r="E1905" s="93" t="s">
        <v>3401</v>
      </c>
      <c r="F1905" s="117" t="s">
        <v>3401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14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>
      <c r="A1906" s="93" t="s">
        <v>3640</v>
      </c>
      <c r="B1906" s="149" t="str">
        <f>IFERROR(VLOOKUP(Proc[[#This Row],[App]],Table2[],3,0),"open")</f>
        <v>ok</v>
      </c>
      <c r="C1906" s="93" t="s">
        <v>369</v>
      </c>
      <c r="D1906" t="s">
        <v>3733</v>
      </c>
      <c r="E1906" s="93" t="s">
        <v>3401</v>
      </c>
      <c r="F1906" s="117" t="s">
        <v>3401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14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>
      <c r="A1907" s="93" t="s">
        <v>3640</v>
      </c>
      <c r="B1907" s="149" t="str">
        <f>IFERROR(VLOOKUP(Proc[[#This Row],[App]],Table2[],3,0),"open")</f>
        <v>ok</v>
      </c>
      <c r="C1907" s="93" t="s">
        <v>369</v>
      </c>
      <c r="D1907" t="s">
        <v>3734</v>
      </c>
      <c r="E1907" s="93" t="s">
        <v>3401</v>
      </c>
      <c r="F1907" s="117" t="s">
        <v>3401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14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>
      <c r="A1908" s="93" t="s">
        <v>3640</v>
      </c>
      <c r="B1908" s="149" t="str">
        <f>IFERROR(VLOOKUP(Proc[[#This Row],[App]],Table2[],3,0),"open")</f>
        <v>ok</v>
      </c>
      <c r="C1908" s="93" t="s">
        <v>369</v>
      </c>
      <c r="D1908" t="s">
        <v>3735</v>
      </c>
      <c r="E1908" s="93" t="s">
        <v>3401</v>
      </c>
      <c r="F1908" s="117" t="s">
        <v>3401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14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>
      <c r="A1909" s="93" t="s">
        <v>3640</v>
      </c>
      <c r="B1909" s="149" t="str">
        <f>IFERROR(VLOOKUP(Proc[[#This Row],[App]],Table2[],3,0),"open")</f>
        <v>ok</v>
      </c>
      <c r="C1909" s="93" t="s">
        <v>369</v>
      </c>
      <c r="D1909" t="s">
        <v>3736</v>
      </c>
      <c r="E1909" s="93" t="s">
        <v>3401</v>
      </c>
      <c r="F1909" s="117" t="s">
        <v>3401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14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>
      <c r="A1910" s="93" t="s">
        <v>3640</v>
      </c>
      <c r="B1910" s="149" t="str">
        <f>IFERROR(VLOOKUP(Proc[[#This Row],[App]],Table2[],3,0),"open")</f>
        <v>ok</v>
      </c>
      <c r="C1910" s="93" t="s">
        <v>369</v>
      </c>
      <c r="D1910" t="s">
        <v>3737</v>
      </c>
      <c r="E1910" s="93" t="s">
        <v>3401</v>
      </c>
      <c r="F1910" s="117" t="s">
        <v>3401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14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>
      <c r="A1911" s="93" t="s">
        <v>3640</v>
      </c>
      <c r="B1911" s="149" t="str">
        <f>IFERROR(VLOOKUP(Proc[[#This Row],[App]],Table2[],3,0),"open")</f>
        <v>ok</v>
      </c>
      <c r="C1911" s="93" t="s">
        <v>369</v>
      </c>
      <c r="D1911" t="s">
        <v>3738</v>
      </c>
      <c r="E1911" s="93" t="s">
        <v>3401</v>
      </c>
      <c r="F1911" s="117" t="s">
        <v>3401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14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>
      <c r="A1912" t="s">
        <v>3747</v>
      </c>
      <c r="B1912" s="149" t="str">
        <f>IFERROR(VLOOKUP(Proc[[#This Row],[App]],Table2[],3,0),"open")</f>
        <v>ok</v>
      </c>
      <c r="C1912" s="93" t="s">
        <v>377</v>
      </c>
      <c r="D1912" t="s">
        <v>4071</v>
      </c>
      <c r="E1912" t="s">
        <v>4066</v>
      </c>
      <c r="F1912" s="103" t="s">
        <v>4066</v>
      </c>
      <c r="G1912" s="93" t="s">
        <v>400</v>
      </c>
      <c r="H1912" s="94" t="str">
        <f>IF(Proc[[#This Row],[type]]="LFF (MDG-F)",MID(Proc[[#This Row],[Obj]],13,10),"")</f>
        <v/>
      </c>
      <c r="I1912" t="s">
        <v>4073</v>
      </c>
      <c r="J1912" s="94" t="b">
        <f>Proc[[#This Row],[Requested]]=Proc[[#This Row],[CurrentParent]]</f>
        <v>1</v>
      </c>
      <c r="K1912" s="14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>
      <c r="A1913" s="93" t="s">
        <v>3747</v>
      </c>
      <c r="B1913" s="149" t="str">
        <f>IFERROR(VLOOKUP(Proc[[#This Row],[App]],Table2[],3,0),"open")</f>
        <v>ok</v>
      </c>
      <c r="C1913" s="93" t="s">
        <v>369</v>
      </c>
      <c r="D1913" t="s">
        <v>3748</v>
      </c>
      <c r="E1913" t="s">
        <v>4067</v>
      </c>
      <c r="F1913" s="117" t="s">
        <v>4067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14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>
      <c r="A1914" s="93" t="s">
        <v>3747</v>
      </c>
      <c r="B1914" s="149" t="str">
        <f>IFERROR(VLOOKUP(Proc[[#This Row],[App]],Table2[],3,0),"open")</f>
        <v>ok</v>
      </c>
      <c r="C1914" s="93" t="s">
        <v>369</v>
      </c>
      <c r="D1914" t="s">
        <v>3749</v>
      </c>
      <c r="E1914" t="s">
        <v>4068</v>
      </c>
      <c r="F1914" s="117" t="s">
        <v>4068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14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>
      <c r="A1915" s="93" t="s">
        <v>3747</v>
      </c>
      <c r="B1915" s="149" t="str">
        <f>IFERROR(VLOOKUP(Proc[[#This Row],[App]],Table2[],3,0),"open")</f>
        <v>ok</v>
      </c>
      <c r="C1915" s="93" t="s">
        <v>369</v>
      </c>
      <c r="D1915" t="s">
        <v>3750</v>
      </c>
      <c r="E1915" t="s">
        <v>4068</v>
      </c>
      <c r="F1915" s="117" t="s">
        <v>4068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14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>
      <c r="A1916" s="93" t="s">
        <v>3747</v>
      </c>
      <c r="B1916" s="149" t="str">
        <f>IFERROR(VLOOKUP(Proc[[#This Row],[App]],Table2[],3,0),"open")</f>
        <v>ok</v>
      </c>
      <c r="C1916" s="93" t="s">
        <v>369</v>
      </c>
      <c r="D1916" t="s">
        <v>3751</v>
      </c>
      <c r="E1916" t="s">
        <v>4068</v>
      </c>
      <c r="F1916" s="117" t="s">
        <v>4068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14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>
      <c r="A1917" s="93" t="s">
        <v>3747</v>
      </c>
      <c r="B1917" s="149" t="str">
        <f>IFERROR(VLOOKUP(Proc[[#This Row],[App]],Table2[],3,0),"open")</f>
        <v>ok</v>
      </c>
      <c r="C1917" s="93" t="s">
        <v>369</v>
      </c>
      <c r="D1917" t="s">
        <v>3752</v>
      </c>
      <c r="E1917" t="s">
        <v>4068</v>
      </c>
      <c r="F1917" s="117" t="s">
        <v>4068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14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>
      <c r="A1918" s="93" t="s">
        <v>3747</v>
      </c>
      <c r="B1918" s="149" t="str">
        <f>IFERROR(VLOOKUP(Proc[[#This Row],[App]],Table2[],3,0),"open")</f>
        <v>ok</v>
      </c>
      <c r="C1918" s="93" t="s">
        <v>369</v>
      </c>
      <c r="D1918" t="s">
        <v>3753</v>
      </c>
      <c r="E1918" t="s">
        <v>4068</v>
      </c>
      <c r="F1918" s="117" t="s">
        <v>4068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14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>
      <c r="A1919" s="93" t="s">
        <v>3747</v>
      </c>
      <c r="B1919" s="149" t="str">
        <f>IFERROR(VLOOKUP(Proc[[#This Row],[App]],Table2[],3,0),"open")</f>
        <v>ok</v>
      </c>
      <c r="C1919" s="93" t="s">
        <v>369</v>
      </c>
      <c r="D1919" t="s">
        <v>3754</v>
      </c>
      <c r="E1919" t="s">
        <v>4068</v>
      </c>
      <c r="F1919" s="117" t="s">
        <v>4068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14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>
      <c r="A1920" s="93" t="s">
        <v>3747</v>
      </c>
      <c r="B1920" s="149" t="str">
        <f>IFERROR(VLOOKUP(Proc[[#This Row],[App]],Table2[],3,0),"open")</f>
        <v>ok</v>
      </c>
      <c r="C1920" s="93" t="s">
        <v>369</v>
      </c>
      <c r="D1920" t="s">
        <v>3755</v>
      </c>
      <c r="E1920" t="s">
        <v>4068</v>
      </c>
      <c r="F1920" s="117" t="s">
        <v>4068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14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>
      <c r="A1921" s="93" t="s">
        <v>3747</v>
      </c>
      <c r="B1921" s="149" t="str">
        <f>IFERROR(VLOOKUP(Proc[[#This Row],[App]],Table2[],3,0),"open")</f>
        <v>ok</v>
      </c>
      <c r="C1921" s="93" t="s">
        <v>369</v>
      </c>
      <c r="D1921" t="s">
        <v>3756</v>
      </c>
      <c r="E1921" t="s">
        <v>4068</v>
      </c>
      <c r="F1921" s="117" t="s">
        <v>4068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14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>
      <c r="A1922" s="93" t="s">
        <v>3747</v>
      </c>
      <c r="B1922" s="149" t="str">
        <f>IFERROR(VLOOKUP(Proc[[#This Row],[App]],Table2[],3,0),"open")</f>
        <v>ok</v>
      </c>
      <c r="C1922" s="93" t="s">
        <v>369</v>
      </c>
      <c r="D1922" t="s">
        <v>3757</v>
      </c>
      <c r="E1922" t="s">
        <v>4068</v>
      </c>
      <c r="F1922" s="117" t="s">
        <v>4068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14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>
      <c r="A1923" s="93" t="s">
        <v>3747</v>
      </c>
      <c r="B1923" s="149" t="str">
        <f>IFERROR(VLOOKUP(Proc[[#This Row],[App]],Table2[],3,0),"open")</f>
        <v>ok</v>
      </c>
      <c r="C1923" s="93" t="s">
        <v>369</v>
      </c>
      <c r="D1923" t="s">
        <v>3758</v>
      </c>
      <c r="E1923" t="s">
        <v>4068</v>
      </c>
      <c r="F1923" s="117" t="s">
        <v>4068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14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>
      <c r="A1924" s="93" t="s">
        <v>3747</v>
      </c>
      <c r="B1924" s="149" t="str">
        <f>IFERROR(VLOOKUP(Proc[[#This Row],[App]],Table2[],3,0),"open")</f>
        <v>ok</v>
      </c>
      <c r="C1924" s="93" t="s">
        <v>369</v>
      </c>
      <c r="D1924" t="s">
        <v>3759</v>
      </c>
      <c r="E1924" t="s">
        <v>4068</v>
      </c>
      <c r="F1924" s="117" t="s">
        <v>4068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14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>
      <c r="A1925" s="93" t="s">
        <v>3747</v>
      </c>
      <c r="B1925" s="149" t="str">
        <f>IFERROR(VLOOKUP(Proc[[#This Row],[App]],Table2[],3,0),"open")</f>
        <v>ok</v>
      </c>
      <c r="C1925" s="93" t="s">
        <v>369</v>
      </c>
      <c r="D1925" t="s">
        <v>3760</v>
      </c>
      <c r="E1925" t="s">
        <v>4068</v>
      </c>
      <c r="F1925" s="117" t="s">
        <v>4068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14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>
      <c r="A1926" s="93" t="s">
        <v>3747</v>
      </c>
      <c r="B1926" s="149" t="str">
        <f>IFERROR(VLOOKUP(Proc[[#This Row],[App]],Table2[],3,0),"open")</f>
        <v>ok</v>
      </c>
      <c r="C1926" s="93" t="s">
        <v>369</v>
      </c>
      <c r="D1926" t="s">
        <v>3761</v>
      </c>
      <c r="E1926" t="s">
        <v>4068</v>
      </c>
      <c r="F1926" s="117" t="s">
        <v>4068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14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>
      <c r="A1927" s="93" t="s">
        <v>3747</v>
      </c>
      <c r="B1927" s="149" t="str">
        <f>IFERROR(VLOOKUP(Proc[[#This Row],[App]],Table2[],3,0),"open")</f>
        <v>ok</v>
      </c>
      <c r="C1927" s="93" t="s">
        <v>369</v>
      </c>
      <c r="D1927" t="s">
        <v>3762</v>
      </c>
      <c r="E1927" t="s">
        <v>4068</v>
      </c>
      <c r="F1927" s="117" t="s">
        <v>4068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14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>
      <c r="A1928" s="93" t="s">
        <v>3747</v>
      </c>
      <c r="B1928" s="149" t="str">
        <f>IFERROR(VLOOKUP(Proc[[#This Row],[App]],Table2[],3,0),"open")</f>
        <v>ok</v>
      </c>
      <c r="C1928" s="93" t="s">
        <v>369</v>
      </c>
      <c r="D1928" t="s">
        <v>3763</v>
      </c>
      <c r="E1928" t="s">
        <v>4068</v>
      </c>
      <c r="F1928" s="117" t="s">
        <v>4068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14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>
      <c r="A1929" s="93" t="s">
        <v>3747</v>
      </c>
      <c r="B1929" s="149" t="str">
        <f>IFERROR(VLOOKUP(Proc[[#This Row],[App]],Table2[],3,0),"open")</f>
        <v>ok</v>
      </c>
      <c r="C1929" s="93" t="s">
        <v>369</v>
      </c>
      <c r="D1929" t="s">
        <v>3764</v>
      </c>
      <c r="E1929" t="s">
        <v>4068</v>
      </c>
      <c r="F1929" s="117" t="s">
        <v>4068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14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>
      <c r="A1930" s="93" t="s">
        <v>3747</v>
      </c>
      <c r="B1930" s="149" t="str">
        <f>IFERROR(VLOOKUP(Proc[[#This Row],[App]],Table2[],3,0),"open")</f>
        <v>ok</v>
      </c>
      <c r="C1930" s="93" t="s">
        <v>369</v>
      </c>
      <c r="D1930" t="s">
        <v>3765</v>
      </c>
      <c r="E1930" t="s">
        <v>4068</v>
      </c>
      <c r="F1930" s="117" t="s">
        <v>4068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14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>
      <c r="A1931" s="93" t="s">
        <v>3747</v>
      </c>
      <c r="B1931" s="149" t="str">
        <f>IFERROR(VLOOKUP(Proc[[#This Row],[App]],Table2[],3,0),"open")</f>
        <v>ok</v>
      </c>
      <c r="C1931" s="93" t="s">
        <v>369</v>
      </c>
      <c r="D1931" t="s">
        <v>3766</v>
      </c>
      <c r="E1931" t="s">
        <v>4068</v>
      </c>
      <c r="F1931" s="117" t="s">
        <v>4068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14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>
      <c r="A1932" s="93" t="s">
        <v>3747</v>
      </c>
      <c r="B1932" s="149" t="str">
        <f>IFERROR(VLOOKUP(Proc[[#This Row],[App]],Table2[],3,0),"open")</f>
        <v>ok</v>
      </c>
      <c r="C1932" s="93" t="s">
        <v>369</v>
      </c>
      <c r="D1932" t="s">
        <v>3767</v>
      </c>
      <c r="E1932" t="s">
        <v>4068</v>
      </c>
      <c r="F1932" s="117" t="s">
        <v>4068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14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>
      <c r="A1933" s="93" t="s">
        <v>3747</v>
      </c>
      <c r="B1933" s="149" t="str">
        <f>IFERROR(VLOOKUP(Proc[[#This Row],[App]],Table2[],3,0),"open")</f>
        <v>ok</v>
      </c>
      <c r="C1933" s="93" t="s">
        <v>369</v>
      </c>
      <c r="D1933" t="s">
        <v>3768</v>
      </c>
      <c r="E1933" t="s">
        <v>4068</v>
      </c>
      <c r="F1933" s="117" t="s">
        <v>4068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14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>
      <c r="A1934" s="93" t="s">
        <v>3747</v>
      </c>
      <c r="B1934" s="149" t="str">
        <f>IFERROR(VLOOKUP(Proc[[#This Row],[App]],Table2[],3,0),"open")</f>
        <v>ok</v>
      </c>
      <c r="C1934" s="93" t="s">
        <v>369</v>
      </c>
      <c r="D1934" t="s">
        <v>3769</v>
      </c>
      <c r="E1934" t="s">
        <v>4068</v>
      </c>
      <c r="F1934" s="117" t="s">
        <v>4068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14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>
      <c r="A1935" s="93" t="s">
        <v>3747</v>
      </c>
      <c r="B1935" s="149" t="str">
        <f>IFERROR(VLOOKUP(Proc[[#This Row],[App]],Table2[],3,0),"open")</f>
        <v>ok</v>
      </c>
      <c r="C1935" s="93" t="s">
        <v>369</v>
      </c>
      <c r="D1935" t="s">
        <v>3770</v>
      </c>
      <c r="E1935" t="s">
        <v>4068</v>
      </c>
      <c r="F1935" s="117" t="s">
        <v>4068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14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>
      <c r="A1936" s="93" t="s">
        <v>3747</v>
      </c>
      <c r="B1936" s="149" t="str">
        <f>IFERROR(VLOOKUP(Proc[[#This Row],[App]],Table2[],3,0),"open")</f>
        <v>ok</v>
      </c>
      <c r="C1936" s="93" t="s">
        <v>369</v>
      </c>
      <c r="D1936" t="s">
        <v>3771</v>
      </c>
      <c r="E1936" t="s">
        <v>4068</v>
      </c>
      <c r="F1936" s="117" t="s">
        <v>4068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14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>
      <c r="A1937" s="93" t="s">
        <v>3747</v>
      </c>
      <c r="B1937" s="149" t="str">
        <f>IFERROR(VLOOKUP(Proc[[#This Row],[App]],Table2[],3,0),"open")</f>
        <v>ok</v>
      </c>
      <c r="C1937" s="93" t="s">
        <v>369</v>
      </c>
      <c r="D1937" t="s">
        <v>3772</v>
      </c>
      <c r="E1937" t="s">
        <v>4068</v>
      </c>
      <c r="F1937" s="117" t="s">
        <v>4068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14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>
      <c r="A1938" s="93" t="s">
        <v>3747</v>
      </c>
      <c r="B1938" s="149" t="str">
        <f>IFERROR(VLOOKUP(Proc[[#This Row],[App]],Table2[],3,0),"open")</f>
        <v>ok</v>
      </c>
      <c r="C1938" s="93" t="s">
        <v>369</v>
      </c>
      <c r="D1938" t="s">
        <v>3773</v>
      </c>
      <c r="E1938" t="s">
        <v>4068</v>
      </c>
      <c r="F1938" s="117" t="s">
        <v>4068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14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>
      <c r="A1939" s="93" t="s">
        <v>3747</v>
      </c>
      <c r="B1939" s="149" t="str">
        <f>IFERROR(VLOOKUP(Proc[[#This Row],[App]],Table2[],3,0),"open")</f>
        <v>ok</v>
      </c>
      <c r="C1939" s="93" t="s">
        <v>369</v>
      </c>
      <c r="D1939" t="s">
        <v>3774</v>
      </c>
      <c r="E1939" t="s">
        <v>4068</v>
      </c>
      <c r="F1939" s="117" t="s">
        <v>4068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14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>
      <c r="A1940" s="93" t="s">
        <v>3747</v>
      </c>
      <c r="B1940" s="149" t="str">
        <f>IFERROR(VLOOKUP(Proc[[#This Row],[App]],Table2[],3,0),"open")</f>
        <v>ok</v>
      </c>
      <c r="C1940" s="93" t="s">
        <v>369</v>
      </c>
      <c r="D1940" t="s">
        <v>3775</v>
      </c>
      <c r="E1940" t="s">
        <v>4068</v>
      </c>
      <c r="F1940" s="117" t="s">
        <v>4068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14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>
      <c r="A1941" s="93" t="s">
        <v>3747</v>
      </c>
      <c r="B1941" s="149" t="str">
        <f>IFERROR(VLOOKUP(Proc[[#This Row],[App]],Table2[],3,0),"open")</f>
        <v>ok</v>
      </c>
      <c r="C1941" s="93" t="s">
        <v>369</v>
      </c>
      <c r="D1941" t="s">
        <v>3776</v>
      </c>
      <c r="E1941" t="s">
        <v>4068</v>
      </c>
      <c r="F1941" s="117" t="s">
        <v>4068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14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>
      <c r="A1942" s="93" t="s">
        <v>3747</v>
      </c>
      <c r="B1942" s="149" t="str">
        <f>IFERROR(VLOOKUP(Proc[[#This Row],[App]],Table2[],3,0),"open")</f>
        <v>ok</v>
      </c>
      <c r="C1942" s="93" t="s">
        <v>369</v>
      </c>
      <c r="D1942" t="s">
        <v>3777</v>
      </c>
      <c r="E1942" t="s">
        <v>4068</v>
      </c>
      <c r="F1942" s="117" t="s">
        <v>4068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14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>
      <c r="A1943" s="93" t="s">
        <v>3747</v>
      </c>
      <c r="B1943" s="149" t="str">
        <f>IFERROR(VLOOKUP(Proc[[#This Row],[App]],Table2[],3,0),"open")</f>
        <v>ok</v>
      </c>
      <c r="C1943" s="93" t="s">
        <v>369</v>
      </c>
      <c r="D1943" t="s">
        <v>3778</v>
      </c>
      <c r="E1943" t="s">
        <v>4068</v>
      </c>
      <c r="F1943" s="117" t="s">
        <v>4068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14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>
      <c r="A1944" s="93" t="s">
        <v>3747</v>
      </c>
      <c r="B1944" s="149" t="str">
        <f>IFERROR(VLOOKUP(Proc[[#This Row],[App]],Table2[],3,0),"open")</f>
        <v>ok</v>
      </c>
      <c r="C1944" s="93" t="s">
        <v>369</v>
      </c>
      <c r="D1944" t="s">
        <v>3779</v>
      </c>
      <c r="E1944" t="s">
        <v>4068</v>
      </c>
      <c r="F1944" s="117" t="s">
        <v>4068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14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>
      <c r="A1945" s="93" t="s">
        <v>3747</v>
      </c>
      <c r="B1945" s="149" t="str">
        <f>IFERROR(VLOOKUP(Proc[[#This Row],[App]],Table2[],3,0),"open")</f>
        <v>ok</v>
      </c>
      <c r="C1945" s="93" t="s">
        <v>369</v>
      </c>
      <c r="D1945" t="s">
        <v>3780</v>
      </c>
      <c r="E1945" t="s">
        <v>4068</v>
      </c>
      <c r="F1945" s="117" t="s">
        <v>4068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14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>
      <c r="A1946" s="93" t="s">
        <v>3747</v>
      </c>
      <c r="B1946" s="149" t="str">
        <f>IFERROR(VLOOKUP(Proc[[#This Row],[App]],Table2[],3,0),"open")</f>
        <v>ok</v>
      </c>
      <c r="C1946" s="93" t="s">
        <v>369</v>
      </c>
      <c r="D1946" t="s">
        <v>3781</v>
      </c>
      <c r="E1946" t="s">
        <v>4068</v>
      </c>
      <c r="F1946" s="117" t="s">
        <v>4068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14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>
      <c r="A1947" s="93" t="s">
        <v>3747</v>
      </c>
      <c r="B1947" s="149" t="str">
        <f>IFERROR(VLOOKUP(Proc[[#This Row],[App]],Table2[],3,0),"open")</f>
        <v>ok</v>
      </c>
      <c r="C1947" s="93" t="s">
        <v>369</v>
      </c>
      <c r="D1947" t="s">
        <v>3782</v>
      </c>
      <c r="E1947" t="s">
        <v>4068</v>
      </c>
      <c r="F1947" s="117" t="s">
        <v>4068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14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>
      <c r="A1948" s="93" t="s">
        <v>3747</v>
      </c>
      <c r="B1948" s="149" t="str">
        <f>IFERROR(VLOOKUP(Proc[[#This Row],[App]],Table2[],3,0),"open")</f>
        <v>ok</v>
      </c>
      <c r="C1948" s="93" t="s">
        <v>369</v>
      </c>
      <c r="D1948" t="s">
        <v>3783</v>
      </c>
      <c r="E1948" t="s">
        <v>4068</v>
      </c>
      <c r="F1948" s="117" t="s">
        <v>4068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14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>
      <c r="A1949" s="93" t="s">
        <v>3747</v>
      </c>
      <c r="B1949" s="149" t="str">
        <f>IFERROR(VLOOKUP(Proc[[#This Row],[App]],Table2[],3,0),"open")</f>
        <v>ok</v>
      </c>
      <c r="C1949" s="93" t="s">
        <v>369</v>
      </c>
      <c r="D1949" t="s">
        <v>3784</v>
      </c>
      <c r="E1949" t="s">
        <v>4068</v>
      </c>
      <c r="F1949" s="117" t="s">
        <v>4068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14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>
      <c r="A1950" s="93" t="s">
        <v>3747</v>
      </c>
      <c r="B1950" s="149" t="str">
        <f>IFERROR(VLOOKUP(Proc[[#This Row],[App]],Table2[],3,0),"open")</f>
        <v>ok</v>
      </c>
      <c r="C1950" s="93" t="s">
        <v>369</v>
      </c>
      <c r="D1950" t="s">
        <v>3785</v>
      </c>
      <c r="E1950" t="s">
        <v>4068</v>
      </c>
      <c r="F1950" s="117" t="s">
        <v>4068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14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>
      <c r="A1951" s="93" t="s">
        <v>3747</v>
      </c>
      <c r="B1951" s="149" t="str">
        <f>IFERROR(VLOOKUP(Proc[[#This Row],[App]],Table2[],3,0),"open")</f>
        <v>ok</v>
      </c>
      <c r="C1951" s="93" t="s">
        <v>369</v>
      </c>
      <c r="D1951" t="s">
        <v>3786</v>
      </c>
      <c r="E1951" t="s">
        <v>4068</v>
      </c>
      <c r="F1951" s="117" t="s">
        <v>4068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14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>
      <c r="A1952" s="93" t="s">
        <v>3747</v>
      </c>
      <c r="B1952" s="149" t="str">
        <f>IFERROR(VLOOKUP(Proc[[#This Row],[App]],Table2[],3,0),"open")</f>
        <v>ok</v>
      </c>
      <c r="C1952" s="93" t="s">
        <v>369</v>
      </c>
      <c r="D1952" t="s">
        <v>3787</v>
      </c>
      <c r="E1952" t="s">
        <v>4068</v>
      </c>
      <c r="F1952" s="117" t="s">
        <v>4068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14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>
      <c r="A1953" s="93" t="s">
        <v>3747</v>
      </c>
      <c r="B1953" s="149" t="str">
        <f>IFERROR(VLOOKUP(Proc[[#This Row],[App]],Table2[],3,0),"open")</f>
        <v>ok</v>
      </c>
      <c r="C1953" s="93" t="s">
        <v>369</v>
      </c>
      <c r="D1953" t="s">
        <v>3788</v>
      </c>
      <c r="E1953" t="s">
        <v>4068</v>
      </c>
      <c r="F1953" s="117" t="s">
        <v>4068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14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>
      <c r="A1954" s="93" t="s">
        <v>3747</v>
      </c>
      <c r="B1954" s="149" t="str">
        <f>IFERROR(VLOOKUP(Proc[[#This Row],[App]],Table2[],3,0),"open")</f>
        <v>ok</v>
      </c>
      <c r="C1954" s="93" t="s">
        <v>369</v>
      </c>
      <c r="D1954" t="s">
        <v>3789</v>
      </c>
      <c r="E1954" t="s">
        <v>4068</v>
      </c>
      <c r="F1954" s="117" t="s">
        <v>4068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14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>
      <c r="A1955" s="93" t="s">
        <v>3747</v>
      </c>
      <c r="B1955" s="149" t="str">
        <f>IFERROR(VLOOKUP(Proc[[#This Row],[App]],Table2[],3,0),"open")</f>
        <v>ok</v>
      </c>
      <c r="C1955" s="93" t="s">
        <v>369</v>
      </c>
      <c r="D1955" t="s">
        <v>3790</v>
      </c>
      <c r="E1955" t="s">
        <v>4068</v>
      </c>
      <c r="F1955" s="117" t="s">
        <v>4068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14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>
      <c r="A1956" s="93" t="s">
        <v>3747</v>
      </c>
      <c r="B1956" s="149" t="str">
        <f>IFERROR(VLOOKUP(Proc[[#This Row],[App]],Table2[],3,0),"open")</f>
        <v>ok</v>
      </c>
      <c r="C1956" s="93" t="s">
        <v>369</v>
      </c>
      <c r="D1956" t="s">
        <v>3791</v>
      </c>
      <c r="E1956" t="s">
        <v>4068</v>
      </c>
      <c r="F1956" s="117" t="s">
        <v>4068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14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>
      <c r="A1957" s="93" t="s">
        <v>3747</v>
      </c>
      <c r="B1957" s="149" t="str">
        <f>IFERROR(VLOOKUP(Proc[[#This Row],[App]],Table2[],3,0),"open")</f>
        <v>ok</v>
      </c>
      <c r="C1957" s="93" t="s">
        <v>369</v>
      </c>
      <c r="D1957" t="s">
        <v>3792</v>
      </c>
      <c r="E1957" t="s">
        <v>4068</v>
      </c>
      <c r="F1957" s="117" t="s">
        <v>4068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14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>
      <c r="A1958" s="93" t="s">
        <v>3747</v>
      </c>
      <c r="B1958" s="149" t="str">
        <f>IFERROR(VLOOKUP(Proc[[#This Row],[App]],Table2[],3,0),"open")</f>
        <v>ok</v>
      </c>
      <c r="C1958" s="93" t="s">
        <v>369</v>
      </c>
      <c r="D1958" t="s">
        <v>3793</v>
      </c>
      <c r="E1958" t="s">
        <v>4068</v>
      </c>
      <c r="F1958" s="117" t="s">
        <v>4068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14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>
      <c r="A1959" s="93" t="s">
        <v>3747</v>
      </c>
      <c r="B1959" s="149" t="str">
        <f>IFERROR(VLOOKUP(Proc[[#This Row],[App]],Table2[],3,0),"open")</f>
        <v>ok</v>
      </c>
      <c r="C1959" s="93" t="s">
        <v>369</v>
      </c>
      <c r="D1959" t="s">
        <v>3794</v>
      </c>
      <c r="E1959" t="s">
        <v>4068</v>
      </c>
      <c r="F1959" s="117" t="s">
        <v>4068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14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>
      <c r="A1960" s="93" t="s">
        <v>3747</v>
      </c>
      <c r="B1960" s="149" t="str">
        <f>IFERROR(VLOOKUP(Proc[[#This Row],[App]],Table2[],3,0),"open")</f>
        <v>ok</v>
      </c>
      <c r="C1960" s="93" t="s">
        <v>369</v>
      </c>
      <c r="D1960" t="s">
        <v>3795</v>
      </c>
      <c r="E1960" t="s">
        <v>4068</v>
      </c>
      <c r="F1960" s="117" t="s">
        <v>4068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14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>
      <c r="A1961" s="93" t="s">
        <v>3747</v>
      </c>
      <c r="B1961" s="149" t="str">
        <f>IFERROR(VLOOKUP(Proc[[#This Row],[App]],Table2[],3,0),"open")</f>
        <v>ok</v>
      </c>
      <c r="C1961" s="93" t="s">
        <v>369</v>
      </c>
      <c r="D1961" t="s">
        <v>3796</v>
      </c>
      <c r="E1961" t="s">
        <v>4066</v>
      </c>
      <c r="F1961" s="117" t="s">
        <v>4066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14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>
      <c r="A1962" s="93" t="s">
        <v>3747</v>
      </c>
      <c r="B1962" s="149" t="str">
        <f>IFERROR(VLOOKUP(Proc[[#This Row],[App]],Table2[],3,0),"open")</f>
        <v>ok</v>
      </c>
      <c r="C1962" s="93" t="s">
        <v>369</v>
      </c>
      <c r="D1962" t="s">
        <v>3797</v>
      </c>
      <c r="E1962" t="s">
        <v>4067</v>
      </c>
      <c r="F1962" s="117" t="s">
        <v>4067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14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>
      <c r="A1963" s="93" t="s">
        <v>3747</v>
      </c>
      <c r="B1963" s="149" t="str">
        <f>IFERROR(VLOOKUP(Proc[[#This Row],[App]],Table2[],3,0),"open")</f>
        <v>ok</v>
      </c>
      <c r="C1963" s="93" t="s">
        <v>369</v>
      </c>
      <c r="D1963" t="s">
        <v>3798</v>
      </c>
      <c r="E1963" t="s">
        <v>4068</v>
      </c>
      <c r="F1963" s="117" t="s">
        <v>4068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14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>
      <c r="A1964" s="93" t="s">
        <v>3747</v>
      </c>
      <c r="B1964" s="149" t="str">
        <f>IFERROR(VLOOKUP(Proc[[#This Row],[App]],Table2[],3,0),"open")</f>
        <v>ok</v>
      </c>
      <c r="C1964" s="93" t="s">
        <v>369</v>
      </c>
      <c r="D1964" t="s">
        <v>3799</v>
      </c>
      <c r="E1964" t="s">
        <v>4068</v>
      </c>
      <c r="F1964" s="117" t="s">
        <v>4068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14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>
      <c r="A1965" s="93" t="s">
        <v>3747</v>
      </c>
      <c r="B1965" s="149" t="str">
        <f>IFERROR(VLOOKUP(Proc[[#This Row],[App]],Table2[],3,0),"open")</f>
        <v>ok</v>
      </c>
      <c r="C1965" s="93" t="s">
        <v>369</v>
      </c>
      <c r="D1965" t="s">
        <v>3800</v>
      </c>
      <c r="E1965" t="s">
        <v>4068</v>
      </c>
      <c r="F1965" s="117" t="s">
        <v>4068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14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>
      <c r="A1966" s="93" t="s">
        <v>3747</v>
      </c>
      <c r="B1966" s="149" t="str">
        <f>IFERROR(VLOOKUP(Proc[[#This Row],[App]],Table2[],3,0),"open")</f>
        <v>ok</v>
      </c>
      <c r="C1966" s="93" t="s">
        <v>369</v>
      </c>
      <c r="D1966" t="s">
        <v>3801</v>
      </c>
      <c r="E1966" t="s">
        <v>4068</v>
      </c>
      <c r="F1966" s="117" t="s">
        <v>4068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14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>
      <c r="A1967" s="93" t="s">
        <v>3747</v>
      </c>
      <c r="B1967" s="149" t="str">
        <f>IFERROR(VLOOKUP(Proc[[#This Row],[App]],Table2[],3,0),"open")</f>
        <v>ok</v>
      </c>
      <c r="C1967" s="93" t="s">
        <v>369</v>
      </c>
      <c r="D1967" t="s">
        <v>3802</v>
      </c>
      <c r="E1967" t="s">
        <v>4068</v>
      </c>
      <c r="F1967" s="117" t="s">
        <v>4068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14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>
      <c r="A1968" s="93" t="s">
        <v>3747</v>
      </c>
      <c r="B1968" s="149" t="str">
        <f>IFERROR(VLOOKUP(Proc[[#This Row],[App]],Table2[],3,0),"open")</f>
        <v>ok</v>
      </c>
      <c r="C1968" s="93" t="s">
        <v>369</v>
      </c>
      <c r="D1968" t="s">
        <v>3803</v>
      </c>
      <c r="E1968" t="s">
        <v>4068</v>
      </c>
      <c r="F1968" s="117" t="s">
        <v>4068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14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>
      <c r="A1969" s="93" t="s">
        <v>3747</v>
      </c>
      <c r="B1969" s="149" t="str">
        <f>IFERROR(VLOOKUP(Proc[[#This Row],[App]],Table2[],3,0),"open")</f>
        <v>ok</v>
      </c>
      <c r="C1969" s="93" t="s">
        <v>369</v>
      </c>
      <c r="D1969" t="s">
        <v>3804</v>
      </c>
      <c r="E1969" t="s">
        <v>4068</v>
      </c>
      <c r="F1969" s="117" t="s">
        <v>4068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14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>
      <c r="A1970" s="93" t="s">
        <v>3747</v>
      </c>
      <c r="B1970" s="149" t="str">
        <f>IFERROR(VLOOKUP(Proc[[#This Row],[App]],Table2[],3,0),"open")</f>
        <v>ok</v>
      </c>
      <c r="C1970" s="93" t="s">
        <v>369</v>
      </c>
      <c r="D1970" t="s">
        <v>3805</v>
      </c>
      <c r="E1970" t="s">
        <v>4068</v>
      </c>
      <c r="F1970" s="117" t="s">
        <v>4068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14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>
      <c r="A1971" s="93" t="s">
        <v>3747</v>
      </c>
      <c r="B1971" s="149" t="str">
        <f>IFERROR(VLOOKUP(Proc[[#This Row],[App]],Table2[],3,0),"open")</f>
        <v>ok</v>
      </c>
      <c r="C1971" s="93" t="s">
        <v>369</v>
      </c>
      <c r="D1971" t="s">
        <v>3806</v>
      </c>
      <c r="E1971" t="s">
        <v>4068</v>
      </c>
      <c r="F1971" s="117" t="s">
        <v>4068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14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>
      <c r="A1972" s="93" t="s">
        <v>3747</v>
      </c>
      <c r="B1972" s="149" t="str">
        <f>IFERROR(VLOOKUP(Proc[[#This Row],[App]],Table2[],3,0),"open")</f>
        <v>ok</v>
      </c>
      <c r="C1972" s="93" t="s">
        <v>369</v>
      </c>
      <c r="D1972" t="s">
        <v>3807</v>
      </c>
      <c r="E1972" t="s">
        <v>4068</v>
      </c>
      <c r="F1972" s="117" t="s">
        <v>4068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14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>
      <c r="A1973" s="93" t="s">
        <v>3747</v>
      </c>
      <c r="B1973" s="149" t="str">
        <f>IFERROR(VLOOKUP(Proc[[#This Row],[App]],Table2[],3,0),"open")</f>
        <v>ok</v>
      </c>
      <c r="C1973" s="93" t="s">
        <v>369</v>
      </c>
      <c r="D1973" t="s">
        <v>3808</v>
      </c>
      <c r="E1973" t="s">
        <v>4068</v>
      </c>
      <c r="F1973" s="117" t="s">
        <v>4068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14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>
      <c r="A1974" s="93" t="s">
        <v>3747</v>
      </c>
      <c r="B1974" s="149" t="str">
        <f>IFERROR(VLOOKUP(Proc[[#This Row],[App]],Table2[],3,0),"open")</f>
        <v>ok</v>
      </c>
      <c r="C1974" s="93" t="s">
        <v>369</v>
      </c>
      <c r="D1974" t="s">
        <v>3809</v>
      </c>
      <c r="E1974" t="s">
        <v>4068</v>
      </c>
      <c r="F1974" s="117" t="s">
        <v>4068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14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>
      <c r="A1975" s="93" t="s">
        <v>3747</v>
      </c>
      <c r="B1975" s="149" t="str">
        <f>IFERROR(VLOOKUP(Proc[[#This Row],[App]],Table2[],3,0),"open")</f>
        <v>ok</v>
      </c>
      <c r="C1975" s="93" t="s">
        <v>369</v>
      </c>
      <c r="D1975" t="s">
        <v>3810</v>
      </c>
      <c r="E1975" t="s">
        <v>4068</v>
      </c>
      <c r="F1975" s="117" t="s">
        <v>4068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14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>
      <c r="A1976" s="93" t="s">
        <v>3747</v>
      </c>
      <c r="B1976" s="149" t="str">
        <f>IFERROR(VLOOKUP(Proc[[#This Row],[App]],Table2[],3,0),"open")</f>
        <v>ok</v>
      </c>
      <c r="C1976" s="93" t="s">
        <v>369</v>
      </c>
      <c r="D1976" t="s">
        <v>3811</v>
      </c>
      <c r="E1976" t="s">
        <v>4068</v>
      </c>
      <c r="F1976" s="117" t="s">
        <v>4068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14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>
      <c r="A1977" s="93" t="s">
        <v>3747</v>
      </c>
      <c r="B1977" s="149" t="str">
        <f>IFERROR(VLOOKUP(Proc[[#This Row],[App]],Table2[],3,0),"open")</f>
        <v>ok</v>
      </c>
      <c r="C1977" s="93" t="s">
        <v>369</v>
      </c>
      <c r="D1977" t="s">
        <v>3812</v>
      </c>
      <c r="E1977" t="s">
        <v>4068</v>
      </c>
      <c r="F1977" s="117" t="s">
        <v>4068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14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>
      <c r="A1978" s="93" t="s">
        <v>3747</v>
      </c>
      <c r="B1978" s="149" t="str">
        <f>IFERROR(VLOOKUP(Proc[[#This Row],[App]],Table2[],3,0),"open")</f>
        <v>ok</v>
      </c>
      <c r="C1978" s="93" t="s">
        <v>369</v>
      </c>
      <c r="D1978" t="s">
        <v>3813</v>
      </c>
      <c r="E1978" t="s">
        <v>4068</v>
      </c>
      <c r="F1978" s="117" t="s">
        <v>4068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14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>
      <c r="A1979" s="93" t="s">
        <v>3747</v>
      </c>
      <c r="B1979" s="149" t="str">
        <f>IFERROR(VLOOKUP(Proc[[#This Row],[App]],Table2[],3,0),"open")</f>
        <v>ok</v>
      </c>
      <c r="C1979" s="93" t="s">
        <v>369</v>
      </c>
      <c r="D1979" t="s">
        <v>3814</v>
      </c>
      <c r="E1979" t="s">
        <v>4068</v>
      </c>
      <c r="F1979" s="117" t="s">
        <v>4068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14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>
      <c r="A1980" s="93" t="s">
        <v>3747</v>
      </c>
      <c r="B1980" s="149" t="str">
        <f>IFERROR(VLOOKUP(Proc[[#This Row],[App]],Table2[],3,0),"open")</f>
        <v>ok</v>
      </c>
      <c r="C1980" s="93" t="s">
        <v>369</v>
      </c>
      <c r="D1980" t="s">
        <v>3815</v>
      </c>
      <c r="E1980" t="s">
        <v>4068</v>
      </c>
      <c r="F1980" s="117" t="s">
        <v>4068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14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>
      <c r="A1981" s="93" t="s">
        <v>3747</v>
      </c>
      <c r="B1981" s="149" t="str">
        <f>IFERROR(VLOOKUP(Proc[[#This Row],[App]],Table2[],3,0),"open")</f>
        <v>ok</v>
      </c>
      <c r="C1981" s="93" t="s">
        <v>369</v>
      </c>
      <c r="D1981" t="s">
        <v>3816</v>
      </c>
      <c r="E1981" t="s">
        <v>4068</v>
      </c>
      <c r="F1981" s="117" t="s">
        <v>4068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14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>
      <c r="A1982" s="93" t="s">
        <v>3747</v>
      </c>
      <c r="B1982" s="149" t="str">
        <f>IFERROR(VLOOKUP(Proc[[#This Row],[App]],Table2[],3,0),"open")</f>
        <v>ok</v>
      </c>
      <c r="C1982" s="93" t="s">
        <v>369</v>
      </c>
      <c r="D1982" t="s">
        <v>3817</v>
      </c>
      <c r="E1982" t="s">
        <v>4068</v>
      </c>
      <c r="F1982" s="117" t="s">
        <v>4068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14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>
      <c r="A1983" s="93" t="s">
        <v>3747</v>
      </c>
      <c r="B1983" s="149" t="str">
        <f>IFERROR(VLOOKUP(Proc[[#This Row],[App]],Table2[],3,0),"open")</f>
        <v>ok</v>
      </c>
      <c r="C1983" s="93" t="s">
        <v>369</v>
      </c>
      <c r="D1983" t="s">
        <v>3818</v>
      </c>
      <c r="E1983" t="s">
        <v>4068</v>
      </c>
      <c r="F1983" s="117" t="s">
        <v>4068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14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>
      <c r="A1984" s="93" t="s">
        <v>3747</v>
      </c>
      <c r="B1984" s="149" t="str">
        <f>IFERROR(VLOOKUP(Proc[[#This Row],[App]],Table2[],3,0),"open")</f>
        <v>ok</v>
      </c>
      <c r="C1984" s="93" t="s">
        <v>369</v>
      </c>
      <c r="D1984" t="s">
        <v>3819</v>
      </c>
      <c r="E1984" t="s">
        <v>4068</v>
      </c>
      <c r="F1984" s="117" t="s">
        <v>4068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14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>
      <c r="A1985" s="93" t="s">
        <v>3747</v>
      </c>
      <c r="B1985" s="149" t="str">
        <f>IFERROR(VLOOKUP(Proc[[#This Row],[App]],Table2[],3,0),"open")</f>
        <v>ok</v>
      </c>
      <c r="C1985" s="93" t="s">
        <v>369</v>
      </c>
      <c r="D1985" t="s">
        <v>3820</v>
      </c>
      <c r="E1985" t="s">
        <v>4068</v>
      </c>
      <c r="F1985" s="117" t="s">
        <v>4068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14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>
      <c r="A1986" s="93" t="s">
        <v>3747</v>
      </c>
      <c r="B1986" s="149" t="str">
        <f>IFERROR(VLOOKUP(Proc[[#This Row],[App]],Table2[],3,0),"open")</f>
        <v>ok</v>
      </c>
      <c r="C1986" s="93" t="s">
        <v>369</v>
      </c>
      <c r="D1986" t="s">
        <v>3821</v>
      </c>
      <c r="E1986" t="s">
        <v>4068</v>
      </c>
      <c r="F1986" s="117" t="s">
        <v>4068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14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>
      <c r="A1987" s="93" t="s">
        <v>3747</v>
      </c>
      <c r="B1987" s="149" t="str">
        <f>IFERROR(VLOOKUP(Proc[[#This Row],[App]],Table2[],3,0),"open")</f>
        <v>ok</v>
      </c>
      <c r="C1987" s="93" t="s">
        <v>369</v>
      </c>
      <c r="D1987" t="s">
        <v>3822</v>
      </c>
      <c r="E1987" t="s">
        <v>4068</v>
      </c>
      <c r="F1987" s="117" t="s">
        <v>4068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14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>
      <c r="A1988" s="93" t="s">
        <v>3747</v>
      </c>
      <c r="B1988" s="149" t="str">
        <f>IFERROR(VLOOKUP(Proc[[#This Row],[App]],Table2[],3,0),"open")</f>
        <v>ok</v>
      </c>
      <c r="C1988" s="93" t="s">
        <v>369</v>
      </c>
      <c r="D1988" t="s">
        <v>3823</v>
      </c>
      <c r="E1988" t="s">
        <v>4068</v>
      </c>
      <c r="F1988" s="117" t="s">
        <v>4068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14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>
      <c r="A1989" s="93" t="s">
        <v>3747</v>
      </c>
      <c r="B1989" s="149" t="str">
        <f>IFERROR(VLOOKUP(Proc[[#This Row],[App]],Table2[],3,0),"open")</f>
        <v>ok</v>
      </c>
      <c r="C1989" s="93" t="s">
        <v>369</v>
      </c>
      <c r="D1989" t="s">
        <v>3824</v>
      </c>
      <c r="E1989" t="s">
        <v>4068</v>
      </c>
      <c r="F1989" s="117" t="s">
        <v>4068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14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>
      <c r="A1990" s="93" t="s">
        <v>3747</v>
      </c>
      <c r="B1990" s="149" t="str">
        <f>IFERROR(VLOOKUP(Proc[[#This Row],[App]],Table2[],3,0),"open")</f>
        <v>ok</v>
      </c>
      <c r="C1990" s="93" t="s">
        <v>369</v>
      </c>
      <c r="D1990" t="s">
        <v>3825</v>
      </c>
      <c r="E1990" t="s">
        <v>4068</v>
      </c>
      <c r="F1990" s="117" t="s">
        <v>4068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14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>
      <c r="A1991" s="93" t="s">
        <v>3747</v>
      </c>
      <c r="B1991" s="149" t="str">
        <f>IFERROR(VLOOKUP(Proc[[#This Row],[App]],Table2[],3,0),"open")</f>
        <v>ok</v>
      </c>
      <c r="C1991" s="93" t="s">
        <v>369</v>
      </c>
      <c r="D1991" t="s">
        <v>3826</v>
      </c>
      <c r="E1991" t="s">
        <v>4068</v>
      </c>
      <c r="F1991" s="117" t="s">
        <v>4068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14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>
      <c r="A1992" s="93" t="s">
        <v>3747</v>
      </c>
      <c r="B1992" s="149" t="str">
        <f>IFERROR(VLOOKUP(Proc[[#This Row],[App]],Table2[],3,0),"open")</f>
        <v>ok</v>
      </c>
      <c r="C1992" s="93" t="s">
        <v>369</v>
      </c>
      <c r="D1992" t="s">
        <v>3827</v>
      </c>
      <c r="E1992" t="s">
        <v>4068</v>
      </c>
      <c r="F1992" s="117" t="s">
        <v>4068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14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>
      <c r="A1993" s="93" t="s">
        <v>3747</v>
      </c>
      <c r="B1993" s="149" t="str">
        <f>IFERROR(VLOOKUP(Proc[[#This Row],[App]],Table2[],3,0),"open")</f>
        <v>ok</v>
      </c>
      <c r="C1993" s="93" t="s">
        <v>369</v>
      </c>
      <c r="D1993" t="s">
        <v>3828</v>
      </c>
      <c r="E1993" t="s">
        <v>4068</v>
      </c>
      <c r="F1993" s="117" t="s">
        <v>4068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14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>
      <c r="A1994" s="93" t="s">
        <v>3747</v>
      </c>
      <c r="B1994" s="149" t="str">
        <f>IFERROR(VLOOKUP(Proc[[#This Row],[App]],Table2[],3,0),"open")</f>
        <v>ok</v>
      </c>
      <c r="C1994" s="93" t="s">
        <v>369</v>
      </c>
      <c r="D1994" t="s">
        <v>3829</v>
      </c>
      <c r="E1994" t="s">
        <v>4068</v>
      </c>
      <c r="F1994" s="117" t="s">
        <v>4068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14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>
      <c r="A1995" s="93" t="s">
        <v>3747</v>
      </c>
      <c r="B1995" s="149" t="str">
        <f>IFERROR(VLOOKUP(Proc[[#This Row],[App]],Table2[],3,0),"open")</f>
        <v>ok</v>
      </c>
      <c r="C1995" s="93" t="s">
        <v>369</v>
      </c>
      <c r="D1995" t="s">
        <v>3830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14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>
      <c r="A1996" s="93" t="s">
        <v>3747</v>
      </c>
      <c r="B1996" s="149" t="str">
        <f>IFERROR(VLOOKUP(Proc[[#This Row],[App]],Table2[],3,0),"open")</f>
        <v>ok</v>
      </c>
      <c r="C1996" s="93" t="s">
        <v>369</v>
      </c>
      <c r="D1996" t="s">
        <v>3831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14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>
      <c r="A1997" s="93" t="s">
        <v>3747</v>
      </c>
      <c r="B1997" s="149" t="str">
        <f>IFERROR(VLOOKUP(Proc[[#This Row],[App]],Table2[],3,0),"open")</f>
        <v>ok</v>
      </c>
      <c r="C1997" s="93" t="s">
        <v>369</v>
      </c>
      <c r="D1997" t="s">
        <v>3832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14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>
      <c r="A1998" s="93" t="s">
        <v>3747</v>
      </c>
      <c r="B1998" s="149" t="str">
        <f>IFERROR(VLOOKUP(Proc[[#This Row],[App]],Table2[],3,0),"open")</f>
        <v>ok</v>
      </c>
      <c r="C1998" s="93" t="s">
        <v>369</v>
      </c>
      <c r="D1998" t="s">
        <v>3833</v>
      </c>
      <c r="E1998" t="s">
        <v>4068</v>
      </c>
      <c r="F1998" s="117" t="s">
        <v>4068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14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>
      <c r="A1999" s="93" t="s">
        <v>3747</v>
      </c>
      <c r="B1999" s="149" t="str">
        <f>IFERROR(VLOOKUP(Proc[[#This Row],[App]],Table2[],3,0),"open")</f>
        <v>ok</v>
      </c>
      <c r="C1999" s="93" t="s">
        <v>369</v>
      </c>
      <c r="D1999" t="s">
        <v>3834</v>
      </c>
      <c r="E1999" t="s">
        <v>4068</v>
      </c>
      <c r="F1999" s="117" t="s">
        <v>4068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14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>
      <c r="A2000" s="93" t="s">
        <v>3747</v>
      </c>
      <c r="B2000" s="149" t="str">
        <f>IFERROR(VLOOKUP(Proc[[#This Row],[App]],Table2[],3,0),"open")</f>
        <v>ok</v>
      </c>
      <c r="C2000" s="93" t="s">
        <v>369</v>
      </c>
      <c r="D2000" t="s">
        <v>3835</v>
      </c>
      <c r="E2000" t="s">
        <v>4068</v>
      </c>
      <c r="F2000" s="117" t="s">
        <v>4068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14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>
      <c r="A2001" s="93" t="s">
        <v>3747</v>
      </c>
      <c r="B2001" s="149" t="str">
        <f>IFERROR(VLOOKUP(Proc[[#This Row],[App]],Table2[],3,0),"open")</f>
        <v>ok</v>
      </c>
      <c r="C2001" s="93" t="s">
        <v>369</v>
      </c>
      <c r="D2001" t="s">
        <v>3836</v>
      </c>
      <c r="E2001" t="s">
        <v>4068</v>
      </c>
      <c r="F2001" s="117" t="s">
        <v>4068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14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>
      <c r="A2002" s="93" t="s">
        <v>3747</v>
      </c>
      <c r="B2002" s="149" t="str">
        <f>IFERROR(VLOOKUP(Proc[[#This Row],[App]],Table2[],3,0),"open")</f>
        <v>ok</v>
      </c>
      <c r="C2002" s="93" t="s">
        <v>369</v>
      </c>
      <c r="D2002" t="s">
        <v>3837</v>
      </c>
      <c r="E2002" t="s">
        <v>4068</v>
      </c>
      <c r="F2002" s="117" t="s">
        <v>4068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14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>
      <c r="A2003" s="93" t="s">
        <v>3747</v>
      </c>
      <c r="B2003" s="149" t="str">
        <f>IFERROR(VLOOKUP(Proc[[#This Row],[App]],Table2[],3,0),"open")</f>
        <v>ok</v>
      </c>
      <c r="C2003" s="93" t="s">
        <v>369</v>
      </c>
      <c r="D2003" t="s">
        <v>3838</v>
      </c>
      <c r="E2003" t="s">
        <v>4068</v>
      </c>
      <c r="F2003" s="117" t="s">
        <v>4068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14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>
      <c r="A2004" s="93" t="s">
        <v>3747</v>
      </c>
      <c r="B2004" s="149" t="str">
        <f>IFERROR(VLOOKUP(Proc[[#This Row],[App]],Table2[],3,0),"open")</f>
        <v>ok</v>
      </c>
      <c r="C2004" s="93" t="s">
        <v>369</v>
      </c>
      <c r="D2004" t="s">
        <v>3839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14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>
      <c r="A2005" s="93" t="s">
        <v>3747</v>
      </c>
      <c r="B2005" s="149" t="str">
        <f>IFERROR(VLOOKUP(Proc[[#This Row],[App]],Table2[],3,0),"open")</f>
        <v>ok</v>
      </c>
      <c r="C2005" s="93" t="s">
        <v>369</v>
      </c>
      <c r="D2005" t="s">
        <v>3840</v>
      </c>
      <c r="E2005" t="s">
        <v>4068</v>
      </c>
      <c r="F2005" s="117" t="s">
        <v>4068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14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>
      <c r="A2006" s="93" t="s">
        <v>3747</v>
      </c>
      <c r="B2006" s="149" t="str">
        <f>IFERROR(VLOOKUP(Proc[[#This Row],[App]],Table2[],3,0),"open")</f>
        <v>ok</v>
      </c>
      <c r="C2006" s="93" t="s">
        <v>369</v>
      </c>
      <c r="D2006" t="s">
        <v>3841</v>
      </c>
      <c r="E2006" t="s">
        <v>4068</v>
      </c>
      <c r="F2006" s="117" t="s">
        <v>4068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14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>
      <c r="A2007" s="93" t="s">
        <v>3747</v>
      </c>
      <c r="B2007" s="149" t="str">
        <f>IFERROR(VLOOKUP(Proc[[#This Row],[App]],Table2[],3,0),"open")</f>
        <v>ok</v>
      </c>
      <c r="C2007" s="93" t="s">
        <v>369</v>
      </c>
      <c r="D2007" t="s">
        <v>3842</v>
      </c>
      <c r="E2007" t="s">
        <v>4068</v>
      </c>
      <c r="F2007" s="117" t="s">
        <v>4068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14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>
      <c r="A2008" s="93" t="s">
        <v>3747</v>
      </c>
      <c r="B2008" s="149" t="str">
        <f>IFERROR(VLOOKUP(Proc[[#This Row],[App]],Table2[],3,0),"open")</f>
        <v>ok</v>
      </c>
      <c r="C2008" s="93" t="s">
        <v>369</v>
      </c>
      <c r="D2008" t="s">
        <v>3843</v>
      </c>
      <c r="E2008" t="s">
        <v>4068</v>
      </c>
      <c r="F2008" s="117" t="s">
        <v>4068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14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>
      <c r="A2009" s="93" t="s">
        <v>3747</v>
      </c>
      <c r="B2009" s="149" t="str">
        <f>IFERROR(VLOOKUP(Proc[[#This Row],[App]],Table2[],3,0),"open")</f>
        <v>ok</v>
      </c>
      <c r="C2009" s="93" t="s">
        <v>369</v>
      </c>
      <c r="D2009" t="s">
        <v>3844</v>
      </c>
      <c r="E2009" t="s">
        <v>4068</v>
      </c>
      <c r="F2009" s="117" t="s">
        <v>4068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14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>
      <c r="A2010" s="93" t="s">
        <v>3747</v>
      </c>
      <c r="B2010" s="149" t="str">
        <f>IFERROR(VLOOKUP(Proc[[#This Row],[App]],Table2[],3,0),"open")</f>
        <v>ok</v>
      </c>
      <c r="C2010" s="93" t="s">
        <v>369</v>
      </c>
      <c r="D2010" t="s">
        <v>3845</v>
      </c>
      <c r="E2010" t="s">
        <v>4068</v>
      </c>
      <c r="F2010" s="117" t="s">
        <v>4068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14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>
      <c r="A2011" s="93" t="s">
        <v>3747</v>
      </c>
      <c r="B2011" s="149" t="str">
        <f>IFERROR(VLOOKUP(Proc[[#This Row],[App]],Table2[],3,0),"open")</f>
        <v>ok</v>
      </c>
      <c r="C2011" s="93" t="s">
        <v>369</v>
      </c>
      <c r="D2011" t="s">
        <v>3846</v>
      </c>
      <c r="E2011" t="s">
        <v>4068</v>
      </c>
      <c r="F2011" s="117" t="s">
        <v>4068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14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>
      <c r="A2012" s="93" t="s">
        <v>3747</v>
      </c>
      <c r="B2012" s="149" t="str">
        <f>IFERROR(VLOOKUP(Proc[[#This Row],[App]],Table2[],3,0),"open")</f>
        <v>ok</v>
      </c>
      <c r="C2012" s="93" t="s">
        <v>369</v>
      </c>
      <c r="D2012" t="s">
        <v>3847</v>
      </c>
      <c r="E2012" t="s">
        <v>4068</v>
      </c>
      <c r="F2012" s="117" t="s">
        <v>4068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14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>
      <c r="A2013" s="93" t="s">
        <v>3747</v>
      </c>
      <c r="B2013" s="149" t="str">
        <f>IFERROR(VLOOKUP(Proc[[#This Row],[App]],Table2[],3,0),"open")</f>
        <v>ok</v>
      </c>
      <c r="C2013" s="93" t="s">
        <v>369</v>
      </c>
      <c r="D2013" t="s">
        <v>3848</v>
      </c>
      <c r="E2013" t="s">
        <v>4068</v>
      </c>
      <c r="F2013" s="117" t="s">
        <v>4068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14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>
      <c r="A2014" s="93" t="s">
        <v>3747</v>
      </c>
      <c r="B2014" s="149" t="str">
        <f>IFERROR(VLOOKUP(Proc[[#This Row],[App]],Table2[],3,0),"open")</f>
        <v>ok</v>
      </c>
      <c r="C2014" s="93" t="s">
        <v>369</v>
      </c>
      <c r="D2014" t="s">
        <v>3849</v>
      </c>
      <c r="E2014" t="s">
        <v>4068</v>
      </c>
      <c r="F2014" s="117" t="s">
        <v>4068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14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>
      <c r="A2015" s="93" t="s">
        <v>3747</v>
      </c>
      <c r="B2015" s="149" t="str">
        <f>IFERROR(VLOOKUP(Proc[[#This Row],[App]],Table2[],3,0),"open")</f>
        <v>ok</v>
      </c>
      <c r="C2015" s="93" t="s">
        <v>369</v>
      </c>
      <c r="D2015" t="s">
        <v>3850</v>
      </c>
      <c r="E2015" t="s">
        <v>4068</v>
      </c>
      <c r="F2015" s="117" t="s">
        <v>4068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14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>
      <c r="A2016" s="93" t="s">
        <v>3747</v>
      </c>
      <c r="B2016" s="149" t="str">
        <f>IFERROR(VLOOKUP(Proc[[#This Row],[App]],Table2[],3,0),"open")</f>
        <v>ok</v>
      </c>
      <c r="C2016" s="93" t="s">
        <v>369</v>
      </c>
      <c r="D2016" t="s">
        <v>3851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14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>
      <c r="A2017" s="93" t="s">
        <v>3747</v>
      </c>
      <c r="B2017" s="149" t="str">
        <f>IFERROR(VLOOKUP(Proc[[#This Row],[App]],Table2[],3,0),"open")</f>
        <v>ok</v>
      </c>
      <c r="C2017" s="93" t="s">
        <v>369</v>
      </c>
      <c r="D2017" t="s">
        <v>3852</v>
      </c>
      <c r="E2017" t="s">
        <v>4068</v>
      </c>
      <c r="F2017" s="117" t="s">
        <v>4068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14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>
      <c r="A2018" s="93" t="s">
        <v>3747</v>
      </c>
      <c r="B2018" s="149" t="str">
        <f>IFERROR(VLOOKUP(Proc[[#This Row],[App]],Table2[],3,0),"open")</f>
        <v>ok</v>
      </c>
      <c r="C2018" s="93" t="s">
        <v>369</v>
      </c>
      <c r="D2018" t="s">
        <v>3853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14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>
      <c r="A2019" s="93" t="s">
        <v>3747</v>
      </c>
      <c r="B2019" s="149" t="str">
        <f>IFERROR(VLOOKUP(Proc[[#This Row],[App]],Table2[],3,0),"open")</f>
        <v>ok</v>
      </c>
      <c r="C2019" s="93" t="s">
        <v>369</v>
      </c>
      <c r="D2019" t="s">
        <v>3854</v>
      </c>
      <c r="E2019" t="s">
        <v>4068</v>
      </c>
      <c r="F2019" s="117" t="s">
        <v>4068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14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>
      <c r="A2020" s="93" t="s">
        <v>3747</v>
      </c>
      <c r="B2020" s="149" t="str">
        <f>IFERROR(VLOOKUP(Proc[[#This Row],[App]],Table2[],3,0),"open")</f>
        <v>ok</v>
      </c>
      <c r="C2020" s="93" t="s">
        <v>369</v>
      </c>
      <c r="D2020" t="s">
        <v>3855</v>
      </c>
      <c r="E2020" t="s">
        <v>4068</v>
      </c>
      <c r="F2020" s="117" t="s">
        <v>4068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14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>
      <c r="A2021" s="93" t="s">
        <v>3747</v>
      </c>
      <c r="B2021" s="149" t="str">
        <f>IFERROR(VLOOKUP(Proc[[#This Row],[App]],Table2[],3,0),"open")</f>
        <v>ok</v>
      </c>
      <c r="C2021" s="93" t="s">
        <v>369</v>
      </c>
      <c r="D2021" t="s">
        <v>3856</v>
      </c>
      <c r="E2021" t="s">
        <v>4068</v>
      </c>
      <c r="F2021" s="117" t="s">
        <v>4068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14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>
      <c r="A2022" s="93" t="s">
        <v>3747</v>
      </c>
      <c r="B2022" s="149" t="str">
        <f>IFERROR(VLOOKUP(Proc[[#This Row],[App]],Table2[],3,0),"open")</f>
        <v>ok</v>
      </c>
      <c r="C2022" s="93" t="s">
        <v>369</v>
      </c>
      <c r="D2022" t="s">
        <v>3857</v>
      </c>
      <c r="E2022" t="s">
        <v>4068</v>
      </c>
      <c r="F2022" s="117" t="s">
        <v>4068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14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>
      <c r="A2023" s="93" t="s">
        <v>3747</v>
      </c>
      <c r="B2023" s="149" t="str">
        <f>IFERROR(VLOOKUP(Proc[[#This Row],[App]],Table2[],3,0),"open")</f>
        <v>ok</v>
      </c>
      <c r="C2023" s="93" t="s">
        <v>369</v>
      </c>
      <c r="D2023" t="s">
        <v>3858</v>
      </c>
      <c r="E2023" t="s">
        <v>4068</v>
      </c>
      <c r="F2023" s="117" t="s">
        <v>4068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14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>
      <c r="A2024" s="93" t="s">
        <v>3747</v>
      </c>
      <c r="B2024" s="149" t="str">
        <f>IFERROR(VLOOKUP(Proc[[#This Row],[App]],Table2[],3,0),"open")</f>
        <v>ok</v>
      </c>
      <c r="C2024" s="93" t="s">
        <v>369</v>
      </c>
      <c r="D2024" t="s">
        <v>3859</v>
      </c>
      <c r="E2024" t="s">
        <v>4068</v>
      </c>
      <c r="F2024" s="117" t="s">
        <v>4068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14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>
      <c r="A2025" s="93" t="s">
        <v>3747</v>
      </c>
      <c r="B2025" s="149" t="str">
        <f>IFERROR(VLOOKUP(Proc[[#This Row],[App]],Table2[],3,0),"open")</f>
        <v>ok</v>
      </c>
      <c r="C2025" s="93" t="s">
        <v>369</v>
      </c>
      <c r="D2025" t="s">
        <v>3860</v>
      </c>
      <c r="E2025" t="s">
        <v>4068</v>
      </c>
      <c r="F2025" s="117" t="s">
        <v>4068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14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>
      <c r="A2026" s="93" t="s">
        <v>3747</v>
      </c>
      <c r="B2026" s="149" t="str">
        <f>IFERROR(VLOOKUP(Proc[[#This Row],[App]],Table2[],3,0),"open")</f>
        <v>ok</v>
      </c>
      <c r="C2026" s="93" t="s">
        <v>369</v>
      </c>
      <c r="D2026" t="s">
        <v>3861</v>
      </c>
      <c r="E2026" t="s">
        <v>4068</v>
      </c>
      <c r="F2026" s="117" t="s">
        <v>4068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14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>
      <c r="A2027" s="93" t="s">
        <v>3747</v>
      </c>
      <c r="B2027" s="149" t="str">
        <f>IFERROR(VLOOKUP(Proc[[#This Row],[App]],Table2[],3,0),"open")</f>
        <v>ok</v>
      </c>
      <c r="C2027" s="93" t="s">
        <v>369</v>
      </c>
      <c r="D2027" t="s">
        <v>3862</v>
      </c>
      <c r="E2027" t="s">
        <v>4068</v>
      </c>
      <c r="F2027" s="117" t="s">
        <v>4068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14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>
      <c r="A2028" s="93" t="s">
        <v>3747</v>
      </c>
      <c r="B2028" s="149" t="str">
        <f>IFERROR(VLOOKUP(Proc[[#This Row],[App]],Table2[],3,0),"open")</f>
        <v>ok</v>
      </c>
      <c r="C2028" s="93" t="s">
        <v>369</v>
      </c>
      <c r="D2028" t="s">
        <v>3863</v>
      </c>
      <c r="E2028" t="s">
        <v>4068</v>
      </c>
      <c r="F2028" s="117" t="s">
        <v>4068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14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>
      <c r="A2029" s="93" t="s">
        <v>3747</v>
      </c>
      <c r="B2029" s="149" t="str">
        <f>IFERROR(VLOOKUP(Proc[[#This Row],[App]],Table2[],3,0),"open")</f>
        <v>ok</v>
      </c>
      <c r="C2029" s="93" t="s">
        <v>369</v>
      </c>
      <c r="D2029" t="s">
        <v>3864</v>
      </c>
      <c r="E2029" t="s">
        <v>4068</v>
      </c>
      <c r="F2029" s="117" t="s">
        <v>4068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14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>
      <c r="A2030" s="93" t="s">
        <v>3747</v>
      </c>
      <c r="B2030" s="149" t="str">
        <f>IFERROR(VLOOKUP(Proc[[#This Row],[App]],Table2[],3,0),"open")</f>
        <v>ok</v>
      </c>
      <c r="C2030" s="93" t="s">
        <v>369</v>
      </c>
      <c r="D2030" t="s">
        <v>3865</v>
      </c>
      <c r="E2030" t="s">
        <v>4068</v>
      </c>
      <c r="F2030" s="117" t="s">
        <v>4068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14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>
      <c r="A2031" s="93" t="s">
        <v>3747</v>
      </c>
      <c r="B2031" s="149" t="str">
        <f>IFERROR(VLOOKUP(Proc[[#This Row],[App]],Table2[],3,0),"open")</f>
        <v>ok</v>
      </c>
      <c r="C2031" s="93" t="s">
        <v>369</v>
      </c>
      <c r="D2031" t="s">
        <v>3866</v>
      </c>
      <c r="E2031" t="s">
        <v>4068</v>
      </c>
      <c r="F2031" s="117" t="s">
        <v>4068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14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>
      <c r="A2032" s="93" t="s">
        <v>3747</v>
      </c>
      <c r="B2032" s="149" t="str">
        <f>IFERROR(VLOOKUP(Proc[[#This Row],[App]],Table2[],3,0),"open")</f>
        <v>ok</v>
      </c>
      <c r="C2032" s="93" t="s">
        <v>369</v>
      </c>
      <c r="D2032" t="s">
        <v>3867</v>
      </c>
      <c r="E2032" t="s">
        <v>4068</v>
      </c>
      <c r="F2032" s="117" t="s">
        <v>4068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14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>
      <c r="A2033" s="93" t="s">
        <v>3747</v>
      </c>
      <c r="B2033" s="149" t="str">
        <f>IFERROR(VLOOKUP(Proc[[#This Row],[App]],Table2[],3,0),"open")</f>
        <v>ok</v>
      </c>
      <c r="C2033" s="93" t="s">
        <v>369</v>
      </c>
      <c r="D2033" t="s">
        <v>3868</v>
      </c>
      <c r="E2033" t="s">
        <v>4068</v>
      </c>
      <c r="F2033" s="117" t="s">
        <v>4068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14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>
      <c r="A2034" s="93" t="s">
        <v>3747</v>
      </c>
      <c r="B2034" s="149" t="str">
        <f>IFERROR(VLOOKUP(Proc[[#This Row],[App]],Table2[],3,0),"open")</f>
        <v>ok</v>
      </c>
      <c r="C2034" s="93" t="s">
        <v>369</v>
      </c>
      <c r="D2034" t="s">
        <v>3869</v>
      </c>
      <c r="E2034" t="s">
        <v>4068</v>
      </c>
      <c r="F2034" s="117" t="s">
        <v>4068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14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>
      <c r="A2035" s="93" t="s">
        <v>3747</v>
      </c>
      <c r="B2035" s="149" t="str">
        <f>IFERROR(VLOOKUP(Proc[[#This Row],[App]],Table2[],3,0),"open")</f>
        <v>ok</v>
      </c>
      <c r="C2035" s="93" t="s">
        <v>369</v>
      </c>
      <c r="D2035" t="s">
        <v>3870</v>
      </c>
      <c r="E2035" t="s">
        <v>4068</v>
      </c>
      <c r="F2035" s="117" t="s">
        <v>4068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14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>
      <c r="A2036" s="93" t="s">
        <v>3747</v>
      </c>
      <c r="B2036" s="149" t="str">
        <f>IFERROR(VLOOKUP(Proc[[#This Row],[App]],Table2[],3,0),"open")</f>
        <v>ok</v>
      </c>
      <c r="C2036" s="93" t="s">
        <v>369</v>
      </c>
      <c r="D2036" t="s">
        <v>3871</v>
      </c>
      <c r="E2036" t="s">
        <v>4068</v>
      </c>
      <c r="F2036" s="117" t="s">
        <v>4068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14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>
      <c r="A2037" s="93" t="s">
        <v>3747</v>
      </c>
      <c r="B2037" s="149" t="str">
        <f>IFERROR(VLOOKUP(Proc[[#This Row],[App]],Table2[],3,0),"open")</f>
        <v>ok</v>
      </c>
      <c r="C2037" s="93" t="s">
        <v>369</v>
      </c>
      <c r="D2037" t="s">
        <v>3872</v>
      </c>
      <c r="E2037" t="s">
        <v>4068</v>
      </c>
      <c r="F2037" s="117" t="s">
        <v>4068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14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>
      <c r="A2038" s="93" t="s">
        <v>3747</v>
      </c>
      <c r="B2038" s="149" t="str">
        <f>IFERROR(VLOOKUP(Proc[[#This Row],[App]],Table2[],3,0),"open")</f>
        <v>ok</v>
      </c>
      <c r="C2038" s="93" t="s">
        <v>369</v>
      </c>
      <c r="D2038" t="s">
        <v>3873</v>
      </c>
      <c r="E2038" t="s">
        <v>4068</v>
      </c>
      <c r="F2038" s="117" t="s">
        <v>4068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14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>
      <c r="A2039" s="93" t="s">
        <v>3747</v>
      </c>
      <c r="B2039" s="149" t="str">
        <f>IFERROR(VLOOKUP(Proc[[#This Row],[App]],Table2[],3,0),"open")</f>
        <v>ok</v>
      </c>
      <c r="C2039" s="93" t="s">
        <v>369</v>
      </c>
      <c r="D2039" t="s">
        <v>3874</v>
      </c>
      <c r="E2039" t="s">
        <v>4068</v>
      </c>
      <c r="F2039" s="117" t="s">
        <v>4068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14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>
      <c r="A2040" s="93" t="s">
        <v>3747</v>
      </c>
      <c r="B2040" s="149" t="str">
        <f>IFERROR(VLOOKUP(Proc[[#This Row],[App]],Table2[],3,0),"open")</f>
        <v>ok</v>
      </c>
      <c r="C2040" s="93" t="s">
        <v>369</v>
      </c>
      <c r="D2040" t="s">
        <v>3875</v>
      </c>
      <c r="E2040" t="s">
        <v>4068</v>
      </c>
      <c r="F2040" s="117" t="s">
        <v>4068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14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>
      <c r="A2041" s="93" t="s">
        <v>3747</v>
      </c>
      <c r="B2041" s="149" t="str">
        <f>IFERROR(VLOOKUP(Proc[[#This Row],[App]],Table2[],3,0),"open")</f>
        <v>ok</v>
      </c>
      <c r="C2041" s="93" t="s">
        <v>369</v>
      </c>
      <c r="D2041" t="s">
        <v>3876</v>
      </c>
      <c r="E2041" t="s">
        <v>4068</v>
      </c>
      <c r="F2041" s="117" t="s">
        <v>4068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14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>
      <c r="A2042" s="93" t="s">
        <v>3747</v>
      </c>
      <c r="B2042" s="149" t="str">
        <f>IFERROR(VLOOKUP(Proc[[#This Row],[App]],Table2[],3,0),"open")</f>
        <v>ok</v>
      </c>
      <c r="C2042" s="93" t="s">
        <v>369</v>
      </c>
      <c r="D2042" t="s">
        <v>3877</v>
      </c>
      <c r="E2042" t="s">
        <v>4068</v>
      </c>
      <c r="F2042" s="117" t="s">
        <v>4068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14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>
      <c r="A2043" s="93" t="s">
        <v>3747</v>
      </c>
      <c r="B2043" s="149" t="str">
        <f>IFERROR(VLOOKUP(Proc[[#This Row],[App]],Table2[],3,0),"open")</f>
        <v>ok</v>
      </c>
      <c r="C2043" s="93" t="s">
        <v>369</v>
      </c>
      <c r="D2043" t="s">
        <v>3878</v>
      </c>
      <c r="E2043" t="s">
        <v>4068</v>
      </c>
      <c r="F2043" s="117" t="s">
        <v>4068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14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>
      <c r="A2044" s="93" t="s">
        <v>3747</v>
      </c>
      <c r="B2044" s="149" t="str">
        <f>IFERROR(VLOOKUP(Proc[[#This Row],[App]],Table2[],3,0),"open")</f>
        <v>ok</v>
      </c>
      <c r="C2044" s="93" t="s">
        <v>369</v>
      </c>
      <c r="D2044" t="s">
        <v>3879</v>
      </c>
      <c r="E2044" t="s">
        <v>4068</v>
      </c>
      <c r="F2044" s="117" t="s">
        <v>4068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14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>
      <c r="A2045" s="93" t="s">
        <v>3747</v>
      </c>
      <c r="B2045" s="149" t="str">
        <f>IFERROR(VLOOKUP(Proc[[#This Row],[App]],Table2[],3,0),"open")</f>
        <v>ok</v>
      </c>
      <c r="C2045" s="93" t="s">
        <v>369</v>
      </c>
      <c r="D2045" t="s">
        <v>3880</v>
      </c>
      <c r="E2045" t="s">
        <v>4068</v>
      </c>
      <c r="F2045" s="117" t="s">
        <v>4068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14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>
      <c r="A2046" s="93" t="s">
        <v>3747</v>
      </c>
      <c r="B2046" s="149" t="str">
        <f>IFERROR(VLOOKUP(Proc[[#This Row],[App]],Table2[],3,0),"open")</f>
        <v>ok</v>
      </c>
      <c r="C2046" s="93" t="s">
        <v>369</v>
      </c>
      <c r="D2046" t="s">
        <v>3881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14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>
      <c r="A2047" s="93" t="s">
        <v>3747</v>
      </c>
      <c r="B2047" s="149" t="str">
        <f>IFERROR(VLOOKUP(Proc[[#This Row],[App]],Table2[],3,0),"open")</f>
        <v>ok</v>
      </c>
      <c r="C2047" s="93" t="s">
        <v>369</v>
      </c>
      <c r="D2047" t="s">
        <v>3882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14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>
      <c r="A2048" s="93" t="s">
        <v>3747</v>
      </c>
      <c r="B2048" s="149" t="str">
        <f>IFERROR(VLOOKUP(Proc[[#This Row],[App]],Table2[],3,0),"open")</f>
        <v>ok</v>
      </c>
      <c r="C2048" s="93" t="s">
        <v>369</v>
      </c>
      <c r="D2048" t="s">
        <v>3883</v>
      </c>
      <c r="E2048" t="s">
        <v>4068</v>
      </c>
      <c r="F2048" s="117" t="s">
        <v>4068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14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>
      <c r="A2049" s="93" t="s">
        <v>3747</v>
      </c>
      <c r="B2049" s="149" t="str">
        <f>IFERROR(VLOOKUP(Proc[[#This Row],[App]],Table2[],3,0),"open")</f>
        <v>ok</v>
      </c>
      <c r="C2049" s="93" t="s">
        <v>369</v>
      </c>
      <c r="D2049" t="s">
        <v>3884</v>
      </c>
      <c r="E2049" t="s">
        <v>4068</v>
      </c>
      <c r="F2049" s="117" t="s">
        <v>4068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14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>
      <c r="A2050" s="93" t="s">
        <v>3747</v>
      </c>
      <c r="B2050" s="149" t="str">
        <f>IFERROR(VLOOKUP(Proc[[#This Row],[App]],Table2[],3,0),"open")</f>
        <v>ok</v>
      </c>
      <c r="C2050" s="93" t="s">
        <v>369</v>
      </c>
      <c r="D2050" t="s">
        <v>3885</v>
      </c>
      <c r="E2050" t="s">
        <v>4068</v>
      </c>
      <c r="F2050" s="117" t="s">
        <v>4068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14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>
      <c r="A2051" s="93" t="s">
        <v>3747</v>
      </c>
      <c r="B2051" s="149" t="str">
        <f>IFERROR(VLOOKUP(Proc[[#This Row],[App]],Table2[],3,0),"open")</f>
        <v>ok</v>
      </c>
      <c r="C2051" s="93" t="s">
        <v>369</v>
      </c>
      <c r="D2051" t="s">
        <v>3886</v>
      </c>
      <c r="E2051" t="s">
        <v>4068</v>
      </c>
      <c r="F2051" s="117" t="s">
        <v>4068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14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>
      <c r="A2052" s="93" t="s">
        <v>3747</v>
      </c>
      <c r="B2052" s="149" t="str">
        <f>IFERROR(VLOOKUP(Proc[[#This Row],[App]],Table2[],3,0),"open")</f>
        <v>ok</v>
      </c>
      <c r="C2052" s="93" t="s">
        <v>369</v>
      </c>
      <c r="D2052" t="s">
        <v>3887</v>
      </c>
      <c r="E2052" t="s">
        <v>4068</v>
      </c>
      <c r="F2052" s="117" t="s">
        <v>4068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14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>
      <c r="A2053" s="93" t="s">
        <v>3747</v>
      </c>
      <c r="B2053" s="149" t="str">
        <f>IFERROR(VLOOKUP(Proc[[#This Row],[App]],Table2[],3,0),"open")</f>
        <v>ok</v>
      </c>
      <c r="C2053" s="93" t="s">
        <v>369</v>
      </c>
      <c r="D2053" t="s">
        <v>3888</v>
      </c>
      <c r="E2053" t="s">
        <v>4068</v>
      </c>
      <c r="F2053" s="117" t="s">
        <v>4068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14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>
      <c r="A2054" s="93" t="s">
        <v>3747</v>
      </c>
      <c r="B2054" s="149" t="str">
        <f>IFERROR(VLOOKUP(Proc[[#This Row],[App]],Table2[],3,0),"open")</f>
        <v>ok</v>
      </c>
      <c r="C2054" s="93" t="s">
        <v>369</v>
      </c>
      <c r="D2054" t="s">
        <v>3889</v>
      </c>
      <c r="E2054" t="s">
        <v>4068</v>
      </c>
      <c r="F2054" s="117" t="s">
        <v>4068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14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>
      <c r="A2055" s="93" t="s">
        <v>3747</v>
      </c>
      <c r="B2055" s="149" t="str">
        <f>IFERROR(VLOOKUP(Proc[[#This Row],[App]],Table2[],3,0),"open")</f>
        <v>ok</v>
      </c>
      <c r="C2055" s="93" t="s">
        <v>369</v>
      </c>
      <c r="D2055" t="s">
        <v>3890</v>
      </c>
      <c r="E2055" t="s">
        <v>4068</v>
      </c>
      <c r="F2055" s="117" t="s">
        <v>4068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14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>
      <c r="A2056" s="93" t="s">
        <v>3747</v>
      </c>
      <c r="B2056" s="149" t="str">
        <f>IFERROR(VLOOKUP(Proc[[#This Row],[App]],Table2[],3,0),"open")</f>
        <v>ok</v>
      </c>
      <c r="C2056" s="93" t="s">
        <v>369</v>
      </c>
      <c r="D2056" t="s">
        <v>3891</v>
      </c>
      <c r="E2056" t="s">
        <v>4068</v>
      </c>
      <c r="F2056" s="117" t="s">
        <v>4068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14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>
      <c r="A2057" s="93" t="s">
        <v>3747</v>
      </c>
      <c r="B2057" s="149" t="str">
        <f>IFERROR(VLOOKUP(Proc[[#This Row],[App]],Table2[],3,0),"open")</f>
        <v>ok</v>
      </c>
      <c r="C2057" s="93" t="s">
        <v>369</v>
      </c>
      <c r="D2057" t="s">
        <v>3892</v>
      </c>
      <c r="E2057" t="s">
        <v>4068</v>
      </c>
      <c r="F2057" s="117" t="s">
        <v>4068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14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>
      <c r="A2058" s="93" t="s">
        <v>3747</v>
      </c>
      <c r="B2058" s="149" t="str">
        <f>IFERROR(VLOOKUP(Proc[[#This Row],[App]],Table2[],3,0),"open")</f>
        <v>ok</v>
      </c>
      <c r="C2058" s="93" t="s">
        <v>369</v>
      </c>
      <c r="D2058" t="s">
        <v>3893</v>
      </c>
      <c r="E2058" t="s">
        <v>4068</v>
      </c>
      <c r="F2058" s="117" t="s">
        <v>4068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14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>
      <c r="A2059" s="93" t="s">
        <v>3747</v>
      </c>
      <c r="B2059" s="149" t="str">
        <f>IFERROR(VLOOKUP(Proc[[#This Row],[App]],Table2[],3,0),"open")</f>
        <v>ok</v>
      </c>
      <c r="C2059" s="93" t="s">
        <v>369</v>
      </c>
      <c r="D2059" t="s">
        <v>3894</v>
      </c>
      <c r="E2059" t="s">
        <v>4068</v>
      </c>
      <c r="F2059" s="117" t="s">
        <v>4068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14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>
      <c r="A2060" s="93" t="s">
        <v>3747</v>
      </c>
      <c r="B2060" s="149" t="str">
        <f>IFERROR(VLOOKUP(Proc[[#This Row],[App]],Table2[],3,0),"open")</f>
        <v>ok</v>
      </c>
      <c r="C2060" s="93" t="s">
        <v>369</v>
      </c>
      <c r="D2060" t="s">
        <v>3895</v>
      </c>
      <c r="E2060" t="s">
        <v>4068</v>
      </c>
      <c r="F2060" s="117" t="s">
        <v>4068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14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>
      <c r="A2061" s="93" t="s">
        <v>3747</v>
      </c>
      <c r="B2061" s="149" t="str">
        <f>IFERROR(VLOOKUP(Proc[[#This Row],[App]],Table2[],3,0),"open")</f>
        <v>ok</v>
      </c>
      <c r="C2061" s="93" t="s">
        <v>369</v>
      </c>
      <c r="D2061" t="s">
        <v>3896</v>
      </c>
      <c r="E2061" t="s">
        <v>4068</v>
      </c>
      <c r="F2061" s="117" t="s">
        <v>4068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14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>
      <c r="A2062" s="93" t="s">
        <v>3747</v>
      </c>
      <c r="B2062" s="149" t="str">
        <f>IFERROR(VLOOKUP(Proc[[#This Row],[App]],Table2[],3,0),"open")</f>
        <v>ok</v>
      </c>
      <c r="C2062" s="93" t="s">
        <v>369</v>
      </c>
      <c r="D2062" t="s">
        <v>3897</v>
      </c>
      <c r="E2062" t="s">
        <v>4068</v>
      </c>
      <c r="F2062" s="117" t="s">
        <v>4068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14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>
      <c r="A2063" s="93" t="s">
        <v>3747</v>
      </c>
      <c r="B2063" s="149" t="str">
        <f>IFERROR(VLOOKUP(Proc[[#This Row],[App]],Table2[],3,0),"open")</f>
        <v>ok</v>
      </c>
      <c r="C2063" s="93" t="s">
        <v>369</v>
      </c>
      <c r="D2063" t="s">
        <v>3898</v>
      </c>
      <c r="E2063" t="s">
        <v>4068</v>
      </c>
      <c r="F2063" s="117" t="s">
        <v>4068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14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>
      <c r="A2064" s="93" t="s">
        <v>3747</v>
      </c>
      <c r="B2064" s="149" t="str">
        <f>IFERROR(VLOOKUP(Proc[[#This Row],[App]],Table2[],3,0),"open")</f>
        <v>ok</v>
      </c>
      <c r="C2064" s="93" t="s">
        <v>369</v>
      </c>
      <c r="D2064" t="s">
        <v>3899</v>
      </c>
      <c r="E2064" t="s">
        <v>4068</v>
      </c>
      <c r="F2064" s="117" t="s">
        <v>4068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14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>
      <c r="A2065" s="93" t="s">
        <v>3747</v>
      </c>
      <c r="B2065" s="149" t="str">
        <f>IFERROR(VLOOKUP(Proc[[#This Row],[App]],Table2[],3,0),"open")</f>
        <v>ok</v>
      </c>
      <c r="C2065" s="93" t="s">
        <v>369</v>
      </c>
      <c r="D2065" t="s">
        <v>3900</v>
      </c>
      <c r="E2065" t="s">
        <v>4068</v>
      </c>
      <c r="F2065" s="117" t="s">
        <v>4068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14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>
      <c r="A2066" s="93" t="s">
        <v>3747</v>
      </c>
      <c r="B2066" s="149" t="str">
        <f>IFERROR(VLOOKUP(Proc[[#This Row],[App]],Table2[],3,0),"open")</f>
        <v>ok</v>
      </c>
      <c r="C2066" s="93" t="s">
        <v>369</v>
      </c>
      <c r="D2066" t="s">
        <v>3901</v>
      </c>
      <c r="E2066" t="s">
        <v>4068</v>
      </c>
      <c r="F2066" s="117" t="s">
        <v>4068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14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>
      <c r="A2067" s="93" t="s">
        <v>3747</v>
      </c>
      <c r="B2067" s="149" t="str">
        <f>IFERROR(VLOOKUP(Proc[[#This Row],[App]],Table2[],3,0),"open")</f>
        <v>ok</v>
      </c>
      <c r="C2067" s="93" t="s">
        <v>369</v>
      </c>
      <c r="D2067" t="s">
        <v>3902</v>
      </c>
      <c r="E2067" t="s">
        <v>4068</v>
      </c>
      <c r="F2067" s="117" t="s">
        <v>4068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14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>
      <c r="A2068" s="93" t="s">
        <v>3747</v>
      </c>
      <c r="B2068" s="149" t="str">
        <f>IFERROR(VLOOKUP(Proc[[#This Row],[App]],Table2[],3,0),"open")</f>
        <v>ok</v>
      </c>
      <c r="C2068" s="93" t="s">
        <v>369</v>
      </c>
      <c r="D2068" t="s">
        <v>3903</v>
      </c>
      <c r="E2068" t="s">
        <v>4068</v>
      </c>
      <c r="F2068" s="117" t="s">
        <v>4068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14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>
      <c r="A2069" s="93" t="s">
        <v>3747</v>
      </c>
      <c r="B2069" s="149" t="str">
        <f>IFERROR(VLOOKUP(Proc[[#This Row],[App]],Table2[],3,0),"open")</f>
        <v>ok</v>
      </c>
      <c r="C2069" s="93" t="s">
        <v>369</v>
      </c>
      <c r="D2069" t="s">
        <v>3904</v>
      </c>
      <c r="E2069" t="s">
        <v>4068</v>
      </c>
      <c r="F2069" s="117" t="s">
        <v>4068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14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>
      <c r="A2070" s="93" t="s">
        <v>3747</v>
      </c>
      <c r="B2070" s="149" t="str">
        <f>IFERROR(VLOOKUP(Proc[[#This Row],[App]],Table2[],3,0),"open")</f>
        <v>ok</v>
      </c>
      <c r="C2070" s="93" t="s">
        <v>369</v>
      </c>
      <c r="D2070" t="s">
        <v>3905</v>
      </c>
      <c r="E2070" t="s">
        <v>4068</v>
      </c>
      <c r="F2070" s="117" t="s">
        <v>4068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14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>
      <c r="A2071" s="93" t="s">
        <v>3747</v>
      </c>
      <c r="B2071" s="149" t="str">
        <f>IFERROR(VLOOKUP(Proc[[#This Row],[App]],Table2[],3,0),"open")</f>
        <v>ok</v>
      </c>
      <c r="C2071" s="93" t="s">
        <v>369</v>
      </c>
      <c r="D2071" t="s">
        <v>3906</v>
      </c>
      <c r="E2071" t="s">
        <v>4068</v>
      </c>
      <c r="F2071" s="117" t="s">
        <v>4068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14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>
      <c r="A2072" s="93" t="s">
        <v>3747</v>
      </c>
      <c r="B2072" s="149" t="str">
        <f>IFERROR(VLOOKUP(Proc[[#This Row],[App]],Table2[],3,0),"open")</f>
        <v>ok</v>
      </c>
      <c r="C2072" s="93" t="s">
        <v>369</v>
      </c>
      <c r="D2072" t="s">
        <v>3907</v>
      </c>
      <c r="E2072" t="s">
        <v>4068</v>
      </c>
      <c r="F2072" s="117" t="s">
        <v>4068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14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>
      <c r="A2073" s="93" t="s">
        <v>3747</v>
      </c>
      <c r="B2073" s="149" t="str">
        <f>IFERROR(VLOOKUP(Proc[[#This Row],[App]],Table2[],3,0),"open")</f>
        <v>ok</v>
      </c>
      <c r="C2073" s="93" t="s">
        <v>369</v>
      </c>
      <c r="D2073" t="s">
        <v>3908</v>
      </c>
      <c r="E2073" t="s">
        <v>4068</v>
      </c>
      <c r="F2073" s="117" t="s">
        <v>4068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14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>
      <c r="A2074" s="93" t="s">
        <v>3747</v>
      </c>
      <c r="B2074" s="149" t="str">
        <f>IFERROR(VLOOKUP(Proc[[#This Row],[App]],Table2[],3,0),"open")</f>
        <v>ok</v>
      </c>
      <c r="C2074" s="93" t="s">
        <v>369</v>
      </c>
      <c r="D2074" t="s">
        <v>3909</v>
      </c>
      <c r="E2074" t="s">
        <v>4068</v>
      </c>
      <c r="F2074" s="117" t="s">
        <v>4068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14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>
      <c r="A2075" s="93" t="s">
        <v>3747</v>
      </c>
      <c r="B2075" s="149" t="str">
        <f>IFERROR(VLOOKUP(Proc[[#This Row],[App]],Table2[],3,0),"open")</f>
        <v>ok</v>
      </c>
      <c r="C2075" s="93" t="s">
        <v>369</v>
      </c>
      <c r="D2075" t="s">
        <v>3910</v>
      </c>
      <c r="E2075" t="s">
        <v>4068</v>
      </c>
      <c r="F2075" s="117" t="s">
        <v>4068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14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>
      <c r="A2076" s="93" t="s">
        <v>3747</v>
      </c>
      <c r="B2076" s="149" t="str">
        <f>IFERROR(VLOOKUP(Proc[[#This Row],[App]],Table2[],3,0),"open")</f>
        <v>ok</v>
      </c>
      <c r="C2076" s="93" t="s">
        <v>369</v>
      </c>
      <c r="D2076" t="s">
        <v>3911</v>
      </c>
      <c r="E2076" t="s">
        <v>4068</v>
      </c>
      <c r="F2076" s="117" t="s">
        <v>4068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14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>
      <c r="A2077" s="93" t="s">
        <v>3747</v>
      </c>
      <c r="B2077" s="149" t="str">
        <f>IFERROR(VLOOKUP(Proc[[#This Row],[App]],Table2[],3,0),"open")</f>
        <v>ok</v>
      </c>
      <c r="C2077" s="93" t="s">
        <v>369</v>
      </c>
      <c r="D2077" t="s">
        <v>3912</v>
      </c>
      <c r="E2077" t="s">
        <v>4068</v>
      </c>
      <c r="F2077" s="117" t="s">
        <v>4068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14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>
      <c r="A2078" s="93" t="s">
        <v>3747</v>
      </c>
      <c r="B2078" s="149" t="str">
        <f>IFERROR(VLOOKUP(Proc[[#This Row],[App]],Table2[],3,0),"open")</f>
        <v>ok</v>
      </c>
      <c r="C2078" s="93" t="s">
        <v>369</v>
      </c>
      <c r="D2078" t="s">
        <v>3913</v>
      </c>
      <c r="E2078" t="s">
        <v>4068</v>
      </c>
      <c r="F2078" s="117" t="s">
        <v>4068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14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>
      <c r="A2079" s="93" t="s">
        <v>3747</v>
      </c>
      <c r="B2079" s="149" t="str">
        <f>IFERROR(VLOOKUP(Proc[[#This Row],[App]],Table2[],3,0),"open")</f>
        <v>ok</v>
      </c>
      <c r="C2079" s="93" t="s">
        <v>369</v>
      </c>
      <c r="D2079" t="s">
        <v>3914</v>
      </c>
      <c r="E2079" t="s">
        <v>4068</v>
      </c>
      <c r="F2079" s="117" t="s">
        <v>4068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14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>
      <c r="A2080" s="93" t="s">
        <v>3747</v>
      </c>
      <c r="B2080" s="149" t="str">
        <f>IFERROR(VLOOKUP(Proc[[#This Row],[App]],Table2[],3,0),"open")</f>
        <v>ok</v>
      </c>
      <c r="C2080" s="93" t="s">
        <v>369</v>
      </c>
      <c r="D2080" t="s">
        <v>3915</v>
      </c>
      <c r="E2080" t="s">
        <v>4068</v>
      </c>
      <c r="F2080" s="117" t="s">
        <v>4068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14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>
      <c r="A2081" s="93" t="s">
        <v>3747</v>
      </c>
      <c r="B2081" s="149" t="str">
        <f>IFERROR(VLOOKUP(Proc[[#This Row],[App]],Table2[],3,0),"open")</f>
        <v>ok</v>
      </c>
      <c r="C2081" s="93" t="s">
        <v>369</v>
      </c>
      <c r="D2081" t="s">
        <v>3916</v>
      </c>
      <c r="E2081" t="s">
        <v>4068</v>
      </c>
      <c r="F2081" s="117" t="s">
        <v>4068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14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>
      <c r="A2082" s="93" t="s">
        <v>3747</v>
      </c>
      <c r="B2082" s="149" t="str">
        <f>IFERROR(VLOOKUP(Proc[[#This Row],[App]],Table2[],3,0),"open")</f>
        <v>ok</v>
      </c>
      <c r="C2082" s="93" t="s">
        <v>369</v>
      </c>
      <c r="D2082" t="s">
        <v>3917</v>
      </c>
      <c r="E2082" t="s">
        <v>4068</v>
      </c>
      <c r="F2082" s="117" t="s">
        <v>4068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14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>
      <c r="A2083" s="93" t="s">
        <v>3747</v>
      </c>
      <c r="B2083" s="149" t="str">
        <f>IFERROR(VLOOKUP(Proc[[#This Row],[App]],Table2[],3,0),"open")</f>
        <v>ok</v>
      </c>
      <c r="C2083" s="93" t="s">
        <v>369</v>
      </c>
      <c r="D2083" t="s">
        <v>3918</v>
      </c>
      <c r="E2083" t="s">
        <v>4068</v>
      </c>
      <c r="F2083" s="117" t="s">
        <v>4068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14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>
      <c r="A2084" s="93" t="s">
        <v>3747</v>
      </c>
      <c r="B2084" s="149" t="str">
        <f>IFERROR(VLOOKUP(Proc[[#This Row],[App]],Table2[],3,0),"open")</f>
        <v>ok</v>
      </c>
      <c r="C2084" s="93" t="s">
        <v>369</v>
      </c>
      <c r="D2084" t="s">
        <v>3919</v>
      </c>
      <c r="E2084" t="s">
        <v>4068</v>
      </c>
      <c r="F2084" s="117" t="s">
        <v>4068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14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>
      <c r="A2085" s="93" t="s">
        <v>3747</v>
      </c>
      <c r="B2085" s="149" t="str">
        <f>IFERROR(VLOOKUP(Proc[[#This Row],[App]],Table2[],3,0),"open")</f>
        <v>ok</v>
      </c>
      <c r="C2085" s="93" t="s">
        <v>369</v>
      </c>
      <c r="D2085" t="s">
        <v>3920</v>
      </c>
      <c r="E2085" t="s">
        <v>4068</v>
      </c>
      <c r="F2085" s="117" t="s">
        <v>4068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14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>
      <c r="A2086" s="93" t="s">
        <v>3747</v>
      </c>
      <c r="B2086" s="149" t="str">
        <f>IFERROR(VLOOKUP(Proc[[#This Row],[App]],Table2[],3,0),"open")</f>
        <v>ok</v>
      </c>
      <c r="C2086" s="93" t="s">
        <v>369</v>
      </c>
      <c r="D2086" t="s">
        <v>3921</v>
      </c>
      <c r="E2086" t="s">
        <v>4068</v>
      </c>
      <c r="F2086" s="117" t="s">
        <v>4068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14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>
      <c r="A2087" s="93" t="s">
        <v>3747</v>
      </c>
      <c r="B2087" s="149" t="str">
        <f>IFERROR(VLOOKUP(Proc[[#This Row],[App]],Table2[],3,0),"open")</f>
        <v>ok</v>
      </c>
      <c r="C2087" s="93" t="s">
        <v>369</v>
      </c>
      <c r="D2087" t="s">
        <v>3922</v>
      </c>
      <c r="E2087" t="s">
        <v>4068</v>
      </c>
      <c r="F2087" s="117" t="s">
        <v>4068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14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>
      <c r="A2088" s="93" t="s">
        <v>3747</v>
      </c>
      <c r="B2088" s="149" t="str">
        <f>IFERROR(VLOOKUP(Proc[[#This Row],[App]],Table2[],3,0),"open")</f>
        <v>ok</v>
      </c>
      <c r="C2088" s="93" t="s">
        <v>369</v>
      </c>
      <c r="D2088" t="s">
        <v>3923</v>
      </c>
      <c r="E2088" t="s">
        <v>4068</v>
      </c>
      <c r="F2088" s="117" t="s">
        <v>4068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14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>
      <c r="A2089" s="93" t="s">
        <v>3747</v>
      </c>
      <c r="B2089" s="149" t="str">
        <f>IFERROR(VLOOKUP(Proc[[#This Row],[App]],Table2[],3,0),"open")</f>
        <v>ok</v>
      </c>
      <c r="C2089" s="93" t="s">
        <v>369</v>
      </c>
      <c r="D2089" t="s">
        <v>3924</v>
      </c>
      <c r="E2089" t="s">
        <v>4068</v>
      </c>
      <c r="F2089" s="117" t="s">
        <v>4068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14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>
      <c r="A2090" s="93" t="s">
        <v>3747</v>
      </c>
      <c r="B2090" s="149" t="str">
        <f>IFERROR(VLOOKUP(Proc[[#This Row],[App]],Table2[],3,0),"open")</f>
        <v>ok</v>
      </c>
      <c r="C2090" s="93" t="s">
        <v>369</v>
      </c>
      <c r="D2090" t="s">
        <v>3925</v>
      </c>
      <c r="E2090" t="s">
        <v>4068</v>
      </c>
      <c r="F2090" s="117" t="s">
        <v>4068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14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>
      <c r="A2091" s="93" t="s">
        <v>3747</v>
      </c>
      <c r="B2091" s="149" t="str">
        <f>IFERROR(VLOOKUP(Proc[[#This Row],[App]],Table2[],3,0),"open")</f>
        <v>ok</v>
      </c>
      <c r="C2091" s="93" t="s">
        <v>369</v>
      </c>
      <c r="D2091" t="s">
        <v>3926</v>
      </c>
      <c r="E2091" t="s">
        <v>4068</v>
      </c>
      <c r="F2091" s="117" t="s">
        <v>4068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14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>
      <c r="A2092" s="93" t="s">
        <v>3747</v>
      </c>
      <c r="B2092" s="149" t="str">
        <f>IFERROR(VLOOKUP(Proc[[#This Row],[App]],Table2[],3,0),"open")</f>
        <v>ok</v>
      </c>
      <c r="C2092" s="93" t="s">
        <v>369</v>
      </c>
      <c r="D2092" t="s">
        <v>3927</v>
      </c>
      <c r="E2092" t="s">
        <v>4068</v>
      </c>
      <c r="F2092" s="117" t="s">
        <v>4068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14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>
      <c r="A2093" s="93" t="s">
        <v>3747</v>
      </c>
      <c r="B2093" s="149" t="str">
        <f>IFERROR(VLOOKUP(Proc[[#This Row],[App]],Table2[],3,0),"open")</f>
        <v>ok</v>
      </c>
      <c r="C2093" s="93" t="s">
        <v>369</v>
      </c>
      <c r="D2093" t="s">
        <v>3928</v>
      </c>
      <c r="E2093" t="s">
        <v>4068</v>
      </c>
      <c r="F2093" s="117" t="s">
        <v>4068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14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>
      <c r="A2094" s="93" t="s">
        <v>3747</v>
      </c>
      <c r="B2094" s="149" t="str">
        <f>IFERROR(VLOOKUP(Proc[[#This Row],[App]],Table2[],3,0),"open")</f>
        <v>ok</v>
      </c>
      <c r="C2094" s="93" t="s">
        <v>369</v>
      </c>
      <c r="D2094" t="s">
        <v>3929</v>
      </c>
      <c r="E2094" t="s">
        <v>4068</v>
      </c>
      <c r="F2094" s="117" t="s">
        <v>4068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14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>
      <c r="A2095" s="93" t="s">
        <v>3747</v>
      </c>
      <c r="B2095" s="149" t="str">
        <f>IFERROR(VLOOKUP(Proc[[#This Row],[App]],Table2[],3,0),"open")</f>
        <v>ok</v>
      </c>
      <c r="C2095" s="93" t="s">
        <v>369</v>
      </c>
      <c r="D2095" t="s">
        <v>3930</v>
      </c>
      <c r="E2095" t="s">
        <v>4068</v>
      </c>
      <c r="F2095" s="117" t="s">
        <v>4068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14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>
      <c r="A2096" s="93" t="s">
        <v>3747</v>
      </c>
      <c r="B2096" s="149" t="str">
        <f>IFERROR(VLOOKUP(Proc[[#This Row],[App]],Table2[],3,0),"open")</f>
        <v>ok</v>
      </c>
      <c r="C2096" s="93" t="s">
        <v>369</v>
      </c>
      <c r="D2096" t="s">
        <v>3931</v>
      </c>
      <c r="E2096" t="s">
        <v>4068</v>
      </c>
      <c r="F2096" s="117" t="s">
        <v>4068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14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>
      <c r="A2097" s="93" t="s">
        <v>3747</v>
      </c>
      <c r="B2097" s="149" t="str">
        <f>IFERROR(VLOOKUP(Proc[[#This Row],[App]],Table2[],3,0),"open")</f>
        <v>ok</v>
      </c>
      <c r="C2097" s="93" t="s">
        <v>369</v>
      </c>
      <c r="D2097" t="s">
        <v>3932</v>
      </c>
      <c r="E2097" t="s">
        <v>4068</v>
      </c>
      <c r="F2097" s="117" t="s">
        <v>4068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14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>
      <c r="A2098" s="93" t="s">
        <v>3747</v>
      </c>
      <c r="B2098" s="149" t="str">
        <f>IFERROR(VLOOKUP(Proc[[#This Row],[App]],Table2[],3,0),"open")</f>
        <v>ok</v>
      </c>
      <c r="C2098" s="93" t="s">
        <v>369</v>
      </c>
      <c r="D2098" t="s">
        <v>3933</v>
      </c>
      <c r="E2098" t="s">
        <v>4068</v>
      </c>
      <c r="F2098" s="117" t="s">
        <v>4068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14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>
      <c r="A2099" s="93" t="s">
        <v>3747</v>
      </c>
      <c r="B2099" s="149" t="str">
        <f>IFERROR(VLOOKUP(Proc[[#This Row],[App]],Table2[],3,0),"open")</f>
        <v>ok</v>
      </c>
      <c r="C2099" s="93" t="s">
        <v>369</v>
      </c>
      <c r="D2099" t="s">
        <v>3934</v>
      </c>
      <c r="E2099" t="s">
        <v>4068</v>
      </c>
      <c r="F2099" s="117" t="s">
        <v>4068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14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>
      <c r="A2100" s="93" t="s">
        <v>3747</v>
      </c>
      <c r="B2100" s="149" t="str">
        <f>IFERROR(VLOOKUP(Proc[[#This Row],[App]],Table2[],3,0),"open")</f>
        <v>ok</v>
      </c>
      <c r="C2100" s="93" t="s">
        <v>369</v>
      </c>
      <c r="D2100" t="s">
        <v>3935</v>
      </c>
      <c r="E2100" t="s">
        <v>4068</v>
      </c>
      <c r="F2100" s="117" t="s">
        <v>4068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14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>
      <c r="A2101" s="93" t="s">
        <v>3747</v>
      </c>
      <c r="B2101" s="149" t="str">
        <f>IFERROR(VLOOKUP(Proc[[#This Row],[App]],Table2[],3,0),"open")</f>
        <v>ok</v>
      </c>
      <c r="C2101" s="93" t="s">
        <v>369</v>
      </c>
      <c r="D2101" t="s">
        <v>3936</v>
      </c>
      <c r="E2101" t="s">
        <v>4068</v>
      </c>
      <c r="F2101" s="117" t="s">
        <v>4068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14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>
      <c r="A2102" s="93" t="s">
        <v>3747</v>
      </c>
      <c r="B2102" s="149" t="str">
        <f>IFERROR(VLOOKUP(Proc[[#This Row],[App]],Table2[],3,0),"open")</f>
        <v>ok</v>
      </c>
      <c r="C2102" s="93" t="s">
        <v>369</v>
      </c>
      <c r="D2102" t="s">
        <v>3937</v>
      </c>
      <c r="E2102" t="s">
        <v>4068</v>
      </c>
      <c r="F2102" s="117" t="s">
        <v>4068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14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>
      <c r="A2103" s="93" t="s">
        <v>3747</v>
      </c>
      <c r="B2103" s="149" t="str">
        <f>IFERROR(VLOOKUP(Proc[[#This Row],[App]],Table2[],3,0),"open")</f>
        <v>ok</v>
      </c>
      <c r="C2103" s="93" t="s">
        <v>369</v>
      </c>
      <c r="D2103" t="s">
        <v>3938</v>
      </c>
      <c r="E2103" t="s">
        <v>4068</v>
      </c>
      <c r="F2103" s="117" t="s">
        <v>4068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14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>
      <c r="A2104" s="93" t="s">
        <v>3747</v>
      </c>
      <c r="B2104" s="149" t="str">
        <f>IFERROR(VLOOKUP(Proc[[#This Row],[App]],Table2[],3,0),"open")</f>
        <v>ok</v>
      </c>
      <c r="C2104" s="93" t="s">
        <v>369</v>
      </c>
      <c r="D2104" t="s">
        <v>3939</v>
      </c>
      <c r="E2104" t="s">
        <v>4068</v>
      </c>
      <c r="F2104" s="117" t="s">
        <v>4068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14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>
      <c r="A2105" s="93" t="s">
        <v>3747</v>
      </c>
      <c r="B2105" s="149" t="str">
        <f>IFERROR(VLOOKUP(Proc[[#This Row],[App]],Table2[],3,0),"open")</f>
        <v>ok</v>
      </c>
      <c r="C2105" s="93" t="s">
        <v>369</v>
      </c>
      <c r="D2105" t="s">
        <v>3940</v>
      </c>
      <c r="E2105" t="s">
        <v>4068</v>
      </c>
      <c r="F2105" s="117" t="s">
        <v>4068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14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>
      <c r="A2106" s="93" t="s">
        <v>3747</v>
      </c>
      <c r="B2106" s="149" t="str">
        <f>IFERROR(VLOOKUP(Proc[[#This Row],[App]],Table2[],3,0),"open")</f>
        <v>ok</v>
      </c>
      <c r="C2106" s="93" t="s">
        <v>369</v>
      </c>
      <c r="D2106" t="s">
        <v>3941</v>
      </c>
      <c r="E2106" t="s">
        <v>4068</v>
      </c>
      <c r="F2106" s="117" t="s">
        <v>4068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14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>
      <c r="A2107" s="93" t="s">
        <v>3747</v>
      </c>
      <c r="B2107" s="149" t="str">
        <f>IFERROR(VLOOKUP(Proc[[#This Row],[App]],Table2[],3,0),"open")</f>
        <v>ok</v>
      </c>
      <c r="C2107" s="93" t="s">
        <v>369</v>
      </c>
      <c r="D2107" t="s">
        <v>3942</v>
      </c>
      <c r="E2107" t="s">
        <v>4068</v>
      </c>
      <c r="F2107" s="117" t="s">
        <v>4068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14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>
      <c r="A2108" s="93" t="s">
        <v>3747</v>
      </c>
      <c r="B2108" s="149" t="str">
        <f>IFERROR(VLOOKUP(Proc[[#This Row],[App]],Table2[],3,0),"open")</f>
        <v>ok</v>
      </c>
      <c r="C2108" s="93" t="s">
        <v>369</v>
      </c>
      <c r="D2108" t="s">
        <v>3943</v>
      </c>
      <c r="E2108" t="s">
        <v>4068</v>
      </c>
      <c r="F2108" s="117" t="s">
        <v>4068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14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>
      <c r="A2109" s="93" t="s">
        <v>3747</v>
      </c>
      <c r="B2109" s="149" t="str">
        <f>IFERROR(VLOOKUP(Proc[[#This Row],[App]],Table2[],3,0),"open")</f>
        <v>ok</v>
      </c>
      <c r="C2109" s="93" t="s">
        <v>369</v>
      </c>
      <c r="D2109" t="s">
        <v>3944</v>
      </c>
      <c r="E2109" t="s">
        <v>4068</v>
      </c>
      <c r="F2109" s="117" t="s">
        <v>4068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14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>
      <c r="A2110" s="93" t="s">
        <v>3747</v>
      </c>
      <c r="B2110" s="149" t="str">
        <f>IFERROR(VLOOKUP(Proc[[#This Row],[App]],Table2[],3,0),"open")</f>
        <v>ok</v>
      </c>
      <c r="C2110" s="93" t="s">
        <v>369</v>
      </c>
      <c r="D2110" t="s">
        <v>3945</v>
      </c>
      <c r="E2110" t="s">
        <v>4068</v>
      </c>
      <c r="F2110" s="117" t="s">
        <v>4068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14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>
      <c r="A2111" s="93" t="s">
        <v>3747</v>
      </c>
      <c r="B2111" s="149" t="str">
        <f>IFERROR(VLOOKUP(Proc[[#This Row],[App]],Table2[],3,0),"open")</f>
        <v>ok</v>
      </c>
      <c r="C2111" s="93" t="s">
        <v>369</v>
      </c>
      <c r="D2111" t="s">
        <v>3946</v>
      </c>
      <c r="E2111" t="s">
        <v>4068</v>
      </c>
      <c r="F2111" s="117" t="s">
        <v>4068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14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>
      <c r="A2112" s="93" t="s">
        <v>3747</v>
      </c>
      <c r="B2112" s="149" t="str">
        <f>IFERROR(VLOOKUP(Proc[[#This Row],[App]],Table2[],3,0),"open")</f>
        <v>ok</v>
      </c>
      <c r="C2112" s="93" t="s">
        <v>369</v>
      </c>
      <c r="D2112" t="s">
        <v>3947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14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>
      <c r="A2113" s="93" t="s">
        <v>3747</v>
      </c>
      <c r="B2113" s="149" t="str">
        <f>IFERROR(VLOOKUP(Proc[[#This Row],[App]],Table2[],3,0),"open")</f>
        <v>ok</v>
      </c>
      <c r="C2113" s="93" t="s">
        <v>369</v>
      </c>
      <c r="D2113" t="s">
        <v>3948</v>
      </c>
      <c r="E2113" t="s">
        <v>4068</v>
      </c>
      <c r="F2113" s="117" t="s">
        <v>4068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14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>
      <c r="A2114" s="93" t="s">
        <v>3747</v>
      </c>
      <c r="B2114" s="149" t="str">
        <f>IFERROR(VLOOKUP(Proc[[#This Row],[App]],Table2[],3,0),"open")</f>
        <v>ok</v>
      </c>
      <c r="C2114" s="93" t="s">
        <v>369</v>
      </c>
      <c r="D2114" t="s">
        <v>3949</v>
      </c>
      <c r="E2114" t="s">
        <v>4068</v>
      </c>
      <c r="F2114" s="117" t="s">
        <v>4068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14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>
      <c r="A2115" s="93" t="s">
        <v>3747</v>
      </c>
      <c r="B2115" s="149" t="str">
        <f>IFERROR(VLOOKUP(Proc[[#This Row],[App]],Table2[],3,0),"open")</f>
        <v>ok</v>
      </c>
      <c r="C2115" s="93" t="s">
        <v>369</v>
      </c>
      <c r="D2115" t="s">
        <v>3950</v>
      </c>
      <c r="E2115" t="s">
        <v>4068</v>
      </c>
      <c r="F2115" s="117" t="s">
        <v>4068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14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>
      <c r="A2116" s="93" t="s">
        <v>3747</v>
      </c>
      <c r="B2116" s="149" t="str">
        <f>IFERROR(VLOOKUP(Proc[[#This Row],[App]],Table2[],3,0),"open")</f>
        <v>ok</v>
      </c>
      <c r="C2116" s="93" t="s">
        <v>369</v>
      </c>
      <c r="D2116" t="s">
        <v>3951</v>
      </c>
      <c r="E2116" t="s">
        <v>4068</v>
      </c>
      <c r="F2116" s="117" t="s">
        <v>4068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14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>
      <c r="A2117" s="93" t="s">
        <v>3747</v>
      </c>
      <c r="B2117" s="149" t="str">
        <f>IFERROR(VLOOKUP(Proc[[#This Row],[App]],Table2[],3,0),"open")</f>
        <v>ok</v>
      </c>
      <c r="C2117" s="93" t="s">
        <v>369</v>
      </c>
      <c r="D2117" t="s">
        <v>3952</v>
      </c>
      <c r="E2117" t="s">
        <v>4068</v>
      </c>
      <c r="F2117" s="117" t="s">
        <v>4068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14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>
      <c r="A2118" s="93" t="s">
        <v>3747</v>
      </c>
      <c r="B2118" s="149" t="str">
        <f>IFERROR(VLOOKUP(Proc[[#This Row],[App]],Table2[],3,0),"open")</f>
        <v>ok</v>
      </c>
      <c r="C2118" s="93" t="s">
        <v>369</v>
      </c>
      <c r="D2118" t="s">
        <v>3953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14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>
      <c r="A2119" s="93" t="s">
        <v>3747</v>
      </c>
      <c r="B2119" s="149" t="str">
        <f>IFERROR(VLOOKUP(Proc[[#This Row],[App]],Table2[],3,0),"open")</f>
        <v>ok</v>
      </c>
      <c r="C2119" s="93" t="s">
        <v>369</v>
      </c>
      <c r="D2119" t="s">
        <v>3954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14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>
      <c r="A2120" s="93" t="s">
        <v>3747</v>
      </c>
      <c r="B2120" s="149" t="str">
        <f>IFERROR(VLOOKUP(Proc[[#This Row],[App]],Table2[],3,0),"open")</f>
        <v>ok</v>
      </c>
      <c r="C2120" s="93" t="s">
        <v>369</v>
      </c>
      <c r="D2120" t="s">
        <v>3955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14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>
      <c r="A2121" s="93" t="s">
        <v>3747</v>
      </c>
      <c r="B2121" s="149" t="str">
        <f>IFERROR(VLOOKUP(Proc[[#This Row],[App]],Table2[],3,0),"open")</f>
        <v>ok</v>
      </c>
      <c r="C2121" s="93" t="s">
        <v>369</v>
      </c>
      <c r="D2121" t="s">
        <v>3956</v>
      </c>
      <c r="E2121" t="s">
        <v>4069</v>
      </c>
      <c r="F2121" s="117" t="s">
        <v>4069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14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>
      <c r="A2122" s="93" t="s">
        <v>3747</v>
      </c>
      <c r="B2122" s="149" t="str">
        <f>IFERROR(VLOOKUP(Proc[[#This Row],[App]],Table2[],3,0),"open")</f>
        <v>ok</v>
      </c>
      <c r="C2122" s="93" t="s">
        <v>369</v>
      </c>
      <c r="D2122" t="s">
        <v>3957</v>
      </c>
      <c r="E2122" t="s">
        <v>4068</v>
      </c>
      <c r="F2122" s="117" t="s">
        <v>4068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14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>
      <c r="A2123" s="93" t="s">
        <v>3747</v>
      </c>
      <c r="B2123" s="149" t="str">
        <f>IFERROR(VLOOKUP(Proc[[#This Row],[App]],Table2[],3,0),"open")</f>
        <v>ok</v>
      </c>
      <c r="C2123" s="93" t="s">
        <v>369</v>
      </c>
      <c r="D2123" t="s">
        <v>3958</v>
      </c>
      <c r="E2123" t="s">
        <v>4068</v>
      </c>
      <c r="F2123" s="117" t="s">
        <v>4068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14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>
      <c r="A2124" s="93" t="s">
        <v>3747</v>
      </c>
      <c r="B2124" s="149" t="str">
        <f>IFERROR(VLOOKUP(Proc[[#This Row],[App]],Table2[],3,0),"open")</f>
        <v>ok</v>
      </c>
      <c r="C2124" s="93" t="s">
        <v>369</v>
      </c>
      <c r="D2124" t="s">
        <v>3959</v>
      </c>
      <c r="E2124" t="s">
        <v>4068</v>
      </c>
      <c r="F2124" s="117" t="s">
        <v>4068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14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>
      <c r="A2125" s="93" t="s">
        <v>3747</v>
      </c>
      <c r="B2125" s="149" t="str">
        <f>IFERROR(VLOOKUP(Proc[[#This Row],[App]],Table2[],3,0),"open")</f>
        <v>ok</v>
      </c>
      <c r="C2125" s="93" t="s">
        <v>369</v>
      </c>
      <c r="D2125" t="s">
        <v>3960</v>
      </c>
      <c r="E2125" t="s">
        <v>4068</v>
      </c>
      <c r="F2125" s="117" t="s">
        <v>4068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14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>
      <c r="A2126" s="93" t="s">
        <v>3747</v>
      </c>
      <c r="B2126" s="149" t="str">
        <f>IFERROR(VLOOKUP(Proc[[#This Row],[App]],Table2[],3,0),"open")</f>
        <v>ok</v>
      </c>
      <c r="C2126" s="93" t="s">
        <v>369</v>
      </c>
      <c r="D2126" t="s">
        <v>3961</v>
      </c>
      <c r="E2126" t="s">
        <v>4068</v>
      </c>
      <c r="F2126" s="117" t="s">
        <v>4068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14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>
      <c r="A2127" s="93" t="s">
        <v>3747</v>
      </c>
      <c r="B2127" s="149" t="str">
        <f>IFERROR(VLOOKUP(Proc[[#This Row],[App]],Table2[],3,0),"open")</f>
        <v>ok</v>
      </c>
      <c r="C2127" s="93" t="s">
        <v>369</v>
      </c>
      <c r="D2127" t="s">
        <v>3962</v>
      </c>
      <c r="E2127" t="s">
        <v>4068</v>
      </c>
      <c r="F2127" s="117" t="s">
        <v>4068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14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>
      <c r="A2128" s="93" t="s">
        <v>3747</v>
      </c>
      <c r="B2128" s="149" t="str">
        <f>IFERROR(VLOOKUP(Proc[[#This Row],[App]],Table2[],3,0),"open")</f>
        <v>ok</v>
      </c>
      <c r="C2128" s="93" t="s">
        <v>369</v>
      </c>
      <c r="D2128" t="s">
        <v>3963</v>
      </c>
      <c r="E2128" t="s">
        <v>4068</v>
      </c>
      <c r="F2128" s="117" t="s">
        <v>4068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14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>
      <c r="A2129" s="93" t="s">
        <v>3747</v>
      </c>
      <c r="B2129" s="149" t="str">
        <f>IFERROR(VLOOKUP(Proc[[#This Row],[App]],Table2[],3,0),"open")</f>
        <v>ok</v>
      </c>
      <c r="C2129" s="93" t="s">
        <v>369</v>
      </c>
      <c r="D2129" t="s">
        <v>3964</v>
      </c>
      <c r="E2129" t="s">
        <v>4068</v>
      </c>
      <c r="F2129" s="117" t="s">
        <v>4068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14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>
      <c r="A2130" s="93" t="s">
        <v>3747</v>
      </c>
      <c r="B2130" s="149" t="str">
        <f>IFERROR(VLOOKUP(Proc[[#This Row],[App]],Table2[],3,0),"open")</f>
        <v>ok</v>
      </c>
      <c r="C2130" s="93" t="s">
        <v>369</v>
      </c>
      <c r="D2130" t="s">
        <v>3965</v>
      </c>
      <c r="E2130" t="s">
        <v>4068</v>
      </c>
      <c r="F2130" s="117" t="s">
        <v>4068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14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>
      <c r="A2131" s="93" t="s">
        <v>3747</v>
      </c>
      <c r="B2131" s="149" t="str">
        <f>IFERROR(VLOOKUP(Proc[[#This Row],[App]],Table2[],3,0),"open")</f>
        <v>ok</v>
      </c>
      <c r="C2131" s="93" t="s">
        <v>369</v>
      </c>
      <c r="D2131" t="s">
        <v>3966</v>
      </c>
      <c r="E2131" t="s">
        <v>4068</v>
      </c>
      <c r="F2131" s="117" t="s">
        <v>4068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14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>
      <c r="A2132" s="93" t="s">
        <v>3747</v>
      </c>
      <c r="B2132" s="149" t="str">
        <f>IFERROR(VLOOKUP(Proc[[#This Row],[App]],Table2[],3,0),"open")</f>
        <v>ok</v>
      </c>
      <c r="C2132" s="93" t="s">
        <v>369</v>
      </c>
      <c r="D2132" t="s">
        <v>3967</v>
      </c>
      <c r="E2132" t="s">
        <v>4068</v>
      </c>
      <c r="F2132" s="117" t="s">
        <v>4068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14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>
      <c r="A2133" s="93" t="s">
        <v>3747</v>
      </c>
      <c r="B2133" s="149" t="str">
        <f>IFERROR(VLOOKUP(Proc[[#This Row],[App]],Table2[],3,0),"open")</f>
        <v>ok</v>
      </c>
      <c r="C2133" s="93" t="s">
        <v>369</v>
      </c>
      <c r="D2133" t="s">
        <v>3968</v>
      </c>
      <c r="E2133" t="s">
        <v>4068</v>
      </c>
      <c r="F2133" s="117" t="s">
        <v>4068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14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>
      <c r="A2134" s="93" t="s">
        <v>3747</v>
      </c>
      <c r="B2134" s="149" t="str">
        <f>IFERROR(VLOOKUP(Proc[[#This Row],[App]],Table2[],3,0),"open")</f>
        <v>ok</v>
      </c>
      <c r="C2134" s="93" t="s">
        <v>369</v>
      </c>
      <c r="D2134" t="s">
        <v>3969</v>
      </c>
      <c r="E2134" t="s">
        <v>4068</v>
      </c>
      <c r="F2134" s="117" t="s">
        <v>4068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14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>
      <c r="A2135" s="93" t="s">
        <v>3747</v>
      </c>
      <c r="B2135" s="149" t="str">
        <f>IFERROR(VLOOKUP(Proc[[#This Row],[App]],Table2[],3,0),"open")</f>
        <v>ok</v>
      </c>
      <c r="C2135" s="93" t="s">
        <v>369</v>
      </c>
      <c r="D2135" t="s">
        <v>3970</v>
      </c>
      <c r="E2135" t="s">
        <v>4068</v>
      </c>
      <c r="F2135" s="117" t="s">
        <v>4068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14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>
      <c r="A2136" s="93" t="s">
        <v>3747</v>
      </c>
      <c r="B2136" s="149" t="str">
        <f>IFERROR(VLOOKUP(Proc[[#This Row],[App]],Table2[],3,0),"open")</f>
        <v>ok</v>
      </c>
      <c r="C2136" s="93" t="s">
        <v>369</v>
      </c>
      <c r="D2136" t="s">
        <v>3971</v>
      </c>
      <c r="E2136" t="s">
        <v>4068</v>
      </c>
      <c r="F2136" s="117" t="s">
        <v>4068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14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>
      <c r="A2137" s="93" t="s">
        <v>3747</v>
      </c>
      <c r="B2137" s="149" t="str">
        <f>IFERROR(VLOOKUP(Proc[[#This Row],[App]],Table2[],3,0),"open")</f>
        <v>ok</v>
      </c>
      <c r="C2137" s="93" t="s">
        <v>369</v>
      </c>
      <c r="D2137" t="s">
        <v>3972</v>
      </c>
      <c r="E2137" t="s">
        <v>4068</v>
      </c>
      <c r="F2137" s="117" t="s">
        <v>4068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14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>
      <c r="A2138" s="93" t="s">
        <v>3747</v>
      </c>
      <c r="B2138" s="149" t="str">
        <f>IFERROR(VLOOKUP(Proc[[#This Row],[App]],Table2[],3,0),"open")</f>
        <v>ok</v>
      </c>
      <c r="C2138" s="93" t="s">
        <v>369</v>
      </c>
      <c r="D2138" t="s">
        <v>3973</v>
      </c>
      <c r="E2138" t="s">
        <v>4068</v>
      </c>
      <c r="F2138" s="117" t="s">
        <v>4068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14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>
      <c r="A2139" s="93" t="s">
        <v>3747</v>
      </c>
      <c r="B2139" s="149" t="str">
        <f>IFERROR(VLOOKUP(Proc[[#This Row],[App]],Table2[],3,0),"open")</f>
        <v>ok</v>
      </c>
      <c r="C2139" s="93" t="s">
        <v>369</v>
      </c>
      <c r="D2139" t="s">
        <v>3974</v>
      </c>
      <c r="E2139" t="s">
        <v>4068</v>
      </c>
      <c r="F2139" s="117" t="s">
        <v>4068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14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>
      <c r="A2140" s="93" t="s">
        <v>3747</v>
      </c>
      <c r="B2140" s="149" t="str">
        <f>IFERROR(VLOOKUP(Proc[[#This Row],[App]],Table2[],3,0),"open")</f>
        <v>ok</v>
      </c>
      <c r="C2140" s="93" t="s">
        <v>369</v>
      </c>
      <c r="D2140" t="s">
        <v>3975</v>
      </c>
      <c r="E2140" t="s">
        <v>4068</v>
      </c>
      <c r="F2140" s="117" t="s">
        <v>4068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14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>
      <c r="A2141" s="93" t="s">
        <v>3747</v>
      </c>
      <c r="B2141" s="149" t="str">
        <f>IFERROR(VLOOKUP(Proc[[#This Row],[App]],Table2[],3,0),"open")</f>
        <v>ok</v>
      </c>
      <c r="C2141" s="93" t="s">
        <v>369</v>
      </c>
      <c r="D2141" t="s">
        <v>3976</v>
      </c>
      <c r="E2141" t="s">
        <v>4068</v>
      </c>
      <c r="F2141" s="117" t="s">
        <v>4068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14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>
      <c r="A2142" s="93" t="s">
        <v>3747</v>
      </c>
      <c r="B2142" s="149" t="str">
        <f>IFERROR(VLOOKUP(Proc[[#This Row],[App]],Table2[],3,0),"open")</f>
        <v>ok</v>
      </c>
      <c r="C2142" s="93" t="s">
        <v>369</v>
      </c>
      <c r="D2142" t="s">
        <v>3977</v>
      </c>
      <c r="E2142" t="s">
        <v>4068</v>
      </c>
      <c r="F2142" s="117" t="s">
        <v>4068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14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>
      <c r="A2143" s="93" t="s">
        <v>3747</v>
      </c>
      <c r="B2143" s="149" t="str">
        <f>IFERROR(VLOOKUP(Proc[[#This Row],[App]],Table2[],3,0),"open")</f>
        <v>ok</v>
      </c>
      <c r="C2143" s="93" t="s">
        <v>369</v>
      </c>
      <c r="D2143" t="s">
        <v>3978</v>
      </c>
      <c r="E2143" t="s">
        <v>4068</v>
      </c>
      <c r="F2143" s="117" t="s">
        <v>4068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14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>
      <c r="A2144" s="93" t="s">
        <v>3747</v>
      </c>
      <c r="B2144" s="149" t="str">
        <f>IFERROR(VLOOKUP(Proc[[#This Row],[App]],Table2[],3,0),"open")</f>
        <v>ok</v>
      </c>
      <c r="C2144" s="93" t="s">
        <v>369</v>
      </c>
      <c r="D2144" t="s">
        <v>3979</v>
      </c>
      <c r="E2144" t="s">
        <v>4068</v>
      </c>
      <c r="F2144" s="117" t="s">
        <v>4068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14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>
      <c r="A2145" s="93" t="s">
        <v>3747</v>
      </c>
      <c r="B2145" s="149" t="str">
        <f>IFERROR(VLOOKUP(Proc[[#This Row],[App]],Table2[],3,0),"open")</f>
        <v>ok</v>
      </c>
      <c r="C2145" s="93" t="s">
        <v>369</v>
      </c>
      <c r="D2145" t="s">
        <v>3980</v>
      </c>
      <c r="E2145" t="s">
        <v>4068</v>
      </c>
      <c r="F2145" s="117" t="s">
        <v>4068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14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>
      <c r="A2146" s="93" t="s">
        <v>3747</v>
      </c>
      <c r="B2146" s="149" t="str">
        <f>IFERROR(VLOOKUP(Proc[[#This Row],[App]],Table2[],3,0),"open")</f>
        <v>ok</v>
      </c>
      <c r="C2146" s="93" t="s">
        <v>369</v>
      </c>
      <c r="D2146" t="s">
        <v>3981</v>
      </c>
      <c r="E2146" t="s">
        <v>4068</v>
      </c>
      <c r="F2146" s="117" t="s">
        <v>4068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14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>
      <c r="A2147" s="93" t="s">
        <v>3747</v>
      </c>
      <c r="B2147" s="149" t="str">
        <f>IFERROR(VLOOKUP(Proc[[#This Row],[App]],Table2[],3,0),"open")</f>
        <v>ok</v>
      </c>
      <c r="C2147" s="93" t="s">
        <v>369</v>
      </c>
      <c r="D2147" t="s">
        <v>3982</v>
      </c>
      <c r="E2147" t="s">
        <v>4068</v>
      </c>
      <c r="F2147" s="117" t="s">
        <v>4068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14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>
      <c r="A2148" s="93" t="s">
        <v>3747</v>
      </c>
      <c r="B2148" s="149" t="str">
        <f>IFERROR(VLOOKUP(Proc[[#This Row],[App]],Table2[],3,0),"open")</f>
        <v>ok</v>
      </c>
      <c r="C2148" s="93" t="s">
        <v>369</v>
      </c>
      <c r="D2148" t="s">
        <v>3983</v>
      </c>
      <c r="E2148" t="s">
        <v>4068</v>
      </c>
      <c r="F2148" s="117" t="s">
        <v>4068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14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>
      <c r="A2149" s="93" t="s">
        <v>3747</v>
      </c>
      <c r="B2149" s="149" t="str">
        <f>IFERROR(VLOOKUP(Proc[[#This Row],[App]],Table2[],3,0),"open")</f>
        <v>ok</v>
      </c>
      <c r="C2149" s="93" t="s">
        <v>369</v>
      </c>
      <c r="D2149" t="s">
        <v>3984</v>
      </c>
      <c r="E2149" t="s">
        <v>4068</v>
      </c>
      <c r="F2149" s="117" t="s">
        <v>4068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14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>
      <c r="A2150" s="93" t="s">
        <v>3747</v>
      </c>
      <c r="B2150" s="149" t="str">
        <f>IFERROR(VLOOKUP(Proc[[#This Row],[App]],Table2[],3,0),"open")</f>
        <v>ok</v>
      </c>
      <c r="C2150" s="93" t="s">
        <v>369</v>
      </c>
      <c r="D2150" t="s">
        <v>3985</v>
      </c>
      <c r="E2150" t="s">
        <v>4068</v>
      </c>
      <c r="F2150" s="117" t="s">
        <v>4068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14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>
      <c r="A2151" s="93" t="s">
        <v>3747</v>
      </c>
      <c r="B2151" s="149" t="str">
        <f>IFERROR(VLOOKUP(Proc[[#This Row],[App]],Table2[],3,0),"open")</f>
        <v>ok</v>
      </c>
      <c r="C2151" s="93" t="s">
        <v>369</v>
      </c>
      <c r="D2151" t="s">
        <v>3986</v>
      </c>
      <c r="E2151" t="s">
        <v>4068</v>
      </c>
      <c r="F2151" s="117" t="s">
        <v>4068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14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>
      <c r="A2152" s="93" t="s">
        <v>3747</v>
      </c>
      <c r="B2152" s="149" t="str">
        <f>IFERROR(VLOOKUP(Proc[[#This Row],[App]],Table2[],3,0),"open")</f>
        <v>ok</v>
      </c>
      <c r="C2152" s="93" t="s">
        <v>369</v>
      </c>
      <c r="D2152" t="s">
        <v>3987</v>
      </c>
      <c r="E2152" t="s">
        <v>4068</v>
      </c>
      <c r="F2152" s="117" t="s">
        <v>4068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14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>
      <c r="A2153" s="93" t="s">
        <v>3747</v>
      </c>
      <c r="B2153" s="149" t="str">
        <f>IFERROR(VLOOKUP(Proc[[#This Row],[App]],Table2[],3,0),"open")</f>
        <v>ok</v>
      </c>
      <c r="C2153" s="93" t="s">
        <v>369</v>
      </c>
      <c r="D2153" t="s">
        <v>3988</v>
      </c>
      <c r="E2153" t="s">
        <v>4068</v>
      </c>
      <c r="F2153" s="117" t="s">
        <v>4068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14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>
      <c r="A2154" s="93" t="s">
        <v>3747</v>
      </c>
      <c r="B2154" s="149" t="str">
        <f>IFERROR(VLOOKUP(Proc[[#This Row],[App]],Table2[],3,0),"open")</f>
        <v>ok</v>
      </c>
      <c r="C2154" s="93" t="s">
        <v>369</v>
      </c>
      <c r="D2154" t="s">
        <v>3989</v>
      </c>
      <c r="E2154" t="s">
        <v>4068</v>
      </c>
      <c r="F2154" s="117" t="s">
        <v>4068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14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>
      <c r="A2155" s="93" t="s">
        <v>3747</v>
      </c>
      <c r="B2155" s="149" t="str">
        <f>IFERROR(VLOOKUP(Proc[[#This Row],[App]],Table2[],3,0),"open")</f>
        <v>ok</v>
      </c>
      <c r="C2155" s="93" t="s">
        <v>369</v>
      </c>
      <c r="D2155" t="s">
        <v>3990</v>
      </c>
      <c r="E2155" t="s">
        <v>4068</v>
      </c>
      <c r="F2155" s="117" t="s">
        <v>4068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14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>
      <c r="A2156" s="93" t="s">
        <v>3747</v>
      </c>
      <c r="B2156" s="149" t="str">
        <f>IFERROR(VLOOKUP(Proc[[#This Row],[App]],Table2[],3,0),"open")</f>
        <v>ok</v>
      </c>
      <c r="C2156" s="93" t="s">
        <v>369</v>
      </c>
      <c r="D2156" t="s">
        <v>3991</v>
      </c>
      <c r="E2156" t="s">
        <v>4068</v>
      </c>
      <c r="F2156" s="117" t="s">
        <v>4068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14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>
      <c r="A2157" s="93" t="s">
        <v>3747</v>
      </c>
      <c r="B2157" s="149" t="str">
        <f>IFERROR(VLOOKUP(Proc[[#This Row],[App]],Table2[],3,0),"open")</f>
        <v>ok</v>
      </c>
      <c r="C2157" s="93" t="s">
        <v>369</v>
      </c>
      <c r="D2157" t="s">
        <v>3992</v>
      </c>
      <c r="E2157" t="s">
        <v>4068</v>
      </c>
      <c r="F2157" s="117" t="s">
        <v>4068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14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>
      <c r="A2158" s="93" t="s">
        <v>3747</v>
      </c>
      <c r="B2158" s="149" t="str">
        <f>IFERROR(VLOOKUP(Proc[[#This Row],[App]],Table2[],3,0),"open")</f>
        <v>ok</v>
      </c>
      <c r="C2158" s="93" t="s">
        <v>369</v>
      </c>
      <c r="D2158" t="s">
        <v>3993</v>
      </c>
      <c r="E2158" t="s">
        <v>4068</v>
      </c>
      <c r="F2158" s="117" t="s">
        <v>4068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14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>
      <c r="A2159" s="93" t="s">
        <v>3747</v>
      </c>
      <c r="B2159" s="149" t="str">
        <f>IFERROR(VLOOKUP(Proc[[#This Row],[App]],Table2[],3,0),"open")</f>
        <v>ok</v>
      </c>
      <c r="C2159" s="93" t="s">
        <v>369</v>
      </c>
      <c r="D2159" t="s">
        <v>3994</v>
      </c>
      <c r="E2159" t="s">
        <v>4068</v>
      </c>
      <c r="F2159" s="117" t="s">
        <v>4068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14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>
      <c r="A2160" s="93" t="s">
        <v>3747</v>
      </c>
      <c r="B2160" s="149" t="str">
        <f>IFERROR(VLOOKUP(Proc[[#This Row],[App]],Table2[],3,0),"open")</f>
        <v>ok</v>
      </c>
      <c r="C2160" s="93" t="s">
        <v>369</v>
      </c>
      <c r="D2160" t="s">
        <v>3995</v>
      </c>
      <c r="E2160" t="s">
        <v>4068</v>
      </c>
      <c r="F2160" s="117" t="s">
        <v>4068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14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>
      <c r="A2161" s="93" t="s">
        <v>3747</v>
      </c>
      <c r="B2161" s="149" t="str">
        <f>IFERROR(VLOOKUP(Proc[[#This Row],[App]],Table2[],3,0),"open")</f>
        <v>ok</v>
      </c>
      <c r="C2161" s="93" t="s">
        <v>369</v>
      </c>
      <c r="D2161" t="s">
        <v>3996</v>
      </c>
      <c r="E2161" t="s">
        <v>4068</v>
      </c>
      <c r="F2161" s="117" t="s">
        <v>4068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14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>
      <c r="A2162" s="93" t="s">
        <v>3747</v>
      </c>
      <c r="B2162" s="149" t="str">
        <f>IFERROR(VLOOKUP(Proc[[#This Row],[App]],Table2[],3,0),"open")</f>
        <v>ok</v>
      </c>
      <c r="C2162" s="93" t="s">
        <v>369</v>
      </c>
      <c r="D2162" t="s">
        <v>3997</v>
      </c>
      <c r="E2162" t="s">
        <v>4068</v>
      </c>
      <c r="F2162" s="117" t="s">
        <v>4068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14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>
      <c r="A2163" s="93" t="s">
        <v>3747</v>
      </c>
      <c r="B2163" s="149" t="str">
        <f>IFERROR(VLOOKUP(Proc[[#This Row],[App]],Table2[],3,0),"open")</f>
        <v>ok</v>
      </c>
      <c r="C2163" s="93" t="s">
        <v>369</v>
      </c>
      <c r="D2163" t="s">
        <v>3998</v>
      </c>
      <c r="E2163" t="s">
        <v>4068</v>
      </c>
      <c r="F2163" s="117" t="s">
        <v>4068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14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>
      <c r="A2164" s="93" t="s">
        <v>3747</v>
      </c>
      <c r="B2164" s="149" t="str">
        <f>IFERROR(VLOOKUP(Proc[[#This Row],[App]],Table2[],3,0),"open")</f>
        <v>ok</v>
      </c>
      <c r="C2164" s="93" t="s">
        <v>369</v>
      </c>
      <c r="D2164" t="s">
        <v>3999</v>
      </c>
      <c r="E2164" t="s">
        <v>4068</v>
      </c>
      <c r="F2164" s="117" t="s">
        <v>4068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14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>
      <c r="A2165" s="93" t="s">
        <v>3747</v>
      </c>
      <c r="B2165" s="149" t="str">
        <f>IFERROR(VLOOKUP(Proc[[#This Row],[App]],Table2[],3,0),"open")</f>
        <v>ok</v>
      </c>
      <c r="C2165" s="93" t="s">
        <v>369</v>
      </c>
      <c r="D2165" t="s">
        <v>4000</v>
      </c>
      <c r="E2165" t="s">
        <v>4068</v>
      </c>
      <c r="F2165" s="117" t="s">
        <v>4068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14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>
      <c r="A2166" s="93" t="s">
        <v>3747</v>
      </c>
      <c r="B2166" s="149" t="str">
        <f>IFERROR(VLOOKUP(Proc[[#This Row],[App]],Table2[],3,0),"open")</f>
        <v>ok</v>
      </c>
      <c r="C2166" s="93" t="s">
        <v>369</v>
      </c>
      <c r="D2166" t="s">
        <v>4001</v>
      </c>
      <c r="E2166" t="s">
        <v>4068</v>
      </c>
      <c r="F2166" s="117" t="s">
        <v>4068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14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>
      <c r="A2167" s="93" t="s">
        <v>3747</v>
      </c>
      <c r="B2167" s="149" t="str">
        <f>IFERROR(VLOOKUP(Proc[[#This Row],[App]],Table2[],3,0),"open")</f>
        <v>ok</v>
      </c>
      <c r="C2167" s="93" t="s">
        <v>369</v>
      </c>
      <c r="D2167" t="s">
        <v>4002</v>
      </c>
      <c r="E2167" t="s">
        <v>4068</v>
      </c>
      <c r="F2167" s="117" t="s">
        <v>4068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14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>
      <c r="A2168" s="93" t="s">
        <v>3747</v>
      </c>
      <c r="B2168" s="149" t="str">
        <f>IFERROR(VLOOKUP(Proc[[#This Row],[App]],Table2[],3,0),"open")</f>
        <v>ok</v>
      </c>
      <c r="C2168" s="93" t="s">
        <v>369</v>
      </c>
      <c r="D2168" t="s">
        <v>4003</v>
      </c>
      <c r="E2168" t="s">
        <v>4068</v>
      </c>
      <c r="F2168" s="117" t="s">
        <v>4068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14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>
      <c r="A2169" s="93" t="s">
        <v>3747</v>
      </c>
      <c r="B2169" s="149" t="str">
        <f>IFERROR(VLOOKUP(Proc[[#This Row],[App]],Table2[],3,0),"open")</f>
        <v>ok</v>
      </c>
      <c r="C2169" s="93" t="s">
        <v>369</v>
      </c>
      <c r="D2169" t="s">
        <v>4004</v>
      </c>
      <c r="E2169" t="s">
        <v>4068</v>
      </c>
      <c r="F2169" s="117" t="s">
        <v>4068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14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>
      <c r="A2170" s="93" t="s">
        <v>3747</v>
      </c>
      <c r="B2170" s="149" t="str">
        <f>IFERROR(VLOOKUP(Proc[[#This Row],[App]],Table2[],3,0),"open")</f>
        <v>ok</v>
      </c>
      <c r="C2170" s="93" t="s">
        <v>369</v>
      </c>
      <c r="D2170" t="s">
        <v>4005</v>
      </c>
      <c r="E2170" t="s">
        <v>4068</v>
      </c>
      <c r="F2170" s="117" t="s">
        <v>4068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14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>
      <c r="A2171" s="93" t="s">
        <v>3747</v>
      </c>
      <c r="B2171" s="149" t="str">
        <f>IFERROR(VLOOKUP(Proc[[#This Row],[App]],Table2[],3,0),"open")</f>
        <v>ok</v>
      </c>
      <c r="C2171" s="93" t="s">
        <v>369</v>
      </c>
      <c r="D2171" t="s">
        <v>4006</v>
      </c>
      <c r="E2171" t="s">
        <v>4068</v>
      </c>
      <c r="F2171" s="117" t="s">
        <v>4068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14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>
      <c r="A2172" s="93" t="s">
        <v>3747</v>
      </c>
      <c r="B2172" s="149" t="str">
        <f>IFERROR(VLOOKUP(Proc[[#This Row],[App]],Table2[],3,0),"open")</f>
        <v>ok</v>
      </c>
      <c r="C2172" s="93" t="s">
        <v>369</v>
      </c>
      <c r="D2172" t="s">
        <v>4007</v>
      </c>
      <c r="E2172" t="s">
        <v>4068</v>
      </c>
      <c r="F2172" s="117" t="s">
        <v>4068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14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>
      <c r="A2173" s="93" t="s">
        <v>3747</v>
      </c>
      <c r="B2173" s="149" t="str">
        <f>IFERROR(VLOOKUP(Proc[[#This Row],[App]],Table2[],3,0),"open")</f>
        <v>ok</v>
      </c>
      <c r="C2173" s="93" t="s">
        <v>369</v>
      </c>
      <c r="D2173" t="s">
        <v>4008</v>
      </c>
      <c r="E2173" t="s">
        <v>4068</v>
      </c>
      <c r="F2173" s="117" t="s">
        <v>4068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14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>
      <c r="A2174" s="93" t="s">
        <v>3747</v>
      </c>
      <c r="B2174" s="149" t="str">
        <f>IFERROR(VLOOKUP(Proc[[#This Row],[App]],Table2[],3,0),"open")</f>
        <v>ok</v>
      </c>
      <c r="C2174" s="93" t="s">
        <v>369</v>
      </c>
      <c r="D2174" t="s">
        <v>4009</v>
      </c>
      <c r="E2174" t="s">
        <v>4068</v>
      </c>
      <c r="F2174" s="117" t="s">
        <v>4068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14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>
      <c r="A2175" s="93" t="s">
        <v>3747</v>
      </c>
      <c r="B2175" s="149" t="str">
        <f>IFERROR(VLOOKUP(Proc[[#This Row],[App]],Table2[],3,0),"open")</f>
        <v>ok</v>
      </c>
      <c r="C2175" s="93" t="s">
        <v>369</v>
      </c>
      <c r="D2175" t="s">
        <v>4010</v>
      </c>
      <c r="E2175" t="s">
        <v>4068</v>
      </c>
      <c r="F2175" s="117" t="s">
        <v>4068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14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>
      <c r="A2176" s="93" t="s">
        <v>3747</v>
      </c>
      <c r="B2176" s="149" t="str">
        <f>IFERROR(VLOOKUP(Proc[[#This Row],[App]],Table2[],3,0),"open")</f>
        <v>ok</v>
      </c>
      <c r="C2176" s="93" t="s">
        <v>369</v>
      </c>
      <c r="D2176" t="s">
        <v>4011</v>
      </c>
      <c r="E2176" t="s">
        <v>4068</v>
      </c>
      <c r="F2176" s="117" t="s">
        <v>4068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14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>
      <c r="A2177" s="93" t="s">
        <v>3747</v>
      </c>
      <c r="B2177" s="149" t="str">
        <f>IFERROR(VLOOKUP(Proc[[#This Row],[App]],Table2[],3,0),"open")</f>
        <v>ok</v>
      </c>
      <c r="C2177" s="93" t="s">
        <v>369</v>
      </c>
      <c r="D2177" t="s">
        <v>4012</v>
      </c>
      <c r="E2177" t="s">
        <v>4068</v>
      </c>
      <c r="F2177" s="117" t="s">
        <v>4068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14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>
      <c r="A2178" s="93" t="s">
        <v>3747</v>
      </c>
      <c r="B2178" s="149" t="str">
        <f>IFERROR(VLOOKUP(Proc[[#This Row],[App]],Table2[],3,0),"open")</f>
        <v>ok</v>
      </c>
      <c r="C2178" s="93" t="s">
        <v>369</v>
      </c>
      <c r="D2178" t="s">
        <v>4013</v>
      </c>
      <c r="E2178" t="s">
        <v>4068</v>
      </c>
      <c r="F2178" s="117" t="s">
        <v>4068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14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>
      <c r="A2179" s="93" t="s">
        <v>3747</v>
      </c>
      <c r="B2179" s="149" t="str">
        <f>IFERROR(VLOOKUP(Proc[[#This Row],[App]],Table2[],3,0),"open")</f>
        <v>ok</v>
      </c>
      <c r="C2179" s="93" t="s">
        <v>369</v>
      </c>
      <c r="D2179" t="s">
        <v>4014</v>
      </c>
      <c r="E2179" t="s">
        <v>4068</v>
      </c>
      <c r="F2179" s="117" t="s">
        <v>4068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14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>
      <c r="A2180" s="93" t="s">
        <v>3747</v>
      </c>
      <c r="B2180" s="149" t="str">
        <f>IFERROR(VLOOKUP(Proc[[#This Row],[App]],Table2[],3,0),"open")</f>
        <v>ok</v>
      </c>
      <c r="C2180" s="93" t="s">
        <v>369</v>
      </c>
      <c r="D2180" t="s">
        <v>4015</v>
      </c>
      <c r="E2180" t="s">
        <v>4068</v>
      </c>
      <c r="F2180" s="117" t="s">
        <v>4068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14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>
      <c r="A2181" s="93" t="s">
        <v>3747</v>
      </c>
      <c r="B2181" s="149" t="str">
        <f>IFERROR(VLOOKUP(Proc[[#This Row],[App]],Table2[],3,0),"open")</f>
        <v>ok</v>
      </c>
      <c r="C2181" s="93" t="s">
        <v>369</v>
      </c>
      <c r="D2181" t="s">
        <v>4016</v>
      </c>
      <c r="E2181" t="s">
        <v>4068</v>
      </c>
      <c r="F2181" s="117" t="s">
        <v>4068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14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>
      <c r="A2182" s="93" t="s">
        <v>3747</v>
      </c>
      <c r="B2182" s="149" t="str">
        <f>IFERROR(VLOOKUP(Proc[[#This Row],[App]],Table2[],3,0),"open")</f>
        <v>ok</v>
      </c>
      <c r="C2182" s="93" t="s">
        <v>369</v>
      </c>
      <c r="D2182" t="s">
        <v>4017</v>
      </c>
      <c r="E2182" t="s">
        <v>4068</v>
      </c>
      <c r="F2182" s="117" t="s">
        <v>4068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14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>
      <c r="A2183" s="93" t="s">
        <v>3747</v>
      </c>
      <c r="B2183" s="149" t="str">
        <f>IFERROR(VLOOKUP(Proc[[#This Row],[App]],Table2[],3,0),"open")</f>
        <v>ok</v>
      </c>
      <c r="C2183" s="93" t="s">
        <v>369</v>
      </c>
      <c r="D2183" t="s">
        <v>4018</v>
      </c>
      <c r="E2183" t="s">
        <v>4068</v>
      </c>
      <c r="F2183" s="117" t="s">
        <v>4068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14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>
      <c r="A2184" s="93" t="s">
        <v>3747</v>
      </c>
      <c r="B2184" s="149" t="str">
        <f>IFERROR(VLOOKUP(Proc[[#This Row],[App]],Table2[],3,0),"open")</f>
        <v>ok</v>
      </c>
      <c r="C2184" s="93" t="s">
        <v>369</v>
      </c>
      <c r="D2184" t="s">
        <v>4019</v>
      </c>
      <c r="E2184" t="s">
        <v>4068</v>
      </c>
      <c r="F2184" s="117" t="s">
        <v>4068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14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>
      <c r="A2185" s="93" t="s">
        <v>3747</v>
      </c>
      <c r="B2185" s="149" t="str">
        <f>IFERROR(VLOOKUP(Proc[[#This Row],[App]],Table2[],3,0),"open")</f>
        <v>ok</v>
      </c>
      <c r="C2185" s="93" t="s">
        <v>369</v>
      </c>
      <c r="D2185" t="s">
        <v>4020</v>
      </c>
      <c r="E2185" t="s">
        <v>4068</v>
      </c>
      <c r="F2185" s="117" t="s">
        <v>4068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14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>
      <c r="A2186" s="93" t="s">
        <v>3747</v>
      </c>
      <c r="B2186" s="149" t="str">
        <f>IFERROR(VLOOKUP(Proc[[#This Row],[App]],Table2[],3,0),"open")</f>
        <v>ok</v>
      </c>
      <c r="C2186" s="93" t="s">
        <v>369</v>
      </c>
      <c r="D2186" t="s">
        <v>4021</v>
      </c>
      <c r="E2186" t="s">
        <v>4068</v>
      </c>
      <c r="F2186" s="117" t="s">
        <v>4068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14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>
      <c r="A2187" s="93" t="s">
        <v>3747</v>
      </c>
      <c r="B2187" s="149" t="str">
        <f>IFERROR(VLOOKUP(Proc[[#This Row],[App]],Table2[],3,0),"open")</f>
        <v>ok</v>
      </c>
      <c r="C2187" s="93" t="s">
        <v>369</v>
      </c>
      <c r="D2187" t="s">
        <v>4022</v>
      </c>
      <c r="E2187" t="s">
        <v>4068</v>
      </c>
      <c r="F2187" s="117" t="s">
        <v>4068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14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>
      <c r="A2188" s="93" t="s">
        <v>3747</v>
      </c>
      <c r="B2188" s="149" t="str">
        <f>IFERROR(VLOOKUP(Proc[[#This Row],[App]],Table2[],3,0),"open")</f>
        <v>ok</v>
      </c>
      <c r="C2188" s="93" t="s">
        <v>369</v>
      </c>
      <c r="D2188" t="s">
        <v>4023</v>
      </c>
      <c r="E2188" t="s">
        <v>4068</v>
      </c>
      <c r="F2188" s="117" t="s">
        <v>4068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14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>
      <c r="A2189" s="93" t="s">
        <v>3747</v>
      </c>
      <c r="B2189" s="149" t="str">
        <f>IFERROR(VLOOKUP(Proc[[#This Row],[App]],Table2[],3,0),"open")</f>
        <v>ok</v>
      </c>
      <c r="C2189" s="93" t="s">
        <v>369</v>
      </c>
      <c r="D2189" t="s">
        <v>4024</v>
      </c>
      <c r="E2189" t="s">
        <v>4068</v>
      </c>
      <c r="F2189" s="117" t="s">
        <v>4068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14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>
      <c r="A2190" s="93" t="s">
        <v>3747</v>
      </c>
      <c r="B2190" s="149" t="str">
        <f>IFERROR(VLOOKUP(Proc[[#This Row],[App]],Table2[],3,0),"open")</f>
        <v>ok</v>
      </c>
      <c r="C2190" s="93" t="s">
        <v>369</v>
      </c>
      <c r="D2190" t="s">
        <v>4025</v>
      </c>
      <c r="E2190" t="s">
        <v>4068</v>
      </c>
      <c r="F2190" s="117" t="s">
        <v>4068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14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>
      <c r="A2191" s="93" t="s">
        <v>3747</v>
      </c>
      <c r="B2191" s="149" t="str">
        <f>IFERROR(VLOOKUP(Proc[[#This Row],[App]],Table2[],3,0),"open")</f>
        <v>ok</v>
      </c>
      <c r="C2191" s="93" t="s">
        <v>369</v>
      </c>
      <c r="D2191" t="s">
        <v>4026</v>
      </c>
      <c r="E2191" t="s">
        <v>4068</v>
      </c>
      <c r="F2191" s="117" t="s">
        <v>4068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14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>
      <c r="A2192" s="93" t="s">
        <v>3747</v>
      </c>
      <c r="B2192" s="149" t="str">
        <f>IFERROR(VLOOKUP(Proc[[#This Row],[App]],Table2[],3,0),"open")</f>
        <v>ok</v>
      </c>
      <c r="C2192" s="93" t="s">
        <v>369</v>
      </c>
      <c r="D2192" t="s">
        <v>4027</v>
      </c>
      <c r="E2192" t="s">
        <v>4068</v>
      </c>
      <c r="F2192" s="117" t="s">
        <v>4068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14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>
      <c r="A2193" s="93" t="s">
        <v>3747</v>
      </c>
      <c r="B2193" s="149" t="str">
        <f>IFERROR(VLOOKUP(Proc[[#This Row],[App]],Table2[],3,0),"open")</f>
        <v>ok</v>
      </c>
      <c r="C2193" s="93" t="s">
        <v>369</v>
      </c>
      <c r="D2193" t="s">
        <v>4028</v>
      </c>
      <c r="E2193" t="s">
        <v>4068</v>
      </c>
      <c r="F2193" s="117" t="s">
        <v>4068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14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>
      <c r="A2194" s="93" t="s">
        <v>3747</v>
      </c>
      <c r="B2194" s="149" t="str">
        <f>IFERROR(VLOOKUP(Proc[[#This Row],[App]],Table2[],3,0),"open")</f>
        <v>ok</v>
      </c>
      <c r="C2194" s="93" t="s">
        <v>369</v>
      </c>
      <c r="D2194" t="s">
        <v>4029</v>
      </c>
      <c r="E2194" t="s">
        <v>4068</v>
      </c>
      <c r="F2194" s="117" t="s">
        <v>4068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14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>
      <c r="A2195" s="93" t="s">
        <v>3747</v>
      </c>
      <c r="B2195" s="149" t="str">
        <f>IFERROR(VLOOKUP(Proc[[#This Row],[App]],Table2[],3,0),"open")</f>
        <v>ok</v>
      </c>
      <c r="C2195" s="93" t="s">
        <v>369</v>
      </c>
      <c r="D2195" t="s">
        <v>4030</v>
      </c>
      <c r="E2195" t="s">
        <v>4068</v>
      </c>
      <c r="F2195" s="117" t="s">
        <v>4068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14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>
      <c r="A2196" s="93" t="s">
        <v>3747</v>
      </c>
      <c r="B2196" s="149" t="str">
        <f>IFERROR(VLOOKUP(Proc[[#This Row],[App]],Table2[],3,0),"open")</f>
        <v>ok</v>
      </c>
      <c r="C2196" s="93" t="s">
        <v>369</v>
      </c>
      <c r="D2196" t="s">
        <v>4031</v>
      </c>
      <c r="E2196" t="s">
        <v>4068</v>
      </c>
      <c r="F2196" s="117" t="s">
        <v>4068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14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>
      <c r="A2197" s="93" t="s">
        <v>3747</v>
      </c>
      <c r="B2197" s="149" t="str">
        <f>IFERROR(VLOOKUP(Proc[[#This Row],[App]],Table2[],3,0),"open")</f>
        <v>ok</v>
      </c>
      <c r="C2197" s="93" t="s">
        <v>369</v>
      </c>
      <c r="D2197" t="s">
        <v>4032</v>
      </c>
      <c r="E2197" t="s">
        <v>4068</v>
      </c>
      <c r="F2197" s="117" t="s">
        <v>4068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14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>
      <c r="A2198" s="93" t="s">
        <v>3747</v>
      </c>
      <c r="B2198" s="149" t="str">
        <f>IFERROR(VLOOKUP(Proc[[#This Row],[App]],Table2[],3,0),"open")</f>
        <v>ok</v>
      </c>
      <c r="C2198" s="93" t="s">
        <v>369</v>
      </c>
      <c r="D2198" t="s">
        <v>4033</v>
      </c>
      <c r="E2198" t="s">
        <v>4068</v>
      </c>
      <c r="F2198" s="117" t="s">
        <v>4068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14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>
      <c r="A2199" s="93" t="s">
        <v>3747</v>
      </c>
      <c r="B2199" s="149" t="str">
        <f>IFERROR(VLOOKUP(Proc[[#This Row],[App]],Table2[],3,0),"open")</f>
        <v>ok</v>
      </c>
      <c r="C2199" s="93" t="s">
        <v>369</v>
      </c>
      <c r="D2199" t="s">
        <v>4034</v>
      </c>
      <c r="E2199" t="s">
        <v>4068</v>
      </c>
      <c r="F2199" s="117" t="s">
        <v>4068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14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>
      <c r="A2200" s="93" t="s">
        <v>3747</v>
      </c>
      <c r="B2200" s="149" t="str">
        <f>IFERROR(VLOOKUP(Proc[[#This Row],[App]],Table2[],3,0),"open")</f>
        <v>ok</v>
      </c>
      <c r="C2200" s="93" t="s">
        <v>369</v>
      </c>
      <c r="D2200" t="s">
        <v>4035</v>
      </c>
      <c r="E2200" t="s">
        <v>4068</v>
      </c>
      <c r="F2200" s="117" t="s">
        <v>4068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14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>
      <c r="A2201" s="93" t="s">
        <v>3747</v>
      </c>
      <c r="B2201" s="149" t="str">
        <f>IFERROR(VLOOKUP(Proc[[#This Row],[App]],Table2[],3,0),"open")</f>
        <v>ok</v>
      </c>
      <c r="C2201" s="93" t="s">
        <v>369</v>
      </c>
      <c r="D2201" t="s">
        <v>4036</v>
      </c>
      <c r="E2201" t="s">
        <v>4068</v>
      </c>
      <c r="F2201" s="117" t="s">
        <v>4068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14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>
      <c r="A2202" s="93" t="s">
        <v>3747</v>
      </c>
      <c r="B2202" s="149" t="str">
        <f>IFERROR(VLOOKUP(Proc[[#This Row],[App]],Table2[],3,0),"open")</f>
        <v>ok</v>
      </c>
      <c r="C2202" s="93" t="s">
        <v>369</v>
      </c>
      <c r="D2202" t="s">
        <v>4037</v>
      </c>
      <c r="E2202" t="s">
        <v>4068</v>
      </c>
      <c r="F2202" s="117" t="s">
        <v>4068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14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>
      <c r="A2203" s="93" t="s">
        <v>3747</v>
      </c>
      <c r="B2203" s="149" t="str">
        <f>IFERROR(VLOOKUP(Proc[[#This Row],[App]],Table2[],3,0),"open")</f>
        <v>ok</v>
      </c>
      <c r="C2203" s="93" t="s">
        <v>369</v>
      </c>
      <c r="D2203" t="s">
        <v>4038</v>
      </c>
      <c r="E2203" t="s">
        <v>4068</v>
      </c>
      <c r="F2203" s="117" t="s">
        <v>4068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14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>
      <c r="A2204" s="93" t="s">
        <v>3747</v>
      </c>
      <c r="B2204" s="149" t="str">
        <f>IFERROR(VLOOKUP(Proc[[#This Row],[App]],Table2[],3,0),"open")</f>
        <v>ok</v>
      </c>
      <c r="C2204" s="93" t="s">
        <v>369</v>
      </c>
      <c r="D2204" t="s">
        <v>4039</v>
      </c>
      <c r="E2204" t="s">
        <v>4068</v>
      </c>
      <c r="F2204" s="117" t="s">
        <v>4068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14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>
      <c r="A2205" s="93" t="s">
        <v>3747</v>
      </c>
      <c r="B2205" s="149" t="str">
        <f>IFERROR(VLOOKUP(Proc[[#This Row],[App]],Table2[],3,0),"open")</f>
        <v>ok</v>
      </c>
      <c r="C2205" s="93" t="s">
        <v>369</v>
      </c>
      <c r="D2205" t="s">
        <v>4040</v>
      </c>
      <c r="E2205" t="s">
        <v>4068</v>
      </c>
      <c r="F2205" s="117" t="s">
        <v>4068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14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>
      <c r="A2206" s="93" t="s">
        <v>3747</v>
      </c>
      <c r="B2206" s="149" t="str">
        <f>IFERROR(VLOOKUP(Proc[[#This Row],[App]],Table2[],3,0),"open")</f>
        <v>ok</v>
      </c>
      <c r="C2206" s="93" t="s">
        <v>369</v>
      </c>
      <c r="D2206" t="s">
        <v>4041</v>
      </c>
      <c r="E2206" t="s">
        <v>4068</v>
      </c>
      <c r="F2206" s="117" t="s">
        <v>4068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14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>
      <c r="A2207" s="93" t="s">
        <v>3747</v>
      </c>
      <c r="B2207" s="149" t="str">
        <f>IFERROR(VLOOKUP(Proc[[#This Row],[App]],Table2[],3,0),"open")</f>
        <v>ok</v>
      </c>
      <c r="C2207" s="93" t="s">
        <v>369</v>
      </c>
      <c r="D2207" t="s">
        <v>4042</v>
      </c>
      <c r="E2207" t="s">
        <v>4068</v>
      </c>
      <c r="F2207" s="117" t="s">
        <v>4068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14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>
      <c r="A2208" s="93" t="s">
        <v>3747</v>
      </c>
      <c r="B2208" s="149" t="str">
        <f>IFERROR(VLOOKUP(Proc[[#This Row],[App]],Table2[],3,0),"open")</f>
        <v>ok</v>
      </c>
      <c r="C2208" s="93" t="s">
        <v>369</v>
      </c>
      <c r="D2208" t="s">
        <v>4043</v>
      </c>
      <c r="E2208" t="s">
        <v>4068</v>
      </c>
      <c r="F2208" s="117" t="s">
        <v>4068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14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>
      <c r="A2209" s="93" t="s">
        <v>3747</v>
      </c>
      <c r="B2209" s="149" t="str">
        <f>IFERROR(VLOOKUP(Proc[[#This Row],[App]],Table2[],3,0),"open")</f>
        <v>ok</v>
      </c>
      <c r="C2209" s="93" t="s">
        <v>369</v>
      </c>
      <c r="D2209" t="s">
        <v>4044</v>
      </c>
      <c r="E2209" t="s">
        <v>4068</v>
      </c>
      <c r="F2209" s="117" t="s">
        <v>4068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14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>
      <c r="A2210" s="93" t="s">
        <v>3747</v>
      </c>
      <c r="B2210" s="149" t="str">
        <f>IFERROR(VLOOKUP(Proc[[#This Row],[App]],Table2[],3,0),"open")</f>
        <v>ok</v>
      </c>
      <c r="C2210" s="93" t="s">
        <v>369</v>
      </c>
      <c r="D2210" t="s">
        <v>4045</v>
      </c>
      <c r="E2210" t="s">
        <v>4068</v>
      </c>
      <c r="F2210" s="117" t="s">
        <v>4068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14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>
      <c r="A2211" s="93" t="s">
        <v>3747</v>
      </c>
      <c r="B2211" s="149" t="str">
        <f>IFERROR(VLOOKUP(Proc[[#This Row],[App]],Table2[],3,0),"open")</f>
        <v>ok</v>
      </c>
      <c r="C2211" s="93" t="s">
        <v>369</v>
      </c>
      <c r="D2211" t="s">
        <v>4046</v>
      </c>
      <c r="E2211" t="s">
        <v>4068</v>
      </c>
      <c r="F2211" s="117" t="s">
        <v>4068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14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>
      <c r="A2212" s="93" t="s">
        <v>3747</v>
      </c>
      <c r="B2212" s="149" t="str">
        <f>IFERROR(VLOOKUP(Proc[[#This Row],[App]],Table2[],3,0),"open")</f>
        <v>ok</v>
      </c>
      <c r="C2212" s="93" t="s">
        <v>369</v>
      </c>
      <c r="D2212" t="s">
        <v>4047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14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>
      <c r="A2213" s="93" t="s">
        <v>3747</v>
      </c>
      <c r="B2213" s="149" t="str">
        <f>IFERROR(VLOOKUP(Proc[[#This Row],[App]],Table2[],3,0),"open")</f>
        <v>ok</v>
      </c>
      <c r="C2213" s="93" t="s">
        <v>369</v>
      </c>
      <c r="D2213" t="s">
        <v>4048</v>
      </c>
      <c r="E2213" t="s">
        <v>4068</v>
      </c>
      <c r="F2213" s="117" t="s">
        <v>4068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14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>
      <c r="A2214" s="93" t="s">
        <v>3747</v>
      </c>
      <c r="B2214" s="149" t="str">
        <f>IFERROR(VLOOKUP(Proc[[#This Row],[App]],Table2[],3,0),"open")</f>
        <v>ok</v>
      </c>
      <c r="C2214" s="93" t="s">
        <v>369</v>
      </c>
      <c r="D2214" t="s">
        <v>4049</v>
      </c>
      <c r="E2214" t="s">
        <v>4068</v>
      </c>
      <c r="F2214" s="117" t="s">
        <v>4068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14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>
      <c r="A2215" s="93" t="s">
        <v>3747</v>
      </c>
      <c r="B2215" s="149" t="str">
        <f>IFERROR(VLOOKUP(Proc[[#This Row],[App]],Table2[],3,0),"open")</f>
        <v>ok</v>
      </c>
      <c r="C2215" s="93" t="s">
        <v>369</v>
      </c>
      <c r="D2215" t="s">
        <v>4050</v>
      </c>
      <c r="E2215" t="s">
        <v>4068</v>
      </c>
      <c r="F2215" s="117" t="s">
        <v>4068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14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>
      <c r="A2216" s="93" t="s">
        <v>3747</v>
      </c>
      <c r="B2216" s="149" t="str">
        <f>IFERROR(VLOOKUP(Proc[[#This Row],[App]],Table2[],3,0),"open")</f>
        <v>ok</v>
      </c>
      <c r="C2216" s="93" t="s">
        <v>369</v>
      </c>
      <c r="D2216" t="s">
        <v>4051</v>
      </c>
      <c r="E2216" t="s">
        <v>4068</v>
      </c>
      <c r="F2216" s="117" t="s">
        <v>4068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14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>
      <c r="A2217" s="93" t="s">
        <v>3747</v>
      </c>
      <c r="B2217" s="149" t="str">
        <f>IFERROR(VLOOKUP(Proc[[#This Row],[App]],Table2[],3,0),"open")</f>
        <v>ok</v>
      </c>
      <c r="C2217" s="93" t="s">
        <v>369</v>
      </c>
      <c r="D2217" t="s">
        <v>4052</v>
      </c>
      <c r="E2217" t="s">
        <v>4068</v>
      </c>
      <c r="F2217" s="117" t="s">
        <v>4068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14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>
      <c r="A2218" s="93" t="s">
        <v>3747</v>
      </c>
      <c r="B2218" s="149" t="str">
        <f>IFERROR(VLOOKUP(Proc[[#This Row],[App]],Table2[],3,0),"open")</f>
        <v>ok</v>
      </c>
      <c r="C2218" s="93" t="s">
        <v>369</v>
      </c>
      <c r="D2218" t="s">
        <v>4053</v>
      </c>
      <c r="E2218" t="s">
        <v>4068</v>
      </c>
      <c r="F2218" s="117" t="s">
        <v>4068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14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>
      <c r="A2219" s="93" t="s">
        <v>3747</v>
      </c>
      <c r="B2219" s="149" t="str">
        <f>IFERROR(VLOOKUP(Proc[[#This Row],[App]],Table2[],3,0),"open")</f>
        <v>ok</v>
      </c>
      <c r="C2219" s="93" t="s">
        <v>369</v>
      </c>
      <c r="D2219" t="s">
        <v>4054</v>
      </c>
      <c r="E2219" t="s">
        <v>4068</v>
      </c>
      <c r="F2219" s="117" t="s">
        <v>4068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14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>
      <c r="A2220" s="93" t="s">
        <v>3747</v>
      </c>
      <c r="B2220" s="149" t="str">
        <f>IFERROR(VLOOKUP(Proc[[#This Row],[App]],Table2[],3,0),"open")</f>
        <v>ok</v>
      </c>
      <c r="C2220" s="93" t="s">
        <v>369</v>
      </c>
      <c r="D2220" t="s">
        <v>4055</v>
      </c>
      <c r="E2220" t="s">
        <v>4068</v>
      </c>
      <c r="F2220" s="117" t="s">
        <v>4068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14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>
      <c r="A2221" s="93" t="s">
        <v>3747</v>
      </c>
      <c r="B2221" s="149" t="str">
        <f>IFERROR(VLOOKUP(Proc[[#This Row],[App]],Table2[],3,0),"open")</f>
        <v>ok</v>
      </c>
      <c r="C2221" s="93" t="s">
        <v>369</v>
      </c>
      <c r="D2221" t="s">
        <v>4056</v>
      </c>
      <c r="E2221" t="s">
        <v>4068</v>
      </c>
      <c r="F2221" s="117" t="s">
        <v>4068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14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>
      <c r="A2222" s="93" t="s">
        <v>3747</v>
      </c>
      <c r="B2222" s="149" t="str">
        <f>IFERROR(VLOOKUP(Proc[[#This Row],[App]],Table2[],3,0),"open")</f>
        <v>ok</v>
      </c>
      <c r="C2222" s="93" t="s">
        <v>369</v>
      </c>
      <c r="D2222" t="s">
        <v>4057</v>
      </c>
      <c r="E2222" t="s">
        <v>4068</v>
      </c>
      <c r="F2222" s="117" t="s">
        <v>4068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14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>
      <c r="A2223" s="93" t="s">
        <v>3747</v>
      </c>
      <c r="B2223" s="149" t="str">
        <f>IFERROR(VLOOKUP(Proc[[#This Row],[App]],Table2[],3,0),"open")</f>
        <v>ok</v>
      </c>
      <c r="C2223" s="93" t="s">
        <v>369</v>
      </c>
      <c r="D2223" t="s">
        <v>4058</v>
      </c>
      <c r="E2223" t="s">
        <v>4068</v>
      </c>
      <c r="F2223" s="117" t="s">
        <v>4068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14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>
      <c r="A2224" s="93" t="s">
        <v>3747</v>
      </c>
      <c r="B2224" s="149" t="str">
        <f>IFERROR(VLOOKUP(Proc[[#This Row],[App]],Table2[],3,0),"open")</f>
        <v>ok</v>
      </c>
      <c r="C2224" s="93" t="s">
        <v>369</v>
      </c>
      <c r="D2224" t="s">
        <v>4059</v>
      </c>
      <c r="E2224" t="s">
        <v>4068</v>
      </c>
      <c r="F2224" s="117" t="s">
        <v>4068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14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>
      <c r="A2225" s="93" t="s">
        <v>3747</v>
      </c>
      <c r="B2225" s="149" t="str">
        <f>IFERROR(VLOOKUP(Proc[[#This Row],[App]],Table2[],3,0),"open")</f>
        <v>ok</v>
      </c>
      <c r="C2225" s="93" t="s">
        <v>369</v>
      </c>
      <c r="D2225" t="s">
        <v>4060</v>
      </c>
      <c r="E2225" t="s">
        <v>4068</v>
      </c>
      <c r="F2225" s="117" t="s">
        <v>4068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14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>
      <c r="A2226" s="93" t="s">
        <v>3747</v>
      </c>
      <c r="B2226" s="149" t="str">
        <f>IFERROR(VLOOKUP(Proc[[#This Row],[App]],Table2[],3,0),"open")</f>
        <v>ok</v>
      </c>
      <c r="C2226" s="93" t="s">
        <v>369</v>
      </c>
      <c r="D2226" t="s">
        <v>4061</v>
      </c>
      <c r="E2226" t="s">
        <v>4068</v>
      </c>
      <c r="F2226" s="117" t="s">
        <v>4068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14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>
      <c r="A2227" s="93" t="s">
        <v>3747</v>
      </c>
      <c r="B2227" s="149" t="str">
        <f>IFERROR(VLOOKUP(Proc[[#This Row],[App]],Table2[],3,0),"open")</f>
        <v>ok</v>
      </c>
      <c r="C2227" s="93" t="s">
        <v>369</v>
      </c>
      <c r="D2227" t="s">
        <v>4062</v>
      </c>
      <c r="E2227" t="s">
        <v>4068</v>
      </c>
      <c r="F2227" s="117" t="s">
        <v>4068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14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>
      <c r="A2228" s="93" t="s">
        <v>3747</v>
      </c>
      <c r="B2228" s="149" t="str">
        <f>IFERROR(VLOOKUP(Proc[[#This Row],[App]],Table2[],3,0),"open")</f>
        <v>ok</v>
      </c>
      <c r="C2228" s="93" t="s">
        <v>369</v>
      </c>
      <c r="D2228" t="s">
        <v>4063</v>
      </c>
      <c r="E2228" t="s">
        <v>4068</v>
      </c>
      <c r="F2228" s="117" t="s">
        <v>4068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14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>
      <c r="A2229" s="93" t="s">
        <v>3747</v>
      </c>
      <c r="B2229" s="149" t="str">
        <f>IFERROR(VLOOKUP(Proc[[#This Row],[App]],Table2[],3,0),"open")</f>
        <v>ok</v>
      </c>
      <c r="C2229" s="93" t="s">
        <v>369</v>
      </c>
      <c r="D2229" t="s">
        <v>4064</v>
      </c>
      <c r="E2229" t="s">
        <v>4068</v>
      </c>
      <c r="F2229" s="117" t="s">
        <v>4068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14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>
      <c r="A2230" s="93" t="s">
        <v>3747</v>
      </c>
      <c r="B2230" s="149" t="str">
        <f>IFERROR(VLOOKUP(Proc[[#This Row],[App]],Table2[],3,0),"open")</f>
        <v>ok</v>
      </c>
      <c r="C2230" s="93" t="s">
        <v>369</v>
      </c>
      <c r="D2230" t="s">
        <v>4065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14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>
      <c r="A2231" t="s">
        <v>3624</v>
      </c>
      <c r="B2231" s="149" t="str">
        <f>IFERROR(VLOOKUP(Proc[[#This Row],[App]],Table2[],3,0),"open")</f>
        <v>ok</v>
      </c>
      <c r="C2231" s="93" t="s">
        <v>369</v>
      </c>
      <c r="D2231" t="s">
        <v>4072</v>
      </c>
      <c r="E2231" t="s">
        <v>3625</v>
      </c>
      <c r="F2231" s="117" t="s">
        <v>3625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14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>
      <c r="A2232" t="s">
        <v>4074</v>
      </c>
      <c r="B2232" s="149" t="str">
        <f>IFERROR(VLOOKUP(Proc[[#This Row],[App]],Table2[],3,0),"open")</f>
        <v>ok</v>
      </c>
      <c r="C2232" t="s">
        <v>369</v>
      </c>
      <c r="D2232" t="s">
        <v>4075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14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>
      <c r="A2233" t="s">
        <v>4076</v>
      </c>
      <c r="B2233" s="149" t="str">
        <f>IFERROR(VLOOKUP(Proc[[#This Row],[App]],Table2[],3,0),"open")</f>
        <v>ok</v>
      </c>
      <c r="C2233" t="s">
        <v>369</v>
      </c>
      <c r="D2233" t="s">
        <v>4077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4082</v>
      </c>
      <c r="J2233" s="94" t="b">
        <f>Proc[[#This Row],[Requested]]=Proc[[#This Row],[CurrentParent]]</f>
        <v>1</v>
      </c>
      <c r="K2233" s="14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>
      <c r="A2234" s="93" t="s">
        <v>4076</v>
      </c>
      <c r="B2234" s="149" t="str">
        <f>IFERROR(VLOOKUP(Proc[[#This Row],[App]],Table2[],3,0),"open")</f>
        <v>ok</v>
      </c>
      <c r="C2234" s="93" t="s">
        <v>369</v>
      </c>
      <c r="D2234" t="s">
        <v>4078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4082</v>
      </c>
      <c r="J2234" s="94" t="b">
        <f>Proc[[#This Row],[Requested]]=Proc[[#This Row],[CurrentParent]]</f>
        <v>1</v>
      </c>
      <c r="K2234" s="14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>
      <c r="A2235" s="93" t="s">
        <v>4076</v>
      </c>
      <c r="B2235" s="149" t="str">
        <f>IFERROR(VLOOKUP(Proc[[#This Row],[App]],Table2[],3,0),"open")</f>
        <v>ok</v>
      </c>
      <c r="C2235" s="93" t="s">
        <v>369</v>
      </c>
      <c r="D2235" t="s">
        <v>4079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4082</v>
      </c>
      <c r="J2235" s="94" t="b">
        <f>Proc[[#This Row],[Requested]]=Proc[[#This Row],[CurrentParent]]</f>
        <v>1</v>
      </c>
      <c r="K2235" s="14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>
      <c r="A2236" s="93" t="s">
        <v>4076</v>
      </c>
      <c r="B2236" s="149" t="str">
        <f>IFERROR(VLOOKUP(Proc[[#This Row],[App]],Table2[],3,0),"open")</f>
        <v>ok</v>
      </c>
      <c r="C2236" s="93" t="s">
        <v>369</v>
      </c>
      <c r="D2236" t="s">
        <v>4078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4082</v>
      </c>
      <c r="J2236" s="94" t="b">
        <f>Proc[[#This Row],[Requested]]=Proc[[#This Row],[CurrentParent]]</f>
        <v>1</v>
      </c>
      <c r="K2236" s="14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>
      <c r="A2237" s="93" t="s">
        <v>4076</v>
      </c>
      <c r="B2237" s="149" t="str">
        <f>IFERROR(VLOOKUP(Proc[[#This Row],[App]],Table2[],3,0),"open")</f>
        <v>ok</v>
      </c>
      <c r="C2237" s="93" t="s">
        <v>369</v>
      </c>
      <c r="D2237" t="s">
        <v>4080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4082</v>
      </c>
      <c r="J2237" s="94" t="b">
        <f>Proc[[#This Row],[Requested]]=Proc[[#This Row],[CurrentParent]]</f>
        <v>1</v>
      </c>
      <c r="K2237" s="14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>
      <c r="A2238" t="s">
        <v>4083</v>
      </c>
      <c r="B2238" s="149" t="str">
        <f>IFERROR(VLOOKUP(Proc[[#This Row],[App]],Table2[],3,0),"open")</f>
        <v>ok</v>
      </c>
      <c r="C2238" t="s">
        <v>369</v>
      </c>
      <c r="D2238" t="s">
        <v>4091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14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>
      <c r="A2239" s="93" t="s">
        <v>4083</v>
      </c>
      <c r="B2239" s="149" t="str">
        <f>IFERROR(VLOOKUP(Proc[[#This Row],[App]],Table2[],3,0),"open")</f>
        <v>ok</v>
      </c>
      <c r="C2239" s="93" t="s">
        <v>369</v>
      </c>
      <c r="D2239" t="s">
        <v>4084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4090</v>
      </c>
      <c r="J2239" s="94" t="b">
        <f>Proc[[#This Row],[Requested]]=Proc[[#This Row],[CurrentParent]]</f>
        <v>1</v>
      </c>
      <c r="K2239" s="14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>
      <c r="A2240" s="93" t="s">
        <v>4083</v>
      </c>
      <c r="B2240" s="149" t="str">
        <f>IFERROR(VLOOKUP(Proc[[#This Row],[App]],Table2[],3,0),"open")</f>
        <v>ok</v>
      </c>
      <c r="C2240" s="93" t="s">
        <v>369</v>
      </c>
      <c r="D2240" t="s">
        <v>4085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4090</v>
      </c>
      <c r="J2240" s="94" t="b">
        <f>Proc[[#This Row],[Requested]]=Proc[[#This Row],[CurrentParent]]</f>
        <v>1</v>
      </c>
      <c r="K2240" s="14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>
      <c r="A2241" s="93" t="s">
        <v>4083</v>
      </c>
      <c r="B2241" s="149" t="str">
        <f>IFERROR(VLOOKUP(Proc[[#This Row],[App]],Table2[],3,0),"open")</f>
        <v>ok</v>
      </c>
      <c r="C2241" s="93" t="s">
        <v>369</v>
      </c>
      <c r="D2241" t="s">
        <v>4086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14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>
      <c r="A2242" s="93" t="s">
        <v>4083</v>
      </c>
      <c r="B2242" s="149" t="str">
        <f>IFERROR(VLOOKUP(Proc[[#This Row],[App]],Table2[],3,0),"open")</f>
        <v>ok</v>
      </c>
      <c r="C2242" s="93" t="s">
        <v>369</v>
      </c>
      <c r="D2242" t="s">
        <v>4087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14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>
      <c r="A2243" s="93" t="s">
        <v>4083</v>
      </c>
      <c r="B2243" s="149" t="str">
        <f>IFERROR(VLOOKUP(Proc[[#This Row],[App]],Table2[],3,0),"open")</f>
        <v>ok</v>
      </c>
      <c r="C2243" s="93" t="s">
        <v>369</v>
      </c>
      <c r="D2243" t="s">
        <v>4088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14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>
      <c r="A2244" s="93" t="s">
        <v>4083</v>
      </c>
      <c r="B2244" s="149" t="str">
        <f>IFERROR(VLOOKUP(Proc[[#This Row],[App]],Table2[],3,0),"open")</f>
        <v>ok</v>
      </c>
      <c r="C2244" s="93" t="s">
        <v>369</v>
      </c>
      <c r="D2244" t="s">
        <v>4089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14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>
      <c r="A2245" t="s">
        <v>4092</v>
      </c>
      <c r="B2245" s="149" t="str">
        <f>IFERROR(VLOOKUP(Proc[[#This Row],[App]],Table2[],3,0),"open")</f>
        <v>ok</v>
      </c>
      <c r="C2245" t="s">
        <v>369</v>
      </c>
      <c r="D2245" t="s">
        <v>4093</v>
      </c>
      <c r="E2245" t="s">
        <v>4094</v>
      </c>
      <c r="F2245" s="117" t="s">
        <v>4094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14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138</v>
      </c>
      <c r="R2245" s="95" t="s">
        <v>764</v>
      </c>
      <c r="S2245" s="94"/>
    </row>
    <row r="2246" spans="1:19">
      <c r="A2246" t="s">
        <v>4097</v>
      </c>
      <c r="B2246" s="149" t="str">
        <f>IFERROR(VLOOKUP(Proc[[#This Row],[App]],Table2[],3,0),"open")</f>
        <v>ok</v>
      </c>
      <c r="C2246" s="97" t="s">
        <v>369</v>
      </c>
      <c r="D2246" s="97" t="s">
        <v>4095</v>
      </c>
      <c r="E2246" s="97" t="s">
        <v>4096</v>
      </c>
      <c r="F2246" s="117" t="s">
        <v>4096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14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138</v>
      </c>
      <c r="R2246" s="95" t="s">
        <v>515</v>
      </c>
      <c r="S2246" s="94"/>
    </row>
    <row r="2247" spans="1:19">
      <c r="A2247" t="s">
        <v>4098</v>
      </c>
      <c r="B2247" s="149" t="str">
        <f>IFERROR(VLOOKUP(Proc[[#This Row],[App]],Table2[],3,0),"open")</f>
        <v>ok</v>
      </c>
      <c r="C2247" s="103" t="s">
        <v>369</v>
      </c>
      <c r="D2247" t="s">
        <v>4099</v>
      </c>
      <c r="E2247" t="s">
        <v>4100</v>
      </c>
      <c r="F2247" s="117" t="s">
        <v>4100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14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>
      <c r="A2248" t="s">
        <v>4103</v>
      </c>
      <c r="B2248" s="149" t="str">
        <f>IFERROR(VLOOKUP(Proc[[#This Row],[App]],Table2[],3,0),"open")</f>
        <v>ok</v>
      </c>
      <c r="C2248" s="97" t="s">
        <v>369</v>
      </c>
      <c r="D2248" t="s">
        <v>4104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14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>
      <c r="A2249" t="s">
        <v>4103</v>
      </c>
      <c r="B2249" s="149" t="str">
        <f>IFERROR(VLOOKUP(Proc[[#This Row],[App]],Table2[],3,0),"open")</f>
        <v>ok</v>
      </c>
      <c r="C2249" s="97" t="s">
        <v>377</v>
      </c>
      <c r="D2249" t="s">
        <v>4101</v>
      </c>
      <c r="E2249" t="s">
        <v>4102</v>
      </c>
      <c r="F2249" s="103" t="s">
        <v>4102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14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>
      <c r="A2250" t="s">
        <v>4115</v>
      </c>
      <c r="B2250" s="149" t="str">
        <f>IFERROR(VLOOKUP(Proc[[#This Row],[App]],Table2[],3,0),"open")</f>
        <v>ok</v>
      </c>
      <c r="C2250" s="103" t="s">
        <v>369</v>
      </c>
      <c r="D2250" t="s">
        <v>4105</v>
      </c>
      <c r="E2250" t="s">
        <v>4113</v>
      </c>
      <c r="F2250" s="117" t="s">
        <v>4113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4116</v>
      </c>
      <c r="J2250" s="94" t="b">
        <f>Proc[[#This Row],[Requested]]=Proc[[#This Row],[CurrentParent]]</f>
        <v>1</v>
      </c>
      <c r="K2250" s="14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>
      <c r="A2251" s="97" t="s">
        <v>4115</v>
      </c>
      <c r="B2251" s="149" t="str">
        <f>IFERROR(VLOOKUP(Proc[[#This Row],[App]],Table2[],3,0),"open")</f>
        <v>ok</v>
      </c>
      <c r="C2251" s="103" t="s">
        <v>369</v>
      </c>
      <c r="D2251" t="s">
        <v>4106</v>
      </c>
      <c r="E2251" t="s">
        <v>4114</v>
      </c>
      <c r="F2251" s="117" t="s">
        <v>4114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4116</v>
      </c>
      <c r="J2251" s="94" t="b">
        <f>Proc[[#This Row],[Requested]]=Proc[[#This Row],[CurrentParent]]</f>
        <v>1</v>
      </c>
      <c r="K2251" s="14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>
      <c r="A2252" s="97" t="s">
        <v>4115</v>
      </c>
      <c r="B2252" s="149" t="str">
        <f>IFERROR(VLOOKUP(Proc[[#This Row],[App]],Table2[],3,0),"open")</f>
        <v>ok</v>
      </c>
      <c r="C2252" s="103" t="s">
        <v>369</v>
      </c>
      <c r="D2252" t="s">
        <v>4107</v>
      </c>
      <c r="E2252" t="s">
        <v>3382</v>
      </c>
      <c r="F2252" s="117" t="s">
        <v>3382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4116</v>
      </c>
      <c r="J2252" s="94" t="b">
        <f>Proc[[#This Row],[Requested]]=Proc[[#This Row],[CurrentParent]]</f>
        <v>1</v>
      </c>
      <c r="K2252" s="14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>
      <c r="A2253" s="97" t="s">
        <v>4115</v>
      </c>
      <c r="B2253" s="149" t="str">
        <f>IFERROR(VLOOKUP(Proc[[#This Row],[App]],Table2[],3,0),"open")</f>
        <v>ok</v>
      </c>
      <c r="C2253" s="103" t="s">
        <v>369</v>
      </c>
      <c r="D2253" t="s">
        <v>4108</v>
      </c>
      <c r="E2253" t="s">
        <v>3382</v>
      </c>
      <c r="F2253" s="117" t="s">
        <v>3382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4116</v>
      </c>
      <c r="J2253" s="94" t="b">
        <f>Proc[[#This Row],[Requested]]=Proc[[#This Row],[CurrentParent]]</f>
        <v>1</v>
      </c>
      <c r="K2253" s="14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>
      <c r="A2254" s="97" t="s">
        <v>4115</v>
      </c>
      <c r="B2254" s="149" t="str">
        <f>IFERROR(VLOOKUP(Proc[[#This Row],[App]],Table2[],3,0),"open")</f>
        <v>ok</v>
      </c>
      <c r="C2254" s="103" t="s">
        <v>369</v>
      </c>
      <c r="D2254" t="s">
        <v>4109</v>
      </c>
      <c r="E2254" t="s">
        <v>3382</v>
      </c>
      <c r="F2254" s="117" t="s">
        <v>3382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4116</v>
      </c>
      <c r="J2254" s="94" t="b">
        <f>Proc[[#This Row],[Requested]]=Proc[[#This Row],[CurrentParent]]</f>
        <v>1</v>
      </c>
      <c r="K2254" s="14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>
      <c r="A2255" s="97" t="s">
        <v>4115</v>
      </c>
      <c r="B2255" s="149" t="str">
        <f>IFERROR(VLOOKUP(Proc[[#This Row],[App]],Table2[],3,0),"open")</f>
        <v>ok</v>
      </c>
      <c r="C2255" s="103" t="s">
        <v>369</v>
      </c>
      <c r="D2255" t="s">
        <v>4110</v>
      </c>
      <c r="E2255" t="s">
        <v>3381</v>
      </c>
      <c r="F2255" s="117" t="s">
        <v>3381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4116</v>
      </c>
      <c r="J2255" s="94" t="b">
        <f>Proc[[#This Row],[Requested]]=Proc[[#This Row],[CurrentParent]]</f>
        <v>1</v>
      </c>
      <c r="K2255" s="14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>
      <c r="A2256" s="97" t="s">
        <v>4115</v>
      </c>
      <c r="B2256" s="149" t="str">
        <f>IFERROR(VLOOKUP(Proc[[#This Row],[App]],Table2[],3,0),"open")</f>
        <v>ok</v>
      </c>
      <c r="C2256" s="103" t="s">
        <v>369</v>
      </c>
      <c r="D2256" t="s">
        <v>4111</v>
      </c>
      <c r="E2256" t="s">
        <v>3381</v>
      </c>
      <c r="F2256" s="117" t="s">
        <v>3381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4116</v>
      </c>
      <c r="J2256" s="94" t="b">
        <f>Proc[[#This Row],[Requested]]=Proc[[#This Row],[CurrentParent]]</f>
        <v>1</v>
      </c>
      <c r="K2256" s="14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>
      <c r="A2257" s="97" t="s">
        <v>4115</v>
      </c>
      <c r="B2257" s="149" t="str">
        <f>IFERROR(VLOOKUP(Proc[[#This Row],[App]],Table2[],3,0),"open")</f>
        <v>ok</v>
      </c>
      <c r="C2257" s="103" t="s">
        <v>369</v>
      </c>
      <c r="D2257" t="s">
        <v>4112</v>
      </c>
      <c r="E2257" t="s">
        <v>3381</v>
      </c>
      <c r="F2257" s="117" t="s">
        <v>3381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4116</v>
      </c>
      <c r="J2257" s="94" t="b">
        <f>Proc[[#This Row],[Requested]]=Proc[[#This Row],[CurrentParent]]</f>
        <v>1</v>
      </c>
      <c r="K2257" s="14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>
      <c r="A2258" t="s">
        <v>4118</v>
      </c>
      <c r="B2258" s="149" t="str">
        <f>IFERROR(VLOOKUP(Proc[[#This Row],[App]],Table2[],3,0),"open")</f>
        <v>ok</v>
      </c>
      <c r="C2258" s="103" t="s">
        <v>369</v>
      </c>
      <c r="D2258" s="99" t="s">
        <v>4117</v>
      </c>
      <c r="E2258" t="s">
        <v>4100</v>
      </c>
      <c r="F2258" s="117" t="s">
        <v>4100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14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>
      <c r="A2259" t="s">
        <v>4119</v>
      </c>
      <c r="B2259" s="149" t="str">
        <f>IFERROR(VLOOKUP(Proc[[#This Row],[App]],Table2[],3,0),"open")</f>
        <v>ok</v>
      </c>
      <c r="C2259" s="103" t="s">
        <v>369</v>
      </c>
      <c r="D2259" s="101" t="s">
        <v>4179</v>
      </c>
      <c r="E2259" t="s">
        <v>4120</v>
      </c>
      <c r="F2259" s="117" t="s">
        <v>4120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14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133</v>
      </c>
      <c r="R2259" s="98" t="s">
        <v>515</v>
      </c>
      <c r="S2259" s="94"/>
    </row>
    <row r="2260" spans="1:19">
      <c r="A2260" s="101" t="s">
        <v>4119</v>
      </c>
      <c r="B2260" s="149" t="str">
        <f>IFERROR(VLOOKUP(Proc[[#This Row],[App]],Table2[],3,0),"open")</f>
        <v>ok</v>
      </c>
      <c r="C2260" s="101" t="s">
        <v>369</v>
      </c>
      <c r="D2260" s="102" t="s">
        <v>4178</v>
      </c>
      <c r="E2260" t="s">
        <v>4121</v>
      </c>
      <c r="F2260" s="117" t="s">
        <v>4121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14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133</v>
      </c>
      <c r="R2260" s="98" t="s">
        <v>515</v>
      </c>
      <c r="S2260" s="94"/>
    </row>
    <row r="2261" spans="1:19">
      <c r="A2261" t="s">
        <v>4123</v>
      </c>
      <c r="B2261" s="149" t="str">
        <f>IFERROR(VLOOKUP(Proc[[#This Row],[App]],Table2[],3,0),"open")</f>
        <v>ok</v>
      </c>
      <c r="C2261" s="103" t="s">
        <v>369</v>
      </c>
      <c r="D2261" s="99" t="s">
        <v>4122</v>
      </c>
      <c r="E2261" s="103" t="s">
        <v>3264</v>
      </c>
      <c r="F2261" s="117" t="s">
        <v>3264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14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>
      <c r="A2262" t="s">
        <v>4133</v>
      </c>
      <c r="B2262" s="149" t="str">
        <f>IFERROR(VLOOKUP(Proc[[#This Row],[App]],Table2[],3,0),"open")</f>
        <v>ok</v>
      </c>
      <c r="C2262" t="s">
        <v>369</v>
      </c>
      <c r="D2262" t="s">
        <v>4124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14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>
      <c r="A2263" s="103" t="s">
        <v>4133</v>
      </c>
      <c r="B2263" s="149" t="str">
        <f>IFERROR(VLOOKUP(Proc[[#This Row],[App]],Table2[],3,0),"open")</f>
        <v>ok</v>
      </c>
      <c r="C2263" s="103" t="s">
        <v>369</v>
      </c>
      <c r="D2263" t="s">
        <v>4125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14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>
      <c r="A2264" s="103" t="s">
        <v>4133</v>
      </c>
      <c r="B2264" s="149" t="str">
        <f>IFERROR(VLOOKUP(Proc[[#This Row],[App]],Table2[],3,0),"open")</f>
        <v>ok</v>
      </c>
      <c r="C2264" s="103" t="s">
        <v>369</v>
      </c>
      <c r="D2264" t="s">
        <v>4126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14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>
      <c r="A2265" s="103" t="s">
        <v>4133</v>
      </c>
      <c r="B2265" s="149" t="str">
        <f>IFERROR(VLOOKUP(Proc[[#This Row],[App]],Table2[],3,0),"open")</f>
        <v>ok</v>
      </c>
      <c r="C2265" s="103" t="s">
        <v>369</v>
      </c>
      <c r="D2265" t="s">
        <v>4127</v>
      </c>
      <c r="E2265" t="s">
        <v>4131</v>
      </c>
      <c r="F2265" s="117" t="s">
        <v>4131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14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>
      <c r="A2266" s="103" t="s">
        <v>4133</v>
      </c>
      <c r="B2266" s="149" t="str">
        <f>IFERROR(VLOOKUP(Proc[[#This Row],[App]],Table2[],3,0),"open")</f>
        <v>ok</v>
      </c>
      <c r="C2266" s="103" t="s">
        <v>369</v>
      </c>
      <c r="D2266" t="s">
        <v>4128</v>
      </c>
      <c r="E2266" t="s">
        <v>4131</v>
      </c>
      <c r="F2266" s="117" t="s">
        <v>4131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14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>
      <c r="A2267" s="103" t="s">
        <v>4133</v>
      </c>
      <c r="B2267" s="149" t="str">
        <f>IFERROR(VLOOKUP(Proc[[#This Row],[App]],Table2[],3,0),"open")</f>
        <v>ok</v>
      </c>
      <c r="C2267" s="103" t="s">
        <v>369</v>
      </c>
      <c r="D2267" t="s">
        <v>4129</v>
      </c>
      <c r="E2267" t="s">
        <v>4132</v>
      </c>
      <c r="F2267" s="117" t="s">
        <v>4132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14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>
      <c r="A2268" s="103" t="s">
        <v>4133</v>
      </c>
      <c r="B2268" s="149" t="str">
        <f>IFERROR(VLOOKUP(Proc[[#This Row],[App]],Table2[],3,0),"open")</f>
        <v>ok</v>
      </c>
      <c r="C2268" s="103" t="s">
        <v>369</v>
      </c>
      <c r="D2268" t="s">
        <v>4130</v>
      </c>
      <c r="E2268" t="s">
        <v>4132</v>
      </c>
      <c r="F2268" s="117" t="s">
        <v>4132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14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>
      <c r="A2269" t="s">
        <v>4139</v>
      </c>
      <c r="B2269" s="149" t="str">
        <f>IFERROR(VLOOKUP(Proc[[#This Row],[App]],Table2[],3,0),"open")</f>
        <v>ok</v>
      </c>
      <c r="C2269" s="103" t="s">
        <v>369</v>
      </c>
      <c r="D2269" t="s">
        <v>4140</v>
      </c>
      <c r="E2269" t="s">
        <v>4173</v>
      </c>
      <c r="F2269" s="117" t="s">
        <v>4173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14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>
      <c r="A2270" s="103" t="s">
        <v>4139</v>
      </c>
      <c r="B2270" s="149" t="str">
        <f>IFERROR(VLOOKUP(Proc[[#This Row],[App]],Table2[],3,0),"open")</f>
        <v>ok</v>
      </c>
      <c r="C2270" s="103" t="s">
        <v>369</v>
      </c>
      <c r="D2270" t="s">
        <v>4141</v>
      </c>
      <c r="E2270" t="s">
        <v>4174</v>
      </c>
      <c r="F2270" s="117" t="s">
        <v>4174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14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>
      <c r="A2271" s="103" t="s">
        <v>4139</v>
      </c>
      <c r="B2271" s="149" t="str">
        <f>IFERROR(VLOOKUP(Proc[[#This Row],[App]],Table2[],3,0),"open")</f>
        <v>ok</v>
      </c>
      <c r="C2271" s="103" t="s">
        <v>369</v>
      </c>
      <c r="D2271" t="s">
        <v>4142</v>
      </c>
      <c r="E2271" t="s">
        <v>4174</v>
      </c>
      <c r="F2271" s="117" t="s">
        <v>4174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14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>
      <c r="A2272" s="103" t="s">
        <v>4139</v>
      </c>
      <c r="B2272" s="149" t="str">
        <f>IFERROR(VLOOKUP(Proc[[#This Row],[App]],Table2[],3,0),"open")</f>
        <v>ok</v>
      </c>
      <c r="C2272" s="103" t="s">
        <v>369</v>
      </c>
      <c r="D2272" t="s">
        <v>4143</v>
      </c>
      <c r="E2272" t="s">
        <v>4174</v>
      </c>
      <c r="F2272" s="117" t="s">
        <v>4174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14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>
      <c r="A2273" s="103" t="s">
        <v>4139</v>
      </c>
      <c r="B2273" s="149" t="str">
        <f>IFERROR(VLOOKUP(Proc[[#This Row],[App]],Table2[],3,0),"open")</f>
        <v>ok</v>
      </c>
      <c r="C2273" s="103" t="s">
        <v>369</v>
      </c>
      <c r="D2273" t="s">
        <v>4144</v>
      </c>
      <c r="E2273" t="s">
        <v>4173</v>
      </c>
      <c r="F2273" s="117" t="s">
        <v>4173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14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>
      <c r="A2274" s="103" t="s">
        <v>4139</v>
      </c>
      <c r="B2274" s="149" t="str">
        <f>IFERROR(VLOOKUP(Proc[[#This Row],[App]],Table2[],3,0),"open")</f>
        <v>ok</v>
      </c>
      <c r="C2274" s="103" t="s">
        <v>369</v>
      </c>
      <c r="D2274" t="s">
        <v>4145</v>
      </c>
      <c r="E2274" t="s">
        <v>4173</v>
      </c>
      <c r="F2274" s="117" t="s">
        <v>4173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14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>
      <c r="A2275" s="103" t="s">
        <v>4139</v>
      </c>
      <c r="B2275" s="149" t="str">
        <f>IFERROR(VLOOKUP(Proc[[#This Row],[App]],Table2[],3,0),"open")</f>
        <v>ok</v>
      </c>
      <c r="C2275" s="103" t="s">
        <v>369</v>
      </c>
      <c r="D2275" t="s">
        <v>4146</v>
      </c>
      <c r="E2275" t="s">
        <v>4173</v>
      </c>
      <c r="F2275" s="117" t="s">
        <v>4173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14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>
      <c r="A2276" s="103" t="s">
        <v>4139</v>
      </c>
      <c r="B2276" s="149" t="str">
        <f>IFERROR(VLOOKUP(Proc[[#This Row],[App]],Table2[],3,0),"open")</f>
        <v>ok</v>
      </c>
      <c r="C2276" s="103" t="s">
        <v>369</v>
      </c>
      <c r="D2276" t="s">
        <v>4147</v>
      </c>
      <c r="E2276" t="s">
        <v>4081</v>
      </c>
      <c r="F2276" s="117" t="s">
        <v>4081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14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>
      <c r="A2277" s="103" t="s">
        <v>4139</v>
      </c>
      <c r="B2277" s="149" t="str">
        <f>IFERROR(VLOOKUP(Proc[[#This Row],[App]],Table2[],3,0),"open")</f>
        <v>ok</v>
      </c>
      <c r="C2277" s="103" t="s">
        <v>369</v>
      </c>
      <c r="D2277" t="s">
        <v>4148</v>
      </c>
      <c r="E2277" t="s">
        <v>4174</v>
      </c>
      <c r="F2277" s="117" t="s">
        <v>4174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14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>
      <c r="A2278" s="103" t="s">
        <v>4139</v>
      </c>
      <c r="B2278" s="149" t="str">
        <f>IFERROR(VLOOKUP(Proc[[#This Row],[App]],Table2[],3,0),"open")</f>
        <v>ok</v>
      </c>
      <c r="C2278" s="103" t="s">
        <v>369</v>
      </c>
      <c r="D2278" t="s">
        <v>4149</v>
      </c>
      <c r="E2278" t="s">
        <v>4173</v>
      </c>
      <c r="F2278" s="117" t="s">
        <v>4173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14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>
      <c r="A2279" s="103" t="s">
        <v>4139</v>
      </c>
      <c r="B2279" s="149" t="str">
        <f>IFERROR(VLOOKUP(Proc[[#This Row],[App]],Table2[],3,0),"open")</f>
        <v>ok</v>
      </c>
      <c r="C2279" s="103" t="s">
        <v>369</v>
      </c>
      <c r="D2279" t="s">
        <v>4150</v>
      </c>
      <c r="E2279" t="s">
        <v>4173</v>
      </c>
      <c r="F2279" s="117" t="s">
        <v>4173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14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>
      <c r="A2280" s="103" t="s">
        <v>4139</v>
      </c>
      <c r="B2280" s="149" t="str">
        <f>IFERROR(VLOOKUP(Proc[[#This Row],[App]],Table2[],3,0),"open")</f>
        <v>ok</v>
      </c>
      <c r="C2280" s="103" t="s">
        <v>369</v>
      </c>
      <c r="D2280" t="s">
        <v>4151</v>
      </c>
      <c r="E2280" t="s">
        <v>4173</v>
      </c>
      <c r="F2280" s="117" t="s">
        <v>4173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14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>
      <c r="A2281" s="103" t="s">
        <v>4139</v>
      </c>
      <c r="B2281" s="149" t="str">
        <f>IFERROR(VLOOKUP(Proc[[#This Row],[App]],Table2[],3,0),"open")</f>
        <v>ok</v>
      </c>
      <c r="C2281" s="103" t="s">
        <v>369</v>
      </c>
      <c r="D2281" t="s">
        <v>4152</v>
      </c>
      <c r="E2281" t="s">
        <v>4173</v>
      </c>
      <c r="F2281" s="117" t="s">
        <v>4173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14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>
      <c r="A2282" s="103" t="s">
        <v>4139</v>
      </c>
      <c r="B2282" s="149" t="str">
        <f>IFERROR(VLOOKUP(Proc[[#This Row],[App]],Table2[],3,0),"open")</f>
        <v>ok</v>
      </c>
      <c r="C2282" s="103" t="s">
        <v>369</v>
      </c>
      <c r="D2282" t="s">
        <v>4153</v>
      </c>
      <c r="E2282" t="s">
        <v>4173</v>
      </c>
      <c r="F2282" s="117" t="s">
        <v>4173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14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>
      <c r="A2283" s="103" t="s">
        <v>4139</v>
      </c>
      <c r="B2283" s="149" t="str">
        <f>IFERROR(VLOOKUP(Proc[[#This Row],[App]],Table2[],3,0),"open")</f>
        <v>ok</v>
      </c>
      <c r="C2283" s="103" t="s">
        <v>369</v>
      </c>
      <c r="D2283" t="s">
        <v>4154</v>
      </c>
      <c r="E2283" t="s">
        <v>4173</v>
      </c>
      <c r="F2283" s="117" t="s">
        <v>4173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14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>
      <c r="A2284" s="103" t="s">
        <v>4139</v>
      </c>
      <c r="B2284" s="149" t="str">
        <f>IFERROR(VLOOKUP(Proc[[#This Row],[App]],Table2[],3,0),"open")</f>
        <v>ok</v>
      </c>
      <c r="C2284" s="103" t="s">
        <v>369</v>
      </c>
      <c r="D2284" t="s">
        <v>4155</v>
      </c>
      <c r="E2284" t="s">
        <v>4173</v>
      </c>
      <c r="F2284" s="117" t="s">
        <v>4173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14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>
      <c r="A2285" s="103" t="s">
        <v>4139</v>
      </c>
      <c r="B2285" s="149" t="str">
        <f>IFERROR(VLOOKUP(Proc[[#This Row],[App]],Table2[],3,0),"open")</f>
        <v>ok</v>
      </c>
      <c r="C2285" s="103" t="s">
        <v>369</v>
      </c>
      <c r="D2285" t="s">
        <v>4156</v>
      </c>
      <c r="E2285" t="s">
        <v>4173</v>
      </c>
      <c r="F2285" s="117" t="s">
        <v>4173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14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>
      <c r="A2286" s="103" t="s">
        <v>4139</v>
      </c>
      <c r="B2286" s="149" t="str">
        <f>IFERROR(VLOOKUP(Proc[[#This Row],[App]],Table2[],3,0),"open")</f>
        <v>ok</v>
      </c>
      <c r="C2286" s="103" t="s">
        <v>369</v>
      </c>
      <c r="D2286" t="s">
        <v>4157</v>
      </c>
      <c r="E2286" t="s">
        <v>4173</v>
      </c>
      <c r="F2286" s="117" t="s">
        <v>4173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14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>
      <c r="A2287" s="103" t="s">
        <v>4139</v>
      </c>
      <c r="B2287" s="149" t="str">
        <f>IFERROR(VLOOKUP(Proc[[#This Row],[App]],Table2[],3,0),"open")</f>
        <v>ok</v>
      </c>
      <c r="C2287" s="103" t="s">
        <v>369</v>
      </c>
      <c r="D2287" t="s">
        <v>4158</v>
      </c>
      <c r="E2287" t="s">
        <v>4173</v>
      </c>
      <c r="F2287" s="117" t="s">
        <v>4173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14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>
      <c r="A2288" s="103" t="s">
        <v>4139</v>
      </c>
      <c r="B2288" s="149" t="str">
        <f>IFERROR(VLOOKUP(Proc[[#This Row],[App]],Table2[],3,0),"open")</f>
        <v>ok</v>
      </c>
      <c r="C2288" s="103" t="s">
        <v>369</v>
      </c>
      <c r="D2288" t="s">
        <v>4159</v>
      </c>
      <c r="E2288" t="s">
        <v>4173</v>
      </c>
      <c r="F2288" s="117" t="s">
        <v>4173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14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>
      <c r="A2289" s="103" t="s">
        <v>4139</v>
      </c>
      <c r="B2289" s="149" t="str">
        <f>IFERROR(VLOOKUP(Proc[[#This Row],[App]],Table2[],3,0),"open")</f>
        <v>ok</v>
      </c>
      <c r="C2289" s="103" t="s">
        <v>369</v>
      </c>
      <c r="D2289" t="s">
        <v>4160</v>
      </c>
      <c r="E2289" t="s">
        <v>4173</v>
      </c>
      <c r="F2289" s="117" t="s">
        <v>4173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14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>
      <c r="A2290" s="103" t="s">
        <v>4139</v>
      </c>
      <c r="B2290" s="149" t="str">
        <f>IFERROR(VLOOKUP(Proc[[#This Row],[App]],Table2[],3,0),"open")</f>
        <v>ok</v>
      </c>
      <c r="C2290" s="103" t="s">
        <v>369</v>
      </c>
      <c r="D2290" t="s">
        <v>4161</v>
      </c>
      <c r="E2290" t="s">
        <v>4173</v>
      </c>
      <c r="F2290" s="117" t="s">
        <v>4173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14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>
      <c r="A2291" s="103" t="s">
        <v>4139</v>
      </c>
      <c r="B2291" s="149" t="str">
        <f>IFERROR(VLOOKUP(Proc[[#This Row],[App]],Table2[],3,0),"open")</f>
        <v>ok</v>
      </c>
      <c r="C2291" s="103" t="s">
        <v>369</v>
      </c>
      <c r="D2291" t="s">
        <v>4162</v>
      </c>
      <c r="E2291" t="s">
        <v>4173</v>
      </c>
      <c r="F2291" s="117" t="s">
        <v>4173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14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>
      <c r="A2292" s="103" t="s">
        <v>4139</v>
      </c>
      <c r="B2292" s="149" t="str">
        <f>IFERROR(VLOOKUP(Proc[[#This Row],[App]],Table2[],3,0),"open")</f>
        <v>ok</v>
      </c>
      <c r="C2292" s="103" t="s">
        <v>369</v>
      </c>
      <c r="D2292" t="s">
        <v>4163</v>
      </c>
      <c r="E2292" t="s">
        <v>4173</v>
      </c>
      <c r="F2292" s="117" t="s">
        <v>4173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14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>
      <c r="A2293" s="103" t="s">
        <v>4139</v>
      </c>
      <c r="B2293" s="149" t="str">
        <f>IFERROR(VLOOKUP(Proc[[#This Row],[App]],Table2[],3,0),"open")</f>
        <v>ok</v>
      </c>
      <c r="C2293" s="103" t="s">
        <v>369</v>
      </c>
      <c r="D2293" t="s">
        <v>4164</v>
      </c>
      <c r="E2293" t="s">
        <v>4174</v>
      </c>
      <c r="F2293" s="117" t="s">
        <v>4174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14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>
      <c r="A2294" s="103" t="s">
        <v>4139</v>
      </c>
      <c r="B2294" s="149" t="str">
        <f>IFERROR(VLOOKUP(Proc[[#This Row],[App]],Table2[],3,0),"open")</f>
        <v>ok</v>
      </c>
      <c r="C2294" s="103" t="s">
        <v>369</v>
      </c>
      <c r="D2294" t="s">
        <v>4165</v>
      </c>
      <c r="E2294" t="s">
        <v>4174</v>
      </c>
      <c r="F2294" s="117" t="s">
        <v>4174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14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>
      <c r="A2295" s="103" t="s">
        <v>4139</v>
      </c>
      <c r="B2295" s="149" t="str">
        <f>IFERROR(VLOOKUP(Proc[[#This Row],[App]],Table2[],3,0),"open")</f>
        <v>ok</v>
      </c>
      <c r="C2295" s="103" t="s">
        <v>369</v>
      </c>
      <c r="D2295" t="s">
        <v>4166</v>
      </c>
      <c r="E2295" t="s">
        <v>4174</v>
      </c>
      <c r="F2295" s="117" t="s">
        <v>4174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14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>
      <c r="A2296" s="103" t="s">
        <v>4139</v>
      </c>
      <c r="B2296" s="149" t="str">
        <f>IFERROR(VLOOKUP(Proc[[#This Row],[App]],Table2[],3,0),"open")</f>
        <v>ok</v>
      </c>
      <c r="C2296" s="103" t="s">
        <v>369</v>
      </c>
      <c r="D2296" t="s">
        <v>4167</v>
      </c>
      <c r="E2296" t="s">
        <v>4174</v>
      </c>
      <c r="F2296" s="117" t="s">
        <v>4174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14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>
      <c r="A2297" s="103" t="s">
        <v>4139</v>
      </c>
      <c r="B2297" s="149" t="str">
        <f>IFERROR(VLOOKUP(Proc[[#This Row],[App]],Table2[],3,0),"open")</f>
        <v>ok</v>
      </c>
      <c r="C2297" s="103" t="s">
        <v>369</v>
      </c>
      <c r="D2297" t="s">
        <v>4168</v>
      </c>
      <c r="E2297" t="s">
        <v>4174</v>
      </c>
      <c r="F2297" s="117" t="s">
        <v>4174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14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>
      <c r="A2298" s="103" t="s">
        <v>4139</v>
      </c>
      <c r="B2298" s="149" t="str">
        <f>IFERROR(VLOOKUP(Proc[[#This Row],[App]],Table2[],3,0),"open")</f>
        <v>ok</v>
      </c>
      <c r="C2298" s="103" t="s">
        <v>369</v>
      </c>
      <c r="D2298" t="s">
        <v>4169</v>
      </c>
      <c r="E2298" t="s">
        <v>4173</v>
      </c>
      <c r="F2298" s="117" t="s">
        <v>4173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14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>
      <c r="A2299" s="103" t="s">
        <v>4139</v>
      </c>
      <c r="B2299" s="149" t="str">
        <f>IFERROR(VLOOKUP(Proc[[#This Row],[App]],Table2[],3,0),"open")</f>
        <v>ok</v>
      </c>
      <c r="C2299" s="103" t="s">
        <v>369</v>
      </c>
      <c r="D2299" t="s">
        <v>4170</v>
      </c>
      <c r="E2299" t="s">
        <v>4173</v>
      </c>
      <c r="F2299" s="117" t="s">
        <v>4173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14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>
      <c r="A2300" s="103" t="s">
        <v>4139</v>
      </c>
      <c r="B2300" s="149" t="str">
        <f>IFERROR(VLOOKUP(Proc[[#This Row],[App]],Table2[],3,0),"open")</f>
        <v>ok</v>
      </c>
      <c r="C2300" s="103" t="s">
        <v>369</v>
      </c>
      <c r="D2300" t="s">
        <v>4171</v>
      </c>
      <c r="E2300" t="s">
        <v>4174</v>
      </c>
      <c r="F2300" s="117" t="s">
        <v>4174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14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>
      <c r="A2301" s="103" t="s">
        <v>4139</v>
      </c>
      <c r="B2301" s="149" t="str">
        <f>IFERROR(VLOOKUP(Proc[[#This Row],[App]],Table2[],3,0),"open")</f>
        <v>ok</v>
      </c>
      <c r="C2301" s="103" t="s">
        <v>369</v>
      </c>
      <c r="D2301" t="s">
        <v>4172</v>
      </c>
      <c r="E2301" t="s">
        <v>4175</v>
      </c>
      <c r="F2301" s="117" t="s">
        <v>4175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14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>
      <c r="A2302" s="103" t="s">
        <v>4139</v>
      </c>
      <c r="B2302" s="149" t="str">
        <f>IFERROR(VLOOKUP(Proc[[#This Row],[App]],Table2[],3,0),"open")</f>
        <v>ok</v>
      </c>
      <c r="C2302" s="103" t="s">
        <v>369</v>
      </c>
      <c r="D2302" t="s">
        <v>4176</v>
      </c>
      <c r="E2302" t="s">
        <v>4173</v>
      </c>
      <c r="F2302" s="117" t="s">
        <v>4173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14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128</v>
      </c>
      <c r="R2302" s="104" t="s">
        <v>410</v>
      </c>
      <c r="S2302" s="94"/>
    </row>
    <row r="2303" spans="1:19">
      <c r="A2303" s="103" t="s">
        <v>4139</v>
      </c>
      <c r="B2303" s="149" t="str">
        <f>IFERROR(VLOOKUP(Proc[[#This Row],[App]],Table2[],3,0),"open")</f>
        <v>ok</v>
      </c>
      <c r="C2303" s="103" t="s">
        <v>369</v>
      </c>
      <c r="D2303" t="s">
        <v>4177</v>
      </c>
      <c r="E2303" t="s">
        <v>4173</v>
      </c>
      <c r="F2303" s="117" t="s">
        <v>4173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14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128</v>
      </c>
      <c r="R2303" s="104" t="s">
        <v>410</v>
      </c>
      <c r="S2303" s="94"/>
    </row>
    <row r="2304" spans="1:19">
      <c r="A2304" t="s">
        <v>4180</v>
      </c>
      <c r="B2304" s="149" t="str">
        <f>IFERROR(VLOOKUP(Proc[[#This Row],[App]],Table2[],3,0),"open")</f>
        <v>ok</v>
      </c>
      <c r="C2304" s="103" t="s">
        <v>369</v>
      </c>
      <c r="D2304" t="s">
        <v>4181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14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128</v>
      </c>
      <c r="R2304" s="106" t="s">
        <v>955</v>
      </c>
      <c r="S2304" s="94"/>
    </row>
    <row r="2305" spans="1:19">
      <c r="A2305" t="s">
        <v>4187</v>
      </c>
      <c r="B2305" s="149" t="str">
        <f>IFERROR(VLOOKUP(Proc[[#This Row],[App]],Table2[],3,0),"open")</f>
        <v>ok</v>
      </c>
      <c r="C2305" s="103" t="s">
        <v>369</v>
      </c>
      <c r="D2305" t="s">
        <v>4182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14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128</v>
      </c>
      <c r="R2305" s="106" t="s">
        <v>972</v>
      </c>
      <c r="S2305" s="94"/>
    </row>
    <row r="2306" spans="1:19">
      <c r="A2306" s="103" t="s">
        <v>4187</v>
      </c>
      <c r="B2306" s="149" t="str">
        <f>IFERROR(VLOOKUP(Proc[[#This Row],[App]],Table2[],3,0),"open")</f>
        <v>ok</v>
      </c>
      <c r="C2306" s="103" t="s">
        <v>369</v>
      </c>
      <c r="D2306" t="s">
        <v>4183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14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128</v>
      </c>
      <c r="R2306" s="106" t="s">
        <v>972</v>
      </c>
      <c r="S2306" s="94"/>
    </row>
    <row r="2307" spans="1:19">
      <c r="A2307" s="103" t="s">
        <v>4187</v>
      </c>
      <c r="B2307" s="149" t="str">
        <f>IFERROR(VLOOKUP(Proc[[#This Row],[App]],Table2[],3,0),"open")</f>
        <v>ok</v>
      </c>
      <c r="C2307" s="103" t="s">
        <v>369</v>
      </c>
      <c r="D2307" t="s">
        <v>4184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14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128</v>
      </c>
      <c r="R2307" s="106" t="s">
        <v>972</v>
      </c>
      <c r="S2307" s="94"/>
    </row>
    <row r="2308" spans="1:19">
      <c r="A2308" s="103" t="s">
        <v>4187</v>
      </c>
      <c r="B2308" s="149" t="str">
        <f>IFERROR(VLOOKUP(Proc[[#This Row],[App]],Table2[],3,0),"open")</f>
        <v>ok</v>
      </c>
      <c r="C2308" s="103" t="s">
        <v>369</v>
      </c>
      <c r="D2308" t="s">
        <v>4185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14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128</v>
      </c>
      <c r="R2308" s="106" t="s">
        <v>972</v>
      </c>
      <c r="S2308" s="94"/>
    </row>
    <row r="2309" spans="1:19">
      <c r="A2309" s="103" t="s">
        <v>4187</v>
      </c>
      <c r="B2309" s="149" t="str">
        <f>IFERROR(VLOOKUP(Proc[[#This Row],[App]],Table2[],3,0),"open")</f>
        <v>ok</v>
      </c>
      <c r="C2309" s="103" t="s">
        <v>369</v>
      </c>
      <c r="D2309" t="s">
        <v>4186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14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128</v>
      </c>
      <c r="R2309" s="106" t="s">
        <v>972</v>
      </c>
      <c r="S2309" s="94"/>
    </row>
    <row r="2310" spans="1:19">
      <c r="A2310" t="s">
        <v>4188</v>
      </c>
      <c r="B2310" s="149" t="str">
        <f>IFERROR(VLOOKUP(Proc[[#This Row],[App]],Table2[],3,0),"open")</f>
        <v>ok</v>
      </c>
      <c r="C2310" s="103" t="s">
        <v>369</v>
      </c>
      <c r="D2310" t="s">
        <v>4189</v>
      </c>
      <c r="E2310" t="s">
        <v>4245</v>
      </c>
      <c r="F2310" s="117" t="s">
        <v>4245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14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128</v>
      </c>
      <c r="R2310" s="106" t="s">
        <v>780</v>
      </c>
      <c r="S2310" s="94"/>
    </row>
    <row r="2311" spans="1:19">
      <c r="A2311" s="103" t="s">
        <v>4188</v>
      </c>
      <c r="B2311" s="149" t="str">
        <f>IFERROR(VLOOKUP(Proc[[#This Row],[App]],Table2[],3,0),"open")</f>
        <v>ok</v>
      </c>
      <c r="C2311" s="103" t="s">
        <v>369</v>
      </c>
      <c r="D2311" t="s">
        <v>4190</v>
      </c>
      <c r="E2311" t="s">
        <v>4245</v>
      </c>
      <c r="F2311" s="117" t="s">
        <v>4245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14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128</v>
      </c>
      <c r="R2311" s="106" t="s">
        <v>780</v>
      </c>
      <c r="S2311" s="94"/>
    </row>
    <row r="2312" spans="1:19">
      <c r="A2312" s="103" t="s">
        <v>4188</v>
      </c>
      <c r="B2312" s="149" t="str">
        <f>IFERROR(VLOOKUP(Proc[[#This Row],[App]],Table2[],3,0),"open")</f>
        <v>ok</v>
      </c>
      <c r="C2312" s="103" t="s">
        <v>369</v>
      </c>
      <c r="D2312" t="s">
        <v>4191</v>
      </c>
      <c r="E2312" t="s">
        <v>4245</v>
      </c>
      <c r="F2312" s="117" t="s">
        <v>4245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14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128</v>
      </c>
      <c r="R2312" s="106" t="s">
        <v>780</v>
      </c>
      <c r="S2312" s="94"/>
    </row>
    <row r="2313" spans="1:19">
      <c r="A2313" s="103" t="s">
        <v>4188</v>
      </c>
      <c r="B2313" s="149" t="str">
        <f>IFERROR(VLOOKUP(Proc[[#This Row],[App]],Table2[],3,0),"open")</f>
        <v>ok</v>
      </c>
      <c r="C2313" s="103" t="s">
        <v>369</v>
      </c>
      <c r="D2313" t="s">
        <v>4192</v>
      </c>
      <c r="E2313" t="s">
        <v>4245</v>
      </c>
      <c r="F2313" s="117" t="s">
        <v>4245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14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128</v>
      </c>
      <c r="R2313" s="106" t="s">
        <v>780</v>
      </c>
      <c r="S2313" s="94"/>
    </row>
    <row r="2314" spans="1:19">
      <c r="A2314" s="103" t="s">
        <v>4188</v>
      </c>
      <c r="B2314" s="149" t="str">
        <f>IFERROR(VLOOKUP(Proc[[#This Row],[App]],Table2[],3,0),"open")</f>
        <v>ok</v>
      </c>
      <c r="C2314" s="103" t="s">
        <v>369</v>
      </c>
      <c r="D2314" t="s">
        <v>4193</v>
      </c>
      <c r="E2314" t="s">
        <v>4245</v>
      </c>
      <c r="F2314" s="117" t="s">
        <v>4245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14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128</v>
      </c>
      <c r="R2314" s="106" t="s">
        <v>780</v>
      </c>
      <c r="S2314" s="94"/>
    </row>
    <row r="2315" spans="1:19">
      <c r="A2315" s="103" t="s">
        <v>4188</v>
      </c>
      <c r="B2315" s="149" t="str">
        <f>IFERROR(VLOOKUP(Proc[[#This Row],[App]],Table2[],3,0),"open")</f>
        <v>ok</v>
      </c>
      <c r="C2315" s="103" t="s">
        <v>369</v>
      </c>
      <c r="D2315" t="s">
        <v>4194</v>
      </c>
      <c r="E2315" t="s">
        <v>4245</v>
      </c>
      <c r="F2315" s="117" t="s">
        <v>4245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14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128</v>
      </c>
      <c r="R2315" s="106" t="s">
        <v>780</v>
      </c>
      <c r="S2315" s="94"/>
    </row>
    <row r="2316" spans="1:19">
      <c r="A2316" s="103" t="s">
        <v>4188</v>
      </c>
      <c r="B2316" s="149" t="str">
        <f>IFERROR(VLOOKUP(Proc[[#This Row],[App]],Table2[],3,0),"open")</f>
        <v>ok</v>
      </c>
      <c r="C2316" s="103" t="s">
        <v>369</v>
      </c>
      <c r="D2316" t="s">
        <v>4195</v>
      </c>
      <c r="E2316" t="s">
        <v>4245</v>
      </c>
      <c r="F2316" s="117" t="s">
        <v>4245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14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128</v>
      </c>
      <c r="R2316" s="106" t="s">
        <v>780</v>
      </c>
      <c r="S2316" s="94"/>
    </row>
    <row r="2317" spans="1:19">
      <c r="A2317" s="103" t="s">
        <v>4188</v>
      </c>
      <c r="B2317" s="149" t="str">
        <f>IFERROR(VLOOKUP(Proc[[#This Row],[App]],Table2[],3,0),"open")</f>
        <v>ok</v>
      </c>
      <c r="C2317" s="103" t="s">
        <v>369</v>
      </c>
      <c r="D2317" t="s">
        <v>4196</v>
      </c>
      <c r="E2317" t="s">
        <v>4246</v>
      </c>
      <c r="F2317" s="117" t="s">
        <v>4246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14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128</v>
      </c>
      <c r="R2317" s="106" t="s">
        <v>780</v>
      </c>
      <c r="S2317" s="94"/>
    </row>
    <row r="2318" spans="1:19">
      <c r="A2318" s="103" t="s">
        <v>4188</v>
      </c>
      <c r="B2318" s="149" t="str">
        <f>IFERROR(VLOOKUP(Proc[[#This Row],[App]],Table2[],3,0),"open")</f>
        <v>ok</v>
      </c>
      <c r="C2318" s="103" t="s">
        <v>369</v>
      </c>
      <c r="D2318" t="s">
        <v>4197</v>
      </c>
      <c r="E2318" t="s">
        <v>4246</v>
      </c>
      <c r="F2318" s="117" t="s">
        <v>4246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14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128</v>
      </c>
      <c r="R2318" s="106" t="s">
        <v>780</v>
      </c>
      <c r="S2318" s="94"/>
    </row>
    <row r="2319" spans="1:19">
      <c r="A2319" s="103" t="s">
        <v>4188</v>
      </c>
      <c r="B2319" s="149" t="str">
        <f>IFERROR(VLOOKUP(Proc[[#This Row],[App]],Table2[],3,0),"open")</f>
        <v>ok</v>
      </c>
      <c r="C2319" s="103" t="s">
        <v>369</v>
      </c>
      <c r="D2319" t="s">
        <v>4198</v>
      </c>
      <c r="E2319" t="s">
        <v>4246</v>
      </c>
      <c r="F2319" s="117" t="s">
        <v>4246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14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128</v>
      </c>
      <c r="R2319" s="106" t="s">
        <v>780</v>
      </c>
      <c r="S2319" s="94"/>
    </row>
    <row r="2320" spans="1:19">
      <c r="A2320" s="103" t="s">
        <v>4188</v>
      </c>
      <c r="B2320" s="149" t="str">
        <f>IFERROR(VLOOKUP(Proc[[#This Row],[App]],Table2[],3,0),"open")</f>
        <v>ok</v>
      </c>
      <c r="C2320" s="103" t="s">
        <v>369</v>
      </c>
      <c r="D2320" t="s">
        <v>4199</v>
      </c>
      <c r="E2320" t="s">
        <v>4246</v>
      </c>
      <c r="F2320" s="117" t="s">
        <v>4246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14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128</v>
      </c>
      <c r="R2320" s="106" t="s">
        <v>780</v>
      </c>
      <c r="S2320" s="94"/>
    </row>
    <row r="2321" spans="1:19">
      <c r="A2321" s="103" t="s">
        <v>4188</v>
      </c>
      <c r="B2321" s="149" t="str">
        <f>IFERROR(VLOOKUP(Proc[[#This Row],[App]],Table2[],3,0),"open")</f>
        <v>ok</v>
      </c>
      <c r="C2321" s="103" t="s">
        <v>369</v>
      </c>
      <c r="D2321" t="s">
        <v>4200</v>
      </c>
      <c r="E2321" t="s">
        <v>4246</v>
      </c>
      <c r="F2321" s="117" t="s">
        <v>4246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14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128</v>
      </c>
      <c r="R2321" s="106" t="s">
        <v>780</v>
      </c>
      <c r="S2321" s="94"/>
    </row>
    <row r="2322" spans="1:19">
      <c r="A2322" s="103" t="s">
        <v>4188</v>
      </c>
      <c r="B2322" s="149" t="str">
        <f>IFERROR(VLOOKUP(Proc[[#This Row],[App]],Table2[],3,0),"open")</f>
        <v>ok</v>
      </c>
      <c r="C2322" s="103" t="s">
        <v>369</v>
      </c>
      <c r="D2322" t="s">
        <v>4201</v>
      </c>
      <c r="E2322" t="s">
        <v>4246</v>
      </c>
      <c r="F2322" s="117" t="s">
        <v>4246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14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128</v>
      </c>
      <c r="R2322" s="106" t="s">
        <v>780</v>
      </c>
      <c r="S2322" s="94"/>
    </row>
    <row r="2323" spans="1:19">
      <c r="A2323" s="103" t="s">
        <v>4188</v>
      </c>
      <c r="B2323" s="149" t="str">
        <f>IFERROR(VLOOKUP(Proc[[#This Row],[App]],Table2[],3,0),"open")</f>
        <v>ok</v>
      </c>
      <c r="C2323" s="103" t="s">
        <v>369</v>
      </c>
      <c r="D2323" t="s">
        <v>4202</v>
      </c>
      <c r="E2323" t="s">
        <v>4246</v>
      </c>
      <c r="F2323" s="117" t="s">
        <v>4246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14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128</v>
      </c>
      <c r="R2323" s="106" t="s">
        <v>780</v>
      </c>
      <c r="S2323" s="94"/>
    </row>
    <row r="2324" spans="1:19">
      <c r="A2324" s="103" t="s">
        <v>4188</v>
      </c>
      <c r="B2324" s="149" t="str">
        <f>IFERROR(VLOOKUP(Proc[[#This Row],[App]],Table2[],3,0),"open")</f>
        <v>ok</v>
      </c>
      <c r="C2324" s="103" t="s">
        <v>369</v>
      </c>
      <c r="D2324" t="s">
        <v>4203</v>
      </c>
      <c r="E2324" t="s">
        <v>4246</v>
      </c>
      <c r="F2324" s="117" t="s">
        <v>4246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14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128</v>
      </c>
      <c r="R2324" s="106" t="s">
        <v>780</v>
      </c>
      <c r="S2324" s="94"/>
    </row>
    <row r="2325" spans="1:19">
      <c r="A2325" s="103" t="s">
        <v>4188</v>
      </c>
      <c r="B2325" s="149" t="str">
        <f>IFERROR(VLOOKUP(Proc[[#This Row],[App]],Table2[],3,0),"open")</f>
        <v>ok</v>
      </c>
      <c r="C2325" s="103" t="s">
        <v>369</v>
      </c>
      <c r="D2325" t="s">
        <v>4204</v>
      </c>
      <c r="E2325" t="s">
        <v>4246</v>
      </c>
      <c r="F2325" s="117" t="s">
        <v>4246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14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128</v>
      </c>
      <c r="R2325" s="106" t="s">
        <v>780</v>
      </c>
      <c r="S2325" s="94"/>
    </row>
    <row r="2326" spans="1:19">
      <c r="A2326" s="103" t="s">
        <v>4188</v>
      </c>
      <c r="B2326" s="149" t="str">
        <f>IFERROR(VLOOKUP(Proc[[#This Row],[App]],Table2[],3,0),"open")</f>
        <v>ok</v>
      </c>
      <c r="C2326" s="103" t="s">
        <v>369</v>
      </c>
      <c r="D2326" t="s">
        <v>4205</v>
      </c>
      <c r="E2326" t="s">
        <v>4246</v>
      </c>
      <c r="F2326" s="117" t="s">
        <v>4246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14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128</v>
      </c>
      <c r="R2326" s="106" t="s">
        <v>780</v>
      </c>
      <c r="S2326" s="94"/>
    </row>
    <row r="2327" spans="1:19">
      <c r="A2327" s="103" t="s">
        <v>4188</v>
      </c>
      <c r="B2327" s="149" t="str">
        <f>IFERROR(VLOOKUP(Proc[[#This Row],[App]],Table2[],3,0),"open")</f>
        <v>ok</v>
      </c>
      <c r="C2327" s="103" t="s">
        <v>369</v>
      </c>
      <c r="D2327" t="s">
        <v>4206</v>
      </c>
      <c r="E2327" t="s">
        <v>4246</v>
      </c>
      <c r="F2327" s="117" t="s">
        <v>4246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14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128</v>
      </c>
      <c r="R2327" s="106" t="s">
        <v>780</v>
      </c>
      <c r="S2327" s="94"/>
    </row>
    <row r="2328" spans="1:19">
      <c r="A2328" s="103" t="s">
        <v>4188</v>
      </c>
      <c r="B2328" s="149" t="str">
        <f>IFERROR(VLOOKUP(Proc[[#This Row],[App]],Table2[],3,0),"open")</f>
        <v>ok</v>
      </c>
      <c r="C2328" s="103" t="s">
        <v>369</v>
      </c>
      <c r="D2328" t="s">
        <v>4207</v>
      </c>
      <c r="E2328" t="s">
        <v>4246</v>
      </c>
      <c r="F2328" s="117" t="s">
        <v>4246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14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128</v>
      </c>
      <c r="R2328" s="106" t="s">
        <v>780</v>
      </c>
      <c r="S2328" s="94"/>
    </row>
    <row r="2329" spans="1:19">
      <c r="A2329" s="103" t="s">
        <v>4188</v>
      </c>
      <c r="B2329" s="149" t="str">
        <f>IFERROR(VLOOKUP(Proc[[#This Row],[App]],Table2[],3,0),"open")</f>
        <v>ok</v>
      </c>
      <c r="C2329" s="103" t="s">
        <v>369</v>
      </c>
      <c r="D2329" t="s">
        <v>4208</v>
      </c>
      <c r="E2329" t="s">
        <v>4246</v>
      </c>
      <c r="F2329" s="117" t="s">
        <v>4246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14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128</v>
      </c>
      <c r="R2329" s="106" t="s">
        <v>780</v>
      </c>
      <c r="S2329" s="94"/>
    </row>
    <row r="2330" spans="1:19">
      <c r="A2330" s="103" t="s">
        <v>4188</v>
      </c>
      <c r="B2330" s="149" t="str">
        <f>IFERROR(VLOOKUP(Proc[[#This Row],[App]],Table2[],3,0),"open")</f>
        <v>ok</v>
      </c>
      <c r="C2330" s="103" t="s">
        <v>369</v>
      </c>
      <c r="D2330" t="s">
        <v>4209</v>
      </c>
      <c r="E2330" t="s">
        <v>4246</v>
      </c>
      <c r="F2330" s="117" t="s">
        <v>4246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14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128</v>
      </c>
      <c r="R2330" s="106" t="s">
        <v>780</v>
      </c>
      <c r="S2330" s="94"/>
    </row>
    <row r="2331" spans="1:19">
      <c r="A2331" s="103" t="s">
        <v>4188</v>
      </c>
      <c r="B2331" s="149" t="str">
        <f>IFERROR(VLOOKUP(Proc[[#This Row],[App]],Table2[],3,0),"open")</f>
        <v>ok</v>
      </c>
      <c r="C2331" s="103" t="s">
        <v>369</v>
      </c>
      <c r="D2331" t="s">
        <v>4210</v>
      </c>
      <c r="E2331" t="s">
        <v>4246</v>
      </c>
      <c r="F2331" s="117" t="s">
        <v>4246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14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128</v>
      </c>
      <c r="R2331" s="106" t="s">
        <v>780</v>
      </c>
      <c r="S2331" s="94"/>
    </row>
    <row r="2332" spans="1:19">
      <c r="A2332" s="103" t="s">
        <v>4188</v>
      </c>
      <c r="B2332" s="149" t="str">
        <f>IFERROR(VLOOKUP(Proc[[#This Row],[App]],Table2[],3,0),"open")</f>
        <v>ok</v>
      </c>
      <c r="C2332" s="103" t="s">
        <v>369</v>
      </c>
      <c r="D2332" t="s">
        <v>4211</v>
      </c>
      <c r="E2332" t="s">
        <v>4246</v>
      </c>
      <c r="F2332" s="117" t="s">
        <v>4246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14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128</v>
      </c>
      <c r="R2332" s="106" t="s">
        <v>780</v>
      </c>
      <c r="S2332" s="94"/>
    </row>
    <row r="2333" spans="1:19">
      <c r="A2333" s="103" t="s">
        <v>4188</v>
      </c>
      <c r="B2333" s="149" t="str">
        <f>IFERROR(VLOOKUP(Proc[[#This Row],[App]],Table2[],3,0),"open")</f>
        <v>ok</v>
      </c>
      <c r="C2333" s="103" t="s">
        <v>369</v>
      </c>
      <c r="D2333" t="s">
        <v>4212</v>
      </c>
      <c r="E2333" t="s">
        <v>4246</v>
      </c>
      <c r="F2333" s="117" t="s">
        <v>4246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14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128</v>
      </c>
      <c r="R2333" s="106" t="s">
        <v>780</v>
      </c>
      <c r="S2333" s="94"/>
    </row>
    <row r="2334" spans="1:19">
      <c r="A2334" s="103" t="s">
        <v>4188</v>
      </c>
      <c r="B2334" s="149" t="str">
        <f>IFERROR(VLOOKUP(Proc[[#This Row],[App]],Table2[],3,0),"open")</f>
        <v>ok</v>
      </c>
      <c r="C2334" s="103" t="s">
        <v>369</v>
      </c>
      <c r="D2334" t="s">
        <v>4213</v>
      </c>
      <c r="E2334" t="s">
        <v>4246</v>
      </c>
      <c r="F2334" s="117" t="s">
        <v>4246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14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128</v>
      </c>
      <c r="R2334" s="106" t="s">
        <v>780</v>
      </c>
      <c r="S2334" s="94"/>
    </row>
    <row r="2335" spans="1:19">
      <c r="A2335" s="103" t="s">
        <v>4188</v>
      </c>
      <c r="B2335" s="149" t="str">
        <f>IFERROR(VLOOKUP(Proc[[#This Row],[App]],Table2[],3,0),"open")</f>
        <v>ok</v>
      </c>
      <c r="C2335" s="103" t="s">
        <v>369</v>
      </c>
      <c r="D2335" t="s">
        <v>4214</v>
      </c>
      <c r="E2335" t="s">
        <v>4245</v>
      </c>
      <c r="F2335" s="117" t="s">
        <v>4245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14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128</v>
      </c>
      <c r="R2335" s="106" t="s">
        <v>780</v>
      </c>
      <c r="S2335" s="94"/>
    </row>
    <row r="2336" spans="1:19">
      <c r="A2336" s="103" t="s">
        <v>4188</v>
      </c>
      <c r="B2336" s="149" t="str">
        <f>IFERROR(VLOOKUP(Proc[[#This Row],[App]],Table2[],3,0),"open")</f>
        <v>ok</v>
      </c>
      <c r="C2336" s="103" t="s">
        <v>369</v>
      </c>
      <c r="D2336" t="s">
        <v>4215</v>
      </c>
      <c r="E2336" t="s">
        <v>4245</v>
      </c>
      <c r="F2336" s="117" t="s">
        <v>4245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14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128</v>
      </c>
      <c r="R2336" s="106" t="s">
        <v>780</v>
      </c>
      <c r="S2336" s="94"/>
    </row>
    <row r="2337" spans="1:19">
      <c r="A2337" s="103" t="s">
        <v>4188</v>
      </c>
      <c r="B2337" s="149" t="str">
        <f>IFERROR(VLOOKUP(Proc[[#This Row],[App]],Table2[],3,0),"open")</f>
        <v>ok</v>
      </c>
      <c r="C2337" s="103" t="s">
        <v>369</v>
      </c>
      <c r="D2337" t="s">
        <v>4216</v>
      </c>
      <c r="E2337" t="s">
        <v>4245</v>
      </c>
      <c r="F2337" s="117" t="s">
        <v>4245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14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128</v>
      </c>
      <c r="R2337" s="106" t="s">
        <v>780</v>
      </c>
      <c r="S2337" s="94"/>
    </row>
    <row r="2338" spans="1:19">
      <c r="A2338" s="103" t="s">
        <v>4188</v>
      </c>
      <c r="B2338" s="149" t="str">
        <f>IFERROR(VLOOKUP(Proc[[#This Row],[App]],Table2[],3,0),"open")</f>
        <v>ok</v>
      </c>
      <c r="C2338" s="103" t="s">
        <v>369</v>
      </c>
      <c r="D2338" t="s">
        <v>4217</v>
      </c>
      <c r="E2338" t="s">
        <v>4245</v>
      </c>
      <c r="F2338" s="117" t="s">
        <v>4245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14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128</v>
      </c>
      <c r="R2338" s="106" t="s">
        <v>780</v>
      </c>
      <c r="S2338" s="94"/>
    </row>
    <row r="2339" spans="1:19">
      <c r="A2339" s="103" t="s">
        <v>4188</v>
      </c>
      <c r="B2339" s="149" t="str">
        <f>IFERROR(VLOOKUP(Proc[[#This Row],[App]],Table2[],3,0),"open")</f>
        <v>ok</v>
      </c>
      <c r="C2339" s="103" t="s">
        <v>369</v>
      </c>
      <c r="D2339" t="s">
        <v>4218</v>
      </c>
      <c r="E2339" t="s">
        <v>4245</v>
      </c>
      <c r="F2339" s="117" t="s">
        <v>4245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14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128</v>
      </c>
      <c r="R2339" s="106" t="s">
        <v>780</v>
      </c>
      <c r="S2339" s="94"/>
    </row>
    <row r="2340" spans="1:19">
      <c r="A2340" s="103" t="s">
        <v>4188</v>
      </c>
      <c r="B2340" s="149" t="str">
        <f>IFERROR(VLOOKUP(Proc[[#This Row],[App]],Table2[],3,0),"open")</f>
        <v>ok</v>
      </c>
      <c r="C2340" s="103" t="s">
        <v>369</v>
      </c>
      <c r="D2340" t="s">
        <v>4219</v>
      </c>
      <c r="E2340" t="s">
        <v>4245</v>
      </c>
      <c r="F2340" s="117" t="s">
        <v>4245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14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128</v>
      </c>
      <c r="R2340" s="106" t="s">
        <v>780</v>
      </c>
      <c r="S2340" s="94"/>
    </row>
    <row r="2341" spans="1:19">
      <c r="A2341" s="103" t="s">
        <v>4188</v>
      </c>
      <c r="B2341" s="149" t="str">
        <f>IFERROR(VLOOKUP(Proc[[#This Row],[App]],Table2[],3,0),"open")</f>
        <v>ok</v>
      </c>
      <c r="C2341" s="103" t="s">
        <v>369</v>
      </c>
      <c r="D2341" t="s">
        <v>4220</v>
      </c>
      <c r="E2341" t="s">
        <v>4245</v>
      </c>
      <c r="F2341" s="117" t="s">
        <v>4245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14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128</v>
      </c>
      <c r="R2341" s="106" t="s">
        <v>780</v>
      </c>
      <c r="S2341" s="94"/>
    </row>
    <row r="2342" spans="1:19">
      <c r="A2342" s="103" t="s">
        <v>4188</v>
      </c>
      <c r="B2342" s="149" t="str">
        <f>IFERROR(VLOOKUP(Proc[[#This Row],[App]],Table2[],3,0),"open")</f>
        <v>ok</v>
      </c>
      <c r="C2342" s="103" t="s">
        <v>369</v>
      </c>
      <c r="D2342" t="s">
        <v>4221</v>
      </c>
      <c r="E2342" t="s">
        <v>4245</v>
      </c>
      <c r="F2342" s="117" t="s">
        <v>4245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14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128</v>
      </c>
      <c r="R2342" s="106" t="s">
        <v>780</v>
      </c>
      <c r="S2342" s="94"/>
    </row>
    <row r="2343" spans="1:19">
      <c r="A2343" s="103" t="s">
        <v>4188</v>
      </c>
      <c r="B2343" s="149" t="str">
        <f>IFERROR(VLOOKUP(Proc[[#This Row],[App]],Table2[],3,0),"open")</f>
        <v>ok</v>
      </c>
      <c r="C2343" s="103" t="s">
        <v>369</v>
      </c>
      <c r="D2343" t="s">
        <v>4222</v>
      </c>
      <c r="E2343" t="s">
        <v>4246</v>
      </c>
      <c r="F2343" s="117" t="s">
        <v>4246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14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128</v>
      </c>
      <c r="R2343" s="106" t="s">
        <v>780</v>
      </c>
      <c r="S2343" s="94"/>
    </row>
    <row r="2344" spans="1:19">
      <c r="A2344" s="103" t="s">
        <v>4188</v>
      </c>
      <c r="B2344" s="149" t="str">
        <f>IFERROR(VLOOKUP(Proc[[#This Row],[App]],Table2[],3,0),"open")</f>
        <v>ok</v>
      </c>
      <c r="C2344" s="103" t="s">
        <v>369</v>
      </c>
      <c r="D2344" t="s">
        <v>4223</v>
      </c>
      <c r="E2344" t="s">
        <v>4246</v>
      </c>
      <c r="F2344" s="117" t="s">
        <v>4246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14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128</v>
      </c>
      <c r="R2344" s="106" t="s">
        <v>780</v>
      </c>
      <c r="S2344" s="94"/>
    </row>
    <row r="2345" spans="1:19">
      <c r="A2345" s="103" t="s">
        <v>4188</v>
      </c>
      <c r="B2345" s="149" t="str">
        <f>IFERROR(VLOOKUP(Proc[[#This Row],[App]],Table2[],3,0),"open")</f>
        <v>ok</v>
      </c>
      <c r="C2345" s="103" t="s">
        <v>369</v>
      </c>
      <c r="D2345" t="s">
        <v>4224</v>
      </c>
      <c r="E2345" t="s">
        <v>4246</v>
      </c>
      <c r="F2345" s="117" t="s">
        <v>4246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14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128</v>
      </c>
      <c r="R2345" s="106" t="s">
        <v>780</v>
      </c>
      <c r="S2345" s="94"/>
    </row>
    <row r="2346" spans="1:19">
      <c r="A2346" s="103" t="s">
        <v>4188</v>
      </c>
      <c r="B2346" s="149" t="str">
        <f>IFERROR(VLOOKUP(Proc[[#This Row],[App]],Table2[],3,0),"open")</f>
        <v>ok</v>
      </c>
      <c r="C2346" s="103" t="s">
        <v>369</v>
      </c>
      <c r="D2346" t="s">
        <v>4225</v>
      </c>
      <c r="E2346" t="s">
        <v>4246</v>
      </c>
      <c r="F2346" s="117" t="s">
        <v>4246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14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128</v>
      </c>
      <c r="R2346" s="106" t="s">
        <v>780</v>
      </c>
      <c r="S2346" s="94"/>
    </row>
    <row r="2347" spans="1:19">
      <c r="A2347" s="103" t="s">
        <v>4188</v>
      </c>
      <c r="B2347" s="149" t="str">
        <f>IFERROR(VLOOKUP(Proc[[#This Row],[App]],Table2[],3,0),"open")</f>
        <v>ok</v>
      </c>
      <c r="C2347" s="103" t="s">
        <v>369</v>
      </c>
      <c r="D2347" t="s">
        <v>4226</v>
      </c>
      <c r="E2347" t="s">
        <v>4246</v>
      </c>
      <c r="F2347" s="117" t="s">
        <v>4246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14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128</v>
      </c>
      <c r="R2347" s="106" t="s">
        <v>780</v>
      </c>
      <c r="S2347" s="94"/>
    </row>
    <row r="2348" spans="1:19">
      <c r="A2348" s="103" t="s">
        <v>4188</v>
      </c>
      <c r="B2348" s="149" t="str">
        <f>IFERROR(VLOOKUP(Proc[[#This Row],[App]],Table2[],3,0),"open")</f>
        <v>ok</v>
      </c>
      <c r="C2348" s="103" t="s">
        <v>369</v>
      </c>
      <c r="D2348" t="s">
        <v>4227</v>
      </c>
      <c r="E2348" t="s">
        <v>4246</v>
      </c>
      <c r="F2348" s="117" t="s">
        <v>4246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14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128</v>
      </c>
      <c r="R2348" s="106" t="s">
        <v>780</v>
      </c>
      <c r="S2348" s="94"/>
    </row>
    <row r="2349" spans="1:19">
      <c r="A2349" s="103" t="s">
        <v>4188</v>
      </c>
      <c r="B2349" s="149" t="str">
        <f>IFERROR(VLOOKUP(Proc[[#This Row],[App]],Table2[],3,0),"open")</f>
        <v>ok</v>
      </c>
      <c r="C2349" s="103" t="s">
        <v>369</v>
      </c>
      <c r="D2349" t="s">
        <v>4228</v>
      </c>
      <c r="E2349" t="s">
        <v>4246</v>
      </c>
      <c r="F2349" s="117" t="s">
        <v>4246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14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128</v>
      </c>
      <c r="R2349" s="106" t="s">
        <v>780</v>
      </c>
      <c r="S2349" s="94"/>
    </row>
    <row r="2350" spans="1:19">
      <c r="A2350" s="103" t="s">
        <v>4188</v>
      </c>
      <c r="B2350" s="149" t="str">
        <f>IFERROR(VLOOKUP(Proc[[#This Row],[App]],Table2[],3,0),"open")</f>
        <v>ok</v>
      </c>
      <c r="C2350" s="103" t="s">
        <v>369</v>
      </c>
      <c r="D2350" t="s">
        <v>4229</v>
      </c>
      <c r="E2350" t="s">
        <v>4246</v>
      </c>
      <c r="F2350" s="117" t="s">
        <v>4246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14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128</v>
      </c>
      <c r="R2350" s="106" t="s">
        <v>780</v>
      </c>
      <c r="S2350" s="94"/>
    </row>
    <row r="2351" spans="1:19">
      <c r="A2351" s="103" t="s">
        <v>4188</v>
      </c>
      <c r="B2351" s="149" t="str">
        <f>IFERROR(VLOOKUP(Proc[[#This Row],[App]],Table2[],3,0),"open")</f>
        <v>ok</v>
      </c>
      <c r="C2351" s="103" t="s">
        <v>369</v>
      </c>
      <c r="D2351" t="s">
        <v>4230</v>
      </c>
      <c r="E2351" t="s">
        <v>4246</v>
      </c>
      <c r="F2351" s="117" t="s">
        <v>4246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14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128</v>
      </c>
      <c r="R2351" s="106" t="s">
        <v>780</v>
      </c>
      <c r="S2351" s="94"/>
    </row>
    <row r="2352" spans="1:19">
      <c r="A2352" s="103" t="s">
        <v>4188</v>
      </c>
      <c r="B2352" s="149" t="str">
        <f>IFERROR(VLOOKUP(Proc[[#This Row],[App]],Table2[],3,0),"open")</f>
        <v>ok</v>
      </c>
      <c r="C2352" s="103" t="s">
        <v>369</v>
      </c>
      <c r="D2352" t="s">
        <v>4231</v>
      </c>
      <c r="E2352" t="s">
        <v>4246</v>
      </c>
      <c r="F2352" s="117" t="s">
        <v>4246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14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128</v>
      </c>
      <c r="R2352" s="106" t="s">
        <v>780</v>
      </c>
      <c r="S2352" s="94"/>
    </row>
    <row r="2353" spans="1:19">
      <c r="A2353" s="103" t="s">
        <v>4188</v>
      </c>
      <c r="B2353" s="149" t="str">
        <f>IFERROR(VLOOKUP(Proc[[#This Row],[App]],Table2[],3,0),"open")</f>
        <v>ok</v>
      </c>
      <c r="C2353" s="103" t="s">
        <v>369</v>
      </c>
      <c r="D2353" t="s">
        <v>4232</v>
      </c>
      <c r="E2353" t="s">
        <v>4246</v>
      </c>
      <c r="F2353" s="117" t="s">
        <v>4246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14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128</v>
      </c>
      <c r="R2353" s="106" t="s">
        <v>780</v>
      </c>
      <c r="S2353" s="94"/>
    </row>
    <row r="2354" spans="1:19">
      <c r="A2354" s="103" t="s">
        <v>4188</v>
      </c>
      <c r="B2354" s="149" t="str">
        <f>IFERROR(VLOOKUP(Proc[[#This Row],[App]],Table2[],3,0),"open")</f>
        <v>ok</v>
      </c>
      <c r="C2354" s="103" t="s">
        <v>369</v>
      </c>
      <c r="D2354" t="s">
        <v>4233</v>
      </c>
      <c r="E2354" t="s">
        <v>4246</v>
      </c>
      <c r="F2354" s="117" t="s">
        <v>4246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14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128</v>
      </c>
      <c r="R2354" s="106" t="s">
        <v>780</v>
      </c>
      <c r="S2354" s="94"/>
    </row>
    <row r="2355" spans="1:19">
      <c r="A2355" s="103" t="s">
        <v>4188</v>
      </c>
      <c r="B2355" s="149" t="str">
        <f>IFERROR(VLOOKUP(Proc[[#This Row],[App]],Table2[],3,0),"open")</f>
        <v>ok</v>
      </c>
      <c r="C2355" s="103" t="s">
        <v>369</v>
      </c>
      <c r="D2355" t="s">
        <v>4234</v>
      </c>
      <c r="E2355" t="s">
        <v>4246</v>
      </c>
      <c r="F2355" s="117" t="s">
        <v>4246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14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128</v>
      </c>
      <c r="R2355" s="106" t="s">
        <v>780</v>
      </c>
      <c r="S2355" s="94"/>
    </row>
    <row r="2356" spans="1:19">
      <c r="A2356" s="103" t="s">
        <v>4188</v>
      </c>
      <c r="B2356" s="149" t="str">
        <f>IFERROR(VLOOKUP(Proc[[#This Row],[App]],Table2[],3,0),"open")</f>
        <v>ok</v>
      </c>
      <c r="C2356" s="103" t="s">
        <v>369</v>
      </c>
      <c r="D2356" t="s">
        <v>4235</v>
      </c>
      <c r="E2356" t="s">
        <v>4246</v>
      </c>
      <c r="F2356" s="117" t="s">
        <v>4246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14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128</v>
      </c>
      <c r="R2356" s="106" t="s">
        <v>780</v>
      </c>
      <c r="S2356" s="94"/>
    </row>
    <row r="2357" spans="1:19">
      <c r="A2357" s="103" t="s">
        <v>4188</v>
      </c>
      <c r="B2357" s="149" t="str">
        <f>IFERROR(VLOOKUP(Proc[[#This Row],[App]],Table2[],3,0),"open")</f>
        <v>ok</v>
      </c>
      <c r="C2357" s="103" t="s">
        <v>369</v>
      </c>
      <c r="D2357" t="s">
        <v>4236</v>
      </c>
      <c r="E2357" t="s">
        <v>4246</v>
      </c>
      <c r="F2357" s="117" t="s">
        <v>4246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14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128</v>
      </c>
      <c r="R2357" s="106" t="s">
        <v>780</v>
      </c>
      <c r="S2357" s="94"/>
    </row>
    <row r="2358" spans="1:19">
      <c r="A2358" s="103" t="s">
        <v>4188</v>
      </c>
      <c r="B2358" s="149" t="str">
        <f>IFERROR(VLOOKUP(Proc[[#This Row],[App]],Table2[],3,0),"open")</f>
        <v>ok</v>
      </c>
      <c r="C2358" s="103" t="s">
        <v>369</v>
      </c>
      <c r="D2358" t="s">
        <v>4237</v>
      </c>
      <c r="E2358" t="s">
        <v>4246</v>
      </c>
      <c r="F2358" s="117" t="s">
        <v>4246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14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128</v>
      </c>
      <c r="R2358" s="106" t="s">
        <v>780</v>
      </c>
      <c r="S2358" s="94"/>
    </row>
    <row r="2359" spans="1:19">
      <c r="A2359" s="103" t="s">
        <v>4188</v>
      </c>
      <c r="B2359" s="149" t="str">
        <f>IFERROR(VLOOKUP(Proc[[#This Row],[App]],Table2[],3,0),"open")</f>
        <v>ok</v>
      </c>
      <c r="C2359" s="103" t="s">
        <v>369</v>
      </c>
      <c r="D2359" t="s">
        <v>4238</v>
      </c>
      <c r="E2359" t="s">
        <v>4246</v>
      </c>
      <c r="F2359" s="117" t="s">
        <v>4246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14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128</v>
      </c>
      <c r="R2359" s="106" t="s">
        <v>780</v>
      </c>
      <c r="S2359" s="94"/>
    </row>
    <row r="2360" spans="1:19">
      <c r="A2360" s="103" t="s">
        <v>4188</v>
      </c>
      <c r="B2360" s="149" t="str">
        <f>IFERROR(VLOOKUP(Proc[[#This Row],[App]],Table2[],3,0),"open")</f>
        <v>ok</v>
      </c>
      <c r="C2360" s="103" t="s">
        <v>369</v>
      </c>
      <c r="D2360" t="s">
        <v>4239</v>
      </c>
      <c r="E2360" t="s">
        <v>4246</v>
      </c>
      <c r="F2360" s="117" t="s">
        <v>4246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14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128</v>
      </c>
      <c r="R2360" s="106" t="s">
        <v>780</v>
      </c>
      <c r="S2360" s="94"/>
    </row>
    <row r="2361" spans="1:19">
      <c r="A2361" s="103" t="s">
        <v>4188</v>
      </c>
      <c r="B2361" s="149" t="str">
        <f>IFERROR(VLOOKUP(Proc[[#This Row],[App]],Table2[],3,0),"open")</f>
        <v>ok</v>
      </c>
      <c r="C2361" s="103" t="s">
        <v>369</v>
      </c>
      <c r="D2361" t="s">
        <v>4240</v>
      </c>
      <c r="E2361" t="s">
        <v>4246</v>
      </c>
      <c r="F2361" s="117" t="s">
        <v>4246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14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128</v>
      </c>
      <c r="R2361" s="106" t="s">
        <v>780</v>
      </c>
      <c r="S2361" s="94"/>
    </row>
    <row r="2362" spans="1:19">
      <c r="A2362" s="103" t="s">
        <v>4188</v>
      </c>
      <c r="B2362" s="149" t="str">
        <f>IFERROR(VLOOKUP(Proc[[#This Row],[App]],Table2[],3,0),"open")</f>
        <v>ok</v>
      </c>
      <c r="C2362" s="103" t="s">
        <v>369</v>
      </c>
      <c r="D2362" t="s">
        <v>4241</v>
      </c>
      <c r="E2362" t="s">
        <v>4246</v>
      </c>
      <c r="F2362" s="117" t="s">
        <v>4246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14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128</v>
      </c>
      <c r="R2362" s="106" t="s">
        <v>780</v>
      </c>
      <c r="S2362" s="94"/>
    </row>
    <row r="2363" spans="1:19">
      <c r="A2363" s="103" t="s">
        <v>4188</v>
      </c>
      <c r="B2363" s="149" t="str">
        <f>IFERROR(VLOOKUP(Proc[[#This Row],[App]],Table2[],3,0),"open")</f>
        <v>ok</v>
      </c>
      <c r="C2363" s="103" t="s">
        <v>369</v>
      </c>
      <c r="D2363" t="s">
        <v>4242</v>
      </c>
      <c r="E2363" t="s">
        <v>4246</v>
      </c>
      <c r="F2363" s="117" t="s">
        <v>4246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14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128</v>
      </c>
      <c r="R2363" s="106" t="s">
        <v>780</v>
      </c>
      <c r="S2363" s="94"/>
    </row>
    <row r="2364" spans="1:19">
      <c r="A2364" s="103" t="s">
        <v>4188</v>
      </c>
      <c r="B2364" s="149" t="str">
        <f>IFERROR(VLOOKUP(Proc[[#This Row],[App]],Table2[],3,0),"open")</f>
        <v>ok</v>
      </c>
      <c r="C2364" s="103" t="s">
        <v>369</v>
      </c>
      <c r="D2364" t="s">
        <v>4243</v>
      </c>
      <c r="E2364" t="s">
        <v>4245</v>
      </c>
      <c r="F2364" s="117" t="s">
        <v>4245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14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128</v>
      </c>
      <c r="R2364" s="106" t="s">
        <v>780</v>
      </c>
      <c r="S2364" s="94"/>
    </row>
    <row r="2365" spans="1:19">
      <c r="A2365" s="103" t="s">
        <v>4188</v>
      </c>
      <c r="B2365" s="149" t="str">
        <f>IFERROR(VLOOKUP(Proc[[#This Row],[App]],Table2[],3,0),"open")</f>
        <v>ok</v>
      </c>
      <c r="C2365" s="103" t="s">
        <v>369</v>
      </c>
      <c r="D2365" t="s">
        <v>4244</v>
      </c>
      <c r="E2365" t="s">
        <v>4246</v>
      </c>
      <c r="F2365" s="117" t="s">
        <v>4246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14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128</v>
      </c>
      <c r="R2365" s="106" t="s">
        <v>780</v>
      </c>
      <c r="S2365" s="94"/>
    </row>
    <row r="2366" spans="1:19">
      <c r="A2366" s="103" t="s">
        <v>4188</v>
      </c>
      <c r="B2366" s="149" t="str">
        <f>IFERROR(VLOOKUP(Proc[[#This Row],[App]],Table2[],3,0),"open")</f>
        <v>ok</v>
      </c>
      <c r="C2366" s="103" t="s">
        <v>369</v>
      </c>
      <c r="D2366" t="s">
        <v>4247</v>
      </c>
      <c r="E2366" t="s">
        <v>4245</v>
      </c>
      <c r="F2366" s="117" t="s">
        <v>4245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4288</v>
      </c>
      <c r="J2366" s="94" t="b">
        <f>Proc[[#This Row],[Requested]]=Proc[[#This Row],[CurrentParent]]</f>
        <v>1</v>
      </c>
      <c r="K2366" s="14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128</v>
      </c>
      <c r="R2366" s="106" t="s">
        <v>780</v>
      </c>
      <c r="S2366" s="94"/>
    </row>
    <row r="2367" spans="1:19">
      <c r="A2367" s="103" t="s">
        <v>4188</v>
      </c>
      <c r="B2367" s="149" t="str">
        <f>IFERROR(VLOOKUP(Proc[[#This Row],[App]],Table2[],3,0),"open")</f>
        <v>ok</v>
      </c>
      <c r="C2367" s="103" t="s">
        <v>369</v>
      </c>
      <c r="D2367" t="s">
        <v>4248</v>
      </c>
      <c r="E2367" t="s">
        <v>4245</v>
      </c>
      <c r="F2367" s="117" t="s">
        <v>4245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4288</v>
      </c>
      <c r="J2367" s="94" t="b">
        <f>Proc[[#This Row],[Requested]]=Proc[[#This Row],[CurrentParent]]</f>
        <v>1</v>
      </c>
      <c r="K2367" s="14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128</v>
      </c>
      <c r="R2367" s="106" t="s">
        <v>780</v>
      </c>
      <c r="S2367" s="94"/>
    </row>
    <row r="2368" spans="1:19">
      <c r="A2368" s="103" t="s">
        <v>4188</v>
      </c>
      <c r="B2368" s="149" t="str">
        <f>IFERROR(VLOOKUP(Proc[[#This Row],[App]],Table2[],3,0),"open")</f>
        <v>ok</v>
      </c>
      <c r="C2368" s="103" t="s">
        <v>369</v>
      </c>
      <c r="D2368" t="s">
        <v>4249</v>
      </c>
      <c r="E2368" t="s">
        <v>4245</v>
      </c>
      <c r="F2368" s="117" t="s">
        <v>4245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4288</v>
      </c>
      <c r="J2368" s="94" t="b">
        <f>Proc[[#This Row],[Requested]]=Proc[[#This Row],[CurrentParent]]</f>
        <v>1</v>
      </c>
      <c r="K2368" s="14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128</v>
      </c>
      <c r="R2368" s="106" t="s">
        <v>780</v>
      </c>
      <c r="S2368" s="94"/>
    </row>
    <row r="2369" spans="1:19">
      <c r="A2369" s="103" t="s">
        <v>4188</v>
      </c>
      <c r="B2369" s="149" t="str">
        <f>IFERROR(VLOOKUP(Proc[[#This Row],[App]],Table2[],3,0),"open")</f>
        <v>ok</v>
      </c>
      <c r="C2369" s="103" t="s">
        <v>369</v>
      </c>
      <c r="D2369" t="s">
        <v>4250</v>
      </c>
      <c r="E2369" t="s">
        <v>4245</v>
      </c>
      <c r="F2369" s="117" t="s">
        <v>4245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4288</v>
      </c>
      <c r="J2369" s="94" t="b">
        <f>Proc[[#This Row],[Requested]]=Proc[[#This Row],[CurrentParent]]</f>
        <v>1</v>
      </c>
      <c r="K2369" s="14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128</v>
      </c>
      <c r="R2369" s="106" t="s">
        <v>780</v>
      </c>
      <c r="S2369" s="94"/>
    </row>
    <row r="2370" spans="1:19">
      <c r="A2370" s="103" t="s">
        <v>4188</v>
      </c>
      <c r="B2370" s="149" t="str">
        <f>IFERROR(VLOOKUP(Proc[[#This Row],[App]],Table2[],3,0),"open")</f>
        <v>ok</v>
      </c>
      <c r="C2370" s="103" t="s">
        <v>369</v>
      </c>
      <c r="D2370" t="s">
        <v>4251</v>
      </c>
      <c r="E2370" t="s">
        <v>4245</v>
      </c>
      <c r="F2370" s="117" t="s">
        <v>4245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4288</v>
      </c>
      <c r="J2370" s="94" t="b">
        <f>Proc[[#This Row],[Requested]]=Proc[[#This Row],[CurrentParent]]</f>
        <v>1</v>
      </c>
      <c r="K2370" s="14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128</v>
      </c>
      <c r="R2370" s="106" t="s">
        <v>780</v>
      </c>
      <c r="S2370" s="94"/>
    </row>
    <row r="2371" spans="1:19">
      <c r="A2371" s="103" t="s">
        <v>4188</v>
      </c>
      <c r="B2371" s="149" t="str">
        <f>IFERROR(VLOOKUP(Proc[[#This Row],[App]],Table2[],3,0),"open")</f>
        <v>ok</v>
      </c>
      <c r="C2371" s="103" t="s">
        <v>369</v>
      </c>
      <c r="D2371" t="s">
        <v>4252</v>
      </c>
      <c r="E2371" t="s">
        <v>4245</v>
      </c>
      <c r="F2371" s="117" t="s">
        <v>4245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4288</v>
      </c>
      <c r="J2371" s="94" t="b">
        <f>Proc[[#This Row],[Requested]]=Proc[[#This Row],[CurrentParent]]</f>
        <v>1</v>
      </c>
      <c r="K2371" s="14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128</v>
      </c>
      <c r="R2371" s="106" t="s">
        <v>780</v>
      </c>
      <c r="S2371" s="94"/>
    </row>
    <row r="2372" spans="1:19">
      <c r="A2372" s="103" t="s">
        <v>4188</v>
      </c>
      <c r="B2372" s="149" t="str">
        <f>IFERROR(VLOOKUP(Proc[[#This Row],[App]],Table2[],3,0),"open")</f>
        <v>ok</v>
      </c>
      <c r="C2372" s="103" t="s">
        <v>369</v>
      </c>
      <c r="D2372" t="s">
        <v>4253</v>
      </c>
      <c r="E2372" t="s">
        <v>4245</v>
      </c>
      <c r="F2372" s="117" t="s">
        <v>4245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4288</v>
      </c>
      <c r="J2372" s="94" t="b">
        <f>Proc[[#This Row],[Requested]]=Proc[[#This Row],[CurrentParent]]</f>
        <v>1</v>
      </c>
      <c r="K2372" s="14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128</v>
      </c>
      <c r="R2372" s="106" t="s">
        <v>780</v>
      </c>
      <c r="S2372" s="94"/>
    </row>
    <row r="2373" spans="1:19">
      <c r="A2373" s="103" t="s">
        <v>4188</v>
      </c>
      <c r="B2373" s="149" t="str">
        <f>IFERROR(VLOOKUP(Proc[[#This Row],[App]],Table2[],3,0),"open")</f>
        <v>ok</v>
      </c>
      <c r="C2373" s="103" t="s">
        <v>369</v>
      </c>
      <c r="D2373" t="s">
        <v>4254</v>
      </c>
      <c r="E2373" t="s">
        <v>4245</v>
      </c>
      <c r="F2373" s="117" t="s">
        <v>4245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4288</v>
      </c>
      <c r="J2373" s="94" t="b">
        <f>Proc[[#This Row],[Requested]]=Proc[[#This Row],[CurrentParent]]</f>
        <v>1</v>
      </c>
      <c r="K2373" s="14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128</v>
      </c>
      <c r="R2373" s="106" t="s">
        <v>780</v>
      </c>
      <c r="S2373" s="94"/>
    </row>
    <row r="2374" spans="1:19">
      <c r="A2374" s="103" t="s">
        <v>4188</v>
      </c>
      <c r="B2374" s="149" t="str">
        <f>IFERROR(VLOOKUP(Proc[[#This Row],[App]],Table2[],3,0),"open")</f>
        <v>ok</v>
      </c>
      <c r="C2374" s="103" t="s">
        <v>369</v>
      </c>
      <c r="D2374" t="s">
        <v>4255</v>
      </c>
      <c r="E2374" t="s">
        <v>4246</v>
      </c>
      <c r="F2374" s="117" t="s">
        <v>4246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4288</v>
      </c>
      <c r="J2374" s="94" t="b">
        <f>Proc[[#This Row],[Requested]]=Proc[[#This Row],[CurrentParent]]</f>
        <v>1</v>
      </c>
      <c r="K2374" s="14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128</v>
      </c>
      <c r="R2374" s="106" t="s">
        <v>780</v>
      </c>
      <c r="S2374" s="94"/>
    </row>
    <row r="2375" spans="1:19">
      <c r="A2375" s="103" t="s">
        <v>4188</v>
      </c>
      <c r="B2375" s="149" t="str">
        <f>IFERROR(VLOOKUP(Proc[[#This Row],[App]],Table2[],3,0),"open")</f>
        <v>ok</v>
      </c>
      <c r="C2375" s="103" t="s">
        <v>369</v>
      </c>
      <c r="D2375" t="s">
        <v>4256</v>
      </c>
      <c r="E2375" t="s">
        <v>4246</v>
      </c>
      <c r="F2375" s="117" t="s">
        <v>4246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4288</v>
      </c>
      <c r="J2375" s="94" t="b">
        <f>Proc[[#This Row],[Requested]]=Proc[[#This Row],[CurrentParent]]</f>
        <v>1</v>
      </c>
      <c r="K2375" s="14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128</v>
      </c>
      <c r="R2375" s="106" t="s">
        <v>780</v>
      </c>
      <c r="S2375" s="94"/>
    </row>
    <row r="2376" spans="1:19">
      <c r="A2376" s="103" t="s">
        <v>4188</v>
      </c>
      <c r="B2376" s="149" t="str">
        <f>IFERROR(VLOOKUP(Proc[[#This Row],[App]],Table2[],3,0),"open")</f>
        <v>ok</v>
      </c>
      <c r="C2376" s="103" t="s">
        <v>369</v>
      </c>
      <c r="D2376" t="s">
        <v>4257</v>
      </c>
      <c r="E2376" t="s">
        <v>4246</v>
      </c>
      <c r="F2376" s="117" t="s">
        <v>4246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4288</v>
      </c>
      <c r="J2376" s="94" t="b">
        <f>Proc[[#This Row],[Requested]]=Proc[[#This Row],[CurrentParent]]</f>
        <v>1</v>
      </c>
      <c r="K2376" s="14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128</v>
      </c>
      <c r="R2376" s="106" t="s">
        <v>780</v>
      </c>
      <c r="S2376" s="94"/>
    </row>
    <row r="2377" spans="1:19">
      <c r="A2377" s="103" t="s">
        <v>4188</v>
      </c>
      <c r="B2377" s="149" t="str">
        <f>IFERROR(VLOOKUP(Proc[[#This Row],[App]],Table2[],3,0),"open")</f>
        <v>ok</v>
      </c>
      <c r="C2377" s="103" t="s">
        <v>369</v>
      </c>
      <c r="D2377" t="s">
        <v>4258</v>
      </c>
      <c r="E2377" t="s">
        <v>4246</v>
      </c>
      <c r="F2377" s="117" t="s">
        <v>4246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4288</v>
      </c>
      <c r="J2377" s="94" t="b">
        <f>Proc[[#This Row],[Requested]]=Proc[[#This Row],[CurrentParent]]</f>
        <v>1</v>
      </c>
      <c r="K2377" s="14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128</v>
      </c>
      <c r="R2377" s="106" t="s">
        <v>780</v>
      </c>
      <c r="S2377" s="94"/>
    </row>
    <row r="2378" spans="1:19">
      <c r="A2378" s="103" t="s">
        <v>4188</v>
      </c>
      <c r="B2378" s="149" t="str">
        <f>IFERROR(VLOOKUP(Proc[[#This Row],[App]],Table2[],3,0),"open")</f>
        <v>ok</v>
      </c>
      <c r="C2378" s="103" t="s">
        <v>369</v>
      </c>
      <c r="D2378" t="s">
        <v>4259</v>
      </c>
      <c r="E2378" t="s">
        <v>4246</v>
      </c>
      <c r="F2378" s="117" t="s">
        <v>4246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4288</v>
      </c>
      <c r="J2378" s="94" t="b">
        <f>Proc[[#This Row],[Requested]]=Proc[[#This Row],[CurrentParent]]</f>
        <v>1</v>
      </c>
      <c r="K2378" s="14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128</v>
      </c>
      <c r="R2378" s="106" t="s">
        <v>780</v>
      </c>
      <c r="S2378" s="94"/>
    </row>
    <row r="2379" spans="1:19">
      <c r="A2379" s="103" t="s">
        <v>4188</v>
      </c>
      <c r="B2379" s="149" t="str">
        <f>IFERROR(VLOOKUP(Proc[[#This Row],[App]],Table2[],3,0),"open")</f>
        <v>ok</v>
      </c>
      <c r="C2379" s="103" t="s">
        <v>369</v>
      </c>
      <c r="D2379" t="s">
        <v>4260</v>
      </c>
      <c r="E2379" t="s">
        <v>4246</v>
      </c>
      <c r="F2379" s="117" t="s">
        <v>4246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4288</v>
      </c>
      <c r="J2379" s="94" t="b">
        <f>Proc[[#This Row],[Requested]]=Proc[[#This Row],[CurrentParent]]</f>
        <v>1</v>
      </c>
      <c r="K2379" s="14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128</v>
      </c>
      <c r="R2379" s="106" t="s">
        <v>780</v>
      </c>
      <c r="S2379" s="94"/>
    </row>
    <row r="2380" spans="1:19">
      <c r="A2380" s="103" t="s">
        <v>4188</v>
      </c>
      <c r="B2380" s="149" t="str">
        <f>IFERROR(VLOOKUP(Proc[[#This Row],[App]],Table2[],3,0),"open")</f>
        <v>ok</v>
      </c>
      <c r="C2380" s="103" t="s">
        <v>369</v>
      </c>
      <c r="D2380" t="s">
        <v>4261</v>
      </c>
      <c r="E2380" t="s">
        <v>4246</v>
      </c>
      <c r="F2380" s="117" t="s">
        <v>4246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4288</v>
      </c>
      <c r="J2380" s="94" t="b">
        <f>Proc[[#This Row],[Requested]]=Proc[[#This Row],[CurrentParent]]</f>
        <v>1</v>
      </c>
      <c r="K2380" s="14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128</v>
      </c>
      <c r="R2380" s="106" t="s">
        <v>780</v>
      </c>
      <c r="S2380" s="94"/>
    </row>
    <row r="2381" spans="1:19">
      <c r="A2381" s="103" t="s">
        <v>4188</v>
      </c>
      <c r="B2381" s="149" t="str">
        <f>IFERROR(VLOOKUP(Proc[[#This Row],[App]],Table2[],3,0),"open")</f>
        <v>ok</v>
      </c>
      <c r="C2381" s="103" t="s">
        <v>369</v>
      </c>
      <c r="D2381" t="s">
        <v>4262</v>
      </c>
      <c r="E2381" t="s">
        <v>4246</v>
      </c>
      <c r="F2381" s="117" t="s">
        <v>4246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4288</v>
      </c>
      <c r="J2381" s="94" t="b">
        <f>Proc[[#This Row],[Requested]]=Proc[[#This Row],[CurrentParent]]</f>
        <v>1</v>
      </c>
      <c r="K2381" s="14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128</v>
      </c>
      <c r="R2381" s="106" t="s">
        <v>780</v>
      </c>
      <c r="S2381" s="94"/>
    </row>
    <row r="2382" spans="1:19">
      <c r="A2382" s="103" t="s">
        <v>4188</v>
      </c>
      <c r="B2382" s="149" t="str">
        <f>IFERROR(VLOOKUP(Proc[[#This Row],[App]],Table2[],3,0),"open")</f>
        <v>ok</v>
      </c>
      <c r="C2382" s="103" t="s">
        <v>369</v>
      </c>
      <c r="D2382" t="s">
        <v>4263</v>
      </c>
      <c r="E2382" t="s">
        <v>4246</v>
      </c>
      <c r="F2382" s="117" t="s">
        <v>4246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4288</v>
      </c>
      <c r="J2382" s="94" t="b">
        <f>Proc[[#This Row],[Requested]]=Proc[[#This Row],[CurrentParent]]</f>
        <v>1</v>
      </c>
      <c r="K2382" s="14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128</v>
      </c>
      <c r="R2382" s="106" t="s">
        <v>780</v>
      </c>
      <c r="S2382" s="94"/>
    </row>
    <row r="2383" spans="1:19">
      <c r="A2383" s="103" t="s">
        <v>4188</v>
      </c>
      <c r="B2383" s="149" t="str">
        <f>IFERROR(VLOOKUP(Proc[[#This Row],[App]],Table2[],3,0),"open")</f>
        <v>ok</v>
      </c>
      <c r="C2383" s="103" t="s">
        <v>369</v>
      </c>
      <c r="D2383" t="s">
        <v>4264</v>
      </c>
      <c r="E2383" t="s">
        <v>4246</v>
      </c>
      <c r="F2383" s="117" t="s">
        <v>4246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4288</v>
      </c>
      <c r="J2383" s="94" t="b">
        <f>Proc[[#This Row],[Requested]]=Proc[[#This Row],[CurrentParent]]</f>
        <v>1</v>
      </c>
      <c r="K2383" s="14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128</v>
      </c>
      <c r="R2383" s="106" t="s">
        <v>780</v>
      </c>
      <c r="S2383" s="94"/>
    </row>
    <row r="2384" spans="1:19">
      <c r="A2384" s="103" t="s">
        <v>4188</v>
      </c>
      <c r="B2384" s="149" t="str">
        <f>IFERROR(VLOOKUP(Proc[[#This Row],[App]],Table2[],3,0),"open")</f>
        <v>ok</v>
      </c>
      <c r="C2384" s="103" t="s">
        <v>369</v>
      </c>
      <c r="D2384" t="s">
        <v>4265</v>
      </c>
      <c r="E2384" t="s">
        <v>4246</v>
      </c>
      <c r="F2384" s="117" t="s">
        <v>4246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4288</v>
      </c>
      <c r="J2384" s="94" t="b">
        <f>Proc[[#This Row],[Requested]]=Proc[[#This Row],[CurrentParent]]</f>
        <v>1</v>
      </c>
      <c r="K2384" s="14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128</v>
      </c>
      <c r="R2384" s="106" t="s">
        <v>780</v>
      </c>
      <c r="S2384" s="94"/>
    </row>
    <row r="2385" spans="1:19">
      <c r="A2385" s="103" t="s">
        <v>4188</v>
      </c>
      <c r="B2385" s="149" t="str">
        <f>IFERROR(VLOOKUP(Proc[[#This Row],[App]],Table2[],3,0),"open")</f>
        <v>ok</v>
      </c>
      <c r="C2385" s="103" t="s">
        <v>369</v>
      </c>
      <c r="D2385" t="s">
        <v>4266</v>
      </c>
      <c r="E2385" t="s">
        <v>4246</v>
      </c>
      <c r="F2385" s="117" t="s">
        <v>4246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4288</v>
      </c>
      <c r="J2385" s="94" t="b">
        <f>Proc[[#This Row],[Requested]]=Proc[[#This Row],[CurrentParent]]</f>
        <v>1</v>
      </c>
      <c r="K2385" s="14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128</v>
      </c>
      <c r="R2385" s="106" t="s">
        <v>780</v>
      </c>
      <c r="S2385" s="94"/>
    </row>
    <row r="2386" spans="1:19">
      <c r="A2386" s="103" t="s">
        <v>4188</v>
      </c>
      <c r="B2386" s="149" t="str">
        <f>IFERROR(VLOOKUP(Proc[[#This Row],[App]],Table2[],3,0),"open")</f>
        <v>ok</v>
      </c>
      <c r="C2386" s="103" t="s">
        <v>369</v>
      </c>
      <c r="D2386" t="s">
        <v>4267</v>
      </c>
      <c r="E2386" t="s">
        <v>4246</v>
      </c>
      <c r="F2386" s="117" t="s">
        <v>4246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4288</v>
      </c>
      <c r="J2386" s="94" t="b">
        <f>Proc[[#This Row],[Requested]]=Proc[[#This Row],[CurrentParent]]</f>
        <v>1</v>
      </c>
      <c r="K2386" s="14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128</v>
      </c>
      <c r="R2386" s="106" t="s">
        <v>780</v>
      </c>
      <c r="S2386" s="94"/>
    </row>
    <row r="2387" spans="1:19">
      <c r="A2387" s="103" t="s">
        <v>4188</v>
      </c>
      <c r="B2387" s="149" t="str">
        <f>IFERROR(VLOOKUP(Proc[[#This Row],[App]],Table2[],3,0),"open")</f>
        <v>ok</v>
      </c>
      <c r="C2387" s="103" t="s">
        <v>369</v>
      </c>
      <c r="D2387" t="s">
        <v>4268</v>
      </c>
      <c r="E2387" t="s">
        <v>4246</v>
      </c>
      <c r="F2387" s="117" t="s">
        <v>4246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4288</v>
      </c>
      <c r="J2387" s="94" t="b">
        <f>Proc[[#This Row],[Requested]]=Proc[[#This Row],[CurrentParent]]</f>
        <v>1</v>
      </c>
      <c r="K2387" s="14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128</v>
      </c>
      <c r="R2387" s="106" t="s">
        <v>780</v>
      </c>
      <c r="S2387" s="94"/>
    </row>
    <row r="2388" spans="1:19">
      <c r="A2388" s="103" t="s">
        <v>4188</v>
      </c>
      <c r="B2388" s="149" t="str">
        <f>IFERROR(VLOOKUP(Proc[[#This Row],[App]],Table2[],3,0),"open")</f>
        <v>ok</v>
      </c>
      <c r="C2388" s="103" t="s">
        <v>369</v>
      </c>
      <c r="D2388" t="s">
        <v>4269</v>
      </c>
      <c r="E2388" t="s">
        <v>4246</v>
      </c>
      <c r="F2388" s="117" t="s">
        <v>4246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4288</v>
      </c>
      <c r="J2388" s="94" t="b">
        <f>Proc[[#This Row],[Requested]]=Proc[[#This Row],[CurrentParent]]</f>
        <v>1</v>
      </c>
      <c r="K2388" s="14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128</v>
      </c>
      <c r="R2388" s="106" t="s">
        <v>780</v>
      </c>
      <c r="S2388" s="94"/>
    </row>
    <row r="2389" spans="1:19">
      <c r="A2389" s="103" t="s">
        <v>4188</v>
      </c>
      <c r="B2389" s="149" t="str">
        <f>IFERROR(VLOOKUP(Proc[[#This Row],[App]],Table2[],3,0),"open")</f>
        <v>ok</v>
      </c>
      <c r="C2389" s="103" t="s">
        <v>369</v>
      </c>
      <c r="D2389" t="s">
        <v>4270</v>
      </c>
      <c r="E2389" t="s">
        <v>4246</v>
      </c>
      <c r="F2389" s="117" t="s">
        <v>4246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4288</v>
      </c>
      <c r="J2389" s="94" t="b">
        <f>Proc[[#This Row],[Requested]]=Proc[[#This Row],[CurrentParent]]</f>
        <v>1</v>
      </c>
      <c r="K2389" s="14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128</v>
      </c>
      <c r="R2389" s="106" t="s">
        <v>780</v>
      </c>
      <c r="S2389" s="94"/>
    </row>
    <row r="2390" spans="1:19">
      <c r="A2390" s="103" t="s">
        <v>4188</v>
      </c>
      <c r="B2390" s="149" t="str">
        <f>IFERROR(VLOOKUP(Proc[[#This Row],[App]],Table2[],3,0),"open")</f>
        <v>ok</v>
      </c>
      <c r="C2390" s="103" t="s">
        <v>369</v>
      </c>
      <c r="D2390" t="s">
        <v>4271</v>
      </c>
      <c r="E2390" t="s">
        <v>4246</v>
      </c>
      <c r="F2390" s="117" t="s">
        <v>4246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4288</v>
      </c>
      <c r="J2390" s="94" t="b">
        <f>Proc[[#This Row],[Requested]]=Proc[[#This Row],[CurrentParent]]</f>
        <v>1</v>
      </c>
      <c r="K2390" s="14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128</v>
      </c>
      <c r="R2390" s="106" t="s">
        <v>780</v>
      </c>
      <c r="S2390" s="94"/>
    </row>
    <row r="2391" spans="1:19">
      <c r="A2391" s="103" t="s">
        <v>4188</v>
      </c>
      <c r="B2391" s="149" t="str">
        <f>IFERROR(VLOOKUP(Proc[[#This Row],[App]],Table2[],3,0),"open")</f>
        <v>ok</v>
      </c>
      <c r="C2391" s="103" t="s">
        <v>369</v>
      </c>
      <c r="D2391" t="s">
        <v>4272</v>
      </c>
      <c r="E2391" t="s">
        <v>4246</v>
      </c>
      <c r="F2391" s="117" t="s">
        <v>4246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4288</v>
      </c>
      <c r="J2391" s="94" t="b">
        <f>Proc[[#This Row],[Requested]]=Proc[[#This Row],[CurrentParent]]</f>
        <v>1</v>
      </c>
      <c r="K2391" s="14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128</v>
      </c>
      <c r="R2391" s="106" t="s">
        <v>780</v>
      </c>
      <c r="S2391" s="94"/>
    </row>
    <row r="2392" spans="1:19">
      <c r="A2392" t="s">
        <v>4287</v>
      </c>
      <c r="B2392" s="149" t="str">
        <f>IFERROR(VLOOKUP(Proc[[#This Row],[App]],Table2[],3,0),"open")</f>
        <v>ok</v>
      </c>
      <c r="C2392" s="103" t="s">
        <v>369</v>
      </c>
      <c r="D2392" t="s">
        <v>4273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14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128</v>
      </c>
      <c r="R2392" s="106" t="s">
        <v>780</v>
      </c>
      <c r="S2392" s="94"/>
    </row>
    <row r="2393" spans="1:19">
      <c r="A2393" s="103" t="s">
        <v>4287</v>
      </c>
      <c r="B2393" s="149" t="str">
        <f>IFERROR(VLOOKUP(Proc[[#This Row],[App]],Table2[],3,0),"open")</f>
        <v>ok</v>
      </c>
      <c r="C2393" s="103" t="s">
        <v>369</v>
      </c>
      <c r="D2393" t="s">
        <v>4274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14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128</v>
      </c>
      <c r="R2393" s="106" t="s">
        <v>780</v>
      </c>
      <c r="S2393" s="94"/>
    </row>
    <row r="2394" spans="1:19">
      <c r="A2394" s="103" t="s">
        <v>4287</v>
      </c>
      <c r="B2394" s="149" t="str">
        <f>IFERROR(VLOOKUP(Proc[[#This Row],[App]],Table2[],3,0),"open")</f>
        <v>ok</v>
      </c>
      <c r="C2394" s="103" t="s">
        <v>369</v>
      </c>
      <c r="D2394" t="s">
        <v>4275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14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128</v>
      </c>
      <c r="R2394" s="106" t="s">
        <v>780</v>
      </c>
      <c r="S2394" s="94"/>
    </row>
    <row r="2395" spans="1:19">
      <c r="A2395" s="103" t="s">
        <v>4287</v>
      </c>
      <c r="B2395" s="149" t="str">
        <f>IFERROR(VLOOKUP(Proc[[#This Row],[App]],Table2[],3,0),"open")</f>
        <v>ok</v>
      </c>
      <c r="C2395" s="103" t="s">
        <v>369</v>
      </c>
      <c r="D2395" t="s">
        <v>4276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14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128</v>
      </c>
      <c r="R2395" s="106" t="s">
        <v>780</v>
      </c>
      <c r="S2395" s="94"/>
    </row>
    <row r="2396" spans="1:19">
      <c r="A2396" s="103" t="s">
        <v>4287</v>
      </c>
      <c r="B2396" s="149" t="str">
        <f>IFERROR(VLOOKUP(Proc[[#This Row],[App]],Table2[],3,0),"open")</f>
        <v>ok</v>
      </c>
      <c r="C2396" s="103" t="s">
        <v>369</v>
      </c>
      <c r="D2396" t="s">
        <v>4277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14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128</v>
      </c>
      <c r="R2396" s="106" t="s">
        <v>780</v>
      </c>
      <c r="S2396" s="94"/>
    </row>
    <row r="2397" spans="1:19">
      <c r="A2397" s="103" t="s">
        <v>4287</v>
      </c>
      <c r="B2397" s="149" t="str">
        <f>IFERROR(VLOOKUP(Proc[[#This Row],[App]],Table2[],3,0),"open")</f>
        <v>ok</v>
      </c>
      <c r="C2397" s="103" t="s">
        <v>369</v>
      </c>
      <c r="D2397" t="s">
        <v>4278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14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128</v>
      </c>
      <c r="R2397" s="106" t="s">
        <v>780</v>
      </c>
      <c r="S2397" s="94"/>
    </row>
    <row r="2398" spans="1:19">
      <c r="A2398" s="103" t="s">
        <v>4287</v>
      </c>
      <c r="B2398" s="149" t="str">
        <f>IFERROR(VLOOKUP(Proc[[#This Row],[App]],Table2[],3,0),"open")</f>
        <v>ok</v>
      </c>
      <c r="C2398" s="103" t="s">
        <v>369</v>
      </c>
      <c r="D2398" t="s">
        <v>4279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14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128</v>
      </c>
      <c r="R2398" s="106" t="s">
        <v>780</v>
      </c>
      <c r="S2398" s="94"/>
    </row>
    <row r="2399" spans="1:19">
      <c r="A2399" s="103" t="s">
        <v>4287</v>
      </c>
      <c r="B2399" s="149" t="str">
        <f>IFERROR(VLOOKUP(Proc[[#This Row],[App]],Table2[],3,0),"open")</f>
        <v>ok</v>
      </c>
      <c r="C2399" s="103" t="s">
        <v>369</v>
      </c>
      <c r="D2399" t="s">
        <v>4280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14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128</v>
      </c>
      <c r="R2399" s="106" t="s">
        <v>780</v>
      </c>
      <c r="S2399" s="94"/>
    </row>
    <row r="2400" spans="1:19">
      <c r="A2400" s="103" t="s">
        <v>4287</v>
      </c>
      <c r="B2400" s="149" t="str">
        <f>IFERROR(VLOOKUP(Proc[[#This Row],[App]],Table2[],3,0),"open")</f>
        <v>ok</v>
      </c>
      <c r="C2400" s="103" t="s">
        <v>369</v>
      </c>
      <c r="D2400" t="s">
        <v>4281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14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128</v>
      </c>
      <c r="R2400" s="106" t="s">
        <v>780</v>
      </c>
      <c r="S2400" s="94"/>
    </row>
    <row r="2401" spans="1:19">
      <c r="A2401" s="103" t="s">
        <v>4287</v>
      </c>
      <c r="B2401" s="149" t="str">
        <f>IFERROR(VLOOKUP(Proc[[#This Row],[App]],Table2[],3,0),"open")</f>
        <v>ok</v>
      </c>
      <c r="C2401" s="103" t="s">
        <v>369</v>
      </c>
      <c r="D2401" t="s">
        <v>4282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14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128</v>
      </c>
      <c r="R2401" s="106" t="s">
        <v>780</v>
      </c>
      <c r="S2401" s="94"/>
    </row>
    <row r="2402" spans="1:19">
      <c r="A2402" s="103" t="s">
        <v>4287</v>
      </c>
      <c r="B2402" s="149" t="str">
        <f>IFERROR(VLOOKUP(Proc[[#This Row],[App]],Table2[],3,0),"open")</f>
        <v>ok</v>
      </c>
      <c r="C2402" s="103" t="s">
        <v>369</v>
      </c>
      <c r="D2402" t="s">
        <v>4283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14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128</v>
      </c>
      <c r="R2402" s="106" t="s">
        <v>780</v>
      </c>
      <c r="S2402" s="94"/>
    </row>
    <row r="2403" spans="1:19">
      <c r="A2403" s="103" t="s">
        <v>4287</v>
      </c>
      <c r="B2403" s="149" t="str">
        <f>IFERROR(VLOOKUP(Proc[[#This Row],[App]],Table2[],3,0),"open")</f>
        <v>ok</v>
      </c>
      <c r="C2403" s="103" t="s">
        <v>369</v>
      </c>
      <c r="D2403" t="s">
        <v>4284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14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128</v>
      </c>
      <c r="R2403" s="106" t="s">
        <v>780</v>
      </c>
      <c r="S2403" s="94"/>
    </row>
    <row r="2404" spans="1:19">
      <c r="A2404" s="103" t="s">
        <v>4287</v>
      </c>
      <c r="B2404" s="149" t="str">
        <f>IFERROR(VLOOKUP(Proc[[#This Row],[App]],Table2[],3,0),"open")</f>
        <v>ok</v>
      </c>
      <c r="C2404" s="103" t="s">
        <v>369</v>
      </c>
      <c r="D2404" t="s">
        <v>4285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14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128</v>
      </c>
      <c r="R2404" s="106" t="s">
        <v>780</v>
      </c>
      <c r="S2404" s="94"/>
    </row>
    <row r="2405" spans="1:19">
      <c r="A2405" s="103" t="s">
        <v>4287</v>
      </c>
      <c r="B2405" s="149" t="str">
        <f>IFERROR(VLOOKUP(Proc[[#This Row],[App]],Table2[],3,0),"open")</f>
        <v>ok</v>
      </c>
      <c r="C2405" s="103" t="s">
        <v>369</v>
      </c>
      <c r="D2405" t="s">
        <v>4286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14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128</v>
      </c>
      <c r="R2405" s="106" t="s">
        <v>780</v>
      </c>
      <c r="S2405" s="94"/>
    </row>
    <row r="2406" spans="1:19">
      <c r="A2406" t="s">
        <v>4290</v>
      </c>
      <c r="B2406" s="149" t="str">
        <f>IFERROR(VLOOKUP(Proc[[#This Row],[App]],Table2[],3,0),"open")</f>
        <v>ok</v>
      </c>
      <c r="C2406" s="103" t="s">
        <v>369</v>
      </c>
      <c r="D2406" t="s">
        <v>4289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14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128</v>
      </c>
      <c r="R2406" s="106" t="s">
        <v>3639</v>
      </c>
      <c r="S2406" s="94"/>
    </row>
    <row r="2407" spans="1:19">
      <c r="A2407" t="s">
        <v>4293</v>
      </c>
      <c r="B2407" s="149" t="str">
        <f>IFERROR(VLOOKUP(Proc[[#This Row],[App]],Table2[],3,0),"open")</f>
        <v>ok</v>
      </c>
      <c r="C2407" t="s">
        <v>377</v>
      </c>
      <c r="D2407" t="s">
        <v>4291</v>
      </c>
      <c r="E2407" t="s">
        <v>4292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14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>
      <c r="A2408" t="s">
        <v>4294</v>
      </c>
      <c r="B2408" s="149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14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>
      <c r="A2409" t="s">
        <v>4301</v>
      </c>
      <c r="B2409" s="149" t="str">
        <f>IFERROR(VLOOKUP(Proc[[#This Row],[App]],Table2[],3,0),"open")</f>
        <v>ok</v>
      </c>
      <c r="C2409" t="s">
        <v>377</v>
      </c>
      <c r="D2409" t="s">
        <v>4295</v>
      </c>
      <c r="E2409" t="s">
        <v>4299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4302</v>
      </c>
      <c r="J2409" s="94" t="b">
        <f>Proc[[#This Row],[Requested]]=Proc[[#This Row],[CurrentParent]]</f>
        <v>0</v>
      </c>
      <c r="K2409" s="14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125</v>
      </c>
      <c r="R2409" s="108" t="s">
        <v>415</v>
      </c>
      <c r="S2409" s="94"/>
    </row>
    <row r="2410" spans="1:19">
      <c r="A2410" s="103" t="s">
        <v>4301</v>
      </c>
      <c r="B2410" s="149" t="str">
        <f>IFERROR(VLOOKUP(Proc[[#This Row],[App]],Table2[],3,0),"open")</f>
        <v>ok</v>
      </c>
      <c r="C2410" s="103" t="s">
        <v>369</v>
      </c>
      <c r="D2410" t="s">
        <v>4296</v>
      </c>
      <c r="E2410" t="s">
        <v>4300</v>
      </c>
      <c r="F2410" s="120" t="s">
        <v>4300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14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125</v>
      </c>
      <c r="R2410" s="108" t="s">
        <v>415</v>
      </c>
      <c r="S2410" s="94"/>
    </row>
    <row r="2411" spans="1:19">
      <c r="A2411" s="103" t="s">
        <v>4301</v>
      </c>
      <c r="B2411" s="149" t="str">
        <f>IFERROR(VLOOKUP(Proc[[#This Row],[App]],Table2[],3,0),"open")</f>
        <v>ok</v>
      </c>
      <c r="C2411" s="103" t="s">
        <v>369</v>
      </c>
      <c r="D2411" t="s">
        <v>4297</v>
      </c>
      <c r="E2411" t="s">
        <v>4300</v>
      </c>
      <c r="F2411" s="120" t="s">
        <v>4300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14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125</v>
      </c>
      <c r="R2411" s="108" t="s">
        <v>415</v>
      </c>
      <c r="S2411" s="94"/>
    </row>
    <row r="2412" spans="1:19">
      <c r="A2412" s="103" t="s">
        <v>4301</v>
      </c>
      <c r="B2412" s="149" t="str">
        <f>IFERROR(VLOOKUP(Proc[[#This Row],[App]],Table2[],3,0),"open")</f>
        <v>ok</v>
      </c>
      <c r="C2412" s="117" t="s">
        <v>369</v>
      </c>
      <c r="D2412" t="s">
        <v>4298</v>
      </c>
      <c r="E2412" t="s">
        <v>4300</v>
      </c>
      <c r="F2412" s="120" t="s">
        <v>4300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14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125</v>
      </c>
      <c r="R2412" s="108" t="s">
        <v>415</v>
      </c>
      <c r="S2412" s="94"/>
    </row>
    <row r="2413" spans="1:19">
      <c r="A2413" t="s">
        <v>4293</v>
      </c>
      <c r="B2413" s="149" t="str">
        <f>IFERROR(VLOOKUP(Proc[[#This Row],[App]],Table2[],3,0),"open")</f>
        <v>ok</v>
      </c>
      <c r="C2413" s="103" t="s">
        <v>369</v>
      </c>
      <c r="D2413" s="103" t="s">
        <v>4303</v>
      </c>
      <c r="E2413" s="103" t="s">
        <v>4292</v>
      </c>
      <c r="F2413" s="120" t="s">
        <v>4292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14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126</v>
      </c>
      <c r="R2413" s="108" t="s">
        <v>972</v>
      </c>
      <c r="S2413" s="94"/>
    </row>
    <row r="2414" spans="1:19">
      <c r="A2414" t="s">
        <v>4304</v>
      </c>
      <c r="B2414" s="149" t="str">
        <f>IFERROR(VLOOKUP(Proc[[#This Row],[App]],Table2[],3,0),"open")</f>
        <v>ok</v>
      </c>
      <c r="C2414" t="s">
        <v>369</v>
      </c>
      <c r="D2414" t="s">
        <v>4305</v>
      </c>
      <c r="E2414" t="s">
        <v>4307</v>
      </c>
      <c r="F2414" s="120" t="s">
        <v>4307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14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>
      <c r="A2415" s="103" t="s">
        <v>4304</v>
      </c>
      <c r="B2415" s="149" t="str">
        <f>IFERROR(VLOOKUP(Proc[[#This Row],[App]],Table2[],3,0),"open")</f>
        <v>ok</v>
      </c>
      <c r="C2415" s="103" t="s">
        <v>369</v>
      </c>
      <c r="D2415" t="s">
        <v>4306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14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>
      <c r="A2416" t="s">
        <v>4308</v>
      </c>
      <c r="B2416" s="149" t="str">
        <f>IFERROR(VLOOKUP(Proc[[#This Row],[App]],Table2[],3,0),"open")</f>
        <v>ok</v>
      </c>
      <c r="C2416" s="117" t="s">
        <v>369</v>
      </c>
      <c r="D2416" t="s">
        <v>4828</v>
      </c>
      <c r="E2416" t="s">
        <v>4310</v>
      </c>
      <c r="F2416" s="117" t="s">
        <v>4310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4311</v>
      </c>
      <c r="J2416" s="94" t="b">
        <f>Proc[[#This Row],[Requested]]=Proc[[#This Row],[CurrentParent]]</f>
        <v>1</v>
      </c>
      <c r="K2416" s="14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123</v>
      </c>
      <c r="R2416" s="110" t="s">
        <v>515</v>
      </c>
      <c r="S2416" s="94"/>
    </row>
    <row r="2417" spans="1:19">
      <c r="A2417" s="103" t="s">
        <v>4308</v>
      </c>
      <c r="B2417" s="149" t="str">
        <f>IFERROR(VLOOKUP(Proc[[#This Row],[App]],Table2[],3,0),"open")</f>
        <v>ok</v>
      </c>
      <c r="C2417" s="103" t="s">
        <v>369</v>
      </c>
      <c r="D2417" t="s">
        <v>4309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4311</v>
      </c>
      <c r="J2417" s="94" t="b">
        <f>Proc[[#This Row],[Requested]]=Proc[[#This Row],[CurrentParent]]</f>
        <v>1</v>
      </c>
      <c r="K2417" s="14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123</v>
      </c>
      <c r="R2417" s="110" t="s">
        <v>515</v>
      </c>
      <c r="S2417" s="94"/>
    </row>
    <row r="2418" spans="1:19">
      <c r="A2418" t="s">
        <v>4312</v>
      </c>
      <c r="B2418" s="149" t="str">
        <f>IFERROR(VLOOKUP(Proc[[#This Row],[App]],Table2[],3,0),"open")</f>
        <v>ok</v>
      </c>
      <c r="C2418" s="103" t="s">
        <v>369</v>
      </c>
      <c r="D2418" t="s">
        <v>4313</v>
      </c>
      <c r="E2418" t="s">
        <v>4322</v>
      </c>
      <c r="F2418" s="120" t="s">
        <v>4322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4325</v>
      </c>
      <c r="J2418" s="94" t="b">
        <f>Proc[[#This Row],[Requested]]=Proc[[#This Row],[CurrentParent]]</f>
        <v>1</v>
      </c>
      <c r="K2418" s="14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>
      <c r="A2419" s="103" t="s">
        <v>4312</v>
      </c>
      <c r="B2419" s="149" t="str">
        <f>IFERROR(VLOOKUP(Proc[[#This Row],[App]],Table2[],3,0),"open")</f>
        <v>ok</v>
      </c>
      <c r="C2419" s="103" t="s">
        <v>369</v>
      </c>
      <c r="D2419" t="s">
        <v>4314</v>
      </c>
      <c r="E2419" t="s">
        <v>4322</v>
      </c>
      <c r="F2419" s="120" t="s">
        <v>4322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4325</v>
      </c>
      <c r="J2419" s="94" t="b">
        <f>Proc[[#This Row],[Requested]]=Proc[[#This Row],[CurrentParent]]</f>
        <v>1</v>
      </c>
      <c r="K2419" s="14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>
      <c r="A2420" s="103" t="s">
        <v>4312</v>
      </c>
      <c r="B2420" s="149" t="str">
        <f>IFERROR(VLOOKUP(Proc[[#This Row],[App]],Table2[],3,0),"open")</f>
        <v>ok</v>
      </c>
      <c r="C2420" s="103" t="s">
        <v>369</v>
      </c>
      <c r="D2420" t="s">
        <v>4315</v>
      </c>
      <c r="E2420" t="s">
        <v>4322</v>
      </c>
      <c r="F2420" s="120" t="s">
        <v>4322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4325</v>
      </c>
      <c r="J2420" s="94" t="b">
        <f>Proc[[#This Row],[Requested]]=Proc[[#This Row],[CurrentParent]]</f>
        <v>1</v>
      </c>
      <c r="K2420" s="14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>
      <c r="A2421" s="103" t="s">
        <v>4312</v>
      </c>
      <c r="B2421" s="149" t="str">
        <f>IFERROR(VLOOKUP(Proc[[#This Row],[App]],Table2[],3,0),"open")</f>
        <v>ok</v>
      </c>
      <c r="C2421" s="103" t="s">
        <v>369</v>
      </c>
      <c r="D2421" t="s">
        <v>4316</v>
      </c>
      <c r="E2421" t="s">
        <v>4322</v>
      </c>
      <c r="F2421" s="120" t="s">
        <v>4322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4325</v>
      </c>
      <c r="J2421" s="94" t="b">
        <f>Proc[[#This Row],[Requested]]=Proc[[#This Row],[CurrentParent]]</f>
        <v>1</v>
      </c>
      <c r="K2421" s="14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>
      <c r="A2422" s="103" t="s">
        <v>4312</v>
      </c>
      <c r="B2422" s="149" t="str">
        <f>IFERROR(VLOOKUP(Proc[[#This Row],[App]],Table2[],3,0),"open")</f>
        <v>ok</v>
      </c>
      <c r="C2422" s="103" t="s">
        <v>369</v>
      </c>
      <c r="D2422" t="s">
        <v>4317</v>
      </c>
      <c r="E2422" t="s">
        <v>4322</v>
      </c>
      <c r="F2422" s="120" t="s">
        <v>4322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4325</v>
      </c>
      <c r="J2422" s="94" t="b">
        <f>Proc[[#This Row],[Requested]]=Proc[[#This Row],[CurrentParent]]</f>
        <v>1</v>
      </c>
      <c r="K2422" s="14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>
      <c r="A2423" s="103" t="s">
        <v>4312</v>
      </c>
      <c r="B2423" s="149" t="str">
        <f>IFERROR(VLOOKUP(Proc[[#This Row],[App]],Table2[],3,0),"open")</f>
        <v>ok</v>
      </c>
      <c r="C2423" s="103" t="s">
        <v>369</v>
      </c>
      <c r="D2423" t="s">
        <v>4318</v>
      </c>
      <c r="E2423" t="s">
        <v>4322</v>
      </c>
      <c r="F2423" s="120" t="s">
        <v>4322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4325</v>
      </c>
      <c r="J2423" s="94" t="b">
        <f>Proc[[#This Row],[Requested]]=Proc[[#This Row],[CurrentParent]]</f>
        <v>1</v>
      </c>
      <c r="K2423" s="14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>
      <c r="A2424" s="103" t="s">
        <v>4312</v>
      </c>
      <c r="B2424" s="149" t="str">
        <f>IFERROR(VLOOKUP(Proc[[#This Row],[App]],Table2[],3,0),"open")</f>
        <v>ok</v>
      </c>
      <c r="C2424" s="103" t="s">
        <v>369</v>
      </c>
      <c r="D2424" t="s">
        <v>4321</v>
      </c>
      <c r="E2424" t="s">
        <v>4322</v>
      </c>
      <c r="F2424" s="120" t="s">
        <v>4322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4325</v>
      </c>
      <c r="J2424" s="94" t="b">
        <f>Proc[[#This Row],[Requested]]=Proc[[#This Row],[CurrentParent]]</f>
        <v>1</v>
      </c>
      <c r="K2424" s="14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>
      <c r="A2425" s="103" t="s">
        <v>4312</v>
      </c>
      <c r="B2425" s="149" t="str">
        <f>IFERROR(VLOOKUP(Proc[[#This Row],[App]],Table2[],3,0),"open")</f>
        <v>ok</v>
      </c>
      <c r="C2425" s="103" t="s">
        <v>377</v>
      </c>
      <c r="D2425" t="s">
        <v>4319</v>
      </c>
      <c r="E2425" t="s">
        <v>4322</v>
      </c>
      <c r="F2425" s="94" t="s">
        <v>4323</v>
      </c>
      <c r="G2425" s="103" t="s">
        <v>400</v>
      </c>
      <c r="H2425" s="94" t="str">
        <f>IF(Proc[[#This Row],[type]]="LFF (MDG-F)",MID(Proc[[#This Row],[Obj]],13,10),"")</f>
        <v/>
      </c>
      <c r="I2425" t="s">
        <v>4324</v>
      </c>
      <c r="J2425" s="94" t="b">
        <f>Proc[[#This Row],[Requested]]=Proc[[#This Row],[CurrentParent]]</f>
        <v>0</v>
      </c>
      <c r="K2425" s="14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>
      <c r="A2426" s="103" t="s">
        <v>4312</v>
      </c>
      <c r="B2426" s="149" t="str">
        <f>IFERROR(VLOOKUP(Proc[[#This Row],[App]],Table2[],3,0),"open")</f>
        <v>ok</v>
      </c>
      <c r="C2426" s="103" t="s">
        <v>377</v>
      </c>
      <c r="D2426" t="s">
        <v>4320</v>
      </c>
      <c r="E2426" t="s">
        <v>4322</v>
      </c>
      <c r="F2426" s="94" t="s">
        <v>4323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4324</v>
      </c>
      <c r="J2426" s="94" t="b">
        <f>Proc[[#This Row],[Requested]]=Proc[[#This Row],[CurrentParent]]</f>
        <v>0</v>
      </c>
      <c r="K2426" s="14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>
      <c r="A2427" t="s">
        <v>4328</v>
      </c>
      <c r="B2427" s="149" t="str">
        <f>IFERROR(VLOOKUP(Proc[[#This Row],[App]],Table2[],3,0),"open")</f>
        <v>ok</v>
      </c>
      <c r="C2427" t="s">
        <v>369</v>
      </c>
      <c r="D2427" t="s">
        <v>4327</v>
      </c>
      <c r="E2427" t="s">
        <v>4330</v>
      </c>
      <c r="F2427" s="120" t="s">
        <v>4330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14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>
      <c r="A2428" s="103" t="s">
        <v>4328</v>
      </c>
      <c r="B2428" s="149" t="str">
        <f>IFERROR(VLOOKUP(Proc[[#This Row],[App]],Table2[],3,0),"open")</f>
        <v>ok</v>
      </c>
      <c r="C2428" s="103" t="s">
        <v>369</v>
      </c>
      <c r="D2428" t="s">
        <v>4329</v>
      </c>
      <c r="E2428" t="s">
        <v>4331</v>
      </c>
      <c r="F2428" s="120" t="s">
        <v>4331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14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>
      <c r="A2429" t="s">
        <v>4334</v>
      </c>
      <c r="B2429" s="149" t="str">
        <f>IFERROR(VLOOKUP(Proc[[#This Row],[App]],Table2[],3,0),"open")</f>
        <v>ok</v>
      </c>
      <c r="C2429" t="s">
        <v>369</v>
      </c>
      <c r="D2429" t="s">
        <v>4332</v>
      </c>
      <c r="E2429" t="s">
        <v>4333</v>
      </c>
      <c r="F2429" s="120" t="s">
        <v>4333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144" t="str">
        <f>IF(Proc[[#This Row],[Author]]="Marcela Urrego",VLOOKUP(LEFT(Proc[[#This Row],[Requested]],1),Table3[#All],2,0),VLOOKUP(Proc[[#This Row],[Author]],Table4[],2,0))</f>
        <v>HC</v>
      </c>
      <c r="L2429" s="94" t="s">
        <v>4894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>
      <c r="A2430" t="s">
        <v>4335</v>
      </c>
      <c r="B2430" s="149" t="str">
        <f>IFERROR(VLOOKUP(Proc[[#This Row],[App]],Table2[],3,0),"open")</f>
        <v>ok</v>
      </c>
      <c r="C2430" s="103" t="s">
        <v>369</v>
      </c>
      <c r="D2430" t="s">
        <v>4336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14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>
      <c r="A2431" s="103" t="s">
        <v>4335</v>
      </c>
      <c r="B2431" s="149" t="str">
        <f>IFERROR(VLOOKUP(Proc[[#This Row],[App]],Table2[],3,0),"open")</f>
        <v>ok</v>
      </c>
      <c r="C2431" s="103" t="s">
        <v>369</v>
      </c>
      <c r="D2431" t="s">
        <v>4337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14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>
      <c r="A2432" s="103" t="s">
        <v>4335</v>
      </c>
      <c r="B2432" s="149" t="str">
        <f>IFERROR(VLOOKUP(Proc[[#This Row],[App]],Table2[],3,0),"open")</f>
        <v>ok</v>
      </c>
      <c r="C2432" s="103" t="s">
        <v>369</v>
      </c>
      <c r="D2432" t="s">
        <v>4338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14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>
      <c r="A2433" s="103" t="s">
        <v>4335</v>
      </c>
      <c r="B2433" s="149" t="str">
        <f>IFERROR(VLOOKUP(Proc[[#This Row],[App]],Table2[],3,0),"open")</f>
        <v>ok</v>
      </c>
      <c r="C2433" s="103" t="s">
        <v>369</v>
      </c>
      <c r="D2433" t="s">
        <v>4339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14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>
      <c r="A2434" s="103" t="s">
        <v>4335</v>
      </c>
      <c r="B2434" s="149" t="str">
        <f>IFERROR(VLOOKUP(Proc[[#This Row],[App]],Table2[],3,0),"open")</f>
        <v>ok</v>
      </c>
      <c r="C2434" s="103" t="s">
        <v>369</v>
      </c>
      <c r="D2434" t="s">
        <v>4340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14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>
      <c r="A2435" s="103" t="s">
        <v>4335</v>
      </c>
      <c r="B2435" s="149" t="str">
        <f>IFERROR(VLOOKUP(Proc[[#This Row],[App]],Table2[],3,0),"open")</f>
        <v>ok</v>
      </c>
      <c r="C2435" s="103" t="s">
        <v>369</v>
      </c>
      <c r="D2435" t="s">
        <v>4341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14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>
      <c r="A2436" s="103" t="s">
        <v>4335</v>
      </c>
      <c r="B2436" s="149" t="str">
        <f>IFERROR(VLOOKUP(Proc[[#This Row],[App]],Table2[],3,0),"open")</f>
        <v>ok</v>
      </c>
      <c r="C2436" s="103" t="s">
        <v>369</v>
      </c>
      <c r="D2436" t="s">
        <v>4342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14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>
      <c r="A2437" s="103" t="s">
        <v>4335</v>
      </c>
      <c r="B2437" s="149" t="str">
        <f>IFERROR(VLOOKUP(Proc[[#This Row],[App]],Table2[],3,0),"open")</f>
        <v>ok</v>
      </c>
      <c r="C2437" s="103" t="s">
        <v>369</v>
      </c>
      <c r="D2437" t="s">
        <v>4343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14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>
      <c r="A2438" s="103" t="s">
        <v>4335</v>
      </c>
      <c r="B2438" s="149" t="str">
        <f>IFERROR(VLOOKUP(Proc[[#This Row],[App]],Table2[],3,0),"open")</f>
        <v>ok</v>
      </c>
      <c r="C2438" s="103" t="s">
        <v>369</v>
      </c>
      <c r="D2438" t="s">
        <v>4344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14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>
      <c r="A2439" s="103" t="s">
        <v>4335</v>
      </c>
      <c r="B2439" s="149" t="str">
        <f>IFERROR(VLOOKUP(Proc[[#This Row],[App]],Table2[],3,0),"open")</f>
        <v>ok</v>
      </c>
      <c r="C2439" s="103" t="s">
        <v>369</v>
      </c>
      <c r="D2439" t="s">
        <v>4345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14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>
      <c r="A2440" s="103" t="s">
        <v>4335</v>
      </c>
      <c r="B2440" s="149" t="str">
        <f>IFERROR(VLOOKUP(Proc[[#This Row],[App]],Table2[],3,0),"open")</f>
        <v>ok</v>
      </c>
      <c r="C2440" s="103" t="s">
        <v>369</v>
      </c>
      <c r="D2440" t="s">
        <v>4346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14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>
      <c r="A2441" s="103" t="s">
        <v>4335</v>
      </c>
      <c r="B2441" s="149" t="str">
        <f>IFERROR(VLOOKUP(Proc[[#This Row],[App]],Table2[],3,0),"open")</f>
        <v>ok</v>
      </c>
      <c r="C2441" s="103" t="s">
        <v>369</v>
      </c>
      <c r="D2441" t="s">
        <v>4347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14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>
      <c r="A2442" s="103" t="s">
        <v>4335</v>
      </c>
      <c r="B2442" s="149" t="str">
        <f>IFERROR(VLOOKUP(Proc[[#This Row],[App]],Table2[],3,0),"open")</f>
        <v>ok</v>
      </c>
      <c r="C2442" s="103" t="s">
        <v>369</v>
      </c>
      <c r="D2442" t="s">
        <v>4348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14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>
      <c r="A2443" s="103" t="s">
        <v>4335</v>
      </c>
      <c r="B2443" s="149" t="str">
        <f>IFERROR(VLOOKUP(Proc[[#This Row],[App]],Table2[],3,0),"open")</f>
        <v>ok</v>
      </c>
      <c r="C2443" s="103" t="s">
        <v>369</v>
      </c>
      <c r="D2443" t="s">
        <v>4349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14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>
      <c r="A2444" s="103" t="s">
        <v>4335</v>
      </c>
      <c r="B2444" s="149" t="str">
        <f>IFERROR(VLOOKUP(Proc[[#This Row],[App]],Table2[],3,0),"open")</f>
        <v>ok</v>
      </c>
      <c r="C2444" s="103" t="s">
        <v>369</v>
      </c>
      <c r="D2444" t="s">
        <v>4350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14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>
      <c r="A2445" s="103" t="s">
        <v>4335</v>
      </c>
      <c r="B2445" s="149" t="str">
        <f>IFERROR(VLOOKUP(Proc[[#This Row],[App]],Table2[],3,0),"open")</f>
        <v>ok</v>
      </c>
      <c r="C2445" s="103" t="s">
        <v>369</v>
      </c>
      <c r="D2445" t="s">
        <v>4351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14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>
      <c r="A2446" s="103" t="s">
        <v>4335</v>
      </c>
      <c r="B2446" s="149" t="str">
        <f>IFERROR(VLOOKUP(Proc[[#This Row],[App]],Table2[],3,0),"open")</f>
        <v>ok</v>
      </c>
      <c r="C2446" s="103" t="s">
        <v>369</v>
      </c>
      <c r="D2446" t="s">
        <v>4352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14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>
      <c r="A2447" s="103" t="s">
        <v>4335</v>
      </c>
      <c r="B2447" s="149" t="str">
        <f>IFERROR(VLOOKUP(Proc[[#This Row],[App]],Table2[],3,0),"open")</f>
        <v>ok</v>
      </c>
      <c r="C2447" s="103" t="s">
        <v>369</v>
      </c>
      <c r="D2447" t="s">
        <v>4353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14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>
      <c r="A2448" s="103" t="s">
        <v>4335</v>
      </c>
      <c r="B2448" s="149" t="str">
        <f>IFERROR(VLOOKUP(Proc[[#This Row],[App]],Table2[],3,0),"open")</f>
        <v>ok</v>
      </c>
      <c r="C2448" s="103" t="s">
        <v>369</v>
      </c>
      <c r="D2448" t="s">
        <v>4354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14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>
      <c r="A2449" s="103" t="s">
        <v>4335</v>
      </c>
      <c r="B2449" s="149" t="str">
        <f>IFERROR(VLOOKUP(Proc[[#This Row],[App]],Table2[],3,0),"open")</f>
        <v>ok</v>
      </c>
      <c r="C2449" s="103" t="s">
        <v>369</v>
      </c>
      <c r="D2449" t="s">
        <v>4355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14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>
      <c r="A2450" s="103" t="s">
        <v>4335</v>
      </c>
      <c r="B2450" s="149" t="str">
        <f>IFERROR(VLOOKUP(Proc[[#This Row],[App]],Table2[],3,0),"open")</f>
        <v>ok</v>
      </c>
      <c r="C2450" s="103" t="s">
        <v>369</v>
      </c>
      <c r="D2450" t="s">
        <v>4356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14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>
      <c r="A2451" s="103" t="s">
        <v>4335</v>
      </c>
      <c r="B2451" s="149" t="str">
        <f>IFERROR(VLOOKUP(Proc[[#This Row],[App]],Table2[],3,0),"open")</f>
        <v>ok</v>
      </c>
      <c r="C2451" s="103" t="s">
        <v>369</v>
      </c>
      <c r="D2451" t="s">
        <v>4357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14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>
      <c r="A2452" s="103" t="s">
        <v>4335</v>
      </c>
      <c r="B2452" s="149" t="str">
        <f>IFERROR(VLOOKUP(Proc[[#This Row],[App]],Table2[],3,0),"open")</f>
        <v>ok</v>
      </c>
      <c r="C2452" s="103" t="s">
        <v>369</v>
      </c>
      <c r="D2452" t="s">
        <v>4358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14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>
      <c r="A2453" s="103" t="s">
        <v>4335</v>
      </c>
      <c r="B2453" s="149" t="str">
        <f>IFERROR(VLOOKUP(Proc[[#This Row],[App]],Table2[],3,0),"open")</f>
        <v>ok</v>
      </c>
      <c r="C2453" s="103" t="s">
        <v>369</v>
      </c>
      <c r="D2453" t="s">
        <v>4359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14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>
      <c r="A2454" s="103" t="s">
        <v>4335</v>
      </c>
      <c r="B2454" s="149" t="str">
        <f>IFERROR(VLOOKUP(Proc[[#This Row],[App]],Table2[],3,0),"open")</f>
        <v>ok</v>
      </c>
      <c r="C2454" s="103" t="s">
        <v>369</v>
      </c>
      <c r="D2454" t="s">
        <v>4360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14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>
      <c r="A2455" s="103" t="s">
        <v>4335</v>
      </c>
      <c r="B2455" s="149" t="str">
        <f>IFERROR(VLOOKUP(Proc[[#This Row],[App]],Table2[],3,0),"open")</f>
        <v>ok</v>
      </c>
      <c r="C2455" s="103" t="s">
        <v>369</v>
      </c>
      <c r="D2455" t="s">
        <v>4361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14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>
      <c r="A2456" s="103" t="s">
        <v>4335</v>
      </c>
      <c r="B2456" s="149" t="str">
        <f>IFERROR(VLOOKUP(Proc[[#This Row],[App]],Table2[],3,0),"open")</f>
        <v>ok</v>
      </c>
      <c r="C2456" s="103" t="s">
        <v>369</v>
      </c>
      <c r="D2456" t="s">
        <v>4362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14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>
      <c r="A2457" s="103" t="s">
        <v>4335</v>
      </c>
      <c r="B2457" s="149" t="str">
        <f>IFERROR(VLOOKUP(Proc[[#This Row],[App]],Table2[],3,0),"open")</f>
        <v>ok</v>
      </c>
      <c r="C2457" s="103" t="s">
        <v>369</v>
      </c>
      <c r="D2457" t="s">
        <v>4363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14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>
      <c r="A2458" s="103" t="s">
        <v>4335</v>
      </c>
      <c r="B2458" s="149" t="str">
        <f>IFERROR(VLOOKUP(Proc[[#This Row],[App]],Table2[],3,0),"open")</f>
        <v>ok</v>
      </c>
      <c r="C2458" s="103" t="s">
        <v>369</v>
      </c>
      <c r="D2458" t="s">
        <v>4364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14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>
      <c r="A2459" s="103" t="s">
        <v>4335</v>
      </c>
      <c r="B2459" s="149" t="str">
        <f>IFERROR(VLOOKUP(Proc[[#This Row],[App]],Table2[],3,0),"open")</f>
        <v>ok</v>
      </c>
      <c r="C2459" s="103" t="s">
        <v>369</v>
      </c>
      <c r="D2459" t="s">
        <v>4365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14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>
      <c r="A2460" s="103" t="s">
        <v>4335</v>
      </c>
      <c r="B2460" s="149" t="str">
        <f>IFERROR(VLOOKUP(Proc[[#This Row],[App]],Table2[],3,0),"open")</f>
        <v>ok</v>
      </c>
      <c r="C2460" s="103" t="s">
        <v>369</v>
      </c>
      <c r="D2460" t="s">
        <v>4366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14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>
      <c r="A2461" s="103" t="s">
        <v>4335</v>
      </c>
      <c r="B2461" s="149" t="str">
        <f>IFERROR(VLOOKUP(Proc[[#This Row],[App]],Table2[],3,0),"open")</f>
        <v>ok</v>
      </c>
      <c r="C2461" s="103" t="s">
        <v>369</v>
      </c>
      <c r="D2461" t="s">
        <v>4367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14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>
      <c r="A2462" s="103" t="s">
        <v>4335</v>
      </c>
      <c r="B2462" s="149" t="str">
        <f>IFERROR(VLOOKUP(Proc[[#This Row],[App]],Table2[],3,0),"open")</f>
        <v>ok</v>
      </c>
      <c r="C2462" s="103" t="s">
        <v>369</v>
      </c>
      <c r="D2462" t="s">
        <v>4368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14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>
      <c r="A2463" s="103" t="s">
        <v>4335</v>
      </c>
      <c r="B2463" s="149" t="str">
        <f>IFERROR(VLOOKUP(Proc[[#This Row],[App]],Table2[],3,0),"open")</f>
        <v>ok</v>
      </c>
      <c r="C2463" s="103" t="s">
        <v>369</v>
      </c>
      <c r="D2463" t="s">
        <v>4369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14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>
      <c r="A2464" s="103" t="s">
        <v>4335</v>
      </c>
      <c r="B2464" s="149" t="str">
        <f>IFERROR(VLOOKUP(Proc[[#This Row],[App]],Table2[],3,0),"open")</f>
        <v>ok</v>
      </c>
      <c r="C2464" s="103" t="s">
        <v>369</v>
      </c>
      <c r="D2464" t="s">
        <v>4370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14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>
      <c r="A2465" s="103" t="s">
        <v>4335</v>
      </c>
      <c r="B2465" s="149" t="str">
        <f>IFERROR(VLOOKUP(Proc[[#This Row],[App]],Table2[],3,0),"open")</f>
        <v>ok</v>
      </c>
      <c r="C2465" s="103" t="s">
        <v>369</v>
      </c>
      <c r="D2465" t="s">
        <v>4371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14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>
      <c r="A2466" s="103" t="s">
        <v>4335</v>
      </c>
      <c r="B2466" s="149" t="str">
        <f>IFERROR(VLOOKUP(Proc[[#This Row],[App]],Table2[],3,0),"open")</f>
        <v>ok</v>
      </c>
      <c r="C2466" s="103" t="s">
        <v>369</v>
      </c>
      <c r="D2466" t="s">
        <v>4372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14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>
      <c r="A2467" s="103" t="s">
        <v>4335</v>
      </c>
      <c r="B2467" s="149" t="str">
        <f>IFERROR(VLOOKUP(Proc[[#This Row],[App]],Table2[],3,0),"open")</f>
        <v>ok</v>
      </c>
      <c r="C2467" s="103" t="s">
        <v>369</v>
      </c>
      <c r="D2467" t="s">
        <v>4373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14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>
      <c r="A2468" s="103" t="s">
        <v>4335</v>
      </c>
      <c r="B2468" s="149" t="str">
        <f>IFERROR(VLOOKUP(Proc[[#This Row],[App]],Table2[],3,0),"open")</f>
        <v>ok</v>
      </c>
      <c r="C2468" s="103" t="s">
        <v>369</v>
      </c>
      <c r="D2468" t="s">
        <v>4374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14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>
      <c r="A2469" s="103" t="s">
        <v>4335</v>
      </c>
      <c r="B2469" s="149" t="str">
        <f>IFERROR(VLOOKUP(Proc[[#This Row],[App]],Table2[],3,0),"open")</f>
        <v>ok</v>
      </c>
      <c r="C2469" s="103" t="s">
        <v>369</v>
      </c>
      <c r="D2469" t="s">
        <v>4375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14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>
      <c r="A2470" s="103" t="s">
        <v>4335</v>
      </c>
      <c r="B2470" s="149" t="str">
        <f>IFERROR(VLOOKUP(Proc[[#This Row],[App]],Table2[],3,0),"open")</f>
        <v>ok</v>
      </c>
      <c r="C2470" s="103" t="s">
        <v>369</v>
      </c>
      <c r="D2470" t="s">
        <v>4376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14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>
      <c r="A2471" s="103" t="s">
        <v>4335</v>
      </c>
      <c r="B2471" s="149" t="str">
        <f>IFERROR(VLOOKUP(Proc[[#This Row],[App]],Table2[],3,0),"open")</f>
        <v>ok</v>
      </c>
      <c r="C2471" s="103" t="s">
        <v>369</v>
      </c>
      <c r="D2471" t="s">
        <v>4377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14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>
      <c r="A2472" s="103" t="s">
        <v>4335</v>
      </c>
      <c r="B2472" s="149" t="str">
        <f>IFERROR(VLOOKUP(Proc[[#This Row],[App]],Table2[],3,0),"open")</f>
        <v>ok</v>
      </c>
      <c r="C2472" s="103" t="s">
        <v>369</v>
      </c>
      <c r="D2472" t="s">
        <v>4378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14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>
      <c r="A2473" s="103" t="s">
        <v>4335</v>
      </c>
      <c r="B2473" s="149" t="str">
        <f>IFERROR(VLOOKUP(Proc[[#This Row],[App]],Table2[],3,0),"open")</f>
        <v>ok</v>
      </c>
      <c r="C2473" s="103" t="s">
        <v>369</v>
      </c>
      <c r="D2473" t="s">
        <v>4379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14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>
      <c r="A2474" s="103" t="s">
        <v>4335</v>
      </c>
      <c r="B2474" s="149" t="str">
        <f>IFERROR(VLOOKUP(Proc[[#This Row],[App]],Table2[],3,0),"open")</f>
        <v>ok</v>
      </c>
      <c r="C2474" s="103" t="s">
        <v>369</v>
      </c>
      <c r="D2474" t="s">
        <v>4380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14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>
      <c r="A2475" s="103" t="s">
        <v>4335</v>
      </c>
      <c r="B2475" s="149" t="str">
        <f>IFERROR(VLOOKUP(Proc[[#This Row],[App]],Table2[],3,0),"open")</f>
        <v>ok</v>
      </c>
      <c r="C2475" s="103" t="s">
        <v>369</v>
      </c>
      <c r="D2475" t="s">
        <v>4381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14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>
      <c r="A2476" s="103" t="s">
        <v>4335</v>
      </c>
      <c r="B2476" s="149" t="str">
        <f>IFERROR(VLOOKUP(Proc[[#This Row],[App]],Table2[],3,0),"open")</f>
        <v>ok</v>
      </c>
      <c r="C2476" s="103" t="s">
        <v>369</v>
      </c>
      <c r="D2476" t="s">
        <v>4382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14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>
      <c r="A2477" s="103" t="s">
        <v>4335</v>
      </c>
      <c r="B2477" s="149" t="str">
        <f>IFERROR(VLOOKUP(Proc[[#This Row],[App]],Table2[],3,0),"open")</f>
        <v>ok</v>
      </c>
      <c r="C2477" s="103" t="s">
        <v>369</v>
      </c>
      <c r="D2477" t="s">
        <v>4383</v>
      </c>
      <c r="E2477" t="s">
        <v>4384</v>
      </c>
      <c r="F2477" s="120" t="s">
        <v>4384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14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>
      <c r="A2478" s="103" t="s">
        <v>4335</v>
      </c>
      <c r="B2478" s="149" t="str">
        <f>IFERROR(VLOOKUP(Proc[[#This Row],[App]],Table2[],3,0),"open")</f>
        <v>ok</v>
      </c>
      <c r="C2478" s="103" t="s">
        <v>369</v>
      </c>
      <c r="D2478" t="s">
        <v>4385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14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>
      <c r="A2479" s="103" t="s">
        <v>4335</v>
      </c>
      <c r="B2479" s="149" t="str">
        <f>IFERROR(VLOOKUP(Proc[[#This Row],[App]],Table2[],3,0),"open")</f>
        <v>ok</v>
      </c>
      <c r="C2479" s="103" t="s">
        <v>369</v>
      </c>
      <c r="D2479" t="s">
        <v>4386</v>
      </c>
      <c r="E2479" t="s">
        <v>4387</v>
      </c>
      <c r="F2479" s="120" t="s">
        <v>4387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14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>
      <c r="A2480" s="103" t="s">
        <v>4335</v>
      </c>
      <c r="B2480" s="149" t="str">
        <f>IFERROR(VLOOKUP(Proc[[#This Row],[App]],Table2[],3,0),"open")</f>
        <v>ok</v>
      </c>
      <c r="C2480" s="103" t="s">
        <v>369</v>
      </c>
      <c r="D2480" t="s">
        <v>4388</v>
      </c>
      <c r="E2480" t="s">
        <v>4389</v>
      </c>
      <c r="F2480" s="120" t="s">
        <v>4389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14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>
      <c r="A2481" s="103" t="s">
        <v>4335</v>
      </c>
      <c r="B2481" s="149" t="str">
        <f>IFERROR(VLOOKUP(Proc[[#This Row],[App]],Table2[],3,0),"open")</f>
        <v>ok</v>
      </c>
      <c r="C2481" s="103" t="s">
        <v>369</v>
      </c>
      <c r="D2481" t="s">
        <v>4390</v>
      </c>
      <c r="E2481" t="s">
        <v>4391</v>
      </c>
      <c r="F2481" s="120" t="s">
        <v>4391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14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>
      <c r="A2482" s="103" t="s">
        <v>4335</v>
      </c>
      <c r="B2482" s="149" t="str">
        <f>IFERROR(VLOOKUP(Proc[[#This Row],[App]],Table2[],3,0),"open")</f>
        <v>ok</v>
      </c>
      <c r="C2482" s="103" t="s">
        <v>369</v>
      </c>
      <c r="D2482" t="s">
        <v>4392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14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>
      <c r="A2483" s="103" t="s">
        <v>4335</v>
      </c>
      <c r="B2483" s="149" t="str">
        <f>IFERROR(VLOOKUP(Proc[[#This Row],[App]],Table2[],3,0),"open")</f>
        <v>ok</v>
      </c>
      <c r="C2483" s="103" t="s">
        <v>369</v>
      </c>
      <c r="D2483" t="s">
        <v>4393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14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>
      <c r="A2484" s="103" t="s">
        <v>4335</v>
      </c>
      <c r="B2484" s="149" t="str">
        <f>IFERROR(VLOOKUP(Proc[[#This Row],[App]],Table2[],3,0),"open")</f>
        <v>ok</v>
      </c>
      <c r="C2484" s="103" t="s">
        <v>369</v>
      </c>
      <c r="D2484" t="s">
        <v>4394</v>
      </c>
      <c r="E2484" t="s">
        <v>4395</v>
      </c>
      <c r="F2484" s="120" t="s">
        <v>4395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14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>
      <c r="A2485" s="103" t="s">
        <v>4335</v>
      </c>
      <c r="B2485" s="149" t="str">
        <f>IFERROR(VLOOKUP(Proc[[#This Row],[App]],Table2[],3,0),"open")</f>
        <v>ok</v>
      </c>
      <c r="C2485" s="103" t="s">
        <v>369</v>
      </c>
      <c r="D2485" t="s">
        <v>4396</v>
      </c>
      <c r="E2485" t="s">
        <v>3528</v>
      </c>
      <c r="F2485" s="120" t="s">
        <v>3528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14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>
      <c r="A2486" s="103" t="s">
        <v>4335</v>
      </c>
      <c r="B2486" s="149" t="str">
        <f>IFERROR(VLOOKUP(Proc[[#This Row],[App]],Table2[],3,0),"open")</f>
        <v>ok</v>
      </c>
      <c r="C2486" s="103" t="s">
        <v>369</v>
      </c>
      <c r="D2486" t="s">
        <v>4397</v>
      </c>
      <c r="E2486" t="s">
        <v>3528</v>
      </c>
      <c r="F2486" s="120" t="s">
        <v>3528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14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>
      <c r="A2487" s="103" t="s">
        <v>4335</v>
      </c>
      <c r="B2487" s="149" t="str">
        <f>IFERROR(VLOOKUP(Proc[[#This Row],[App]],Table2[],3,0),"open")</f>
        <v>ok</v>
      </c>
      <c r="C2487" s="103" t="s">
        <v>369</v>
      </c>
      <c r="D2487" t="s">
        <v>4398</v>
      </c>
      <c r="E2487" t="s">
        <v>4399</v>
      </c>
      <c r="F2487" s="120" t="s">
        <v>4399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14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>
      <c r="A2488" t="s">
        <v>4412</v>
      </c>
      <c r="B2488" s="149" t="str">
        <f>IFERROR(VLOOKUP(Proc[[#This Row],[App]],Table2[],3,0),"open")</f>
        <v>ok</v>
      </c>
      <c r="C2488" s="117" t="s">
        <v>369</v>
      </c>
      <c r="D2488" t="s">
        <v>4400</v>
      </c>
      <c r="E2488" t="s">
        <v>4409</v>
      </c>
      <c r="F2488" s="117" t="s">
        <v>4409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4413</v>
      </c>
      <c r="J2488" s="94" t="b">
        <f>Proc[[#This Row],[Requested]]=Proc[[#This Row],[CurrentParent]]</f>
        <v>1</v>
      </c>
      <c r="K2488" s="144" t="str">
        <f>IF(Proc[[#This Row],[Author]]="Marcela Urrego",VLOOKUP(LEFT(Proc[[#This Row],[Requested]],1),Table3[#All],2,0),VLOOKUP(Proc[[#This Row],[Author]],Table4[],2,0))</f>
        <v>MGF</v>
      </c>
      <c r="L2488" s="125" t="s">
        <v>4894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118</v>
      </c>
      <c r="R2488" s="110" t="s">
        <v>1459</v>
      </c>
      <c r="S2488" s="94"/>
    </row>
    <row r="2489" spans="1:19">
      <c r="A2489" s="103" t="s">
        <v>4412</v>
      </c>
      <c r="B2489" s="149" t="str">
        <f>IFERROR(VLOOKUP(Proc[[#This Row],[App]],Table2[],3,0),"open")</f>
        <v>ok</v>
      </c>
      <c r="C2489" s="117" t="s">
        <v>377</v>
      </c>
      <c r="D2489" t="s">
        <v>2319</v>
      </c>
      <c r="E2489" t="s">
        <v>430</v>
      </c>
      <c r="F2489" s="94" t="s">
        <v>5569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4832</v>
      </c>
      <c r="J2489" s="94" t="b">
        <f>Proc[[#This Row],[Requested]]=Proc[[#This Row],[CurrentParent]]</f>
        <v>0</v>
      </c>
      <c r="K2489" s="144" t="str">
        <f>IF(Proc[[#This Row],[Author]]="Marcela Urrego",VLOOKUP(LEFT(Proc[[#This Row],[Requested]],1),Table3[#All],2,0),VLOOKUP(Proc[[#This Row],[Author]],Table4[],2,0))</f>
        <v>MGF</v>
      </c>
      <c r="L2489" s="125" t="s">
        <v>4894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118</v>
      </c>
      <c r="R2489" s="110" t="s">
        <v>1459</v>
      </c>
      <c r="S2489" s="94"/>
    </row>
    <row r="2490" spans="1:19">
      <c r="A2490" s="103" t="s">
        <v>4412</v>
      </c>
      <c r="B2490" s="149" t="str">
        <f>IFERROR(VLOOKUP(Proc[[#This Row],[App]],Table2[],3,0),"open")</f>
        <v>ok</v>
      </c>
      <c r="C2490" s="124" t="s">
        <v>369</v>
      </c>
      <c r="D2490" t="s">
        <v>4401</v>
      </c>
      <c r="E2490" t="s">
        <v>4410</v>
      </c>
      <c r="F2490" s="124" t="s">
        <v>4410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4413</v>
      </c>
      <c r="J2490" s="94" t="b">
        <f>Proc[[#This Row],[Requested]]=Proc[[#This Row],[CurrentParent]]</f>
        <v>1</v>
      </c>
      <c r="K2490" s="144" t="str">
        <f>IF(Proc[[#This Row],[Author]]="Marcela Urrego",VLOOKUP(LEFT(Proc[[#This Row],[Requested]],1),Table3[#All],2,0),VLOOKUP(Proc[[#This Row],[Author]],Table4[],2,0))</f>
        <v>MGF</v>
      </c>
      <c r="L2490" s="125" t="s">
        <v>4894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118</v>
      </c>
      <c r="R2490" s="110" t="s">
        <v>1459</v>
      </c>
      <c r="S2490" s="94"/>
    </row>
    <row r="2491" spans="1:19">
      <c r="A2491" s="103" t="s">
        <v>4412</v>
      </c>
      <c r="B2491" s="149" t="str">
        <f>IFERROR(VLOOKUP(Proc[[#This Row],[App]],Table2[],3,0),"open")</f>
        <v>ok</v>
      </c>
      <c r="C2491" s="124" t="s">
        <v>369</v>
      </c>
      <c r="D2491" t="s">
        <v>4402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4413</v>
      </c>
      <c r="J2491" s="94" t="b">
        <f>Proc[[#This Row],[Requested]]=Proc[[#This Row],[CurrentParent]]</f>
        <v>1</v>
      </c>
      <c r="K2491" s="144" t="str">
        <f>IF(Proc[[#This Row],[Author]]="Marcela Urrego",VLOOKUP(LEFT(Proc[[#This Row],[Requested]],1),Table3[#All],2,0),VLOOKUP(Proc[[#This Row],[Author]],Table4[],2,0))</f>
        <v>MGF</v>
      </c>
      <c r="L2491" s="125" t="s">
        <v>4894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118</v>
      </c>
      <c r="R2491" s="110" t="s">
        <v>1459</v>
      </c>
      <c r="S2491" s="94"/>
    </row>
    <row r="2492" spans="1:19">
      <c r="A2492" s="103" t="s">
        <v>4412</v>
      </c>
      <c r="B2492" s="149" t="str">
        <f>IFERROR(VLOOKUP(Proc[[#This Row],[App]],Table2[],3,0),"open")</f>
        <v>ok</v>
      </c>
      <c r="C2492" s="124" t="s">
        <v>369</v>
      </c>
      <c r="D2492" t="s">
        <v>4403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144" t="str">
        <f>IF(Proc[[#This Row],[Author]]="Marcela Urrego",VLOOKUP(LEFT(Proc[[#This Row],[Requested]],1),Table3[#All],2,0),VLOOKUP(Proc[[#This Row],[Author]],Table4[],2,0))</f>
        <v>MGF</v>
      </c>
      <c r="L2492" s="125" t="s">
        <v>4894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118</v>
      </c>
      <c r="R2492" s="110" t="s">
        <v>1459</v>
      </c>
      <c r="S2492" s="94"/>
    </row>
    <row r="2493" spans="1:19">
      <c r="A2493" s="103" t="s">
        <v>4412</v>
      </c>
      <c r="B2493" s="149" t="str">
        <f>IFERROR(VLOOKUP(Proc[[#This Row],[App]],Table2[],3,0),"open")</f>
        <v>ok</v>
      </c>
      <c r="C2493" s="124" t="s">
        <v>369</v>
      </c>
      <c r="D2493" t="s">
        <v>4404</v>
      </c>
      <c r="E2493" t="s">
        <v>4411</v>
      </c>
      <c r="F2493" s="124" t="s">
        <v>4411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144" t="str">
        <f>IF(Proc[[#This Row],[Author]]="Marcela Urrego",VLOOKUP(LEFT(Proc[[#This Row],[Requested]],1),Table3[#All],2,0),VLOOKUP(Proc[[#This Row],[Author]],Table4[],2,0))</f>
        <v>MGF</v>
      </c>
      <c r="L2493" s="125" t="s">
        <v>4894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118</v>
      </c>
      <c r="R2493" s="110" t="s">
        <v>1459</v>
      </c>
      <c r="S2493" s="94"/>
    </row>
    <row r="2494" spans="1:19">
      <c r="A2494" s="103" t="s">
        <v>4412</v>
      </c>
      <c r="B2494" s="149" t="str">
        <f>IFERROR(VLOOKUP(Proc[[#This Row],[App]],Table2[],3,0),"open")</f>
        <v>ok</v>
      </c>
      <c r="C2494" s="124" t="s">
        <v>369</v>
      </c>
      <c r="D2494" t="s">
        <v>4405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144" t="str">
        <f>IF(Proc[[#This Row],[Author]]="Marcela Urrego",VLOOKUP(LEFT(Proc[[#This Row],[Requested]],1),Table3[#All],2,0),VLOOKUP(Proc[[#This Row],[Author]],Table4[],2,0))</f>
        <v>MGF</v>
      </c>
      <c r="L2494" s="125" t="s">
        <v>4894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118</v>
      </c>
      <c r="R2494" s="110" t="s">
        <v>1459</v>
      </c>
      <c r="S2494" s="94"/>
    </row>
    <row r="2495" spans="1:19">
      <c r="A2495" s="103" t="s">
        <v>4412</v>
      </c>
      <c r="B2495" s="149" t="str">
        <f>IFERROR(VLOOKUP(Proc[[#This Row],[App]],Table2[],3,0),"open")</f>
        <v>ok</v>
      </c>
      <c r="C2495" s="124" t="s">
        <v>369</v>
      </c>
      <c r="D2495" t="s">
        <v>4406</v>
      </c>
      <c r="E2495" t="s">
        <v>4411</v>
      </c>
      <c r="F2495" s="124" t="s">
        <v>4411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144" t="str">
        <f>IF(Proc[[#This Row],[Author]]="Marcela Urrego",VLOOKUP(LEFT(Proc[[#This Row],[Requested]],1),Table3[#All],2,0),VLOOKUP(Proc[[#This Row],[Author]],Table4[],2,0))</f>
        <v>MGF</v>
      </c>
      <c r="L2495" s="125" t="s">
        <v>4894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118</v>
      </c>
      <c r="R2495" s="110" t="s">
        <v>1459</v>
      </c>
      <c r="S2495" s="94"/>
    </row>
    <row r="2496" spans="1:19">
      <c r="A2496" s="103" t="s">
        <v>4412</v>
      </c>
      <c r="B2496" s="149" t="str">
        <f>IFERROR(VLOOKUP(Proc[[#This Row],[App]],Table2[],3,0),"open")</f>
        <v>ok</v>
      </c>
      <c r="C2496" s="124" t="s">
        <v>369</v>
      </c>
      <c r="D2496" t="s">
        <v>4407</v>
      </c>
      <c r="E2496" t="s">
        <v>4411</v>
      </c>
      <c r="F2496" s="124" t="s">
        <v>4411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144" t="str">
        <f>IF(Proc[[#This Row],[Author]]="Marcela Urrego",VLOOKUP(LEFT(Proc[[#This Row],[Requested]],1),Table3[#All],2,0),VLOOKUP(Proc[[#This Row],[Author]],Table4[],2,0))</f>
        <v>MGF</v>
      </c>
      <c r="L2496" s="125" t="s">
        <v>4894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118</v>
      </c>
      <c r="R2496" s="110" t="s">
        <v>1459</v>
      </c>
      <c r="S2496" s="94"/>
    </row>
    <row r="2497" spans="1:19">
      <c r="A2497" s="103" t="s">
        <v>4412</v>
      </c>
      <c r="B2497" s="149" t="str">
        <f>IFERROR(VLOOKUP(Proc[[#This Row],[App]],Table2[],3,0),"open")</f>
        <v>ok</v>
      </c>
      <c r="C2497" s="124" t="s">
        <v>369</v>
      </c>
      <c r="D2497" t="s">
        <v>4408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144" t="str">
        <f>IF(Proc[[#This Row],[Author]]="Marcela Urrego",VLOOKUP(LEFT(Proc[[#This Row],[Requested]],1),Table3[#All],2,0),VLOOKUP(Proc[[#This Row],[Author]],Table4[],2,0))</f>
        <v>MGF</v>
      </c>
      <c r="L2497" s="125" t="s">
        <v>4894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118</v>
      </c>
      <c r="R2497" s="110" t="s">
        <v>1459</v>
      </c>
      <c r="S2497" s="94"/>
    </row>
    <row r="2498" spans="1:19">
      <c r="A2498" s="103" t="s">
        <v>4412</v>
      </c>
      <c r="B2498" s="149" t="str">
        <f>IFERROR(VLOOKUP(Proc[[#This Row],[App]],Table2[],3,0),"open")</f>
        <v>ok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144" t="str">
        <f>IF(Proc[[#This Row],[Author]]="Marcela Urrego",VLOOKUP(LEFT(Proc[[#This Row],[Requested]],1),Table3[#All],2,0),VLOOKUP(Proc[[#This Row],[Author]],Table4[],2,0))</f>
        <v>MGF</v>
      </c>
      <c r="L2498" s="125" t="s">
        <v>4894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118</v>
      </c>
      <c r="R2498" s="110" t="s">
        <v>1459</v>
      </c>
      <c r="S2498" s="94"/>
    </row>
    <row r="2499" spans="1:19">
      <c r="A2499" t="s">
        <v>4415</v>
      </c>
      <c r="B2499" s="149" t="str">
        <f>IFERROR(VLOOKUP(Proc[[#This Row],[App]],Table2[],3,0),"open")</f>
        <v>ok</v>
      </c>
      <c r="C2499" s="103" t="s">
        <v>369</v>
      </c>
      <c r="D2499" t="s">
        <v>4414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144" t="str">
        <f>IF(Proc[[#This Row],[Author]]="Marcela Urrego",VLOOKUP(LEFT(Proc[[#This Row],[Requested]],1),Table3[#All],2,0),VLOOKUP(Proc[[#This Row],[Author]],Table4[],2,0))</f>
        <v>HC</v>
      </c>
      <c r="L2499" s="125" t="s">
        <v>4894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4416</v>
      </c>
      <c r="S2499" s="94"/>
    </row>
    <row r="2500" spans="1:19">
      <c r="A2500" t="s">
        <v>4418</v>
      </c>
      <c r="B2500" s="149" t="str">
        <f>IFERROR(VLOOKUP(Proc[[#This Row],[App]],Table2[],3,0),"open")</f>
        <v>ok</v>
      </c>
      <c r="C2500" s="103" t="s">
        <v>369</v>
      </c>
      <c r="D2500" t="s">
        <v>4417</v>
      </c>
      <c r="E2500" t="s">
        <v>4803</v>
      </c>
      <c r="F2500" s="94" t="s">
        <v>4803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144" t="str">
        <f>IF(Proc[[#This Row],[Author]]="Marcela Urrego",VLOOKUP(LEFT(Proc[[#This Row],[Requested]],1),Table3[#All],2,0),VLOOKUP(Proc[[#This Row],[Author]],Table4[],2,0))</f>
        <v>LS</v>
      </c>
      <c r="L2500" s="125" t="s">
        <v>4894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116</v>
      </c>
      <c r="R2500" s="110" t="s">
        <v>489</v>
      </c>
      <c r="S2500" s="94"/>
    </row>
    <row r="2501" spans="1:19">
      <c r="A2501" t="s">
        <v>4420</v>
      </c>
      <c r="B2501" s="149" t="str">
        <f>IFERROR(VLOOKUP(Proc[[#This Row],[App]],Table2[],3,0),"open")</f>
        <v>ok</v>
      </c>
      <c r="C2501" s="103" t="s">
        <v>369</v>
      </c>
      <c r="D2501" t="s">
        <v>4419</v>
      </c>
      <c r="E2501" t="s">
        <v>4421</v>
      </c>
      <c r="F2501" s="94" t="s">
        <v>4421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144" t="str">
        <f>IF(Proc[[#This Row],[Author]]="Marcela Urrego",VLOOKUP(LEFT(Proc[[#This Row],[Requested]],1),Table3[#All],2,0),VLOOKUP(Proc[[#This Row],[Author]],Table4[],2,0))</f>
        <v>LS</v>
      </c>
      <c r="L2501" s="125" t="s">
        <v>4894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116</v>
      </c>
      <c r="R2501" s="110" t="s">
        <v>489</v>
      </c>
      <c r="S2501" s="94"/>
    </row>
    <row r="2502" spans="1:19">
      <c r="A2502" t="s">
        <v>4422</v>
      </c>
      <c r="B2502" s="149" t="str">
        <f>IFERROR(VLOOKUP(Proc[[#This Row],[App]],Table2[],3,0),"open")</f>
        <v>ok</v>
      </c>
      <c r="C2502" s="117" t="s">
        <v>369</v>
      </c>
      <c r="D2502" t="s">
        <v>4423</v>
      </c>
      <c r="E2502" t="s">
        <v>4734</v>
      </c>
      <c r="F2502" s="94" t="s">
        <v>4734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4784</v>
      </c>
      <c r="J2502" s="94" t="b">
        <f>Proc[[#This Row],[Requested]]=Proc[[#This Row],[CurrentParent]]</f>
        <v>1</v>
      </c>
      <c r="K2502" s="144" t="str">
        <f>IF(Proc[[#This Row],[Author]]="Marcela Urrego",VLOOKUP(LEFT(Proc[[#This Row],[Requested]],1),Table3[#All],2,0),VLOOKUP(Proc[[#This Row],[Author]],Table4[],2,0))</f>
        <v>MGF</v>
      </c>
      <c r="L2502" s="125" t="s">
        <v>4894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116</v>
      </c>
      <c r="R2502" s="110" t="s">
        <v>485</v>
      </c>
      <c r="S2502" s="94"/>
    </row>
    <row r="2503" spans="1:19">
      <c r="A2503" s="103" t="s">
        <v>4422</v>
      </c>
      <c r="B2503" s="149" t="str">
        <f>IFERROR(VLOOKUP(Proc[[#This Row],[App]],Table2[],3,0),"open")</f>
        <v>ok</v>
      </c>
      <c r="C2503" s="117" t="s">
        <v>369</v>
      </c>
      <c r="D2503" t="s">
        <v>4424</v>
      </c>
      <c r="E2503" t="s">
        <v>4734</v>
      </c>
      <c r="F2503" s="94" t="s">
        <v>4734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4784</v>
      </c>
      <c r="J2503" s="94" t="b">
        <f>Proc[[#This Row],[Requested]]=Proc[[#This Row],[CurrentParent]]</f>
        <v>1</v>
      </c>
      <c r="K2503" s="144" t="str">
        <f>IF(Proc[[#This Row],[Author]]="Marcela Urrego",VLOOKUP(LEFT(Proc[[#This Row],[Requested]],1),Table3[#All],2,0),VLOOKUP(Proc[[#This Row],[Author]],Table4[],2,0))</f>
        <v>MGF</v>
      </c>
      <c r="L2503" s="125" t="s">
        <v>4894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116</v>
      </c>
      <c r="R2503" s="110" t="s">
        <v>485</v>
      </c>
      <c r="S2503" s="94"/>
    </row>
    <row r="2504" spans="1:19">
      <c r="A2504" s="103" t="s">
        <v>4422</v>
      </c>
      <c r="B2504" s="149" t="str">
        <f>IFERROR(VLOOKUP(Proc[[#This Row],[App]],Table2[],3,0),"open")</f>
        <v>ok</v>
      </c>
      <c r="C2504" s="117" t="s">
        <v>369</v>
      </c>
      <c r="D2504" t="s">
        <v>4425</v>
      </c>
      <c r="E2504" t="s">
        <v>4735</v>
      </c>
      <c r="F2504" s="94" t="s">
        <v>4735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4784</v>
      </c>
      <c r="J2504" s="94" t="b">
        <f>Proc[[#This Row],[Requested]]=Proc[[#This Row],[CurrentParent]]</f>
        <v>1</v>
      </c>
      <c r="K2504" s="144" t="str">
        <f>IF(Proc[[#This Row],[Author]]="Marcela Urrego",VLOOKUP(LEFT(Proc[[#This Row],[Requested]],1),Table3[#All],2,0),VLOOKUP(Proc[[#This Row],[Author]],Table4[],2,0))</f>
        <v>MGF</v>
      </c>
      <c r="L2504" s="125" t="s">
        <v>4894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116</v>
      </c>
      <c r="R2504" s="110" t="s">
        <v>485</v>
      </c>
      <c r="S2504" s="94"/>
    </row>
    <row r="2505" spans="1:19">
      <c r="A2505" s="103" t="s">
        <v>4422</v>
      </c>
      <c r="B2505" s="149" t="str">
        <f>IFERROR(VLOOKUP(Proc[[#This Row],[App]],Table2[],3,0),"open")</f>
        <v>ok</v>
      </c>
      <c r="C2505" s="117" t="s">
        <v>369</v>
      </c>
      <c r="D2505" t="s">
        <v>4426</v>
      </c>
      <c r="E2505" t="s">
        <v>4735</v>
      </c>
      <c r="F2505" s="94" t="s">
        <v>4735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4784</v>
      </c>
      <c r="J2505" s="94" t="b">
        <f>Proc[[#This Row],[Requested]]=Proc[[#This Row],[CurrentParent]]</f>
        <v>1</v>
      </c>
      <c r="K2505" s="144" t="str">
        <f>IF(Proc[[#This Row],[Author]]="Marcela Urrego",VLOOKUP(LEFT(Proc[[#This Row],[Requested]],1),Table3[#All],2,0),VLOOKUP(Proc[[#This Row],[Author]],Table4[],2,0))</f>
        <v>MGF</v>
      </c>
      <c r="L2505" s="125" t="s">
        <v>4894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116</v>
      </c>
      <c r="R2505" s="110" t="s">
        <v>485</v>
      </c>
      <c r="S2505" s="94"/>
    </row>
    <row r="2506" spans="1:19">
      <c r="A2506" s="103" t="s">
        <v>4422</v>
      </c>
      <c r="B2506" s="149" t="str">
        <f>IFERROR(VLOOKUP(Proc[[#This Row],[App]],Table2[],3,0),"open")</f>
        <v>ok</v>
      </c>
      <c r="C2506" s="117" t="s">
        <v>369</v>
      </c>
      <c r="D2506" t="s">
        <v>4427</v>
      </c>
      <c r="E2506" t="s">
        <v>4735</v>
      </c>
      <c r="F2506" s="94" t="s">
        <v>4735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4784</v>
      </c>
      <c r="J2506" s="94" t="b">
        <f>Proc[[#This Row],[Requested]]=Proc[[#This Row],[CurrentParent]]</f>
        <v>1</v>
      </c>
      <c r="K2506" s="144" t="str">
        <f>IF(Proc[[#This Row],[Author]]="Marcela Urrego",VLOOKUP(LEFT(Proc[[#This Row],[Requested]],1),Table3[#All],2,0),VLOOKUP(Proc[[#This Row],[Author]],Table4[],2,0))</f>
        <v>MGF</v>
      </c>
      <c r="L2506" s="125" t="s">
        <v>4894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116</v>
      </c>
      <c r="R2506" s="110" t="s">
        <v>485</v>
      </c>
      <c r="S2506" s="94"/>
    </row>
    <row r="2507" spans="1:19">
      <c r="A2507" s="103" t="s">
        <v>4422</v>
      </c>
      <c r="B2507" s="149" t="str">
        <f>IFERROR(VLOOKUP(Proc[[#This Row],[App]],Table2[],3,0),"open")</f>
        <v>ok</v>
      </c>
      <c r="C2507" s="117" t="s">
        <v>369</v>
      </c>
      <c r="D2507" t="s">
        <v>4428</v>
      </c>
      <c r="E2507" t="s">
        <v>4736</v>
      </c>
      <c r="F2507" s="94" t="s">
        <v>4736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4784</v>
      </c>
      <c r="J2507" s="94" t="b">
        <f>Proc[[#This Row],[Requested]]=Proc[[#This Row],[CurrentParent]]</f>
        <v>1</v>
      </c>
      <c r="K2507" s="144" t="str">
        <f>IF(Proc[[#This Row],[Author]]="Marcela Urrego",VLOOKUP(LEFT(Proc[[#This Row],[Requested]],1),Table3[#All],2,0),VLOOKUP(Proc[[#This Row],[Author]],Table4[],2,0))</f>
        <v>MGF</v>
      </c>
      <c r="L2507" s="125" t="s">
        <v>4894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116</v>
      </c>
      <c r="R2507" s="110" t="s">
        <v>485</v>
      </c>
      <c r="S2507" s="94"/>
    </row>
    <row r="2508" spans="1:19">
      <c r="A2508" s="103" t="s">
        <v>4422</v>
      </c>
      <c r="B2508" s="149" t="str">
        <f>IFERROR(VLOOKUP(Proc[[#This Row],[App]],Table2[],3,0),"open")</f>
        <v>ok</v>
      </c>
      <c r="C2508" s="117" t="s">
        <v>369</v>
      </c>
      <c r="D2508" t="s">
        <v>4429</v>
      </c>
      <c r="E2508" t="s">
        <v>4736</v>
      </c>
      <c r="F2508" s="94" t="s">
        <v>4736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4784</v>
      </c>
      <c r="J2508" s="94" t="b">
        <f>Proc[[#This Row],[Requested]]=Proc[[#This Row],[CurrentParent]]</f>
        <v>1</v>
      </c>
      <c r="K2508" s="144" t="str">
        <f>IF(Proc[[#This Row],[Author]]="Marcela Urrego",VLOOKUP(LEFT(Proc[[#This Row],[Requested]],1),Table3[#All],2,0),VLOOKUP(Proc[[#This Row],[Author]],Table4[],2,0))</f>
        <v>MGF</v>
      </c>
      <c r="L2508" s="125" t="s">
        <v>4894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116</v>
      </c>
      <c r="R2508" s="110" t="s">
        <v>485</v>
      </c>
      <c r="S2508" s="94"/>
    </row>
    <row r="2509" spans="1:19">
      <c r="A2509" s="103" t="s">
        <v>4422</v>
      </c>
      <c r="B2509" s="149" t="str">
        <f>IFERROR(VLOOKUP(Proc[[#This Row],[App]],Table2[],3,0),"open")</f>
        <v>ok</v>
      </c>
      <c r="C2509" s="117" t="s">
        <v>369</v>
      </c>
      <c r="D2509" t="s">
        <v>4430</v>
      </c>
      <c r="E2509" t="s">
        <v>4736</v>
      </c>
      <c r="F2509" s="94" t="s">
        <v>4736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4784</v>
      </c>
      <c r="J2509" s="94" t="b">
        <f>Proc[[#This Row],[Requested]]=Proc[[#This Row],[CurrentParent]]</f>
        <v>1</v>
      </c>
      <c r="K2509" s="144" t="str">
        <f>IF(Proc[[#This Row],[Author]]="Marcela Urrego",VLOOKUP(LEFT(Proc[[#This Row],[Requested]],1),Table3[#All],2,0),VLOOKUP(Proc[[#This Row],[Author]],Table4[],2,0))</f>
        <v>MGF</v>
      </c>
      <c r="L2509" s="125" t="s">
        <v>4894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116</v>
      </c>
      <c r="R2509" s="110" t="s">
        <v>485</v>
      </c>
      <c r="S2509" s="94"/>
    </row>
    <row r="2510" spans="1:19">
      <c r="A2510" s="103" t="s">
        <v>4422</v>
      </c>
      <c r="B2510" s="149" t="str">
        <f>IFERROR(VLOOKUP(Proc[[#This Row],[App]],Table2[],3,0),"open")</f>
        <v>ok</v>
      </c>
      <c r="C2510" s="117" t="s">
        <v>369</v>
      </c>
      <c r="D2510" t="s">
        <v>4431</v>
      </c>
      <c r="E2510" t="s">
        <v>4736</v>
      </c>
      <c r="F2510" s="94" t="s">
        <v>4736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4784</v>
      </c>
      <c r="J2510" s="94" t="b">
        <f>Proc[[#This Row],[Requested]]=Proc[[#This Row],[CurrentParent]]</f>
        <v>1</v>
      </c>
      <c r="K2510" s="144" t="str">
        <f>IF(Proc[[#This Row],[Author]]="Marcela Urrego",VLOOKUP(LEFT(Proc[[#This Row],[Requested]],1),Table3[#All],2,0),VLOOKUP(Proc[[#This Row],[Author]],Table4[],2,0))</f>
        <v>MGF</v>
      </c>
      <c r="L2510" s="125" t="s">
        <v>4894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116</v>
      </c>
      <c r="R2510" s="110" t="s">
        <v>485</v>
      </c>
      <c r="S2510" s="94"/>
    </row>
    <row r="2511" spans="1:19">
      <c r="A2511" s="103" t="s">
        <v>4422</v>
      </c>
      <c r="B2511" s="149" t="str">
        <f>IFERROR(VLOOKUP(Proc[[#This Row],[App]],Table2[],3,0),"open")</f>
        <v>ok</v>
      </c>
      <c r="C2511" s="117" t="s">
        <v>369</v>
      </c>
      <c r="D2511" t="s">
        <v>4432</v>
      </c>
      <c r="E2511" t="s">
        <v>4736</v>
      </c>
      <c r="F2511" s="94" t="s">
        <v>4736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4784</v>
      </c>
      <c r="J2511" s="94" t="b">
        <f>Proc[[#This Row],[Requested]]=Proc[[#This Row],[CurrentParent]]</f>
        <v>1</v>
      </c>
      <c r="K2511" s="144" t="str">
        <f>IF(Proc[[#This Row],[Author]]="Marcela Urrego",VLOOKUP(LEFT(Proc[[#This Row],[Requested]],1),Table3[#All],2,0),VLOOKUP(Proc[[#This Row],[Author]],Table4[],2,0))</f>
        <v>MGF</v>
      </c>
      <c r="L2511" s="125" t="s">
        <v>4894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116</v>
      </c>
      <c r="R2511" s="110" t="s">
        <v>485</v>
      </c>
      <c r="S2511" s="94"/>
    </row>
    <row r="2512" spans="1:19">
      <c r="A2512" s="103" t="s">
        <v>4422</v>
      </c>
      <c r="B2512" s="149" t="str">
        <f>IFERROR(VLOOKUP(Proc[[#This Row],[App]],Table2[],3,0),"open")</f>
        <v>ok</v>
      </c>
      <c r="C2512" s="117" t="s">
        <v>369</v>
      </c>
      <c r="D2512" t="s">
        <v>4433</v>
      </c>
      <c r="E2512" t="s">
        <v>4736</v>
      </c>
      <c r="F2512" s="94" t="s">
        <v>4736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4784</v>
      </c>
      <c r="J2512" s="94" t="b">
        <f>Proc[[#This Row],[Requested]]=Proc[[#This Row],[CurrentParent]]</f>
        <v>1</v>
      </c>
      <c r="K2512" s="144" t="str">
        <f>IF(Proc[[#This Row],[Author]]="Marcela Urrego",VLOOKUP(LEFT(Proc[[#This Row],[Requested]],1),Table3[#All],2,0),VLOOKUP(Proc[[#This Row],[Author]],Table4[],2,0))</f>
        <v>MGF</v>
      </c>
      <c r="L2512" s="125" t="s">
        <v>4894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116</v>
      </c>
      <c r="R2512" s="110" t="s">
        <v>485</v>
      </c>
      <c r="S2512" s="94"/>
    </row>
    <row r="2513" spans="1:19">
      <c r="A2513" s="103" t="s">
        <v>4422</v>
      </c>
      <c r="B2513" s="149" t="str">
        <f>IFERROR(VLOOKUP(Proc[[#This Row],[App]],Table2[],3,0),"open")</f>
        <v>ok</v>
      </c>
      <c r="C2513" s="117" t="s">
        <v>369</v>
      </c>
      <c r="D2513" t="s">
        <v>4434</v>
      </c>
      <c r="E2513" t="s">
        <v>4736</v>
      </c>
      <c r="F2513" s="94" t="s">
        <v>4736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4784</v>
      </c>
      <c r="J2513" s="94" t="b">
        <f>Proc[[#This Row],[Requested]]=Proc[[#This Row],[CurrentParent]]</f>
        <v>1</v>
      </c>
      <c r="K2513" s="144" t="str">
        <f>IF(Proc[[#This Row],[Author]]="Marcela Urrego",VLOOKUP(LEFT(Proc[[#This Row],[Requested]],1),Table3[#All],2,0),VLOOKUP(Proc[[#This Row],[Author]],Table4[],2,0))</f>
        <v>MGF</v>
      </c>
      <c r="L2513" s="125" t="s">
        <v>4894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116</v>
      </c>
      <c r="R2513" s="110" t="s">
        <v>485</v>
      </c>
      <c r="S2513" s="94"/>
    </row>
    <row r="2514" spans="1:19">
      <c r="A2514" s="103" t="s">
        <v>4422</v>
      </c>
      <c r="B2514" s="149" t="str">
        <f>IFERROR(VLOOKUP(Proc[[#This Row],[App]],Table2[],3,0),"open")</f>
        <v>ok</v>
      </c>
      <c r="C2514" s="117" t="s">
        <v>369</v>
      </c>
      <c r="D2514" t="s">
        <v>4435</v>
      </c>
      <c r="E2514" t="s">
        <v>4737</v>
      </c>
      <c r="F2514" s="94" t="s">
        <v>4737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4784</v>
      </c>
      <c r="J2514" s="94" t="b">
        <f>Proc[[#This Row],[Requested]]=Proc[[#This Row],[CurrentParent]]</f>
        <v>1</v>
      </c>
      <c r="K2514" s="144" t="str">
        <f>IF(Proc[[#This Row],[Author]]="Marcela Urrego",VLOOKUP(LEFT(Proc[[#This Row],[Requested]],1),Table3[#All],2,0),VLOOKUP(Proc[[#This Row],[Author]],Table4[],2,0))</f>
        <v>MGF</v>
      </c>
      <c r="L2514" s="125" t="s">
        <v>4894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116</v>
      </c>
      <c r="R2514" s="110" t="s">
        <v>485</v>
      </c>
      <c r="S2514" s="94"/>
    </row>
    <row r="2515" spans="1:19">
      <c r="A2515" s="103" t="s">
        <v>4422</v>
      </c>
      <c r="B2515" s="149" t="str">
        <f>IFERROR(VLOOKUP(Proc[[#This Row],[App]],Table2[],3,0),"open")</f>
        <v>ok</v>
      </c>
      <c r="C2515" s="117" t="s">
        <v>369</v>
      </c>
      <c r="D2515" t="s">
        <v>4436</v>
      </c>
      <c r="E2515" t="s">
        <v>4737</v>
      </c>
      <c r="F2515" s="94" t="s">
        <v>4737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4784</v>
      </c>
      <c r="J2515" s="94" t="b">
        <f>Proc[[#This Row],[Requested]]=Proc[[#This Row],[CurrentParent]]</f>
        <v>1</v>
      </c>
      <c r="K2515" s="144" t="str">
        <f>IF(Proc[[#This Row],[Author]]="Marcela Urrego",VLOOKUP(LEFT(Proc[[#This Row],[Requested]],1),Table3[#All],2,0),VLOOKUP(Proc[[#This Row],[Author]],Table4[],2,0))</f>
        <v>MGF</v>
      </c>
      <c r="L2515" s="125" t="s">
        <v>4894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116</v>
      </c>
      <c r="R2515" s="110" t="s">
        <v>485</v>
      </c>
      <c r="S2515" s="94"/>
    </row>
    <row r="2516" spans="1:19">
      <c r="A2516" s="103" t="s">
        <v>4422</v>
      </c>
      <c r="B2516" s="149" t="str">
        <f>IFERROR(VLOOKUP(Proc[[#This Row],[App]],Table2[],3,0),"open")</f>
        <v>ok</v>
      </c>
      <c r="C2516" s="117" t="s">
        <v>369</v>
      </c>
      <c r="D2516" t="s">
        <v>4437</v>
      </c>
      <c r="E2516" t="s">
        <v>4737</v>
      </c>
      <c r="F2516" s="94" t="s">
        <v>4737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4784</v>
      </c>
      <c r="J2516" s="94" t="b">
        <f>Proc[[#This Row],[Requested]]=Proc[[#This Row],[CurrentParent]]</f>
        <v>1</v>
      </c>
      <c r="K2516" s="144" t="str">
        <f>IF(Proc[[#This Row],[Author]]="Marcela Urrego",VLOOKUP(LEFT(Proc[[#This Row],[Requested]],1),Table3[#All],2,0),VLOOKUP(Proc[[#This Row],[Author]],Table4[],2,0))</f>
        <v>MGF</v>
      </c>
      <c r="L2516" s="125" t="s">
        <v>4894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116</v>
      </c>
      <c r="R2516" s="110" t="s">
        <v>485</v>
      </c>
      <c r="S2516" s="94"/>
    </row>
    <row r="2517" spans="1:19">
      <c r="A2517" s="103" t="s">
        <v>4422</v>
      </c>
      <c r="B2517" s="149" t="str">
        <f>IFERROR(VLOOKUP(Proc[[#This Row],[App]],Table2[],3,0),"open")</f>
        <v>ok</v>
      </c>
      <c r="C2517" s="117" t="s">
        <v>369</v>
      </c>
      <c r="D2517" t="s">
        <v>4438</v>
      </c>
      <c r="E2517" t="s">
        <v>4738</v>
      </c>
      <c r="F2517" s="94" t="s">
        <v>4738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4784</v>
      </c>
      <c r="J2517" s="94" t="b">
        <f>Proc[[#This Row],[Requested]]=Proc[[#This Row],[CurrentParent]]</f>
        <v>1</v>
      </c>
      <c r="K2517" s="144" t="str">
        <f>IF(Proc[[#This Row],[Author]]="Marcela Urrego",VLOOKUP(LEFT(Proc[[#This Row],[Requested]],1),Table3[#All],2,0),VLOOKUP(Proc[[#This Row],[Author]],Table4[],2,0))</f>
        <v>MGF</v>
      </c>
      <c r="L2517" s="125" t="s">
        <v>4894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116</v>
      </c>
      <c r="R2517" s="110" t="s">
        <v>485</v>
      </c>
      <c r="S2517" s="94"/>
    </row>
    <row r="2518" spans="1:19">
      <c r="A2518" s="103" t="s">
        <v>4422</v>
      </c>
      <c r="B2518" s="149" t="str">
        <f>IFERROR(VLOOKUP(Proc[[#This Row],[App]],Table2[],3,0),"open")</f>
        <v>ok</v>
      </c>
      <c r="C2518" s="117" t="s">
        <v>369</v>
      </c>
      <c r="D2518" t="s">
        <v>4439</v>
      </c>
      <c r="E2518" t="s">
        <v>4737</v>
      </c>
      <c r="F2518" s="94" t="s">
        <v>4737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4784</v>
      </c>
      <c r="J2518" s="94" t="b">
        <f>Proc[[#This Row],[Requested]]=Proc[[#This Row],[CurrentParent]]</f>
        <v>1</v>
      </c>
      <c r="K2518" s="144" t="str">
        <f>IF(Proc[[#This Row],[Author]]="Marcela Urrego",VLOOKUP(LEFT(Proc[[#This Row],[Requested]],1),Table3[#All],2,0),VLOOKUP(Proc[[#This Row],[Author]],Table4[],2,0))</f>
        <v>MGF</v>
      </c>
      <c r="L2518" s="125" t="s">
        <v>4894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116</v>
      </c>
      <c r="R2518" s="110" t="s">
        <v>485</v>
      </c>
      <c r="S2518" s="94"/>
    </row>
    <row r="2519" spans="1:19">
      <c r="A2519" s="103" t="s">
        <v>4422</v>
      </c>
      <c r="B2519" s="149" t="str">
        <f>IFERROR(VLOOKUP(Proc[[#This Row],[App]],Table2[],3,0),"open")</f>
        <v>ok</v>
      </c>
      <c r="C2519" s="117" t="s">
        <v>369</v>
      </c>
      <c r="D2519" t="s">
        <v>4440</v>
      </c>
      <c r="E2519" t="s">
        <v>4738</v>
      </c>
      <c r="F2519" s="94" t="s">
        <v>4738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4784</v>
      </c>
      <c r="J2519" s="94" t="b">
        <f>Proc[[#This Row],[Requested]]=Proc[[#This Row],[CurrentParent]]</f>
        <v>1</v>
      </c>
      <c r="K2519" s="144" t="str">
        <f>IF(Proc[[#This Row],[Author]]="Marcela Urrego",VLOOKUP(LEFT(Proc[[#This Row],[Requested]],1),Table3[#All],2,0),VLOOKUP(Proc[[#This Row],[Author]],Table4[],2,0))</f>
        <v>MGF</v>
      </c>
      <c r="L2519" s="125" t="s">
        <v>4894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116</v>
      </c>
      <c r="R2519" s="110" t="s">
        <v>485</v>
      </c>
      <c r="S2519" s="94"/>
    </row>
    <row r="2520" spans="1:19">
      <c r="A2520" s="103" t="s">
        <v>4422</v>
      </c>
      <c r="B2520" s="149" t="str">
        <f>IFERROR(VLOOKUP(Proc[[#This Row],[App]],Table2[],3,0),"open")</f>
        <v>ok</v>
      </c>
      <c r="C2520" s="117" t="s">
        <v>369</v>
      </c>
      <c r="D2520" t="s">
        <v>4441</v>
      </c>
      <c r="E2520" t="s">
        <v>4739</v>
      </c>
      <c r="F2520" s="94" t="s">
        <v>4739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4784</v>
      </c>
      <c r="J2520" s="94" t="b">
        <f>Proc[[#This Row],[Requested]]=Proc[[#This Row],[CurrentParent]]</f>
        <v>1</v>
      </c>
      <c r="K2520" s="144" t="str">
        <f>IF(Proc[[#This Row],[Author]]="Marcela Urrego",VLOOKUP(LEFT(Proc[[#This Row],[Requested]],1),Table3[#All],2,0),VLOOKUP(Proc[[#This Row],[Author]],Table4[],2,0))</f>
        <v>MGF</v>
      </c>
      <c r="L2520" s="125" t="s">
        <v>4894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116</v>
      </c>
      <c r="R2520" s="110" t="s">
        <v>485</v>
      </c>
      <c r="S2520" s="94"/>
    </row>
    <row r="2521" spans="1:19">
      <c r="A2521" s="103" t="s">
        <v>4422</v>
      </c>
      <c r="B2521" s="149" t="str">
        <f>IFERROR(VLOOKUP(Proc[[#This Row],[App]],Table2[],3,0),"open")</f>
        <v>ok</v>
      </c>
      <c r="C2521" s="117" t="s">
        <v>369</v>
      </c>
      <c r="D2521" t="s">
        <v>4442</v>
      </c>
      <c r="E2521" t="s">
        <v>4738</v>
      </c>
      <c r="F2521" s="94" t="s">
        <v>4738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4784</v>
      </c>
      <c r="J2521" s="94" t="b">
        <f>Proc[[#This Row],[Requested]]=Proc[[#This Row],[CurrentParent]]</f>
        <v>1</v>
      </c>
      <c r="K2521" s="144" t="str">
        <f>IF(Proc[[#This Row],[Author]]="Marcela Urrego",VLOOKUP(LEFT(Proc[[#This Row],[Requested]],1),Table3[#All],2,0),VLOOKUP(Proc[[#This Row],[Author]],Table4[],2,0))</f>
        <v>MGF</v>
      </c>
      <c r="L2521" s="125" t="s">
        <v>4894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116</v>
      </c>
      <c r="R2521" s="110" t="s">
        <v>485</v>
      </c>
      <c r="S2521" s="94"/>
    </row>
    <row r="2522" spans="1:19">
      <c r="A2522" s="103" t="s">
        <v>4422</v>
      </c>
      <c r="B2522" s="149" t="str">
        <f>IFERROR(VLOOKUP(Proc[[#This Row],[App]],Table2[],3,0),"open")</f>
        <v>ok</v>
      </c>
      <c r="C2522" s="117" t="s">
        <v>369</v>
      </c>
      <c r="D2522" t="s">
        <v>4443</v>
      </c>
      <c r="E2522" t="s">
        <v>4738</v>
      </c>
      <c r="F2522" s="94" t="s">
        <v>4738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4784</v>
      </c>
      <c r="J2522" s="94" t="b">
        <f>Proc[[#This Row],[Requested]]=Proc[[#This Row],[CurrentParent]]</f>
        <v>1</v>
      </c>
      <c r="K2522" s="144" t="str">
        <f>IF(Proc[[#This Row],[Author]]="Marcela Urrego",VLOOKUP(LEFT(Proc[[#This Row],[Requested]],1),Table3[#All],2,0),VLOOKUP(Proc[[#This Row],[Author]],Table4[],2,0))</f>
        <v>MGF</v>
      </c>
      <c r="L2522" s="125" t="s">
        <v>4894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116</v>
      </c>
      <c r="R2522" s="110" t="s">
        <v>485</v>
      </c>
      <c r="S2522" s="94"/>
    </row>
    <row r="2523" spans="1:19">
      <c r="A2523" s="103" t="s">
        <v>4422</v>
      </c>
      <c r="B2523" s="149" t="str">
        <f>IFERROR(VLOOKUP(Proc[[#This Row],[App]],Table2[],3,0),"open")</f>
        <v>ok</v>
      </c>
      <c r="C2523" s="117" t="s">
        <v>369</v>
      </c>
      <c r="D2523" t="s">
        <v>4444</v>
      </c>
      <c r="E2523" t="s">
        <v>4737</v>
      </c>
      <c r="F2523" s="94" t="s">
        <v>4737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4784</v>
      </c>
      <c r="J2523" s="94" t="b">
        <f>Proc[[#This Row],[Requested]]=Proc[[#This Row],[CurrentParent]]</f>
        <v>1</v>
      </c>
      <c r="K2523" s="144" t="str">
        <f>IF(Proc[[#This Row],[Author]]="Marcela Urrego",VLOOKUP(LEFT(Proc[[#This Row],[Requested]],1),Table3[#All],2,0),VLOOKUP(Proc[[#This Row],[Author]],Table4[],2,0))</f>
        <v>MGF</v>
      </c>
      <c r="L2523" s="125" t="s">
        <v>4894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116</v>
      </c>
      <c r="R2523" s="110" t="s">
        <v>485</v>
      </c>
      <c r="S2523" s="94"/>
    </row>
    <row r="2524" spans="1:19">
      <c r="A2524" s="103" t="s">
        <v>4422</v>
      </c>
      <c r="B2524" s="149" t="str">
        <f>IFERROR(VLOOKUP(Proc[[#This Row],[App]],Table2[],3,0),"open")</f>
        <v>ok</v>
      </c>
      <c r="C2524" s="117" t="s">
        <v>369</v>
      </c>
      <c r="D2524" t="s">
        <v>4445</v>
      </c>
      <c r="E2524" t="s">
        <v>4737</v>
      </c>
      <c r="F2524" s="94" t="s">
        <v>4737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4784</v>
      </c>
      <c r="J2524" s="94" t="b">
        <f>Proc[[#This Row],[Requested]]=Proc[[#This Row],[CurrentParent]]</f>
        <v>1</v>
      </c>
      <c r="K2524" s="144" t="str">
        <f>IF(Proc[[#This Row],[Author]]="Marcela Urrego",VLOOKUP(LEFT(Proc[[#This Row],[Requested]],1),Table3[#All],2,0),VLOOKUP(Proc[[#This Row],[Author]],Table4[],2,0))</f>
        <v>MGF</v>
      </c>
      <c r="L2524" s="125" t="s">
        <v>4894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116</v>
      </c>
      <c r="R2524" s="110" t="s">
        <v>485</v>
      </c>
      <c r="S2524" s="94"/>
    </row>
    <row r="2525" spans="1:19">
      <c r="A2525" s="103" t="s">
        <v>4422</v>
      </c>
      <c r="B2525" s="149" t="str">
        <f>IFERROR(VLOOKUP(Proc[[#This Row],[App]],Table2[],3,0),"open")</f>
        <v>ok</v>
      </c>
      <c r="C2525" s="117" t="s">
        <v>369</v>
      </c>
      <c r="D2525" t="s">
        <v>4446</v>
      </c>
      <c r="E2525" t="s">
        <v>4737</v>
      </c>
      <c r="F2525" s="94" t="s">
        <v>4737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4784</v>
      </c>
      <c r="J2525" s="94" t="b">
        <f>Proc[[#This Row],[Requested]]=Proc[[#This Row],[CurrentParent]]</f>
        <v>1</v>
      </c>
      <c r="K2525" s="144" t="str">
        <f>IF(Proc[[#This Row],[Author]]="Marcela Urrego",VLOOKUP(LEFT(Proc[[#This Row],[Requested]],1),Table3[#All],2,0),VLOOKUP(Proc[[#This Row],[Author]],Table4[],2,0))</f>
        <v>MGF</v>
      </c>
      <c r="L2525" s="125" t="s">
        <v>4894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116</v>
      </c>
      <c r="R2525" s="110" t="s">
        <v>485</v>
      </c>
      <c r="S2525" s="94"/>
    </row>
    <row r="2526" spans="1:19">
      <c r="A2526" s="103" t="s">
        <v>4422</v>
      </c>
      <c r="B2526" s="149" t="str">
        <f>IFERROR(VLOOKUP(Proc[[#This Row],[App]],Table2[],3,0),"open")</f>
        <v>ok</v>
      </c>
      <c r="C2526" s="117" t="s">
        <v>369</v>
      </c>
      <c r="D2526" t="s">
        <v>4447</v>
      </c>
      <c r="E2526" t="s">
        <v>4737</v>
      </c>
      <c r="F2526" s="94" t="s">
        <v>4737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4784</v>
      </c>
      <c r="J2526" s="94" t="b">
        <f>Proc[[#This Row],[Requested]]=Proc[[#This Row],[CurrentParent]]</f>
        <v>1</v>
      </c>
      <c r="K2526" s="144" t="str">
        <f>IF(Proc[[#This Row],[Author]]="Marcela Urrego",VLOOKUP(LEFT(Proc[[#This Row],[Requested]],1),Table3[#All],2,0),VLOOKUP(Proc[[#This Row],[Author]],Table4[],2,0))</f>
        <v>MGF</v>
      </c>
      <c r="L2526" s="125" t="s">
        <v>4894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116</v>
      </c>
      <c r="R2526" s="110" t="s">
        <v>485</v>
      </c>
      <c r="S2526" s="94"/>
    </row>
    <row r="2527" spans="1:19">
      <c r="A2527" s="103" t="s">
        <v>4422</v>
      </c>
      <c r="B2527" s="149" t="str">
        <f>IFERROR(VLOOKUP(Proc[[#This Row],[App]],Table2[],3,0),"open")</f>
        <v>ok</v>
      </c>
      <c r="C2527" s="117" t="s">
        <v>369</v>
      </c>
      <c r="D2527" t="s">
        <v>4448</v>
      </c>
      <c r="E2527" t="s">
        <v>4737</v>
      </c>
      <c r="F2527" s="94" t="s">
        <v>4737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4784</v>
      </c>
      <c r="J2527" s="94" t="b">
        <f>Proc[[#This Row],[Requested]]=Proc[[#This Row],[CurrentParent]]</f>
        <v>1</v>
      </c>
      <c r="K2527" s="144" t="str">
        <f>IF(Proc[[#This Row],[Author]]="Marcela Urrego",VLOOKUP(LEFT(Proc[[#This Row],[Requested]],1),Table3[#All],2,0),VLOOKUP(Proc[[#This Row],[Author]],Table4[],2,0))</f>
        <v>MGF</v>
      </c>
      <c r="L2527" s="125" t="s">
        <v>4894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116</v>
      </c>
      <c r="R2527" s="110" t="s">
        <v>485</v>
      </c>
      <c r="S2527" s="94"/>
    </row>
    <row r="2528" spans="1:19">
      <c r="A2528" s="103" t="s">
        <v>4422</v>
      </c>
      <c r="B2528" s="149" t="str">
        <f>IFERROR(VLOOKUP(Proc[[#This Row],[App]],Table2[],3,0),"open")</f>
        <v>ok</v>
      </c>
      <c r="C2528" s="117" t="s">
        <v>369</v>
      </c>
      <c r="D2528" t="s">
        <v>4449</v>
      </c>
      <c r="E2528" t="s">
        <v>4739</v>
      </c>
      <c r="F2528" s="94" t="s">
        <v>4739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4784</v>
      </c>
      <c r="J2528" s="94" t="b">
        <f>Proc[[#This Row],[Requested]]=Proc[[#This Row],[CurrentParent]]</f>
        <v>1</v>
      </c>
      <c r="K2528" s="144" t="str">
        <f>IF(Proc[[#This Row],[Author]]="Marcela Urrego",VLOOKUP(LEFT(Proc[[#This Row],[Requested]],1),Table3[#All],2,0),VLOOKUP(Proc[[#This Row],[Author]],Table4[],2,0))</f>
        <v>MGF</v>
      </c>
      <c r="L2528" s="125" t="s">
        <v>4894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116</v>
      </c>
      <c r="R2528" s="110" t="s">
        <v>485</v>
      </c>
      <c r="S2528" s="94"/>
    </row>
    <row r="2529" spans="1:19">
      <c r="A2529" s="103" t="s">
        <v>4422</v>
      </c>
      <c r="B2529" s="149" t="str">
        <f>IFERROR(VLOOKUP(Proc[[#This Row],[App]],Table2[],3,0),"open")</f>
        <v>ok</v>
      </c>
      <c r="C2529" s="117" t="s">
        <v>369</v>
      </c>
      <c r="D2529" t="s">
        <v>4450</v>
      </c>
      <c r="E2529" t="s">
        <v>4737</v>
      </c>
      <c r="F2529" s="94" t="s">
        <v>4737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4784</v>
      </c>
      <c r="J2529" s="94" t="b">
        <f>Proc[[#This Row],[Requested]]=Proc[[#This Row],[CurrentParent]]</f>
        <v>1</v>
      </c>
      <c r="K2529" s="144" t="str">
        <f>IF(Proc[[#This Row],[Author]]="Marcela Urrego",VLOOKUP(LEFT(Proc[[#This Row],[Requested]],1),Table3[#All],2,0),VLOOKUP(Proc[[#This Row],[Author]],Table4[],2,0))</f>
        <v>MGF</v>
      </c>
      <c r="L2529" s="125" t="s">
        <v>4894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116</v>
      </c>
      <c r="R2529" s="110" t="s">
        <v>485</v>
      </c>
      <c r="S2529" s="94"/>
    </row>
    <row r="2530" spans="1:19">
      <c r="A2530" s="103" t="s">
        <v>4422</v>
      </c>
      <c r="B2530" s="149" t="str">
        <f>IFERROR(VLOOKUP(Proc[[#This Row],[App]],Table2[],3,0),"open")</f>
        <v>ok</v>
      </c>
      <c r="C2530" s="117" t="s">
        <v>369</v>
      </c>
      <c r="D2530" t="s">
        <v>4451</v>
      </c>
      <c r="E2530" t="s">
        <v>4737</v>
      </c>
      <c r="F2530" s="94" t="s">
        <v>4737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4784</v>
      </c>
      <c r="J2530" s="94" t="b">
        <f>Proc[[#This Row],[Requested]]=Proc[[#This Row],[CurrentParent]]</f>
        <v>1</v>
      </c>
      <c r="K2530" s="144" t="str">
        <f>IF(Proc[[#This Row],[Author]]="Marcela Urrego",VLOOKUP(LEFT(Proc[[#This Row],[Requested]],1),Table3[#All],2,0),VLOOKUP(Proc[[#This Row],[Author]],Table4[],2,0))</f>
        <v>MGF</v>
      </c>
      <c r="L2530" s="125" t="s">
        <v>4894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116</v>
      </c>
      <c r="R2530" s="110" t="s">
        <v>485</v>
      </c>
      <c r="S2530" s="94"/>
    </row>
    <row r="2531" spans="1:19">
      <c r="A2531" s="103" t="s">
        <v>4422</v>
      </c>
      <c r="B2531" s="149" t="str">
        <f>IFERROR(VLOOKUP(Proc[[#This Row],[App]],Table2[],3,0),"open")</f>
        <v>ok</v>
      </c>
      <c r="C2531" s="117" t="s">
        <v>369</v>
      </c>
      <c r="D2531" t="s">
        <v>4452</v>
      </c>
      <c r="E2531" t="s">
        <v>4737</v>
      </c>
      <c r="F2531" s="94" t="s">
        <v>4737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4784</v>
      </c>
      <c r="J2531" s="94" t="b">
        <f>Proc[[#This Row],[Requested]]=Proc[[#This Row],[CurrentParent]]</f>
        <v>1</v>
      </c>
      <c r="K2531" s="144" t="str">
        <f>IF(Proc[[#This Row],[Author]]="Marcela Urrego",VLOOKUP(LEFT(Proc[[#This Row],[Requested]],1),Table3[#All],2,0),VLOOKUP(Proc[[#This Row],[Author]],Table4[],2,0))</f>
        <v>MGF</v>
      </c>
      <c r="L2531" s="125" t="s">
        <v>4894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116</v>
      </c>
      <c r="R2531" s="110" t="s">
        <v>485</v>
      </c>
      <c r="S2531" s="94"/>
    </row>
    <row r="2532" spans="1:19">
      <c r="A2532" s="103" t="s">
        <v>4422</v>
      </c>
      <c r="B2532" s="149" t="str">
        <f>IFERROR(VLOOKUP(Proc[[#This Row],[App]],Table2[],3,0),"open")</f>
        <v>ok</v>
      </c>
      <c r="C2532" s="117" t="s">
        <v>369</v>
      </c>
      <c r="D2532" t="s">
        <v>4453</v>
      </c>
      <c r="E2532" t="s">
        <v>4739</v>
      </c>
      <c r="F2532" s="94" t="s">
        <v>4739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4784</v>
      </c>
      <c r="J2532" s="94" t="b">
        <f>Proc[[#This Row],[Requested]]=Proc[[#This Row],[CurrentParent]]</f>
        <v>1</v>
      </c>
      <c r="K2532" s="144" t="str">
        <f>IF(Proc[[#This Row],[Author]]="Marcela Urrego",VLOOKUP(LEFT(Proc[[#This Row],[Requested]],1),Table3[#All],2,0),VLOOKUP(Proc[[#This Row],[Author]],Table4[],2,0))</f>
        <v>MGF</v>
      </c>
      <c r="L2532" s="125" t="s">
        <v>4894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116</v>
      </c>
      <c r="R2532" s="110" t="s">
        <v>485</v>
      </c>
      <c r="S2532" s="94"/>
    </row>
    <row r="2533" spans="1:19">
      <c r="A2533" s="103" t="s">
        <v>4422</v>
      </c>
      <c r="B2533" s="149" t="str">
        <f>IFERROR(VLOOKUP(Proc[[#This Row],[App]],Table2[],3,0),"open")</f>
        <v>ok</v>
      </c>
      <c r="C2533" s="117" t="s">
        <v>369</v>
      </c>
      <c r="D2533" t="s">
        <v>4454</v>
      </c>
      <c r="E2533" t="s">
        <v>4737</v>
      </c>
      <c r="F2533" s="94" t="s">
        <v>4737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4784</v>
      </c>
      <c r="J2533" s="94" t="b">
        <f>Proc[[#This Row],[Requested]]=Proc[[#This Row],[CurrentParent]]</f>
        <v>1</v>
      </c>
      <c r="K2533" s="144" t="str">
        <f>IF(Proc[[#This Row],[Author]]="Marcela Urrego",VLOOKUP(LEFT(Proc[[#This Row],[Requested]],1),Table3[#All],2,0),VLOOKUP(Proc[[#This Row],[Author]],Table4[],2,0))</f>
        <v>MGF</v>
      </c>
      <c r="L2533" s="125" t="s">
        <v>4894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116</v>
      </c>
      <c r="R2533" s="110" t="s">
        <v>485</v>
      </c>
      <c r="S2533" s="94"/>
    </row>
    <row r="2534" spans="1:19">
      <c r="A2534" s="103" t="s">
        <v>4422</v>
      </c>
      <c r="B2534" s="149" t="str">
        <f>IFERROR(VLOOKUP(Proc[[#This Row],[App]],Table2[],3,0),"open")</f>
        <v>ok</v>
      </c>
      <c r="C2534" s="117" t="s">
        <v>369</v>
      </c>
      <c r="D2534" t="s">
        <v>4455</v>
      </c>
      <c r="E2534" t="s">
        <v>4737</v>
      </c>
      <c r="F2534" s="94" t="s">
        <v>4737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4784</v>
      </c>
      <c r="J2534" s="94" t="b">
        <f>Proc[[#This Row],[Requested]]=Proc[[#This Row],[CurrentParent]]</f>
        <v>1</v>
      </c>
      <c r="K2534" s="144" t="str">
        <f>IF(Proc[[#This Row],[Author]]="Marcela Urrego",VLOOKUP(LEFT(Proc[[#This Row],[Requested]],1),Table3[#All],2,0),VLOOKUP(Proc[[#This Row],[Author]],Table4[],2,0))</f>
        <v>MGF</v>
      </c>
      <c r="L2534" s="125" t="s">
        <v>4894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116</v>
      </c>
      <c r="R2534" s="110" t="s">
        <v>485</v>
      </c>
      <c r="S2534" s="94"/>
    </row>
    <row r="2535" spans="1:19">
      <c r="A2535" s="103" t="s">
        <v>4422</v>
      </c>
      <c r="B2535" s="149" t="str">
        <f>IFERROR(VLOOKUP(Proc[[#This Row],[App]],Table2[],3,0),"open")</f>
        <v>ok</v>
      </c>
      <c r="C2535" s="117" t="s">
        <v>369</v>
      </c>
      <c r="D2535" t="s">
        <v>4456</v>
      </c>
      <c r="E2535" t="s">
        <v>4737</v>
      </c>
      <c r="F2535" s="94" t="s">
        <v>4737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4784</v>
      </c>
      <c r="J2535" s="94" t="b">
        <f>Proc[[#This Row],[Requested]]=Proc[[#This Row],[CurrentParent]]</f>
        <v>1</v>
      </c>
      <c r="K2535" s="144" t="str">
        <f>IF(Proc[[#This Row],[Author]]="Marcela Urrego",VLOOKUP(LEFT(Proc[[#This Row],[Requested]],1),Table3[#All],2,0),VLOOKUP(Proc[[#This Row],[Author]],Table4[],2,0))</f>
        <v>MGF</v>
      </c>
      <c r="L2535" s="125" t="s">
        <v>4894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116</v>
      </c>
      <c r="R2535" s="110" t="s">
        <v>485</v>
      </c>
      <c r="S2535" s="94"/>
    </row>
    <row r="2536" spans="1:19">
      <c r="A2536" s="103" t="s">
        <v>4422</v>
      </c>
      <c r="B2536" s="149" t="str">
        <f>IFERROR(VLOOKUP(Proc[[#This Row],[App]],Table2[],3,0),"open")</f>
        <v>ok</v>
      </c>
      <c r="C2536" s="117" t="s">
        <v>369</v>
      </c>
      <c r="D2536" t="s">
        <v>4457</v>
      </c>
      <c r="E2536" t="s">
        <v>4738</v>
      </c>
      <c r="F2536" s="94" t="s">
        <v>4738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4784</v>
      </c>
      <c r="J2536" s="94" t="b">
        <f>Proc[[#This Row],[Requested]]=Proc[[#This Row],[CurrentParent]]</f>
        <v>1</v>
      </c>
      <c r="K2536" s="144" t="str">
        <f>IF(Proc[[#This Row],[Author]]="Marcela Urrego",VLOOKUP(LEFT(Proc[[#This Row],[Requested]],1),Table3[#All],2,0),VLOOKUP(Proc[[#This Row],[Author]],Table4[],2,0))</f>
        <v>MGF</v>
      </c>
      <c r="L2536" s="125" t="s">
        <v>4894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116</v>
      </c>
      <c r="R2536" s="110" t="s">
        <v>485</v>
      </c>
      <c r="S2536" s="94"/>
    </row>
    <row r="2537" spans="1:19">
      <c r="A2537" s="103" t="s">
        <v>4422</v>
      </c>
      <c r="B2537" s="149" t="str">
        <f>IFERROR(VLOOKUP(Proc[[#This Row],[App]],Table2[],3,0),"open")</f>
        <v>ok</v>
      </c>
      <c r="C2537" s="117" t="s">
        <v>369</v>
      </c>
      <c r="D2537" t="s">
        <v>4458</v>
      </c>
      <c r="E2537" t="s">
        <v>4737</v>
      </c>
      <c r="F2537" s="94" t="s">
        <v>4737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4784</v>
      </c>
      <c r="J2537" s="94" t="b">
        <f>Proc[[#This Row],[Requested]]=Proc[[#This Row],[CurrentParent]]</f>
        <v>1</v>
      </c>
      <c r="K2537" s="144" t="str">
        <f>IF(Proc[[#This Row],[Author]]="Marcela Urrego",VLOOKUP(LEFT(Proc[[#This Row],[Requested]],1),Table3[#All],2,0),VLOOKUP(Proc[[#This Row],[Author]],Table4[],2,0))</f>
        <v>MGF</v>
      </c>
      <c r="L2537" s="125" t="s">
        <v>4894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116</v>
      </c>
      <c r="R2537" s="110" t="s">
        <v>485</v>
      </c>
      <c r="S2537" s="94"/>
    </row>
    <row r="2538" spans="1:19">
      <c r="A2538" s="103" t="s">
        <v>4422</v>
      </c>
      <c r="B2538" s="149" t="str">
        <f>IFERROR(VLOOKUP(Proc[[#This Row],[App]],Table2[],3,0),"open")</f>
        <v>ok</v>
      </c>
      <c r="C2538" s="117" t="s">
        <v>369</v>
      </c>
      <c r="D2538" t="s">
        <v>4459</v>
      </c>
      <c r="E2538" t="s">
        <v>4739</v>
      </c>
      <c r="F2538" s="94" t="s">
        <v>4739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4784</v>
      </c>
      <c r="J2538" s="94" t="b">
        <f>Proc[[#This Row],[Requested]]=Proc[[#This Row],[CurrentParent]]</f>
        <v>1</v>
      </c>
      <c r="K2538" s="144" t="str">
        <f>IF(Proc[[#This Row],[Author]]="Marcela Urrego",VLOOKUP(LEFT(Proc[[#This Row],[Requested]],1),Table3[#All],2,0),VLOOKUP(Proc[[#This Row],[Author]],Table4[],2,0))</f>
        <v>MGF</v>
      </c>
      <c r="L2538" s="125" t="s">
        <v>4894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116</v>
      </c>
      <c r="R2538" s="110" t="s">
        <v>485</v>
      </c>
      <c r="S2538" s="94"/>
    </row>
    <row r="2539" spans="1:19">
      <c r="A2539" s="103" t="s">
        <v>4422</v>
      </c>
      <c r="B2539" s="149" t="str">
        <f>IFERROR(VLOOKUP(Proc[[#This Row],[App]],Table2[],3,0),"open")</f>
        <v>ok</v>
      </c>
      <c r="C2539" s="117" t="s">
        <v>369</v>
      </c>
      <c r="D2539" t="s">
        <v>4460</v>
      </c>
      <c r="E2539" t="s">
        <v>4739</v>
      </c>
      <c r="F2539" s="94" t="s">
        <v>4739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4784</v>
      </c>
      <c r="J2539" s="94" t="b">
        <f>Proc[[#This Row],[Requested]]=Proc[[#This Row],[CurrentParent]]</f>
        <v>1</v>
      </c>
      <c r="K2539" s="144" t="str">
        <f>IF(Proc[[#This Row],[Author]]="Marcela Urrego",VLOOKUP(LEFT(Proc[[#This Row],[Requested]],1),Table3[#All],2,0),VLOOKUP(Proc[[#This Row],[Author]],Table4[],2,0))</f>
        <v>MGF</v>
      </c>
      <c r="L2539" s="125" t="s">
        <v>4894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116</v>
      </c>
      <c r="R2539" s="110" t="s">
        <v>485</v>
      </c>
      <c r="S2539" s="94"/>
    </row>
    <row r="2540" spans="1:19">
      <c r="A2540" s="103" t="s">
        <v>4422</v>
      </c>
      <c r="B2540" s="149" t="str">
        <f>IFERROR(VLOOKUP(Proc[[#This Row],[App]],Table2[],3,0),"open")</f>
        <v>ok</v>
      </c>
      <c r="C2540" s="117" t="s">
        <v>369</v>
      </c>
      <c r="D2540" t="s">
        <v>4461</v>
      </c>
      <c r="E2540" t="s">
        <v>4737</v>
      </c>
      <c r="F2540" s="94" t="s">
        <v>4737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4784</v>
      </c>
      <c r="J2540" s="94" t="b">
        <f>Proc[[#This Row],[Requested]]=Proc[[#This Row],[CurrentParent]]</f>
        <v>1</v>
      </c>
      <c r="K2540" s="144" t="str">
        <f>IF(Proc[[#This Row],[Author]]="Marcela Urrego",VLOOKUP(LEFT(Proc[[#This Row],[Requested]],1),Table3[#All],2,0),VLOOKUP(Proc[[#This Row],[Author]],Table4[],2,0))</f>
        <v>MGF</v>
      </c>
      <c r="L2540" s="125" t="s">
        <v>4894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116</v>
      </c>
      <c r="R2540" s="110" t="s">
        <v>485</v>
      </c>
      <c r="S2540" s="94"/>
    </row>
    <row r="2541" spans="1:19">
      <c r="A2541" s="103" t="s">
        <v>4422</v>
      </c>
      <c r="B2541" s="149" t="str">
        <f>IFERROR(VLOOKUP(Proc[[#This Row],[App]],Table2[],3,0),"open")</f>
        <v>ok</v>
      </c>
      <c r="C2541" s="117" t="s">
        <v>369</v>
      </c>
      <c r="D2541" t="s">
        <v>4462</v>
      </c>
      <c r="E2541" t="s">
        <v>4737</v>
      </c>
      <c r="F2541" s="94" t="s">
        <v>4737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4784</v>
      </c>
      <c r="J2541" s="94" t="b">
        <f>Proc[[#This Row],[Requested]]=Proc[[#This Row],[CurrentParent]]</f>
        <v>1</v>
      </c>
      <c r="K2541" s="144" t="str">
        <f>IF(Proc[[#This Row],[Author]]="Marcela Urrego",VLOOKUP(LEFT(Proc[[#This Row],[Requested]],1),Table3[#All],2,0),VLOOKUP(Proc[[#This Row],[Author]],Table4[],2,0))</f>
        <v>MGF</v>
      </c>
      <c r="L2541" s="125" t="s">
        <v>4894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116</v>
      </c>
      <c r="R2541" s="110" t="s">
        <v>485</v>
      </c>
      <c r="S2541" s="94"/>
    </row>
    <row r="2542" spans="1:19">
      <c r="A2542" s="103" t="s">
        <v>4422</v>
      </c>
      <c r="B2542" s="149" t="str">
        <f>IFERROR(VLOOKUP(Proc[[#This Row],[App]],Table2[],3,0),"open")</f>
        <v>ok</v>
      </c>
      <c r="C2542" s="117" t="s">
        <v>369</v>
      </c>
      <c r="D2542" t="s">
        <v>4463</v>
      </c>
      <c r="E2542" t="s">
        <v>4737</v>
      </c>
      <c r="F2542" s="94" t="s">
        <v>4737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4784</v>
      </c>
      <c r="J2542" s="94" t="b">
        <f>Proc[[#This Row],[Requested]]=Proc[[#This Row],[CurrentParent]]</f>
        <v>1</v>
      </c>
      <c r="K2542" s="144" t="str">
        <f>IF(Proc[[#This Row],[Author]]="Marcela Urrego",VLOOKUP(LEFT(Proc[[#This Row],[Requested]],1),Table3[#All],2,0),VLOOKUP(Proc[[#This Row],[Author]],Table4[],2,0))</f>
        <v>MGF</v>
      </c>
      <c r="L2542" s="125" t="s">
        <v>4894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116</v>
      </c>
      <c r="R2542" s="110" t="s">
        <v>485</v>
      </c>
      <c r="S2542" s="94"/>
    </row>
    <row r="2543" spans="1:19">
      <c r="A2543" s="103" t="s">
        <v>4422</v>
      </c>
      <c r="B2543" s="149" t="str">
        <f>IFERROR(VLOOKUP(Proc[[#This Row],[App]],Table2[],3,0),"open")</f>
        <v>ok</v>
      </c>
      <c r="C2543" s="117" t="s">
        <v>369</v>
      </c>
      <c r="D2543" t="s">
        <v>4464</v>
      </c>
      <c r="E2543" t="s">
        <v>4738</v>
      </c>
      <c r="F2543" s="94" t="s">
        <v>4738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4784</v>
      </c>
      <c r="J2543" s="94" t="b">
        <f>Proc[[#This Row],[Requested]]=Proc[[#This Row],[CurrentParent]]</f>
        <v>1</v>
      </c>
      <c r="K2543" s="144" t="str">
        <f>IF(Proc[[#This Row],[Author]]="Marcela Urrego",VLOOKUP(LEFT(Proc[[#This Row],[Requested]],1),Table3[#All],2,0),VLOOKUP(Proc[[#This Row],[Author]],Table4[],2,0))</f>
        <v>MGF</v>
      </c>
      <c r="L2543" s="125" t="s">
        <v>4894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116</v>
      </c>
      <c r="R2543" s="110" t="s">
        <v>485</v>
      </c>
      <c r="S2543" s="94"/>
    </row>
    <row r="2544" spans="1:19">
      <c r="A2544" s="103" t="s">
        <v>4422</v>
      </c>
      <c r="B2544" s="149" t="str">
        <f>IFERROR(VLOOKUP(Proc[[#This Row],[App]],Table2[],3,0),"open")</f>
        <v>ok</v>
      </c>
      <c r="C2544" s="117" t="s">
        <v>369</v>
      </c>
      <c r="D2544" t="s">
        <v>4465</v>
      </c>
      <c r="E2544" t="s">
        <v>4738</v>
      </c>
      <c r="F2544" s="94" t="s">
        <v>4738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4784</v>
      </c>
      <c r="J2544" s="94" t="b">
        <f>Proc[[#This Row],[Requested]]=Proc[[#This Row],[CurrentParent]]</f>
        <v>1</v>
      </c>
      <c r="K2544" s="144" t="str">
        <f>IF(Proc[[#This Row],[Author]]="Marcela Urrego",VLOOKUP(LEFT(Proc[[#This Row],[Requested]],1),Table3[#All],2,0),VLOOKUP(Proc[[#This Row],[Author]],Table4[],2,0))</f>
        <v>MGF</v>
      </c>
      <c r="L2544" s="125" t="s">
        <v>4894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116</v>
      </c>
      <c r="R2544" s="110" t="s">
        <v>485</v>
      </c>
      <c r="S2544" s="94"/>
    </row>
    <row r="2545" spans="1:19">
      <c r="A2545" s="103" t="s">
        <v>4422</v>
      </c>
      <c r="B2545" s="149" t="str">
        <f>IFERROR(VLOOKUP(Proc[[#This Row],[App]],Table2[],3,0),"open")</f>
        <v>ok</v>
      </c>
      <c r="C2545" s="117" t="s">
        <v>369</v>
      </c>
      <c r="D2545" t="s">
        <v>4466</v>
      </c>
      <c r="E2545" t="s">
        <v>4738</v>
      </c>
      <c r="F2545" s="94" t="s">
        <v>4738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4784</v>
      </c>
      <c r="J2545" s="94" t="b">
        <f>Proc[[#This Row],[Requested]]=Proc[[#This Row],[CurrentParent]]</f>
        <v>1</v>
      </c>
      <c r="K2545" s="144" t="str">
        <f>IF(Proc[[#This Row],[Author]]="Marcela Urrego",VLOOKUP(LEFT(Proc[[#This Row],[Requested]],1),Table3[#All],2,0),VLOOKUP(Proc[[#This Row],[Author]],Table4[],2,0))</f>
        <v>MGF</v>
      </c>
      <c r="L2545" s="125" t="s">
        <v>4894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116</v>
      </c>
      <c r="R2545" s="110" t="s">
        <v>485</v>
      </c>
      <c r="S2545" s="94"/>
    </row>
    <row r="2546" spans="1:19">
      <c r="A2546" s="103" t="s">
        <v>4422</v>
      </c>
      <c r="B2546" s="149" t="str">
        <f>IFERROR(VLOOKUP(Proc[[#This Row],[App]],Table2[],3,0),"open")</f>
        <v>ok</v>
      </c>
      <c r="C2546" s="117" t="s">
        <v>369</v>
      </c>
      <c r="D2546" t="s">
        <v>4467</v>
      </c>
      <c r="E2546" t="s">
        <v>4738</v>
      </c>
      <c r="F2546" s="94" t="s">
        <v>4738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4784</v>
      </c>
      <c r="J2546" s="94" t="b">
        <f>Proc[[#This Row],[Requested]]=Proc[[#This Row],[CurrentParent]]</f>
        <v>1</v>
      </c>
      <c r="K2546" s="144" t="str">
        <f>IF(Proc[[#This Row],[Author]]="Marcela Urrego",VLOOKUP(LEFT(Proc[[#This Row],[Requested]],1),Table3[#All],2,0),VLOOKUP(Proc[[#This Row],[Author]],Table4[],2,0))</f>
        <v>MGF</v>
      </c>
      <c r="L2546" s="125" t="s">
        <v>4894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116</v>
      </c>
      <c r="R2546" s="110" t="s">
        <v>485</v>
      </c>
      <c r="S2546" s="94"/>
    </row>
    <row r="2547" spans="1:19">
      <c r="A2547" s="103" t="s">
        <v>4422</v>
      </c>
      <c r="B2547" s="149" t="str">
        <f>IFERROR(VLOOKUP(Proc[[#This Row],[App]],Table2[],3,0),"open")</f>
        <v>ok</v>
      </c>
      <c r="C2547" s="117" t="s">
        <v>369</v>
      </c>
      <c r="D2547" t="s">
        <v>4468</v>
      </c>
      <c r="E2547" t="s">
        <v>4738</v>
      </c>
      <c r="F2547" s="94" t="s">
        <v>4738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4784</v>
      </c>
      <c r="J2547" s="94" t="b">
        <f>Proc[[#This Row],[Requested]]=Proc[[#This Row],[CurrentParent]]</f>
        <v>1</v>
      </c>
      <c r="K2547" s="144" t="str">
        <f>IF(Proc[[#This Row],[Author]]="Marcela Urrego",VLOOKUP(LEFT(Proc[[#This Row],[Requested]],1),Table3[#All],2,0),VLOOKUP(Proc[[#This Row],[Author]],Table4[],2,0))</f>
        <v>MGF</v>
      </c>
      <c r="L2547" s="125" t="s">
        <v>4894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116</v>
      </c>
      <c r="R2547" s="110" t="s">
        <v>485</v>
      </c>
      <c r="S2547" s="94"/>
    </row>
    <row r="2548" spans="1:19">
      <c r="A2548" s="103" t="s">
        <v>4422</v>
      </c>
      <c r="B2548" s="149" t="str">
        <f>IFERROR(VLOOKUP(Proc[[#This Row],[App]],Table2[],3,0),"open")</f>
        <v>ok</v>
      </c>
      <c r="C2548" s="117" t="s">
        <v>369</v>
      </c>
      <c r="D2548" t="s">
        <v>4469</v>
      </c>
      <c r="E2548" t="s">
        <v>4738</v>
      </c>
      <c r="F2548" s="94" t="s">
        <v>4738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4784</v>
      </c>
      <c r="J2548" s="94" t="b">
        <f>Proc[[#This Row],[Requested]]=Proc[[#This Row],[CurrentParent]]</f>
        <v>1</v>
      </c>
      <c r="K2548" s="144" t="str">
        <f>IF(Proc[[#This Row],[Author]]="Marcela Urrego",VLOOKUP(LEFT(Proc[[#This Row],[Requested]],1),Table3[#All],2,0),VLOOKUP(Proc[[#This Row],[Author]],Table4[],2,0))</f>
        <v>MGF</v>
      </c>
      <c r="L2548" s="125" t="s">
        <v>4894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116</v>
      </c>
      <c r="R2548" s="110" t="s">
        <v>485</v>
      </c>
      <c r="S2548" s="94"/>
    </row>
    <row r="2549" spans="1:19">
      <c r="A2549" s="103" t="s">
        <v>4422</v>
      </c>
      <c r="B2549" s="149" t="str">
        <f>IFERROR(VLOOKUP(Proc[[#This Row],[App]],Table2[],3,0),"open")</f>
        <v>ok</v>
      </c>
      <c r="C2549" s="117" t="s">
        <v>369</v>
      </c>
      <c r="D2549" t="s">
        <v>4470</v>
      </c>
      <c r="E2549" t="s">
        <v>4738</v>
      </c>
      <c r="F2549" s="94" t="s">
        <v>4738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4784</v>
      </c>
      <c r="J2549" s="94" t="b">
        <f>Proc[[#This Row],[Requested]]=Proc[[#This Row],[CurrentParent]]</f>
        <v>1</v>
      </c>
      <c r="K2549" s="144" t="str">
        <f>IF(Proc[[#This Row],[Author]]="Marcela Urrego",VLOOKUP(LEFT(Proc[[#This Row],[Requested]],1),Table3[#All],2,0),VLOOKUP(Proc[[#This Row],[Author]],Table4[],2,0))</f>
        <v>MGF</v>
      </c>
      <c r="L2549" s="125" t="s">
        <v>4894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116</v>
      </c>
      <c r="R2549" s="110" t="s">
        <v>485</v>
      </c>
      <c r="S2549" s="94"/>
    </row>
    <row r="2550" spans="1:19">
      <c r="A2550" s="103" t="s">
        <v>4422</v>
      </c>
      <c r="B2550" s="149" t="str">
        <f>IFERROR(VLOOKUP(Proc[[#This Row],[App]],Table2[],3,0),"open")</f>
        <v>ok</v>
      </c>
      <c r="C2550" s="117" t="s">
        <v>369</v>
      </c>
      <c r="D2550" t="s">
        <v>4471</v>
      </c>
      <c r="E2550" t="s">
        <v>4738</v>
      </c>
      <c r="F2550" s="94" t="s">
        <v>4738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4784</v>
      </c>
      <c r="J2550" s="94" t="b">
        <f>Proc[[#This Row],[Requested]]=Proc[[#This Row],[CurrentParent]]</f>
        <v>1</v>
      </c>
      <c r="K2550" s="144" t="str">
        <f>IF(Proc[[#This Row],[Author]]="Marcela Urrego",VLOOKUP(LEFT(Proc[[#This Row],[Requested]],1),Table3[#All],2,0),VLOOKUP(Proc[[#This Row],[Author]],Table4[],2,0))</f>
        <v>MGF</v>
      </c>
      <c r="L2550" s="125" t="s">
        <v>4894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116</v>
      </c>
      <c r="R2550" s="110" t="s">
        <v>485</v>
      </c>
      <c r="S2550" s="94"/>
    </row>
    <row r="2551" spans="1:19">
      <c r="A2551" s="103" t="s">
        <v>4422</v>
      </c>
      <c r="B2551" s="149" t="str">
        <f>IFERROR(VLOOKUP(Proc[[#This Row],[App]],Table2[],3,0),"open")</f>
        <v>ok</v>
      </c>
      <c r="C2551" s="117" t="s">
        <v>369</v>
      </c>
      <c r="D2551" t="s">
        <v>4472</v>
      </c>
      <c r="E2551" t="s">
        <v>4738</v>
      </c>
      <c r="F2551" s="94" t="s">
        <v>4738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4784</v>
      </c>
      <c r="J2551" s="94" t="b">
        <f>Proc[[#This Row],[Requested]]=Proc[[#This Row],[CurrentParent]]</f>
        <v>1</v>
      </c>
      <c r="K2551" s="144" t="str">
        <f>IF(Proc[[#This Row],[Author]]="Marcela Urrego",VLOOKUP(LEFT(Proc[[#This Row],[Requested]],1),Table3[#All],2,0),VLOOKUP(Proc[[#This Row],[Author]],Table4[],2,0))</f>
        <v>MGF</v>
      </c>
      <c r="L2551" s="125" t="s">
        <v>4894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116</v>
      </c>
      <c r="R2551" s="110" t="s">
        <v>485</v>
      </c>
      <c r="S2551" s="94"/>
    </row>
    <row r="2552" spans="1:19">
      <c r="A2552" s="103" t="s">
        <v>4422</v>
      </c>
      <c r="B2552" s="149" t="str">
        <f>IFERROR(VLOOKUP(Proc[[#This Row],[App]],Table2[],3,0),"open")</f>
        <v>ok</v>
      </c>
      <c r="C2552" s="117" t="s">
        <v>369</v>
      </c>
      <c r="D2552" t="s">
        <v>4473</v>
      </c>
      <c r="E2552" t="s">
        <v>4738</v>
      </c>
      <c r="F2552" s="94" t="s">
        <v>4738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4784</v>
      </c>
      <c r="J2552" s="94" t="b">
        <f>Proc[[#This Row],[Requested]]=Proc[[#This Row],[CurrentParent]]</f>
        <v>1</v>
      </c>
      <c r="K2552" s="144" t="str">
        <f>IF(Proc[[#This Row],[Author]]="Marcela Urrego",VLOOKUP(LEFT(Proc[[#This Row],[Requested]],1),Table3[#All],2,0),VLOOKUP(Proc[[#This Row],[Author]],Table4[],2,0))</f>
        <v>MGF</v>
      </c>
      <c r="L2552" s="125" t="s">
        <v>4894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116</v>
      </c>
      <c r="R2552" s="110" t="s">
        <v>485</v>
      </c>
      <c r="S2552" s="94"/>
    </row>
    <row r="2553" spans="1:19">
      <c r="A2553" s="103" t="s">
        <v>4422</v>
      </c>
      <c r="B2553" s="149" t="str">
        <f>IFERROR(VLOOKUP(Proc[[#This Row],[App]],Table2[],3,0),"open")</f>
        <v>ok</v>
      </c>
      <c r="C2553" s="117" t="s">
        <v>369</v>
      </c>
      <c r="D2553" t="s">
        <v>4474</v>
      </c>
      <c r="E2553" t="s">
        <v>4738</v>
      </c>
      <c r="F2553" s="94" t="s">
        <v>4738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4784</v>
      </c>
      <c r="J2553" s="94" t="b">
        <f>Proc[[#This Row],[Requested]]=Proc[[#This Row],[CurrentParent]]</f>
        <v>1</v>
      </c>
      <c r="K2553" s="144" t="str">
        <f>IF(Proc[[#This Row],[Author]]="Marcela Urrego",VLOOKUP(LEFT(Proc[[#This Row],[Requested]],1),Table3[#All],2,0),VLOOKUP(Proc[[#This Row],[Author]],Table4[],2,0))</f>
        <v>MGF</v>
      </c>
      <c r="L2553" s="125" t="s">
        <v>4894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116</v>
      </c>
      <c r="R2553" s="110" t="s">
        <v>485</v>
      </c>
      <c r="S2553" s="94"/>
    </row>
    <row r="2554" spans="1:19">
      <c r="A2554" s="103" t="s">
        <v>4422</v>
      </c>
      <c r="B2554" s="149" t="str">
        <f>IFERROR(VLOOKUP(Proc[[#This Row],[App]],Table2[],3,0),"open")</f>
        <v>ok</v>
      </c>
      <c r="C2554" s="117" t="s">
        <v>369</v>
      </c>
      <c r="D2554" t="s">
        <v>4475</v>
      </c>
      <c r="E2554" t="s">
        <v>4738</v>
      </c>
      <c r="F2554" s="94" t="s">
        <v>4738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4784</v>
      </c>
      <c r="J2554" s="94" t="b">
        <f>Proc[[#This Row],[Requested]]=Proc[[#This Row],[CurrentParent]]</f>
        <v>1</v>
      </c>
      <c r="K2554" s="144" t="str">
        <f>IF(Proc[[#This Row],[Author]]="Marcela Urrego",VLOOKUP(LEFT(Proc[[#This Row],[Requested]],1),Table3[#All],2,0),VLOOKUP(Proc[[#This Row],[Author]],Table4[],2,0))</f>
        <v>MGF</v>
      </c>
      <c r="L2554" s="125" t="s">
        <v>4894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116</v>
      </c>
      <c r="R2554" s="110" t="s">
        <v>485</v>
      </c>
      <c r="S2554" s="94"/>
    </row>
    <row r="2555" spans="1:19">
      <c r="A2555" s="103" t="s">
        <v>4422</v>
      </c>
      <c r="B2555" s="149" t="str">
        <f>IFERROR(VLOOKUP(Proc[[#This Row],[App]],Table2[],3,0),"open")</f>
        <v>ok</v>
      </c>
      <c r="C2555" s="117" t="s">
        <v>369</v>
      </c>
      <c r="D2555" t="s">
        <v>4476</v>
      </c>
      <c r="E2555" t="s">
        <v>4738</v>
      </c>
      <c r="F2555" s="94" t="s">
        <v>4738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4784</v>
      </c>
      <c r="J2555" s="94" t="b">
        <f>Proc[[#This Row],[Requested]]=Proc[[#This Row],[CurrentParent]]</f>
        <v>1</v>
      </c>
      <c r="K2555" s="144" t="str">
        <f>IF(Proc[[#This Row],[Author]]="Marcela Urrego",VLOOKUP(LEFT(Proc[[#This Row],[Requested]],1),Table3[#All],2,0),VLOOKUP(Proc[[#This Row],[Author]],Table4[],2,0))</f>
        <v>MGF</v>
      </c>
      <c r="L2555" s="125" t="s">
        <v>4894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116</v>
      </c>
      <c r="R2555" s="110" t="s">
        <v>485</v>
      </c>
      <c r="S2555" s="94"/>
    </row>
    <row r="2556" spans="1:19">
      <c r="A2556" s="103" t="s">
        <v>4422</v>
      </c>
      <c r="B2556" s="149" t="str">
        <f>IFERROR(VLOOKUP(Proc[[#This Row],[App]],Table2[],3,0),"open")</f>
        <v>ok</v>
      </c>
      <c r="C2556" s="117" t="s">
        <v>369</v>
      </c>
      <c r="D2556" t="s">
        <v>4477</v>
      </c>
      <c r="E2556" t="s">
        <v>4738</v>
      </c>
      <c r="F2556" s="94" t="s">
        <v>4738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4784</v>
      </c>
      <c r="J2556" s="94" t="b">
        <f>Proc[[#This Row],[Requested]]=Proc[[#This Row],[CurrentParent]]</f>
        <v>1</v>
      </c>
      <c r="K2556" s="144" t="str">
        <f>IF(Proc[[#This Row],[Author]]="Marcela Urrego",VLOOKUP(LEFT(Proc[[#This Row],[Requested]],1),Table3[#All],2,0),VLOOKUP(Proc[[#This Row],[Author]],Table4[],2,0))</f>
        <v>MGF</v>
      </c>
      <c r="L2556" s="125" t="s">
        <v>4894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116</v>
      </c>
      <c r="R2556" s="110" t="s">
        <v>485</v>
      </c>
      <c r="S2556" s="94"/>
    </row>
    <row r="2557" spans="1:19">
      <c r="A2557" s="103" t="s">
        <v>4422</v>
      </c>
      <c r="B2557" s="149" t="str">
        <f>IFERROR(VLOOKUP(Proc[[#This Row],[App]],Table2[],3,0),"open")</f>
        <v>ok</v>
      </c>
      <c r="C2557" s="117" t="s">
        <v>369</v>
      </c>
      <c r="D2557" t="s">
        <v>4478</v>
      </c>
      <c r="E2557" t="s">
        <v>4737</v>
      </c>
      <c r="F2557" s="94" t="s">
        <v>4737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4784</v>
      </c>
      <c r="J2557" s="94" t="b">
        <f>Proc[[#This Row],[Requested]]=Proc[[#This Row],[CurrentParent]]</f>
        <v>1</v>
      </c>
      <c r="K2557" s="144" t="str">
        <f>IF(Proc[[#This Row],[Author]]="Marcela Urrego",VLOOKUP(LEFT(Proc[[#This Row],[Requested]],1),Table3[#All],2,0),VLOOKUP(Proc[[#This Row],[Author]],Table4[],2,0))</f>
        <v>MGF</v>
      </c>
      <c r="L2557" s="125" t="s">
        <v>4894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116</v>
      </c>
      <c r="R2557" s="110" t="s">
        <v>485</v>
      </c>
      <c r="S2557" s="94"/>
    </row>
    <row r="2558" spans="1:19">
      <c r="A2558" s="103" t="s">
        <v>4422</v>
      </c>
      <c r="B2558" s="149" t="str">
        <f>IFERROR(VLOOKUP(Proc[[#This Row],[App]],Table2[],3,0),"open")</f>
        <v>ok</v>
      </c>
      <c r="C2558" s="117" t="s">
        <v>369</v>
      </c>
      <c r="D2558" t="s">
        <v>4479</v>
      </c>
      <c r="E2558" t="s">
        <v>4737</v>
      </c>
      <c r="F2558" s="94" t="s">
        <v>4737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4784</v>
      </c>
      <c r="J2558" s="94" t="b">
        <f>Proc[[#This Row],[Requested]]=Proc[[#This Row],[CurrentParent]]</f>
        <v>1</v>
      </c>
      <c r="K2558" s="144" t="str">
        <f>IF(Proc[[#This Row],[Author]]="Marcela Urrego",VLOOKUP(LEFT(Proc[[#This Row],[Requested]],1),Table3[#All],2,0),VLOOKUP(Proc[[#This Row],[Author]],Table4[],2,0))</f>
        <v>MGF</v>
      </c>
      <c r="L2558" s="125" t="s">
        <v>4894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116</v>
      </c>
      <c r="R2558" s="110" t="s">
        <v>485</v>
      </c>
      <c r="S2558" s="94"/>
    </row>
    <row r="2559" spans="1:19">
      <c r="A2559" s="103" t="s">
        <v>4422</v>
      </c>
      <c r="B2559" s="149" t="str">
        <f>IFERROR(VLOOKUP(Proc[[#This Row],[App]],Table2[],3,0),"open")</f>
        <v>ok</v>
      </c>
      <c r="C2559" s="117" t="s">
        <v>369</v>
      </c>
      <c r="D2559" t="s">
        <v>4480</v>
      </c>
      <c r="E2559" t="s">
        <v>4737</v>
      </c>
      <c r="F2559" s="94" t="s">
        <v>4737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4784</v>
      </c>
      <c r="J2559" s="94" t="b">
        <f>Proc[[#This Row],[Requested]]=Proc[[#This Row],[CurrentParent]]</f>
        <v>1</v>
      </c>
      <c r="K2559" s="144" t="str">
        <f>IF(Proc[[#This Row],[Author]]="Marcela Urrego",VLOOKUP(LEFT(Proc[[#This Row],[Requested]],1),Table3[#All],2,0),VLOOKUP(Proc[[#This Row],[Author]],Table4[],2,0))</f>
        <v>MGF</v>
      </c>
      <c r="L2559" s="125" t="s">
        <v>4894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116</v>
      </c>
      <c r="R2559" s="110" t="s">
        <v>485</v>
      </c>
      <c r="S2559" s="94"/>
    </row>
    <row r="2560" spans="1:19">
      <c r="A2560" s="103" t="s">
        <v>4422</v>
      </c>
      <c r="B2560" s="149" t="str">
        <f>IFERROR(VLOOKUP(Proc[[#This Row],[App]],Table2[],3,0),"open")</f>
        <v>ok</v>
      </c>
      <c r="C2560" s="117" t="s">
        <v>369</v>
      </c>
      <c r="D2560" t="s">
        <v>4481</v>
      </c>
      <c r="E2560" t="s">
        <v>4738</v>
      </c>
      <c r="F2560" s="94" t="s">
        <v>4738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4784</v>
      </c>
      <c r="J2560" s="94" t="b">
        <f>Proc[[#This Row],[Requested]]=Proc[[#This Row],[CurrentParent]]</f>
        <v>1</v>
      </c>
      <c r="K2560" s="144" t="str">
        <f>IF(Proc[[#This Row],[Author]]="Marcela Urrego",VLOOKUP(LEFT(Proc[[#This Row],[Requested]],1),Table3[#All],2,0),VLOOKUP(Proc[[#This Row],[Author]],Table4[],2,0))</f>
        <v>MGF</v>
      </c>
      <c r="L2560" s="125" t="s">
        <v>4894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116</v>
      </c>
      <c r="R2560" s="110" t="s">
        <v>485</v>
      </c>
      <c r="S2560" s="94"/>
    </row>
    <row r="2561" spans="1:19">
      <c r="A2561" s="103" t="s">
        <v>4422</v>
      </c>
      <c r="B2561" s="149" t="str">
        <f>IFERROR(VLOOKUP(Proc[[#This Row],[App]],Table2[],3,0),"open")</f>
        <v>ok</v>
      </c>
      <c r="C2561" s="117" t="s">
        <v>369</v>
      </c>
      <c r="D2561" t="s">
        <v>4482</v>
      </c>
      <c r="E2561" t="s">
        <v>4738</v>
      </c>
      <c r="F2561" s="94" t="s">
        <v>4738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4784</v>
      </c>
      <c r="J2561" s="94" t="b">
        <f>Proc[[#This Row],[Requested]]=Proc[[#This Row],[CurrentParent]]</f>
        <v>1</v>
      </c>
      <c r="K2561" s="144" t="str">
        <f>IF(Proc[[#This Row],[Author]]="Marcela Urrego",VLOOKUP(LEFT(Proc[[#This Row],[Requested]],1),Table3[#All],2,0),VLOOKUP(Proc[[#This Row],[Author]],Table4[],2,0))</f>
        <v>MGF</v>
      </c>
      <c r="L2561" s="125" t="s">
        <v>4894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116</v>
      </c>
      <c r="R2561" s="110" t="s">
        <v>485</v>
      </c>
      <c r="S2561" s="94"/>
    </row>
    <row r="2562" spans="1:19">
      <c r="A2562" s="103" t="s">
        <v>4422</v>
      </c>
      <c r="B2562" s="149" t="str">
        <f>IFERROR(VLOOKUP(Proc[[#This Row],[App]],Table2[],3,0),"open")</f>
        <v>ok</v>
      </c>
      <c r="C2562" s="117" t="s">
        <v>369</v>
      </c>
      <c r="D2562" t="s">
        <v>4483</v>
      </c>
      <c r="E2562" t="s">
        <v>4738</v>
      </c>
      <c r="F2562" s="94" t="s">
        <v>4738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4784</v>
      </c>
      <c r="J2562" s="94" t="b">
        <f>Proc[[#This Row],[Requested]]=Proc[[#This Row],[CurrentParent]]</f>
        <v>1</v>
      </c>
      <c r="K2562" s="144" t="str">
        <f>IF(Proc[[#This Row],[Author]]="Marcela Urrego",VLOOKUP(LEFT(Proc[[#This Row],[Requested]],1),Table3[#All],2,0),VLOOKUP(Proc[[#This Row],[Author]],Table4[],2,0))</f>
        <v>MGF</v>
      </c>
      <c r="L2562" s="125" t="s">
        <v>4894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116</v>
      </c>
      <c r="R2562" s="110" t="s">
        <v>485</v>
      </c>
      <c r="S2562" s="94"/>
    </row>
    <row r="2563" spans="1:19">
      <c r="A2563" s="103" t="s">
        <v>4422</v>
      </c>
      <c r="B2563" s="149" t="str">
        <f>IFERROR(VLOOKUP(Proc[[#This Row],[App]],Table2[],3,0),"open")</f>
        <v>ok</v>
      </c>
      <c r="C2563" s="117" t="s">
        <v>369</v>
      </c>
      <c r="D2563" t="s">
        <v>4484</v>
      </c>
      <c r="E2563" t="s">
        <v>4738</v>
      </c>
      <c r="F2563" s="94" t="s">
        <v>4738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4784</v>
      </c>
      <c r="J2563" s="94" t="b">
        <f>Proc[[#This Row],[Requested]]=Proc[[#This Row],[CurrentParent]]</f>
        <v>1</v>
      </c>
      <c r="K2563" s="144" t="str">
        <f>IF(Proc[[#This Row],[Author]]="Marcela Urrego",VLOOKUP(LEFT(Proc[[#This Row],[Requested]],1),Table3[#All],2,0),VLOOKUP(Proc[[#This Row],[Author]],Table4[],2,0))</f>
        <v>MGF</v>
      </c>
      <c r="L2563" s="125" t="s">
        <v>4894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116</v>
      </c>
      <c r="R2563" s="110" t="s">
        <v>485</v>
      </c>
      <c r="S2563" s="94"/>
    </row>
    <row r="2564" spans="1:19">
      <c r="A2564" s="103" t="s">
        <v>4422</v>
      </c>
      <c r="B2564" s="149" t="str">
        <f>IFERROR(VLOOKUP(Proc[[#This Row],[App]],Table2[],3,0),"open")</f>
        <v>ok</v>
      </c>
      <c r="C2564" s="117" t="s">
        <v>369</v>
      </c>
      <c r="D2564" t="s">
        <v>4485</v>
      </c>
      <c r="E2564" t="s">
        <v>4738</v>
      </c>
      <c r="F2564" s="94" t="s">
        <v>4738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4784</v>
      </c>
      <c r="J2564" s="94" t="b">
        <f>Proc[[#This Row],[Requested]]=Proc[[#This Row],[CurrentParent]]</f>
        <v>1</v>
      </c>
      <c r="K2564" s="144" t="str">
        <f>IF(Proc[[#This Row],[Author]]="Marcela Urrego",VLOOKUP(LEFT(Proc[[#This Row],[Requested]],1),Table3[#All],2,0),VLOOKUP(Proc[[#This Row],[Author]],Table4[],2,0))</f>
        <v>MGF</v>
      </c>
      <c r="L2564" s="125" t="s">
        <v>4894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116</v>
      </c>
      <c r="R2564" s="110" t="s">
        <v>485</v>
      </c>
      <c r="S2564" s="94"/>
    </row>
    <row r="2565" spans="1:19">
      <c r="A2565" s="103" t="s">
        <v>4422</v>
      </c>
      <c r="B2565" s="149" t="str">
        <f>IFERROR(VLOOKUP(Proc[[#This Row],[App]],Table2[],3,0),"open")</f>
        <v>ok</v>
      </c>
      <c r="C2565" s="117" t="s">
        <v>369</v>
      </c>
      <c r="D2565" t="s">
        <v>4486</v>
      </c>
      <c r="E2565" t="s">
        <v>4738</v>
      </c>
      <c r="F2565" s="94" t="s">
        <v>4738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4784</v>
      </c>
      <c r="J2565" s="94" t="b">
        <f>Proc[[#This Row],[Requested]]=Proc[[#This Row],[CurrentParent]]</f>
        <v>1</v>
      </c>
      <c r="K2565" s="144" t="str">
        <f>IF(Proc[[#This Row],[Author]]="Marcela Urrego",VLOOKUP(LEFT(Proc[[#This Row],[Requested]],1),Table3[#All],2,0),VLOOKUP(Proc[[#This Row],[Author]],Table4[],2,0))</f>
        <v>MGF</v>
      </c>
      <c r="L2565" s="125" t="s">
        <v>4894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116</v>
      </c>
      <c r="R2565" s="110" t="s">
        <v>485</v>
      </c>
      <c r="S2565" s="94"/>
    </row>
    <row r="2566" spans="1:19">
      <c r="A2566" s="103" t="s">
        <v>4422</v>
      </c>
      <c r="B2566" s="149" t="str">
        <f>IFERROR(VLOOKUP(Proc[[#This Row],[App]],Table2[],3,0),"open")</f>
        <v>ok</v>
      </c>
      <c r="C2566" s="117" t="s">
        <v>369</v>
      </c>
      <c r="D2566" t="s">
        <v>4487</v>
      </c>
      <c r="E2566" t="s">
        <v>4738</v>
      </c>
      <c r="F2566" s="94" t="s">
        <v>4738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4784</v>
      </c>
      <c r="J2566" s="94" t="b">
        <f>Proc[[#This Row],[Requested]]=Proc[[#This Row],[CurrentParent]]</f>
        <v>1</v>
      </c>
      <c r="K2566" s="144" t="str">
        <f>IF(Proc[[#This Row],[Author]]="Marcela Urrego",VLOOKUP(LEFT(Proc[[#This Row],[Requested]],1),Table3[#All],2,0),VLOOKUP(Proc[[#This Row],[Author]],Table4[],2,0))</f>
        <v>MGF</v>
      </c>
      <c r="L2566" s="125" t="s">
        <v>4894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116</v>
      </c>
      <c r="R2566" s="110" t="s">
        <v>485</v>
      </c>
      <c r="S2566" s="94"/>
    </row>
    <row r="2567" spans="1:19">
      <c r="A2567" s="103" t="s">
        <v>4422</v>
      </c>
      <c r="B2567" s="149" t="str">
        <f>IFERROR(VLOOKUP(Proc[[#This Row],[App]],Table2[],3,0),"open")</f>
        <v>ok</v>
      </c>
      <c r="C2567" s="117" t="s">
        <v>369</v>
      </c>
      <c r="D2567" t="s">
        <v>4488</v>
      </c>
      <c r="E2567" t="s">
        <v>4738</v>
      </c>
      <c r="F2567" s="94" t="s">
        <v>4738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4784</v>
      </c>
      <c r="J2567" s="94" t="b">
        <f>Proc[[#This Row],[Requested]]=Proc[[#This Row],[CurrentParent]]</f>
        <v>1</v>
      </c>
      <c r="K2567" s="144" t="str">
        <f>IF(Proc[[#This Row],[Author]]="Marcela Urrego",VLOOKUP(LEFT(Proc[[#This Row],[Requested]],1),Table3[#All],2,0),VLOOKUP(Proc[[#This Row],[Author]],Table4[],2,0))</f>
        <v>MGF</v>
      </c>
      <c r="L2567" s="125" t="s">
        <v>4894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116</v>
      </c>
      <c r="R2567" s="110" t="s">
        <v>485</v>
      </c>
      <c r="S2567" s="94"/>
    </row>
    <row r="2568" spans="1:19">
      <c r="A2568" s="103" t="s">
        <v>4422</v>
      </c>
      <c r="B2568" s="149" t="str">
        <f>IFERROR(VLOOKUP(Proc[[#This Row],[App]],Table2[],3,0),"open")</f>
        <v>ok</v>
      </c>
      <c r="C2568" s="117" t="s">
        <v>369</v>
      </c>
      <c r="D2568" t="s">
        <v>4489</v>
      </c>
      <c r="E2568" t="s">
        <v>4738</v>
      </c>
      <c r="F2568" s="94" t="s">
        <v>4738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4784</v>
      </c>
      <c r="J2568" s="94" t="b">
        <f>Proc[[#This Row],[Requested]]=Proc[[#This Row],[CurrentParent]]</f>
        <v>1</v>
      </c>
      <c r="K2568" s="144" t="str">
        <f>IF(Proc[[#This Row],[Author]]="Marcela Urrego",VLOOKUP(LEFT(Proc[[#This Row],[Requested]],1),Table3[#All],2,0),VLOOKUP(Proc[[#This Row],[Author]],Table4[],2,0))</f>
        <v>MGF</v>
      </c>
      <c r="L2568" s="125" t="s">
        <v>4894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116</v>
      </c>
      <c r="R2568" s="110" t="s">
        <v>485</v>
      </c>
      <c r="S2568" s="94"/>
    </row>
    <row r="2569" spans="1:19">
      <c r="A2569" s="103" t="s">
        <v>4422</v>
      </c>
      <c r="B2569" s="149" t="str">
        <f>IFERROR(VLOOKUP(Proc[[#This Row],[App]],Table2[],3,0),"open")</f>
        <v>ok</v>
      </c>
      <c r="C2569" s="117" t="s">
        <v>369</v>
      </c>
      <c r="D2569" t="s">
        <v>4490</v>
      </c>
      <c r="E2569" t="s">
        <v>4738</v>
      </c>
      <c r="F2569" s="94" t="s">
        <v>4738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4784</v>
      </c>
      <c r="J2569" s="94" t="b">
        <f>Proc[[#This Row],[Requested]]=Proc[[#This Row],[CurrentParent]]</f>
        <v>1</v>
      </c>
      <c r="K2569" s="144" t="str">
        <f>IF(Proc[[#This Row],[Author]]="Marcela Urrego",VLOOKUP(LEFT(Proc[[#This Row],[Requested]],1),Table3[#All],2,0),VLOOKUP(Proc[[#This Row],[Author]],Table4[],2,0))</f>
        <v>MGF</v>
      </c>
      <c r="L2569" s="125" t="s">
        <v>4894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116</v>
      </c>
      <c r="R2569" s="110" t="s">
        <v>485</v>
      </c>
      <c r="S2569" s="94"/>
    </row>
    <row r="2570" spans="1:19">
      <c r="A2570" s="103" t="s">
        <v>4422</v>
      </c>
      <c r="B2570" s="149" t="str">
        <f>IFERROR(VLOOKUP(Proc[[#This Row],[App]],Table2[],3,0),"open")</f>
        <v>ok</v>
      </c>
      <c r="C2570" s="117" t="s">
        <v>369</v>
      </c>
      <c r="D2570" t="s">
        <v>4491</v>
      </c>
      <c r="E2570" t="s">
        <v>4738</v>
      </c>
      <c r="F2570" s="94" t="s">
        <v>4738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4784</v>
      </c>
      <c r="J2570" s="94" t="b">
        <f>Proc[[#This Row],[Requested]]=Proc[[#This Row],[CurrentParent]]</f>
        <v>1</v>
      </c>
      <c r="K2570" s="144" t="str">
        <f>IF(Proc[[#This Row],[Author]]="Marcela Urrego",VLOOKUP(LEFT(Proc[[#This Row],[Requested]],1),Table3[#All],2,0),VLOOKUP(Proc[[#This Row],[Author]],Table4[],2,0))</f>
        <v>MGF</v>
      </c>
      <c r="L2570" s="125" t="s">
        <v>4894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116</v>
      </c>
      <c r="R2570" s="110" t="s">
        <v>485</v>
      </c>
      <c r="S2570" s="94"/>
    </row>
    <row r="2571" spans="1:19">
      <c r="A2571" s="103" t="s">
        <v>4422</v>
      </c>
      <c r="B2571" s="149" t="str">
        <f>IFERROR(VLOOKUP(Proc[[#This Row],[App]],Table2[],3,0),"open")</f>
        <v>ok</v>
      </c>
      <c r="C2571" s="117" t="s">
        <v>369</v>
      </c>
      <c r="D2571" t="s">
        <v>4492</v>
      </c>
      <c r="E2571" t="s">
        <v>4738</v>
      </c>
      <c r="F2571" s="94" t="s">
        <v>4738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4784</v>
      </c>
      <c r="J2571" s="94" t="b">
        <f>Proc[[#This Row],[Requested]]=Proc[[#This Row],[CurrentParent]]</f>
        <v>1</v>
      </c>
      <c r="K2571" s="144" t="str">
        <f>IF(Proc[[#This Row],[Author]]="Marcela Urrego",VLOOKUP(LEFT(Proc[[#This Row],[Requested]],1),Table3[#All],2,0),VLOOKUP(Proc[[#This Row],[Author]],Table4[],2,0))</f>
        <v>MGF</v>
      </c>
      <c r="L2571" s="125" t="s">
        <v>4894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116</v>
      </c>
      <c r="R2571" s="110" t="s">
        <v>485</v>
      </c>
      <c r="S2571" s="94"/>
    </row>
    <row r="2572" spans="1:19">
      <c r="A2572" s="103" t="s">
        <v>4422</v>
      </c>
      <c r="B2572" s="149" t="str">
        <f>IFERROR(VLOOKUP(Proc[[#This Row],[App]],Table2[],3,0),"open")</f>
        <v>ok</v>
      </c>
      <c r="C2572" s="117" t="s">
        <v>369</v>
      </c>
      <c r="D2572" t="s">
        <v>4493</v>
      </c>
      <c r="E2572" t="s">
        <v>4738</v>
      </c>
      <c r="F2572" s="94" t="s">
        <v>4738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4784</v>
      </c>
      <c r="J2572" s="94" t="b">
        <f>Proc[[#This Row],[Requested]]=Proc[[#This Row],[CurrentParent]]</f>
        <v>1</v>
      </c>
      <c r="K2572" s="144" t="str">
        <f>IF(Proc[[#This Row],[Author]]="Marcela Urrego",VLOOKUP(LEFT(Proc[[#This Row],[Requested]],1),Table3[#All],2,0),VLOOKUP(Proc[[#This Row],[Author]],Table4[],2,0))</f>
        <v>MGF</v>
      </c>
      <c r="L2572" s="125" t="s">
        <v>4894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116</v>
      </c>
      <c r="R2572" s="110" t="s">
        <v>485</v>
      </c>
      <c r="S2572" s="94"/>
    </row>
    <row r="2573" spans="1:19">
      <c r="A2573" s="103" t="s">
        <v>4422</v>
      </c>
      <c r="B2573" s="149" t="str">
        <f>IFERROR(VLOOKUP(Proc[[#This Row],[App]],Table2[],3,0),"open")</f>
        <v>ok</v>
      </c>
      <c r="C2573" s="117" t="s">
        <v>369</v>
      </c>
      <c r="D2573" t="s">
        <v>4494</v>
      </c>
      <c r="E2573" t="s">
        <v>4738</v>
      </c>
      <c r="F2573" s="94" t="s">
        <v>4738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4784</v>
      </c>
      <c r="J2573" s="94" t="b">
        <f>Proc[[#This Row],[Requested]]=Proc[[#This Row],[CurrentParent]]</f>
        <v>1</v>
      </c>
      <c r="K2573" s="144" t="str">
        <f>IF(Proc[[#This Row],[Author]]="Marcela Urrego",VLOOKUP(LEFT(Proc[[#This Row],[Requested]],1),Table3[#All],2,0),VLOOKUP(Proc[[#This Row],[Author]],Table4[],2,0))</f>
        <v>MGF</v>
      </c>
      <c r="L2573" s="125" t="s">
        <v>4894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116</v>
      </c>
      <c r="R2573" s="110" t="s">
        <v>485</v>
      </c>
      <c r="S2573" s="94"/>
    </row>
    <row r="2574" spans="1:19">
      <c r="A2574" s="103" t="s">
        <v>4422</v>
      </c>
      <c r="B2574" s="149" t="str">
        <f>IFERROR(VLOOKUP(Proc[[#This Row],[App]],Table2[],3,0),"open")</f>
        <v>ok</v>
      </c>
      <c r="C2574" s="117" t="s">
        <v>369</v>
      </c>
      <c r="D2574" t="s">
        <v>4495</v>
      </c>
      <c r="E2574" t="s">
        <v>4738</v>
      </c>
      <c r="F2574" s="94" t="s">
        <v>4738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4784</v>
      </c>
      <c r="J2574" s="94" t="b">
        <f>Proc[[#This Row],[Requested]]=Proc[[#This Row],[CurrentParent]]</f>
        <v>1</v>
      </c>
      <c r="K2574" s="144" t="str">
        <f>IF(Proc[[#This Row],[Author]]="Marcela Urrego",VLOOKUP(LEFT(Proc[[#This Row],[Requested]],1),Table3[#All],2,0),VLOOKUP(Proc[[#This Row],[Author]],Table4[],2,0))</f>
        <v>MGF</v>
      </c>
      <c r="L2574" s="125" t="s">
        <v>4894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116</v>
      </c>
      <c r="R2574" s="110" t="s">
        <v>485</v>
      </c>
      <c r="S2574" s="94"/>
    </row>
    <row r="2575" spans="1:19">
      <c r="A2575" s="103" t="s">
        <v>4422</v>
      </c>
      <c r="B2575" s="149" t="str">
        <f>IFERROR(VLOOKUP(Proc[[#This Row],[App]],Table2[],3,0),"open")</f>
        <v>ok</v>
      </c>
      <c r="C2575" s="117" t="s">
        <v>369</v>
      </c>
      <c r="D2575" t="s">
        <v>4496</v>
      </c>
      <c r="E2575" t="s">
        <v>4738</v>
      </c>
      <c r="F2575" s="94" t="s">
        <v>4738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4784</v>
      </c>
      <c r="J2575" s="94" t="b">
        <f>Proc[[#This Row],[Requested]]=Proc[[#This Row],[CurrentParent]]</f>
        <v>1</v>
      </c>
      <c r="K2575" s="144" t="str">
        <f>IF(Proc[[#This Row],[Author]]="Marcela Urrego",VLOOKUP(LEFT(Proc[[#This Row],[Requested]],1),Table3[#All],2,0),VLOOKUP(Proc[[#This Row],[Author]],Table4[],2,0))</f>
        <v>MGF</v>
      </c>
      <c r="L2575" s="125" t="s">
        <v>4894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116</v>
      </c>
      <c r="R2575" s="110" t="s">
        <v>485</v>
      </c>
      <c r="S2575" s="94"/>
    </row>
    <row r="2576" spans="1:19">
      <c r="A2576" s="103" t="s">
        <v>4422</v>
      </c>
      <c r="B2576" s="149" t="str">
        <f>IFERROR(VLOOKUP(Proc[[#This Row],[App]],Table2[],3,0),"open")</f>
        <v>ok</v>
      </c>
      <c r="C2576" s="117" t="s">
        <v>369</v>
      </c>
      <c r="D2576" t="s">
        <v>4497</v>
      </c>
      <c r="E2576" t="s">
        <v>4738</v>
      </c>
      <c r="F2576" s="94" t="s">
        <v>4738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4784</v>
      </c>
      <c r="J2576" s="94" t="b">
        <f>Proc[[#This Row],[Requested]]=Proc[[#This Row],[CurrentParent]]</f>
        <v>1</v>
      </c>
      <c r="K2576" s="144" t="str">
        <f>IF(Proc[[#This Row],[Author]]="Marcela Urrego",VLOOKUP(LEFT(Proc[[#This Row],[Requested]],1),Table3[#All],2,0),VLOOKUP(Proc[[#This Row],[Author]],Table4[],2,0))</f>
        <v>MGF</v>
      </c>
      <c r="L2576" s="125" t="s">
        <v>4894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116</v>
      </c>
      <c r="R2576" s="110" t="s">
        <v>485</v>
      </c>
      <c r="S2576" s="94"/>
    </row>
    <row r="2577" spans="1:19">
      <c r="A2577" s="103" t="s">
        <v>4422</v>
      </c>
      <c r="B2577" s="149" t="str">
        <f>IFERROR(VLOOKUP(Proc[[#This Row],[App]],Table2[],3,0),"open")</f>
        <v>ok</v>
      </c>
      <c r="C2577" s="117" t="s">
        <v>369</v>
      </c>
      <c r="D2577" t="s">
        <v>4498</v>
      </c>
      <c r="E2577" t="s">
        <v>4738</v>
      </c>
      <c r="F2577" s="94" t="s">
        <v>4738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4784</v>
      </c>
      <c r="J2577" s="94" t="b">
        <f>Proc[[#This Row],[Requested]]=Proc[[#This Row],[CurrentParent]]</f>
        <v>1</v>
      </c>
      <c r="K2577" s="144" t="str">
        <f>IF(Proc[[#This Row],[Author]]="Marcela Urrego",VLOOKUP(LEFT(Proc[[#This Row],[Requested]],1),Table3[#All],2,0),VLOOKUP(Proc[[#This Row],[Author]],Table4[],2,0))</f>
        <v>MGF</v>
      </c>
      <c r="L2577" s="125" t="s">
        <v>4894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116</v>
      </c>
      <c r="R2577" s="110" t="s">
        <v>485</v>
      </c>
      <c r="S2577" s="94"/>
    </row>
    <row r="2578" spans="1:19">
      <c r="A2578" s="103" t="s">
        <v>4422</v>
      </c>
      <c r="B2578" s="149" t="str">
        <f>IFERROR(VLOOKUP(Proc[[#This Row],[App]],Table2[],3,0),"open")</f>
        <v>ok</v>
      </c>
      <c r="C2578" s="117" t="s">
        <v>369</v>
      </c>
      <c r="D2578" t="s">
        <v>4499</v>
      </c>
      <c r="E2578" t="s">
        <v>4740</v>
      </c>
      <c r="F2578" s="94" t="s">
        <v>4740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4784</v>
      </c>
      <c r="J2578" s="94" t="b">
        <f>Proc[[#This Row],[Requested]]=Proc[[#This Row],[CurrentParent]]</f>
        <v>1</v>
      </c>
      <c r="K2578" s="144" t="str">
        <f>IF(Proc[[#This Row],[Author]]="Marcela Urrego",VLOOKUP(LEFT(Proc[[#This Row],[Requested]],1),Table3[#All],2,0),VLOOKUP(Proc[[#This Row],[Author]],Table4[],2,0))</f>
        <v>MGF</v>
      </c>
      <c r="L2578" s="125" t="s">
        <v>4894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116</v>
      </c>
      <c r="R2578" s="110" t="s">
        <v>485</v>
      </c>
      <c r="S2578" s="94"/>
    </row>
    <row r="2579" spans="1:19">
      <c r="A2579" s="103" t="s">
        <v>4422</v>
      </c>
      <c r="B2579" s="149" t="str">
        <f>IFERROR(VLOOKUP(Proc[[#This Row],[App]],Table2[],3,0),"open")</f>
        <v>ok</v>
      </c>
      <c r="C2579" s="117" t="s">
        <v>369</v>
      </c>
      <c r="D2579" t="s">
        <v>4500</v>
      </c>
      <c r="E2579" t="s">
        <v>4741</v>
      </c>
      <c r="F2579" s="94" t="s">
        <v>4741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4784</v>
      </c>
      <c r="J2579" s="94" t="b">
        <f>Proc[[#This Row],[Requested]]=Proc[[#This Row],[CurrentParent]]</f>
        <v>1</v>
      </c>
      <c r="K2579" s="144" t="str">
        <f>IF(Proc[[#This Row],[Author]]="Marcela Urrego",VLOOKUP(LEFT(Proc[[#This Row],[Requested]],1),Table3[#All],2,0),VLOOKUP(Proc[[#This Row],[Author]],Table4[],2,0))</f>
        <v>MGF</v>
      </c>
      <c r="L2579" s="125" t="s">
        <v>4894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116</v>
      </c>
      <c r="R2579" s="110" t="s">
        <v>485</v>
      </c>
      <c r="S2579" s="94"/>
    </row>
    <row r="2580" spans="1:19">
      <c r="A2580" s="103" t="s">
        <v>4422</v>
      </c>
      <c r="B2580" s="149" t="str">
        <f>IFERROR(VLOOKUP(Proc[[#This Row],[App]],Table2[],3,0),"open")</f>
        <v>ok</v>
      </c>
      <c r="C2580" s="117" t="s">
        <v>369</v>
      </c>
      <c r="D2580" t="s">
        <v>4501</v>
      </c>
      <c r="E2580" t="s">
        <v>4740</v>
      </c>
      <c r="F2580" s="94" t="s">
        <v>4740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4784</v>
      </c>
      <c r="J2580" s="94" t="b">
        <f>Proc[[#This Row],[Requested]]=Proc[[#This Row],[CurrentParent]]</f>
        <v>1</v>
      </c>
      <c r="K2580" s="144" t="str">
        <f>IF(Proc[[#This Row],[Author]]="Marcela Urrego",VLOOKUP(LEFT(Proc[[#This Row],[Requested]],1),Table3[#All],2,0),VLOOKUP(Proc[[#This Row],[Author]],Table4[],2,0))</f>
        <v>MGF</v>
      </c>
      <c r="L2580" s="125" t="s">
        <v>4894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116</v>
      </c>
      <c r="R2580" s="110" t="s">
        <v>485</v>
      </c>
      <c r="S2580" s="94"/>
    </row>
    <row r="2581" spans="1:19">
      <c r="A2581" s="103" t="s">
        <v>4422</v>
      </c>
      <c r="B2581" s="149" t="str">
        <f>IFERROR(VLOOKUP(Proc[[#This Row],[App]],Table2[],3,0),"open")</f>
        <v>ok</v>
      </c>
      <c r="C2581" s="117" t="s">
        <v>369</v>
      </c>
      <c r="D2581" t="s">
        <v>4502</v>
      </c>
      <c r="E2581" t="s">
        <v>4742</v>
      </c>
      <c r="F2581" s="94" t="s">
        <v>4742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4784</v>
      </c>
      <c r="J2581" s="94" t="b">
        <f>Proc[[#This Row],[Requested]]=Proc[[#This Row],[CurrentParent]]</f>
        <v>1</v>
      </c>
      <c r="K2581" s="144" t="str">
        <f>IF(Proc[[#This Row],[Author]]="Marcela Urrego",VLOOKUP(LEFT(Proc[[#This Row],[Requested]],1),Table3[#All],2,0),VLOOKUP(Proc[[#This Row],[Author]],Table4[],2,0))</f>
        <v>MGF</v>
      </c>
      <c r="L2581" s="125" t="s">
        <v>4894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116</v>
      </c>
      <c r="R2581" s="110" t="s">
        <v>485</v>
      </c>
      <c r="S2581" s="94"/>
    </row>
    <row r="2582" spans="1:19">
      <c r="A2582" s="103" t="s">
        <v>4422</v>
      </c>
      <c r="B2582" s="149" t="str">
        <f>IFERROR(VLOOKUP(Proc[[#This Row],[App]],Table2[],3,0),"open")</f>
        <v>ok</v>
      </c>
      <c r="C2582" s="117" t="s">
        <v>369</v>
      </c>
      <c r="D2582" t="s">
        <v>4503</v>
      </c>
      <c r="E2582" t="s">
        <v>4740</v>
      </c>
      <c r="F2582" s="94" t="s">
        <v>4740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4784</v>
      </c>
      <c r="J2582" s="94" t="b">
        <f>Proc[[#This Row],[Requested]]=Proc[[#This Row],[CurrentParent]]</f>
        <v>1</v>
      </c>
      <c r="K2582" s="144" t="str">
        <f>IF(Proc[[#This Row],[Author]]="Marcela Urrego",VLOOKUP(LEFT(Proc[[#This Row],[Requested]],1),Table3[#All],2,0),VLOOKUP(Proc[[#This Row],[Author]],Table4[],2,0))</f>
        <v>MGF</v>
      </c>
      <c r="L2582" s="125" t="s">
        <v>4894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116</v>
      </c>
      <c r="R2582" s="110" t="s">
        <v>485</v>
      </c>
      <c r="S2582" s="94"/>
    </row>
    <row r="2583" spans="1:19">
      <c r="A2583" s="103" t="s">
        <v>4422</v>
      </c>
      <c r="B2583" s="149" t="str">
        <f>IFERROR(VLOOKUP(Proc[[#This Row],[App]],Table2[],3,0),"open")</f>
        <v>ok</v>
      </c>
      <c r="C2583" s="117" t="s">
        <v>369</v>
      </c>
      <c r="D2583" t="s">
        <v>4504</v>
      </c>
      <c r="E2583" t="s">
        <v>4740</v>
      </c>
      <c r="F2583" s="94" t="s">
        <v>4740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4784</v>
      </c>
      <c r="J2583" s="94" t="b">
        <f>Proc[[#This Row],[Requested]]=Proc[[#This Row],[CurrentParent]]</f>
        <v>1</v>
      </c>
      <c r="K2583" s="144" t="str">
        <f>IF(Proc[[#This Row],[Author]]="Marcela Urrego",VLOOKUP(LEFT(Proc[[#This Row],[Requested]],1),Table3[#All],2,0),VLOOKUP(Proc[[#This Row],[Author]],Table4[],2,0))</f>
        <v>MGF</v>
      </c>
      <c r="L2583" s="125" t="s">
        <v>4894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116</v>
      </c>
      <c r="R2583" s="110" t="s">
        <v>485</v>
      </c>
      <c r="S2583" s="94"/>
    </row>
    <row r="2584" spans="1:19">
      <c r="A2584" s="103" t="s">
        <v>4422</v>
      </c>
      <c r="B2584" s="149" t="str">
        <f>IFERROR(VLOOKUP(Proc[[#This Row],[App]],Table2[],3,0),"open")</f>
        <v>ok</v>
      </c>
      <c r="C2584" s="117" t="s">
        <v>369</v>
      </c>
      <c r="D2584" t="s">
        <v>4505</v>
      </c>
      <c r="E2584" t="s">
        <v>4740</v>
      </c>
      <c r="F2584" s="94" t="s">
        <v>4740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4784</v>
      </c>
      <c r="J2584" s="94" t="b">
        <f>Proc[[#This Row],[Requested]]=Proc[[#This Row],[CurrentParent]]</f>
        <v>1</v>
      </c>
      <c r="K2584" s="144" t="str">
        <f>IF(Proc[[#This Row],[Author]]="Marcela Urrego",VLOOKUP(LEFT(Proc[[#This Row],[Requested]],1),Table3[#All],2,0),VLOOKUP(Proc[[#This Row],[Author]],Table4[],2,0))</f>
        <v>MGF</v>
      </c>
      <c r="L2584" s="125" t="s">
        <v>4894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116</v>
      </c>
      <c r="R2584" s="110" t="s">
        <v>485</v>
      </c>
      <c r="S2584" s="94"/>
    </row>
    <row r="2585" spans="1:19">
      <c r="A2585" s="103" t="s">
        <v>4422</v>
      </c>
      <c r="B2585" s="149" t="str">
        <f>IFERROR(VLOOKUP(Proc[[#This Row],[App]],Table2[],3,0),"open")</f>
        <v>ok</v>
      </c>
      <c r="C2585" s="117" t="s">
        <v>369</v>
      </c>
      <c r="D2585" t="s">
        <v>4506</v>
      </c>
      <c r="E2585" t="s">
        <v>4742</v>
      </c>
      <c r="F2585" s="94" t="s">
        <v>4742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4784</v>
      </c>
      <c r="J2585" s="94" t="b">
        <f>Proc[[#This Row],[Requested]]=Proc[[#This Row],[CurrentParent]]</f>
        <v>1</v>
      </c>
      <c r="K2585" s="144" t="str">
        <f>IF(Proc[[#This Row],[Author]]="Marcela Urrego",VLOOKUP(LEFT(Proc[[#This Row],[Requested]],1),Table3[#All],2,0),VLOOKUP(Proc[[#This Row],[Author]],Table4[],2,0))</f>
        <v>MGF</v>
      </c>
      <c r="L2585" s="125" t="s">
        <v>4894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116</v>
      </c>
      <c r="R2585" s="110" t="s">
        <v>485</v>
      </c>
      <c r="S2585" s="94"/>
    </row>
    <row r="2586" spans="1:19">
      <c r="A2586" s="103" t="s">
        <v>4422</v>
      </c>
      <c r="B2586" s="149" t="str">
        <f>IFERROR(VLOOKUP(Proc[[#This Row],[App]],Table2[],3,0),"open")</f>
        <v>ok</v>
      </c>
      <c r="C2586" s="117" t="s">
        <v>369</v>
      </c>
      <c r="D2586" t="s">
        <v>4507</v>
      </c>
      <c r="E2586" t="s">
        <v>4741</v>
      </c>
      <c r="F2586" s="94" t="s">
        <v>4741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4784</v>
      </c>
      <c r="J2586" s="94" t="b">
        <f>Proc[[#This Row],[Requested]]=Proc[[#This Row],[CurrentParent]]</f>
        <v>1</v>
      </c>
      <c r="K2586" s="144" t="str">
        <f>IF(Proc[[#This Row],[Author]]="Marcela Urrego",VLOOKUP(LEFT(Proc[[#This Row],[Requested]],1),Table3[#All],2,0),VLOOKUP(Proc[[#This Row],[Author]],Table4[],2,0))</f>
        <v>MGF</v>
      </c>
      <c r="L2586" s="125" t="s">
        <v>4894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116</v>
      </c>
      <c r="R2586" s="110" t="s">
        <v>485</v>
      </c>
      <c r="S2586" s="94"/>
    </row>
    <row r="2587" spans="1:19">
      <c r="A2587" s="103" t="s">
        <v>4422</v>
      </c>
      <c r="B2587" s="149" t="str">
        <f>IFERROR(VLOOKUP(Proc[[#This Row],[App]],Table2[],3,0),"open")</f>
        <v>ok</v>
      </c>
      <c r="C2587" s="117" t="s">
        <v>369</v>
      </c>
      <c r="D2587" t="s">
        <v>4508</v>
      </c>
      <c r="E2587" t="s">
        <v>4740</v>
      </c>
      <c r="F2587" s="94" t="s">
        <v>4740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4784</v>
      </c>
      <c r="J2587" s="94" t="b">
        <f>Proc[[#This Row],[Requested]]=Proc[[#This Row],[CurrentParent]]</f>
        <v>1</v>
      </c>
      <c r="K2587" s="144" t="str">
        <f>IF(Proc[[#This Row],[Author]]="Marcela Urrego",VLOOKUP(LEFT(Proc[[#This Row],[Requested]],1),Table3[#All],2,0),VLOOKUP(Proc[[#This Row],[Author]],Table4[],2,0))</f>
        <v>MGF</v>
      </c>
      <c r="L2587" s="125" t="s">
        <v>4894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116</v>
      </c>
      <c r="R2587" s="110" t="s">
        <v>485</v>
      </c>
      <c r="S2587" s="94"/>
    </row>
    <row r="2588" spans="1:19">
      <c r="A2588" s="103" t="s">
        <v>4422</v>
      </c>
      <c r="B2588" s="149" t="str">
        <f>IFERROR(VLOOKUP(Proc[[#This Row],[App]],Table2[],3,0),"open")</f>
        <v>ok</v>
      </c>
      <c r="C2588" s="117" t="s">
        <v>369</v>
      </c>
      <c r="D2588" t="s">
        <v>4509</v>
      </c>
      <c r="E2588" t="s">
        <v>4740</v>
      </c>
      <c r="F2588" s="94" t="s">
        <v>4740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4784</v>
      </c>
      <c r="J2588" s="94" t="b">
        <f>Proc[[#This Row],[Requested]]=Proc[[#This Row],[CurrentParent]]</f>
        <v>1</v>
      </c>
      <c r="K2588" s="144" t="str">
        <f>IF(Proc[[#This Row],[Author]]="Marcela Urrego",VLOOKUP(LEFT(Proc[[#This Row],[Requested]],1),Table3[#All],2,0),VLOOKUP(Proc[[#This Row],[Author]],Table4[],2,0))</f>
        <v>MGF</v>
      </c>
      <c r="L2588" s="125" t="s">
        <v>4894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116</v>
      </c>
      <c r="R2588" s="110" t="s">
        <v>485</v>
      </c>
      <c r="S2588" s="94"/>
    </row>
    <row r="2589" spans="1:19">
      <c r="A2589" s="103" t="s">
        <v>4422</v>
      </c>
      <c r="B2589" s="149" t="str">
        <f>IFERROR(VLOOKUP(Proc[[#This Row],[App]],Table2[],3,0),"open")</f>
        <v>ok</v>
      </c>
      <c r="C2589" s="117" t="s">
        <v>369</v>
      </c>
      <c r="D2589" t="s">
        <v>4510</v>
      </c>
      <c r="E2589" t="s">
        <v>4740</v>
      </c>
      <c r="F2589" s="94" t="s">
        <v>4740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4784</v>
      </c>
      <c r="J2589" s="94" t="b">
        <f>Proc[[#This Row],[Requested]]=Proc[[#This Row],[CurrentParent]]</f>
        <v>1</v>
      </c>
      <c r="K2589" s="144" t="str">
        <f>IF(Proc[[#This Row],[Author]]="Marcela Urrego",VLOOKUP(LEFT(Proc[[#This Row],[Requested]],1),Table3[#All],2,0),VLOOKUP(Proc[[#This Row],[Author]],Table4[],2,0))</f>
        <v>MGF</v>
      </c>
      <c r="L2589" s="125" t="s">
        <v>4894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116</v>
      </c>
      <c r="R2589" s="110" t="s">
        <v>485</v>
      </c>
      <c r="S2589" s="94"/>
    </row>
    <row r="2590" spans="1:19">
      <c r="A2590" s="103" t="s">
        <v>4422</v>
      </c>
      <c r="B2590" s="149" t="str">
        <f>IFERROR(VLOOKUP(Proc[[#This Row],[App]],Table2[],3,0),"open")</f>
        <v>ok</v>
      </c>
      <c r="C2590" s="117" t="s">
        <v>369</v>
      </c>
      <c r="D2590" t="s">
        <v>4511</v>
      </c>
      <c r="E2590" t="s">
        <v>4740</v>
      </c>
      <c r="F2590" s="94" t="s">
        <v>4740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4784</v>
      </c>
      <c r="J2590" s="94" t="b">
        <f>Proc[[#This Row],[Requested]]=Proc[[#This Row],[CurrentParent]]</f>
        <v>1</v>
      </c>
      <c r="K2590" s="144" t="str">
        <f>IF(Proc[[#This Row],[Author]]="Marcela Urrego",VLOOKUP(LEFT(Proc[[#This Row],[Requested]],1),Table3[#All],2,0),VLOOKUP(Proc[[#This Row],[Author]],Table4[],2,0))</f>
        <v>MGF</v>
      </c>
      <c r="L2590" s="125" t="s">
        <v>4894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116</v>
      </c>
      <c r="R2590" s="110" t="s">
        <v>485</v>
      </c>
      <c r="S2590" s="94"/>
    </row>
    <row r="2591" spans="1:19">
      <c r="A2591" s="103" t="s">
        <v>4422</v>
      </c>
      <c r="B2591" s="149" t="str">
        <f>IFERROR(VLOOKUP(Proc[[#This Row],[App]],Table2[],3,0),"open")</f>
        <v>ok</v>
      </c>
      <c r="C2591" s="117" t="s">
        <v>369</v>
      </c>
      <c r="D2591" t="s">
        <v>4512</v>
      </c>
      <c r="E2591" t="s">
        <v>4740</v>
      </c>
      <c r="F2591" s="94" t="s">
        <v>4740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4784</v>
      </c>
      <c r="J2591" s="94" t="b">
        <f>Proc[[#This Row],[Requested]]=Proc[[#This Row],[CurrentParent]]</f>
        <v>1</v>
      </c>
      <c r="K2591" s="144" t="str">
        <f>IF(Proc[[#This Row],[Author]]="Marcela Urrego",VLOOKUP(LEFT(Proc[[#This Row],[Requested]],1),Table3[#All],2,0),VLOOKUP(Proc[[#This Row],[Author]],Table4[],2,0))</f>
        <v>MGF</v>
      </c>
      <c r="L2591" s="125" t="s">
        <v>4894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116</v>
      </c>
      <c r="R2591" s="110" t="s">
        <v>485</v>
      </c>
      <c r="S2591" s="94"/>
    </row>
    <row r="2592" spans="1:19">
      <c r="A2592" s="103" t="s">
        <v>4422</v>
      </c>
      <c r="B2592" s="149" t="str">
        <f>IFERROR(VLOOKUP(Proc[[#This Row],[App]],Table2[],3,0),"open")</f>
        <v>ok</v>
      </c>
      <c r="C2592" s="117" t="s">
        <v>369</v>
      </c>
      <c r="D2592" t="s">
        <v>4513</v>
      </c>
      <c r="E2592" t="s">
        <v>4740</v>
      </c>
      <c r="F2592" s="94" t="s">
        <v>4740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4784</v>
      </c>
      <c r="J2592" s="94" t="b">
        <f>Proc[[#This Row],[Requested]]=Proc[[#This Row],[CurrentParent]]</f>
        <v>1</v>
      </c>
      <c r="K2592" s="144" t="str">
        <f>IF(Proc[[#This Row],[Author]]="Marcela Urrego",VLOOKUP(LEFT(Proc[[#This Row],[Requested]],1),Table3[#All],2,0),VLOOKUP(Proc[[#This Row],[Author]],Table4[],2,0))</f>
        <v>MGF</v>
      </c>
      <c r="L2592" s="125" t="s">
        <v>4894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116</v>
      </c>
      <c r="R2592" s="110" t="s">
        <v>485</v>
      </c>
      <c r="S2592" s="94"/>
    </row>
    <row r="2593" spans="1:19">
      <c r="A2593" s="103" t="s">
        <v>4422</v>
      </c>
      <c r="B2593" s="149" t="str">
        <f>IFERROR(VLOOKUP(Proc[[#This Row],[App]],Table2[],3,0),"open")</f>
        <v>ok</v>
      </c>
      <c r="C2593" s="117" t="s">
        <v>369</v>
      </c>
      <c r="D2593" t="s">
        <v>4514</v>
      </c>
      <c r="E2593" t="s">
        <v>4740</v>
      </c>
      <c r="F2593" s="94" t="s">
        <v>4740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4784</v>
      </c>
      <c r="J2593" s="94" t="b">
        <f>Proc[[#This Row],[Requested]]=Proc[[#This Row],[CurrentParent]]</f>
        <v>1</v>
      </c>
      <c r="K2593" s="144" t="str">
        <f>IF(Proc[[#This Row],[Author]]="Marcela Urrego",VLOOKUP(LEFT(Proc[[#This Row],[Requested]],1),Table3[#All],2,0),VLOOKUP(Proc[[#This Row],[Author]],Table4[],2,0))</f>
        <v>MGF</v>
      </c>
      <c r="L2593" s="125" t="s">
        <v>4894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116</v>
      </c>
      <c r="R2593" s="110" t="s">
        <v>485</v>
      </c>
      <c r="S2593" s="94"/>
    </row>
    <row r="2594" spans="1:19">
      <c r="A2594" s="103" t="s">
        <v>4422</v>
      </c>
      <c r="B2594" s="149" t="str">
        <f>IFERROR(VLOOKUP(Proc[[#This Row],[App]],Table2[],3,0),"open")</f>
        <v>ok</v>
      </c>
      <c r="C2594" s="117" t="s">
        <v>369</v>
      </c>
      <c r="D2594" t="s">
        <v>4515</v>
      </c>
      <c r="E2594" t="s">
        <v>4740</v>
      </c>
      <c r="F2594" s="94" t="s">
        <v>4740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4784</v>
      </c>
      <c r="J2594" s="94" t="b">
        <f>Proc[[#This Row],[Requested]]=Proc[[#This Row],[CurrentParent]]</f>
        <v>1</v>
      </c>
      <c r="K2594" s="144" t="str">
        <f>IF(Proc[[#This Row],[Author]]="Marcela Urrego",VLOOKUP(LEFT(Proc[[#This Row],[Requested]],1),Table3[#All],2,0),VLOOKUP(Proc[[#This Row],[Author]],Table4[],2,0))</f>
        <v>MGF</v>
      </c>
      <c r="L2594" s="125" t="s">
        <v>4894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116</v>
      </c>
      <c r="R2594" s="110" t="s">
        <v>485</v>
      </c>
      <c r="S2594" s="94"/>
    </row>
    <row r="2595" spans="1:19">
      <c r="A2595" s="103" t="s">
        <v>4422</v>
      </c>
      <c r="B2595" s="149" t="str">
        <f>IFERROR(VLOOKUP(Proc[[#This Row],[App]],Table2[],3,0),"open")</f>
        <v>ok</v>
      </c>
      <c r="C2595" s="117" t="s">
        <v>369</v>
      </c>
      <c r="D2595" t="s">
        <v>4516</v>
      </c>
      <c r="E2595" t="s">
        <v>4740</v>
      </c>
      <c r="F2595" s="94" t="s">
        <v>4740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4784</v>
      </c>
      <c r="J2595" s="94" t="b">
        <f>Proc[[#This Row],[Requested]]=Proc[[#This Row],[CurrentParent]]</f>
        <v>1</v>
      </c>
      <c r="K2595" s="144" t="str">
        <f>IF(Proc[[#This Row],[Author]]="Marcela Urrego",VLOOKUP(LEFT(Proc[[#This Row],[Requested]],1),Table3[#All],2,0),VLOOKUP(Proc[[#This Row],[Author]],Table4[],2,0))</f>
        <v>MGF</v>
      </c>
      <c r="L2595" s="125" t="s">
        <v>4894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116</v>
      </c>
      <c r="R2595" s="110" t="s">
        <v>485</v>
      </c>
      <c r="S2595" s="94"/>
    </row>
    <row r="2596" spans="1:19">
      <c r="A2596" s="103" t="s">
        <v>4422</v>
      </c>
      <c r="B2596" s="149" t="str">
        <f>IFERROR(VLOOKUP(Proc[[#This Row],[App]],Table2[],3,0),"open")</f>
        <v>ok</v>
      </c>
      <c r="C2596" s="117" t="s">
        <v>369</v>
      </c>
      <c r="D2596" t="s">
        <v>4517</v>
      </c>
      <c r="E2596" t="s">
        <v>4740</v>
      </c>
      <c r="F2596" s="94" t="s">
        <v>4740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4784</v>
      </c>
      <c r="J2596" s="94" t="b">
        <f>Proc[[#This Row],[Requested]]=Proc[[#This Row],[CurrentParent]]</f>
        <v>1</v>
      </c>
      <c r="K2596" s="144" t="str">
        <f>IF(Proc[[#This Row],[Author]]="Marcela Urrego",VLOOKUP(LEFT(Proc[[#This Row],[Requested]],1),Table3[#All],2,0),VLOOKUP(Proc[[#This Row],[Author]],Table4[],2,0))</f>
        <v>MGF</v>
      </c>
      <c r="L2596" s="125" t="s">
        <v>4894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116</v>
      </c>
      <c r="R2596" s="110" t="s">
        <v>485</v>
      </c>
      <c r="S2596" s="94"/>
    </row>
    <row r="2597" spans="1:19">
      <c r="A2597" s="103" t="s">
        <v>4422</v>
      </c>
      <c r="B2597" s="149" t="str">
        <f>IFERROR(VLOOKUP(Proc[[#This Row],[App]],Table2[],3,0),"open")</f>
        <v>ok</v>
      </c>
      <c r="C2597" s="117" t="s">
        <v>369</v>
      </c>
      <c r="D2597" t="s">
        <v>4518</v>
      </c>
      <c r="E2597" t="s">
        <v>4740</v>
      </c>
      <c r="F2597" s="94" t="s">
        <v>4740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4784</v>
      </c>
      <c r="J2597" s="94" t="b">
        <f>Proc[[#This Row],[Requested]]=Proc[[#This Row],[CurrentParent]]</f>
        <v>1</v>
      </c>
      <c r="K2597" s="144" t="str">
        <f>IF(Proc[[#This Row],[Author]]="Marcela Urrego",VLOOKUP(LEFT(Proc[[#This Row],[Requested]],1),Table3[#All],2,0),VLOOKUP(Proc[[#This Row],[Author]],Table4[],2,0))</f>
        <v>MGF</v>
      </c>
      <c r="L2597" s="125" t="s">
        <v>4894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116</v>
      </c>
      <c r="R2597" s="110" t="s">
        <v>485</v>
      </c>
      <c r="S2597" s="94"/>
    </row>
    <row r="2598" spans="1:19">
      <c r="A2598" s="103" t="s">
        <v>4422</v>
      </c>
      <c r="B2598" s="149" t="str">
        <f>IFERROR(VLOOKUP(Proc[[#This Row],[App]],Table2[],3,0),"open")</f>
        <v>ok</v>
      </c>
      <c r="C2598" s="117" t="s">
        <v>369</v>
      </c>
      <c r="D2598" t="s">
        <v>4519</v>
      </c>
      <c r="E2598" t="s">
        <v>4740</v>
      </c>
      <c r="F2598" s="94" t="s">
        <v>4740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4784</v>
      </c>
      <c r="J2598" s="94" t="b">
        <f>Proc[[#This Row],[Requested]]=Proc[[#This Row],[CurrentParent]]</f>
        <v>1</v>
      </c>
      <c r="K2598" s="144" t="str">
        <f>IF(Proc[[#This Row],[Author]]="Marcela Urrego",VLOOKUP(LEFT(Proc[[#This Row],[Requested]],1),Table3[#All],2,0),VLOOKUP(Proc[[#This Row],[Author]],Table4[],2,0))</f>
        <v>MGF</v>
      </c>
      <c r="L2598" s="125" t="s">
        <v>4894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116</v>
      </c>
      <c r="R2598" s="110" t="s">
        <v>485</v>
      </c>
      <c r="S2598" s="94"/>
    </row>
    <row r="2599" spans="1:19">
      <c r="A2599" s="103" t="s">
        <v>4422</v>
      </c>
      <c r="B2599" s="149" t="str">
        <f>IFERROR(VLOOKUP(Proc[[#This Row],[App]],Table2[],3,0),"open")</f>
        <v>ok</v>
      </c>
      <c r="C2599" s="117" t="s">
        <v>369</v>
      </c>
      <c r="D2599" t="s">
        <v>4520</v>
      </c>
      <c r="E2599" t="s">
        <v>4740</v>
      </c>
      <c r="F2599" s="94" t="s">
        <v>4740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4784</v>
      </c>
      <c r="J2599" s="94" t="b">
        <f>Proc[[#This Row],[Requested]]=Proc[[#This Row],[CurrentParent]]</f>
        <v>1</v>
      </c>
      <c r="K2599" s="144" t="str">
        <f>IF(Proc[[#This Row],[Author]]="Marcela Urrego",VLOOKUP(LEFT(Proc[[#This Row],[Requested]],1),Table3[#All],2,0),VLOOKUP(Proc[[#This Row],[Author]],Table4[],2,0))</f>
        <v>MGF</v>
      </c>
      <c r="L2599" s="125" t="s">
        <v>4894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116</v>
      </c>
      <c r="R2599" s="110" t="s">
        <v>485</v>
      </c>
      <c r="S2599" s="94"/>
    </row>
    <row r="2600" spans="1:19">
      <c r="A2600" s="103" t="s">
        <v>4422</v>
      </c>
      <c r="B2600" s="149" t="str">
        <f>IFERROR(VLOOKUP(Proc[[#This Row],[App]],Table2[],3,0),"open")</f>
        <v>ok</v>
      </c>
      <c r="C2600" s="117" t="s">
        <v>369</v>
      </c>
      <c r="D2600" t="s">
        <v>4521</v>
      </c>
      <c r="E2600" t="s">
        <v>4740</v>
      </c>
      <c r="F2600" s="94" t="s">
        <v>4740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4784</v>
      </c>
      <c r="J2600" s="94" t="b">
        <f>Proc[[#This Row],[Requested]]=Proc[[#This Row],[CurrentParent]]</f>
        <v>1</v>
      </c>
      <c r="K2600" s="144" t="str">
        <f>IF(Proc[[#This Row],[Author]]="Marcela Urrego",VLOOKUP(LEFT(Proc[[#This Row],[Requested]],1),Table3[#All],2,0),VLOOKUP(Proc[[#This Row],[Author]],Table4[],2,0))</f>
        <v>MGF</v>
      </c>
      <c r="L2600" s="125" t="s">
        <v>4894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116</v>
      </c>
      <c r="R2600" s="110" t="s">
        <v>485</v>
      </c>
      <c r="S2600" s="94"/>
    </row>
    <row r="2601" spans="1:19">
      <c r="A2601" s="103" t="s">
        <v>4422</v>
      </c>
      <c r="B2601" s="149" t="str">
        <f>IFERROR(VLOOKUP(Proc[[#This Row],[App]],Table2[],3,0),"open")</f>
        <v>ok</v>
      </c>
      <c r="C2601" s="117" t="s">
        <v>369</v>
      </c>
      <c r="D2601" t="s">
        <v>4522</v>
      </c>
      <c r="E2601" t="s">
        <v>4740</v>
      </c>
      <c r="F2601" s="94" t="s">
        <v>4740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4784</v>
      </c>
      <c r="J2601" s="94" t="b">
        <f>Proc[[#This Row],[Requested]]=Proc[[#This Row],[CurrentParent]]</f>
        <v>1</v>
      </c>
      <c r="K2601" s="144" t="str">
        <f>IF(Proc[[#This Row],[Author]]="Marcela Urrego",VLOOKUP(LEFT(Proc[[#This Row],[Requested]],1),Table3[#All],2,0),VLOOKUP(Proc[[#This Row],[Author]],Table4[],2,0))</f>
        <v>MGF</v>
      </c>
      <c r="L2601" s="125" t="s">
        <v>4894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116</v>
      </c>
      <c r="R2601" s="110" t="s">
        <v>485</v>
      </c>
      <c r="S2601" s="94"/>
    </row>
    <row r="2602" spans="1:19">
      <c r="A2602" s="103" t="s">
        <v>4422</v>
      </c>
      <c r="B2602" s="149" t="str">
        <f>IFERROR(VLOOKUP(Proc[[#This Row],[App]],Table2[],3,0),"open")</f>
        <v>ok</v>
      </c>
      <c r="C2602" s="117" t="s">
        <v>369</v>
      </c>
      <c r="D2602" t="s">
        <v>4523</v>
      </c>
      <c r="E2602" t="s">
        <v>4740</v>
      </c>
      <c r="F2602" s="94" t="s">
        <v>4740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4785</v>
      </c>
      <c r="J2602" s="94" t="b">
        <f>Proc[[#This Row],[Requested]]=Proc[[#This Row],[CurrentParent]]</f>
        <v>1</v>
      </c>
      <c r="K2602" s="144" t="str">
        <f>IF(Proc[[#This Row],[Author]]="Marcela Urrego",VLOOKUP(LEFT(Proc[[#This Row],[Requested]],1),Table3[#All],2,0),VLOOKUP(Proc[[#This Row],[Author]],Table4[],2,0))</f>
        <v>MGF</v>
      </c>
      <c r="L2602" s="125" t="s">
        <v>4894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116</v>
      </c>
      <c r="R2602" s="110" t="s">
        <v>485</v>
      </c>
      <c r="S2602" s="94"/>
    </row>
    <row r="2603" spans="1:19">
      <c r="A2603" s="103" t="s">
        <v>4422</v>
      </c>
      <c r="B2603" s="149" t="str">
        <f>IFERROR(VLOOKUP(Proc[[#This Row],[App]],Table2[],3,0),"open")</f>
        <v>ok</v>
      </c>
      <c r="C2603" s="117" t="s">
        <v>369</v>
      </c>
      <c r="D2603" t="s">
        <v>4524</v>
      </c>
      <c r="E2603" t="s">
        <v>4741</v>
      </c>
      <c r="F2603" s="94" t="s">
        <v>4741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4785</v>
      </c>
      <c r="J2603" s="94" t="b">
        <f>Proc[[#This Row],[Requested]]=Proc[[#This Row],[CurrentParent]]</f>
        <v>1</v>
      </c>
      <c r="K2603" s="144" t="str">
        <f>IF(Proc[[#This Row],[Author]]="Marcela Urrego",VLOOKUP(LEFT(Proc[[#This Row],[Requested]],1),Table3[#All],2,0),VLOOKUP(Proc[[#This Row],[Author]],Table4[],2,0))</f>
        <v>MGF</v>
      </c>
      <c r="L2603" s="125" t="s">
        <v>4894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116</v>
      </c>
      <c r="R2603" s="110" t="s">
        <v>485</v>
      </c>
      <c r="S2603" s="94"/>
    </row>
    <row r="2604" spans="1:19">
      <c r="A2604" s="103" t="s">
        <v>4422</v>
      </c>
      <c r="B2604" s="149" t="str">
        <f>IFERROR(VLOOKUP(Proc[[#This Row],[App]],Table2[],3,0),"open")</f>
        <v>ok</v>
      </c>
      <c r="C2604" s="117" t="s">
        <v>369</v>
      </c>
      <c r="D2604" t="s">
        <v>4525</v>
      </c>
      <c r="E2604" t="s">
        <v>4741</v>
      </c>
      <c r="F2604" s="94" t="s">
        <v>4741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4785</v>
      </c>
      <c r="J2604" s="94" t="b">
        <f>Proc[[#This Row],[Requested]]=Proc[[#This Row],[CurrentParent]]</f>
        <v>1</v>
      </c>
      <c r="K2604" s="144" t="str">
        <f>IF(Proc[[#This Row],[Author]]="Marcela Urrego",VLOOKUP(LEFT(Proc[[#This Row],[Requested]],1),Table3[#All],2,0),VLOOKUP(Proc[[#This Row],[Author]],Table4[],2,0))</f>
        <v>MGF</v>
      </c>
      <c r="L2604" s="125" t="s">
        <v>4894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116</v>
      </c>
      <c r="R2604" s="110" t="s">
        <v>485</v>
      </c>
      <c r="S2604" s="94"/>
    </row>
    <row r="2605" spans="1:19">
      <c r="A2605" s="103" t="s">
        <v>4422</v>
      </c>
      <c r="B2605" s="149" t="str">
        <f>IFERROR(VLOOKUP(Proc[[#This Row],[App]],Table2[],3,0),"open")</f>
        <v>ok</v>
      </c>
      <c r="C2605" s="117" t="s">
        <v>369</v>
      </c>
      <c r="D2605" t="s">
        <v>4526</v>
      </c>
      <c r="E2605" t="s">
        <v>4740</v>
      </c>
      <c r="F2605" s="94" t="s">
        <v>4740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4785</v>
      </c>
      <c r="J2605" s="94" t="b">
        <f>Proc[[#This Row],[Requested]]=Proc[[#This Row],[CurrentParent]]</f>
        <v>1</v>
      </c>
      <c r="K2605" s="144" t="str">
        <f>IF(Proc[[#This Row],[Author]]="Marcela Urrego",VLOOKUP(LEFT(Proc[[#This Row],[Requested]],1),Table3[#All],2,0),VLOOKUP(Proc[[#This Row],[Author]],Table4[],2,0))</f>
        <v>MGF</v>
      </c>
      <c r="L2605" s="125" t="s">
        <v>4894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116</v>
      </c>
      <c r="R2605" s="110" t="s">
        <v>485</v>
      </c>
      <c r="S2605" s="94"/>
    </row>
    <row r="2606" spans="1:19">
      <c r="A2606" s="103" t="s">
        <v>4422</v>
      </c>
      <c r="B2606" s="149" t="str">
        <f>IFERROR(VLOOKUP(Proc[[#This Row],[App]],Table2[],3,0),"open")</f>
        <v>ok</v>
      </c>
      <c r="C2606" s="117" t="s">
        <v>369</v>
      </c>
      <c r="D2606" t="s">
        <v>4527</v>
      </c>
      <c r="E2606" t="s">
        <v>4741</v>
      </c>
      <c r="F2606" s="94" t="s">
        <v>4741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4785</v>
      </c>
      <c r="J2606" s="94" t="b">
        <f>Proc[[#This Row],[Requested]]=Proc[[#This Row],[CurrentParent]]</f>
        <v>1</v>
      </c>
      <c r="K2606" s="144" t="str">
        <f>IF(Proc[[#This Row],[Author]]="Marcela Urrego",VLOOKUP(LEFT(Proc[[#This Row],[Requested]],1),Table3[#All],2,0),VLOOKUP(Proc[[#This Row],[Author]],Table4[],2,0))</f>
        <v>MGF</v>
      </c>
      <c r="L2606" s="125" t="s">
        <v>4894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116</v>
      </c>
      <c r="R2606" s="110" t="s">
        <v>485</v>
      </c>
      <c r="S2606" s="94"/>
    </row>
    <row r="2607" spans="1:19">
      <c r="A2607" s="103" t="s">
        <v>4422</v>
      </c>
      <c r="B2607" s="149" t="str">
        <f>IFERROR(VLOOKUP(Proc[[#This Row],[App]],Table2[],3,0),"open")</f>
        <v>ok</v>
      </c>
      <c r="C2607" s="117" t="s">
        <v>369</v>
      </c>
      <c r="D2607" t="s">
        <v>4528</v>
      </c>
      <c r="E2607" t="s">
        <v>4740</v>
      </c>
      <c r="F2607" s="94" t="s">
        <v>4740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4785</v>
      </c>
      <c r="J2607" s="94" t="b">
        <f>Proc[[#This Row],[Requested]]=Proc[[#This Row],[CurrentParent]]</f>
        <v>1</v>
      </c>
      <c r="K2607" s="144" t="str">
        <f>IF(Proc[[#This Row],[Author]]="Marcela Urrego",VLOOKUP(LEFT(Proc[[#This Row],[Requested]],1),Table3[#All],2,0),VLOOKUP(Proc[[#This Row],[Author]],Table4[],2,0))</f>
        <v>MGF</v>
      </c>
      <c r="L2607" s="125" t="s">
        <v>4894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116</v>
      </c>
      <c r="R2607" s="110" t="s">
        <v>485</v>
      </c>
      <c r="S2607" s="94"/>
    </row>
    <row r="2608" spans="1:19">
      <c r="A2608" s="103" t="s">
        <v>4422</v>
      </c>
      <c r="B2608" s="149" t="str">
        <f>IFERROR(VLOOKUP(Proc[[#This Row],[App]],Table2[],3,0),"open")</f>
        <v>ok</v>
      </c>
      <c r="C2608" s="117" t="s">
        <v>369</v>
      </c>
      <c r="D2608" t="s">
        <v>4529</v>
      </c>
      <c r="E2608" t="s">
        <v>4741</v>
      </c>
      <c r="F2608" s="94" t="s">
        <v>4741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4785</v>
      </c>
      <c r="J2608" s="94" t="b">
        <f>Proc[[#This Row],[Requested]]=Proc[[#This Row],[CurrentParent]]</f>
        <v>1</v>
      </c>
      <c r="K2608" s="144" t="str">
        <f>IF(Proc[[#This Row],[Author]]="Marcela Urrego",VLOOKUP(LEFT(Proc[[#This Row],[Requested]],1),Table3[#All],2,0),VLOOKUP(Proc[[#This Row],[Author]],Table4[],2,0))</f>
        <v>MGF</v>
      </c>
      <c r="L2608" s="125" t="s">
        <v>4894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116</v>
      </c>
      <c r="R2608" s="110" t="s">
        <v>485</v>
      </c>
      <c r="S2608" s="94"/>
    </row>
    <row r="2609" spans="1:19">
      <c r="A2609" s="103" t="s">
        <v>4422</v>
      </c>
      <c r="B2609" s="149" t="str">
        <f>IFERROR(VLOOKUP(Proc[[#This Row],[App]],Table2[],3,0),"open")</f>
        <v>ok</v>
      </c>
      <c r="C2609" s="117" t="s">
        <v>369</v>
      </c>
      <c r="D2609" t="s">
        <v>4530</v>
      </c>
      <c r="E2609" t="s">
        <v>4740</v>
      </c>
      <c r="F2609" s="94" t="s">
        <v>4740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4785</v>
      </c>
      <c r="J2609" s="94" t="b">
        <f>Proc[[#This Row],[Requested]]=Proc[[#This Row],[CurrentParent]]</f>
        <v>1</v>
      </c>
      <c r="K2609" s="144" t="str">
        <f>IF(Proc[[#This Row],[Author]]="Marcela Urrego",VLOOKUP(LEFT(Proc[[#This Row],[Requested]],1),Table3[#All],2,0),VLOOKUP(Proc[[#This Row],[Author]],Table4[],2,0))</f>
        <v>MGF</v>
      </c>
      <c r="L2609" s="125" t="s">
        <v>4894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116</v>
      </c>
      <c r="R2609" s="110" t="s">
        <v>485</v>
      </c>
      <c r="S2609" s="94"/>
    </row>
    <row r="2610" spans="1:19">
      <c r="A2610" s="103" t="s">
        <v>4422</v>
      </c>
      <c r="B2610" s="149" t="str">
        <f>IFERROR(VLOOKUP(Proc[[#This Row],[App]],Table2[],3,0),"open")</f>
        <v>ok</v>
      </c>
      <c r="C2610" s="117" t="s">
        <v>369</v>
      </c>
      <c r="D2610" t="s">
        <v>4531</v>
      </c>
      <c r="E2610" t="s">
        <v>4741</v>
      </c>
      <c r="F2610" s="94" t="s">
        <v>4741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4785</v>
      </c>
      <c r="J2610" s="94" t="b">
        <f>Proc[[#This Row],[Requested]]=Proc[[#This Row],[CurrentParent]]</f>
        <v>1</v>
      </c>
      <c r="K2610" s="144" t="str">
        <f>IF(Proc[[#This Row],[Author]]="Marcela Urrego",VLOOKUP(LEFT(Proc[[#This Row],[Requested]],1),Table3[#All],2,0),VLOOKUP(Proc[[#This Row],[Author]],Table4[],2,0))</f>
        <v>MGF</v>
      </c>
      <c r="L2610" s="125" t="s">
        <v>4894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116</v>
      </c>
      <c r="R2610" s="110" t="s">
        <v>485</v>
      </c>
      <c r="S2610" s="94"/>
    </row>
    <row r="2611" spans="1:19">
      <c r="A2611" s="103" t="s">
        <v>4422</v>
      </c>
      <c r="B2611" s="149" t="str">
        <f>IFERROR(VLOOKUP(Proc[[#This Row],[App]],Table2[],3,0),"open")</f>
        <v>ok</v>
      </c>
      <c r="C2611" s="117" t="s">
        <v>369</v>
      </c>
      <c r="D2611" t="s">
        <v>4532</v>
      </c>
      <c r="E2611" t="s">
        <v>4743</v>
      </c>
      <c r="F2611" s="94" t="s">
        <v>4743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4785</v>
      </c>
      <c r="J2611" s="94" t="b">
        <f>Proc[[#This Row],[Requested]]=Proc[[#This Row],[CurrentParent]]</f>
        <v>1</v>
      </c>
      <c r="K2611" s="144" t="str">
        <f>IF(Proc[[#This Row],[Author]]="Marcela Urrego",VLOOKUP(LEFT(Proc[[#This Row],[Requested]],1),Table3[#All],2,0),VLOOKUP(Proc[[#This Row],[Author]],Table4[],2,0))</f>
        <v>MGF</v>
      </c>
      <c r="L2611" s="125" t="s">
        <v>4894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116</v>
      </c>
      <c r="R2611" s="110" t="s">
        <v>485</v>
      </c>
      <c r="S2611" s="94"/>
    </row>
    <row r="2612" spans="1:19">
      <c r="A2612" s="103" t="s">
        <v>4422</v>
      </c>
      <c r="B2612" s="149" t="str">
        <f>IFERROR(VLOOKUP(Proc[[#This Row],[App]],Table2[],3,0),"open")</f>
        <v>ok</v>
      </c>
      <c r="C2612" s="117" t="s">
        <v>369</v>
      </c>
      <c r="D2612" t="s">
        <v>4533</v>
      </c>
      <c r="E2612" t="s">
        <v>4741</v>
      </c>
      <c r="F2612" s="94" t="s">
        <v>4741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4785</v>
      </c>
      <c r="J2612" s="94" t="b">
        <f>Proc[[#This Row],[Requested]]=Proc[[#This Row],[CurrentParent]]</f>
        <v>1</v>
      </c>
      <c r="K2612" s="144" t="str">
        <f>IF(Proc[[#This Row],[Author]]="Marcela Urrego",VLOOKUP(LEFT(Proc[[#This Row],[Requested]],1),Table3[#All],2,0),VLOOKUP(Proc[[#This Row],[Author]],Table4[],2,0))</f>
        <v>MGF</v>
      </c>
      <c r="L2612" s="125" t="s">
        <v>4894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116</v>
      </c>
      <c r="R2612" s="110" t="s">
        <v>485</v>
      </c>
      <c r="S2612" s="94"/>
    </row>
    <row r="2613" spans="1:19">
      <c r="A2613" s="103" t="s">
        <v>4422</v>
      </c>
      <c r="B2613" s="149" t="str">
        <f>IFERROR(VLOOKUP(Proc[[#This Row],[App]],Table2[],3,0),"open")</f>
        <v>ok</v>
      </c>
      <c r="C2613" s="117" t="s">
        <v>369</v>
      </c>
      <c r="D2613" t="s">
        <v>4534</v>
      </c>
      <c r="E2613" t="s">
        <v>4741</v>
      </c>
      <c r="F2613" s="94" t="s">
        <v>4741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4785</v>
      </c>
      <c r="J2613" s="94" t="b">
        <f>Proc[[#This Row],[Requested]]=Proc[[#This Row],[CurrentParent]]</f>
        <v>1</v>
      </c>
      <c r="K2613" s="144" t="str">
        <f>IF(Proc[[#This Row],[Author]]="Marcela Urrego",VLOOKUP(LEFT(Proc[[#This Row],[Requested]],1),Table3[#All],2,0),VLOOKUP(Proc[[#This Row],[Author]],Table4[],2,0))</f>
        <v>MGF</v>
      </c>
      <c r="L2613" s="125" t="s">
        <v>4894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116</v>
      </c>
      <c r="R2613" s="110" t="s">
        <v>485</v>
      </c>
      <c r="S2613" s="94"/>
    </row>
    <row r="2614" spans="1:19">
      <c r="A2614" s="103" t="s">
        <v>4422</v>
      </c>
      <c r="B2614" s="149" t="str">
        <f>IFERROR(VLOOKUP(Proc[[#This Row],[App]],Table2[],3,0),"open")</f>
        <v>ok</v>
      </c>
      <c r="C2614" s="117" t="s">
        <v>369</v>
      </c>
      <c r="D2614" t="s">
        <v>4535</v>
      </c>
      <c r="E2614" t="s">
        <v>4741</v>
      </c>
      <c r="F2614" s="94" t="s">
        <v>4741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4785</v>
      </c>
      <c r="J2614" s="94" t="b">
        <f>Proc[[#This Row],[Requested]]=Proc[[#This Row],[CurrentParent]]</f>
        <v>1</v>
      </c>
      <c r="K2614" s="144" t="str">
        <f>IF(Proc[[#This Row],[Author]]="Marcela Urrego",VLOOKUP(LEFT(Proc[[#This Row],[Requested]],1),Table3[#All],2,0),VLOOKUP(Proc[[#This Row],[Author]],Table4[],2,0))</f>
        <v>MGF</v>
      </c>
      <c r="L2614" s="125" t="s">
        <v>4894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116</v>
      </c>
      <c r="R2614" s="110" t="s">
        <v>485</v>
      </c>
      <c r="S2614" s="94"/>
    </row>
    <row r="2615" spans="1:19">
      <c r="A2615" s="103" t="s">
        <v>4422</v>
      </c>
      <c r="B2615" s="149" t="str">
        <f>IFERROR(VLOOKUP(Proc[[#This Row],[App]],Table2[],3,0),"open")</f>
        <v>ok</v>
      </c>
      <c r="C2615" s="117" t="s">
        <v>369</v>
      </c>
      <c r="D2615" t="s">
        <v>4536</v>
      </c>
      <c r="E2615" t="s">
        <v>4741</v>
      </c>
      <c r="F2615" s="94" t="s">
        <v>4741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4785</v>
      </c>
      <c r="J2615" s="94" t="b">
        <f>Proc[[#This Row],[Requested]]=Proc[[#This Row],[CurrentParent]]</f>
        <v>1</v>
      </c>
      <c r="K2615" s="144" t="str">
        <f>IF(Proc[[#This Row],[Author]]="Marcela Urrego",VLOOKUP(LEFT(Proc[[#This Row],[Requested]],1),Table3[#All],2,0),VLOOKUP(Proc[[#This Row],[Author]],Table4[],2,0))</f>
        <v>MGF</v>
      </c>
      <c r="L2615" s="125" t="s">
        <v>4894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116</v>
      </c>
      <c r="R2615" s="110" t="s">
        <v>485</v>
      </c>
      <c r="S2615" s="94"/>
    </row>
    <row r="2616" spans="1:19">
      <c r="A2616" s="103" t="s">
        <v>4422</v>
      </c>
      <c r="B2616" s="149" t="str">
        <f>IFERROR(VLOOKUP(Proc[[#This Row],[App]],Table2[],3,0),"open")</f>
        <v>ok</v>
      </c>
      <c r="C2616" s="117" t="s">
        <v>369</v>
      </c>
      <c r="D2616" t="s">
        <v>4537</v>
      </c>
      <c r="E2616" t="s">
        <v>4741</v>
      </c>
      <c r="F2616" s="94" t="s">
        <v>4741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4785</v>
      </c>
      <c r="J2616" s="94" t="b">
        <f>Proc[[#This Row],[Requested]]=Proc[[#This Row],[CurrentParent]]</f>
        <v>1</v>
      </c>
      <c r="K2616" s="144" t="str">
        <f>IF(Proc[[#This Row],[Author]]="Marcela Urrego",VLOOKUP(LEFT(Proc[[#This Row],[Requested]],1),Table3[#All],2,0),VLOOKUP(Proc[[#This Row],[Author]],Table4[],2,0))</f>
        <v>MGF</v>
      </c>
      <c r="L2616" s="125" t="s">
        <v>4894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116</v>
      </c>
      <c r="R2616" s="110" t="s">
        <v>485</v>
      </c>
      <c r="S2616" s="94"/>
    </row>
    <row r="2617" spans="1:19">
      <c r="A2617" s="103" t="s">
        <v>4422</v>
      </c>
      <c r="B2617" s="149" t="str">
        <f>IFERROR(VLOOKUP(Proc[[#This Row],[App]],Table2[],3,0),"open")</f>
        <v>ok</v>
      </c>
      <c r="C2617" s="117" t="s">
        <v>369</v>
      </c>
      <c r="D2617" t="s">
        <v>4538</v>
      </c>
      <c r="E2617" t="s">
        <v>4744</v>
      </c>
      <c r="F2617" s="94" t="s">
        <v>4744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4785</v>
      </c>
      <c r="J2617" s="94" t="b">
        <f>Proc[[#This Row],[Requested]]=Proc[[#This Row],[CurrentParent]]</f>
        <v>1</v>
      </c>
      <c r="K2617" s="144" t="str">
        <f>IF(Proc[[#This Row],[Author]]="Marcela Urrego",VLOOKUP(LEFT(Proc[[#This Row],[Requested]],1),Table3[#All],2,0),VLOOKUP(Proc[[#This Row],[Author]],Table4[],2,0))</f>
        <v>MGF</v>
      </c>
      <c r="L2617" s="125" t="s">
        <v>4894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116</v>
      </c>
      <c r="R2617" s="110" t="s">
        <v>485</v>
      </c>
      <c r="S2617" s="94"/>
    </row>
    <row r="2618" spans="1:19">
      <c r="A2618" s="103" t="s">
        <v>4422</v>
      </c>
      <c r="B2618" s="149" t="str">
        <f>IFERROR(VLOOKUP(Proc[[#This Row],[App]],Table2[],3,0),"open")</f>
        <v>ok</v>
      </c>
      <c r="C2618" s="117" t="s">
        <v>369</v>
      </c>
      <c r="D2618" t="s">
        <v>4539</v>
      </c>
      <c r="E2618" t="s">
        <v>4741</v>
      </c>
      <c r="F2618" s="94" t="s">
        <v>4741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4785</v>
      </c>
      <c r="J2618" s="94" t="b">
        <f>Proc[[#This Row],[Requested]]=Proc[[#This Row],[CurrentParent]]</f>
        <v>1</v>
      </c>
      <c r="K2618" s="144" t="str">
        <f>IF(Proc[[#This Row],[Author]]="Marcela Urrego",VLOOKUP(LEFT(Proc[[#This Row],[Requested]],1),Table3[#All],2,0),VLOOKUP(Proc[[#This Row],[Author]],Table4[],2,0))</f>
        <v>MGF</v>
      </c>
      <c r="L2618" s="125" t="s">
        <v>4894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116</v>
      </c>
      <c r="R2618" s="110" t="s">
        <v>485</v>
      </c>
      <c r="S2618" s="94"/>
    </row>
    <row r="2619" spans="1:19">
      <c r="A2619" s="103" t="s">
        <v>4422</v>
      </c>
      <c r="B2619" s="149" t="str">
        <f>IFERROR(VLOOKUP(Proc[[#This Row],[App]],Table2[],3,0),"open")</f>
        <v>ok</v>
      </c>
      <c r="C2619" s="117" t="s">
        <v>369</v>
      </c>
      <c r="D2619" t="s">
        <v>4540</v>
      </c>
      <c r="E2619" t="s">
        <v>4741</v>
      </c>
      <c r="F2619" s="94" t="s">
        <v>4741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4785</v>
      </c>
      <c r="J2619" s="94" t="b">
        <f>Proc[[#This Row],[Requested]]=Proc[[#This Row],[CurrentParent]]</f>
        <v>1</v>
      </c>
      <c r="K2619" s="144" t="str">
        <f>IF(Proc[[#This Row],[Author]]="Marcela Urrego",VLOOKUP(LEFT(Proc[[#This Row],[Requested]],1),Table3[#All],2,0),VLOOKUP(Proc[[#This Row],[Author]],Table4[],2,0))</f>
        <v>MGF</v>
      </c>
      <c r="L2619" s="125" t="s">
        <v>4894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116</v>
      </c>
      <c r="R2619" s="110" t="s">
        <v>485</v>
      </c>
      <c r="S2619" s="94"/>
    </row>
    <row r="2620" spans="1:19">
      <c r="A2620" s="103" t="s">
        <v>4422</v>
      </c>
      <c r="B2620" s="149" t="str">
        <f>IFERROR(VLOOKUP(Proc[[#This Row],[App]],Table2[],3,0),"open")</f>
        <v>ok</v>
      </c>
      <c r="C2620" s="117" t="s">
        <v>369</v>
      </c>
      <c r="D2620" t="s">
        <v>4541</v>
      </c>
      <c r="E2620" t="s">
        <v>4741</v>
      </c>
      <c r="F2620" s="94" t="s">
        <v>4741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4785</v>
      </c>
      <c r="J2620" s="94" t="b">
        <f>Proc[[#This Row],[Requested]]=Proc[[#This Row],[CurrentParent]]</f>
        <v>1</v>
      </c>
      <c r="K2620" s="144" t="str">
        <f>IF(Proc[[#This Row],[Author]]="Marcela Urrego",VLOOKUP(LEFT(Proc[[#This Row],[Requested]],1),Table3[#All],2,0),VLOOKUP(Proc[[#This Row],[Author]],Table4[],2,0))</f>
        <v>MGF</v>
      </c>
      <c r="L2620" s="125" t="s">
        <v>4894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116</v>
      </c>
      <c r="R2620" s="110" t="s">
        <v>485</v>
      </c>
      <c r="S2620" s="94"/>
    </row>
    <row r="2621" spans="1:19">
      <c r="A2621" s="103" t="s">
        <v>4422</v>
      </c>
      <c r="B2621" s="149" t="str">
        <f>IFERROR(VLOOKUP(Proc[[#This Row],[App]],Table2[],3,0),"open")</f>
        <v>ok</v>
      </c>
      <c r="C2621" s="117" t="s">
        <v>369</v>
      </c>
      <c r="D2621" t="s">
        <v>4542</v>
      </c>
      <c r="E2621" t="s">
        <v>4741</v>
      </c>
      <c r="F2621" s="94" t="s">
        <v>4741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4785</v>
      </c>
      <c r="J2621" s="94" t="b">
        <f>Proc[[#This Row],[Requested]]=Proc[[#This Row],[CurrentParent]]</f>
        <v>1</v>
      </c>
      <c r="K2621" s="144" t="str">
        <f>IF(Proc[[#This Row],[Author]]="Marcela Urrego",VLOOKUP(LEFT(Proc[[#This Row],[Requested]],1),Table3[#All],2,0),VLOOKUP(Proc[[#This Row],[Author]],Table4[],2,0))</f>
        <v>MGF</v>
      </c>
      <c r="L2621" s="125" t="s">
        <v>4894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116</v>
      </c>
      <c r="R2621" s="110" t="s">
        <v>485</v>
      </c>
      <c r="S2621" s="94"/>
    </row>
    <row r="2622" spans="1:19">
      <c r="A2622" s="103" t="s">
        <v>4422</v>
      </c>
      <c r="B2622" s="149" t="str">
        <f>IFERROR(VLOOKUP(Proc[[#This Row],[App]],Table2[],3,0),"open")</f>
        <v>ok</v>
      </c>
      <c r="C2622" s="117" t="s">
        <v>369</v>
      </c>
      <c r="D2622" t="s">
        <v>4543</v>
      </c>
      <c r="E2622" t="s">
        <v>4744</v>
      </c>
      <c r="F2622" s="94" t="s">
        <v>4744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4785</v>
      </c>
      <c r="J2622" s="94" t="b">
        <f>Proc[[#This Row],[Requested]]=Proc[[#This Row],[CurrentParent]]</f>
        <v>1</v>
      </c>
      <c r="K2622" s="144" t="str">
        <f>IF(Proc[[#This Row],[Author]]="Marcela Urrego",VLOOKUP(LEFT(Proc[[#This Row],[Requested]],1),Table3[#All],2,0),VLOOKUP(Proc[[#This Row],[Author]],Table4[],2,0))</f>
        <v>MGF</v>
      </c>
      <c r="L2622" s="125" t="s">
        <v>4894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116</v>
      </c>
      <c r="R2622" s="110" t="s">
        <v>485</v>
      </c>
      <c r="S2622" s="94"/>
    </row>
    <row r="2623" spans="1:19">
      <c r="A2623" s="103" t="s">
        <v>4422</v>
      </c>
      <c r="B2623" s="149" t="str">
        <f>IFERROR(VLOOKUP(Proc[[#This Row],[App]],Table2[],3,0),"open")</f>
        <v>ok</v>
      </c>
      <c r="C2623" s="117" t="s">
        <v>369</v>
      </c>
      <c r="D2623" t="s">
        <v>4544</v>
      </c>
      <c r="E2623" t="s">
        <v>4741</v>
      </c>
      <c r="F2623" s="94" t="s">
        <v>4741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4785</v>
      </c>
      <c r="J2623" s="94" t="b">
        <f>Proc[[#This Row],[Requested]]=Proc[[#This Row],[CurrentParent]]</f>
        <v>1</v>
      </c>
      <c r="K2623" s="144" t="str">
        <f>IF(Proc[[#This Row],[Author]]="Marcela Urrego",VLOOKUP(LEFT(Proc[[#This Row],[Requested]],1),Table3[#All],2,0),VLOOKUP(Proc[[#This Row],[Author]],Table4[],2,0))</f>
        <v>MGF</v>
      </c>
      <c r="L2623" s="125" t="s">
        <v>4894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116</v>
      </c>
      <c r="R2623" s="110" t="s">
        <v>485</v>
      </c>
      <c r="S2623" s="94"/>
    </row>
    <row r="2624" spans="1:19">
      <c r="A2624" s="103" t="s">
        <v>4422</v>
      </c>
      <c r="B2624" s="149" t="str">
        <f>IFERROR(VLOOKUP(Proc[[#This Row],[App]],Table2[],3,0),"open")</f>
        <v>ok</v>
      </c>
      <c r="C2624" s="117" t="s">
        <v>369</v>
      </c>
      <c r="D2624" t="s">
        <v>4545</v>
      </c>
      <c r="E2624" t="s">
        <v>4741</v>
      </c>
      <c r="F2624" s="94" t="s">
        <v>4741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4785</v>
      </c>
      <c r="J2624" s="94" t="b">
        <f>Proc[[#This Row],[Requested]]=Proc[[#This Row],[CurrentParent]]</f>
        <v>1</v>
      </c>
      <c r="K2624" s="144" t="str">
        <f>IF(Proc[[#This Row],[Author]]="Marcela Urrego",VLOOKUP(LEFT(Proc[[#This Row],[Requested]],1),Table3[#All],2,0),VLOOKUP(Proc[[#This Row],[Author]],Table4[],2,0))</f>
        <v>MGF</v>
      </c>
      <c r="L2624" s="125" t="s">
        <v>4894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116</v>
      </c>
      <c r="R2624" s="110" t="s">
        <v>485</v>
      </c>
      <c r="S2624" s="94"/>
    </row>
    <row r="2625" spans="1:19">
      <c r="A2625" s="103" t="s">
        <v>4422</v>
      </c>
      <c r="B2625" s="149" t="str">
        <f>IFERROR(VLOOKUP(Proc[[#This Row],[App]],Table2[],3,0),"open")</f>
        <v>ok</v>
      </c>
      <c r="C2625" s="117" t="s">
        <v>369</v>
      </c>
      <c r="D2625" t="s">
        <v>4546</v>
      </c>
      <c r="E2625" t="s">
        <v>4740</v>
      </c>
      <c r="F2625" s="94" t="s">
        <v>4740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4785</v>
      </c>
      <c r="J2625" s="94" t="b">
        <f>Proc[[#This Row],[Requested]]=Proc[[#This Row],[CurrentParent]]</f>
        <v>1</v>
      </c>
      <c r="K2625" s="144" t="str">
        <f>IF(Proc[[#This Row],[Author]]="Marcela Urrego",VLOOKUP(LEFT(Proc[[#This Row],[Requested]],1),Table3[#All],2,0),VLOOKUP(Proc[[#This Row],[Author]],Table4[],2,0))</f>
        <v>MGF</v>
      </c>
      <c r="L2625" s="125" t="s">
        <v>4894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116</v>
      </c>
      <c r="R2625" s="110" t="s">
        <v>485</v>
      </c>
      <c r="S2625" s="94"/>
    </row>
    <row r="2626" spans="1:19">
      <c r="A2626" s="103" t="s">
        <v>4422</v>
      </c>
      <c r="B2626" s="149" t="str">
        <f>IFERROR(VLOOKUP(Proc[[#This Row],[App]],Table2[],3,0),"open")</f>
        <v>ok</v>
      </c>
      <c r="C2626" s="117" t="s">
        <v>369</v>
      </c>
      <c r="D2626" t="s">
        <v>4547</v>
      </c>
      <c r="E2626" t="s">
        <v>4741</v>
      </c>
      <c r="F2626" s="94" t="s">
        <v>4741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4785</v>
      </c>
      <c r="J2626" s="94" t="b">
        <f>Proc[[#This Row],[Requested]]=Proc[[#This Row],[CurrentParent]]</f>
        <v>1</v>
      </c>
      <c r="K2626" s="144" t="str">
        <f>IF(Proc[[#This Row],[Author]]="Marcela Urrego",VLOOKUP(LEFT(Proc[[#This Row],[Requested]],1),Table3[#All],2,0),VLOOKUP(Proc[[#This Row],[Author]],Table4[],2,0))</f>
        <v>MGF</v>
      </c>
      <c r="L2626" s="125" t="s">
        <v>4894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116</v>
      </c>
      <c r="R2626" s="110" t="s">
        <v>485</v>
      </c>
      <c r="S2626" s="94"/>
    </row>
    <row r="2627" spans="1:19">
      <c r="A2627" s="103" t="s">
        <v>4422</v>
      </c>
      <c r="B2627" s="149" t="str">
        <f>IFERROR(VLOOKUP(Proc[[#This Row],[App]],Table2[],3,0),"open")</f>
        <v>ok</v>
      </c>
      <c r="C2627" s="117" t="s">
        <v>369</v>
      </c>
      <c r="D2627" t="s">
        <v>4548</v>
      </c>
      <c r="E2627" t="s">
        <v>4741</v>
      </c>
      <c r="F2627" s="94" t="s">
        <v>4741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4785</v>
      </c>
      <c r="J2627" s="94" t="b">
        <f>Proc[[#This Row],[Requested]]=Proc[[#This Row],[CurrentParent]]</f>
        <v>1</v>
      </c>
      <c r="K2627" s="144" t="str">
        <f>IF(Proc[[#This Row],[Author]]="Marcela Urrego",VLOOKUP(LEFT(Proc[[#This Row],[Requested]],1),Table3[#All],2,0),VLOOKUP(Proc[[#This Row],[Author]],Table4[],2,0))</f>
        <v>MGF</v>
      </c>
      <c r="L2627" s="125" t="s">
        <v>4894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116</v>
      </c>
      <c r="R2627" s="110" t="s">
        <v>485</v>
      </c>
      <c r="S2627" s="94"/>
    </row>
    <row r="2628" spans="1:19">
      <c r="A2628" s="103" t="s">
        <v>4422</v>
      </c>
      <c r="B2628" s="149" t="str">
        <f>IFERROR(VLOOKUP(Proc[[#This Row],[App]],Table2[],3,0),"open")</f>
        <v>ok</v>
      </c>
      <c r="C2628" s="117" t="s">
        <v>369</v>
      </c>
      <c r="D2628" t="s">
        <v>4549</v>
      </c>
      <c r="E2628" t="s">
        <v>4743</v>
      </c>
      <c r="F2628" s="94" t="s">
        <v>4743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4785</v>
      </c>
      <c r="J2628" s="94" t="b">
        <f>Proc[[#This Row],[Requested]]=Proc[[#This Row],[CurrentParent]]</f>
        <v>1</v>
      </c>
      <c r="K2628" s="144" t="str">
        <f>IF(Proc[[#This Row],[Author]]="Marcela Urrego",VLOOKUP(LEFT(Proc[[#This Row],[Requested]],1),Table3[#All],2,0),VLOOKUP(Proc[[#This Row],[Author]],Table4[],2,0))</f>
        <v>MGF</v>
      </c>
      <c r="L2628" s="125" t="s">
        <v>4894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116</v>
      </c>
      <c r="R2628" s="110" t="s">
        <v>485</v>
      </c>
      <c r="S2628" s="94"/>
    </row>
    <row r="2629" spans="1:19">
      <c r="A2629" s="103" t="s">
        <v>4422</v>
      </c>
      <c r="B2629" s="149" t="str">
        <f>IFERROR(VLOOKUP(Proc[[#This Row],[App]],Table2[],3,0),"open")</f>
        <v>ok</v>
      </c>
      <c r="C2629" s="117" t="s">
        <v>369</v>
      </c>
      <c r="D2629" t="s">
        <v>4550</v>
      </c>
      <c r="E2629" t="s">
        <v>4741</v>
      </c>
      <c r="F2629" s="94" t="s">
        <v>4741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4785</v>
      </c>
      <c r="J2629" s="94" t="b">
        <f>Proc[[#This Row],[Requested]]=Proc[[#This Row],[CurrentParent]]</f>
        <v>1</v>
      </c>
      <c r="K2629" s="144" t="str">
        <f>IF(Proc[[#This Row],[Author]]="Marcela Urrego",VLOOKUP(LEFT(Proc[[#This Row],[Requested]],1),Table3[#All],2,0),VLOOKUP(Proc[[#This Row],[Author]],Table4[],2,0))</f>
        <v>MGF</v>
      </c>
      <c r="L2629" s="125" t="s">
        <v>4894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116</v>
      </c>
      <c r="R2629" s="110" t="s">
        <v>485</v>
      </c>
      <c r="S2629" s="94"/>
    </row>
    <row r="2630" spans="1:19">
      <c r="A2630" s="103" t="s">
        <v>4422</v>
      </c>
      <c r="B2630" s="149" t="str">
        <f>IFERROR(VLOOKUP(Proc[[#This Row],[App]],Table2[],3,0),"open")</f>
        <v>ok</v>
      </c>
      <c r="C2630" s="117" t="s">
        <v>369</v>
      </c>
      <c r="D2630" t="s">
        <v>4551</v>
      </c>
      <c r="E2630" t="s">
        <v>4741</v>
      </c>
      <c r="F2630" s="94" t="s">
        <v>4741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4785</v>
      </c>
      <c r="J2630" s="94" t="b">
        <f>Proc[[#This Row],[Requested]]=Proc[[#This Row],[CurrentParent]]</f>
        <v>1</v>
      </c>
      <c r="K2630" s="144" t="str">
        <f>IF(Proc[[#This Row],[Author]]="Marcela Urrego",VLOOKUP(LEFT(Proc[[#This Row],[Requested]],1),Table3[#All],2,0),VLOOKUP(Proc[[#This Row],[Author]],Table4[],2,0))</f>
        <v>MGF</v>
      </c>
      <c r="L2630" s="125" t="s">
        <v>4894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116</v>
      </c>
      <c r="R2630" s="110" t="s">
        <v>485</v>
      </c>
      <c r="S2630" s="94"/>
    </row>
    <row r="2631" spans="1:19">
      <c r="A2631" s="103" t="s">
        <v>4422</v>
      </c>
      <c r="B2631" s="149" t="str">
        <f>IFERROR(VLOOKUP(Proc[[#This Row],[App]],Table2[],3,0),"open")</f>
        <v>ok</v>
      </c>
      <c r="C2631" s="117" t="s">
        <v>369</v>
      </c>
      <c r="D2631" t="s">
        <v>4552</v>
      </c>
      <c r="E2631" t="s">
        <v>4741</v>
      </c>
      <c r="F2631" s="94" t="s">
        <v>4741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4785</v>
      </c>
      <c r="J2631" s="94" t="b">
        <f>Proc[[#This Row],[Requested]]=Proc[[#This Row],[CurrentParent]]</f>
        <v>1</v>
      </c>
      <c r="K2631" s="144" t="str">
        <f>IF(Proc[[#This Row],[Author]]="Marcela Urrego",VLOOKUP(LEFT(Proc[[#This Row],[Requested]],1),Table3[#All],2,0),VLOOKUP(Proc[[#This Row],[Author]],Table4[],2,0))</f>
        <v>MGF</v>
      </c>
      <c r="L2631" s="125" t="s">
        <v>4894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116</v>
      </c>
      <c r="R2631" s="110" t="s">
        <v>485</v>
      </c>
      <c r="S2631" s="94"/>
    </row>
    <row r="2632" spans="1:19">
      <c r="A2632" s="103" t="s">
        <v>4422</v>
      </c>
      <c r="B2632" s="149" t="str">
        <f>IFERROR(VLOOKUP(Proc[[#This Row],[App]],Table2[],3,0),"open")</f>
        <v>ok</v>
      </c>
      <c r="C2632" s="117" t="s">
        <v>369</v>
      </c>
      <c r="D2632" t="s">
        <v>4553</v>
      </c>
      <c r="E2632" t="s">
        <v>4743</v>
      </c>
      <c r="F2632" s="94" t="s">
        <v>4743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4785</v>
      </c>
      <c r="J2632" s="94" t="b">
        <f>Proc[[#This Row],[Requested]]=Proc[[#This Row],[CurrentParent]]</f>
        <v>1</v>
      </c>
      <c r="K2632" s="144" t="str">
        <f>IF(Proc[[#This Row],[Author]]="Marcela Urrego",VLOOKUP(LEFT(Proc[[#This Row],[Requested]],1),Table3[#All],2,0),VLOOKUP(Proc[[#This Row],[Author]],Table4[],2,0))</f>
        <v>MGF</v>
      </c>
      <c r="L2632" s="125" t="s">
        <v>4894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116</v>
      </c>
      <c r="R2632" s="110" t="s">
        <v>485</v>
      </c>
      <c r="S2632" s="94"/>
    </row>
    <row r="2633" spans="1:19">
      <c r="A2633" s="103" t="s">
        <v>4422</v>
      </c>
      <c r="B2633" s="149" t="str">
        <f>IFERROR(VLOOKUP(Proc[[#This Row],[App]],Table2[],3,0),"open")</f>
        <v>ok</v>
      </c>
      <c r="C2633" s="117" t="s">
        <v>369</v>
      </c>
      <c r="D2633" t="s">
        <v>4554</v>
      </c>
      <c r="E2633" t="s">
        <v>4743</v>
      </c>
      <c r="F2633" s="94" t="s">
        <v>4743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4785</v>
      </c>
      <c r="J2633" s="94" t="b">
        <f>Proc[[#This Row],[Requested]]=Proc[[#This Row],[CurrentParent]]</f>
        <v>1</v>
      </c>
      <c r="K2633" s="144" t="str">
        <f>IF(Proc[[#This Row],[Author]]="Marcela Urrego",VLOOKUP(LEFT(Proc[[#This Row],[Requested]],1),Table3[#All],2,0),VLOOKUP(Proc[[#This Row],[Author]],Table4[],2,0))</f>
        <v>MGF</v>
      </c>
      <c r="L2633" s="125" t="s">
        <v>4894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116</v>
      </c>
      <c r="R2633" s="110" t="s">
        <v>485</v>
      </c>
      <c r="S2633" s="94"/>
    </row>
    <row r="2634" spans="1:19">
      <c r="A2634" s="103" t="s">
        <v>4422</v>
      </c>
      <c r="B2634" s="149" t="str">
        <f>IFERROR(VLOOKUP(Proc[[#This Row],[App]],Table2[],3,0),"open")</f>
        <v>ok</v>
      </c>
      <c r="C2634" s="117" t="s">
        <v>369</v>
      </c>
      <c r="D2634" t="s">
        <v>4555</v>
      </c>
      <c r="E2634" t="s">
        <v>4744</v>
      </c>
      <c r="F2634" s="94" t="s">
        <v>4744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4785</v>
      </c>
      <c r="J2634" s="94" t="b">
        <f>Proc[[#This Row],[Requested]]=Proc[[#This Row],[CurrentParent]]</f>
        <v>1</v>
      </c>
      <c r="K2634" s="144" t="str">
        <f>IF(Proc[[#This Row],[Author]]="Marcela Urrego",VLOOKUP(LEFT(Proc[[#This Row],[Requested]],1),Table3[#All],2,0),VLOOKUP(Proc[[#This Row],[Author]],Table4[],2,0))</f>
        <v>MGF</v>
      </c>
      <c r="L2634" s="125" t="s">
        <v>4894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116</v>
      </c>
      <c r="R2634" s="110" t="s">
        <v>485</v>
      </c>
      <c r="S2634" s="94"/>
    </row>
    <row r="2635" spans="1:19">
      <c r="A2635" s="103" t="s">
        <v>4422</v>
      </c>
      <c r="B2635" s="149" t="str">
        <f>IFERROR(VLOOKUP(Proc[[#This Row],[App]],Table2[],3,0),"open")</f>
        <v>ok</v>
      </c>
      <c r="C2635" s="117" t="s">
        <v>369</v>
      </c>
      <c r="D2635" t="s">
        <v>4556</v>
      </c>
      <c r="E2635" t="s">
        <v>4744</v>
      </c>
      <c r="F2635" s="94" t="s">
        <v>4744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4785</v>
      </c>
      <c r="J2635" s="94" t="b">
        <f>Proc[[#This Row],[Requested]]=Proc[[#This Row],[CurrentParent]]</f>
        <v>1</v>
      </c>
      <c r="K2635" s="144" t="str">
        <f>IF(Proc[[#This Row],[Author]]="Marcela Urrego",VLOOKUP(LEFT(Proc[[#This Row],[Requested]],1),Table3[#All],2,0),VLOOKUP(Proc[[#This Row],[Author]],Table4[],2,0))</f>
        <v>MGF</v>
      </c>
      <c r="L2635" s="125" t="s">
        <v>4894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116</v>
      </c>
      <c r="R2635" s="110" t="s">
        <v>485</v>
      </c>
      <c r="S2635" s="94"/>
    </row>
    <row r="2636" spans="1:19">
      <c r="A2636" s="103" t="s">
        <v>4422</v>
      </c>
      <c r="B2636" s="149" t="str">
        <f>IFERROR(VLOOKUP(Proc[[#This Row],[App]],Table2[],3,0),"open")</f>
        <v>ok</v>
      </c>
      <c r="C2636" s="117" t="s">
        <v>369</v>
      </c>
      <c r="D2636" t="s">
        <v>4557</v>
      </c>
      <c r="E2636" t="s">
        <v>4744</v>
      </c>
      <c r="F2636" s="94" t="s">
        <v>4744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4785</v>
      </c>
      <c r="J2636" s="94" t="b">
        <f>Proc[[#This Row],[Requested]]=Proc[[#This Row],[CurrentParent]]</f>
        <v>1</v>
      </c>
      <c r="K2636" s="144" t="str">
        <f>IF(Proc[[#This Row],[Author]]="Marcela Urrego",VLOOKUP(LEFT(Proc[[#This Row],[Requested]],1),Table3[#All],2,0),VLOOKUP(Proc[[#This Row],[Author]],Table4[],2,0))</f>
        <v>MGF</v>
      </c>
      <c r="L2636" s="125" t="s">
        <v>4894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116</v>
      </c>
      <c r="R2636" s="110" t="s">
        <v>485</v>
      </c>
      <c r="S2636" s="94"/>
    </row>
    <row r="2637" spans="1:19">
      <c r="A2637" s="103" t="s">
        <v>4422</v>
      </c>
      <c r="B2637" s="149" t="str">
        <f>IFERROR(VLOOKUP(Proc[[#This Row],[App]],Table2[],3,0),"open")</f>
        <v>ok</v>
      </c>
      <c r="C2637" s="117" t="s">
        <v>369</v>
      </c>
      <c r="D2637" t="s">
        <v>4558</v>
      </c>
      <c r="E2637" t="s">
        <v>4741</v>
      </c>
      <c r="F2637" s="94" t="s">
        <v>4741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4785</v>
      </c>
      <c r="J2637" s="94" t="b">
        <f>Proc[[#This Row],[Requested]]=Proc[[#This Row],[CurrentParent]]</f>
        <v>1</v>
      </c>
      <c r="K2637" s="144" t="str">
        <f>IF(Proc[[#This Row],[Author]]="Marcela Urrego",VLOOKUP(LEFT(Proc[[#This Row],[Requested]],1),Table3[#All],2,0),VLOOKUP(Proc[[#This Row],[Author]],Table4[],2,0))</f>
        <v>MGF</v>
      </c>
      <c r="L2637" s="125" t="s">
        <v>4894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116</v>
      </c>
      <c r="R2637" s="110" t="s">
        <v>485</v>
      </c>
      <c r="S2637" s="94"/>
    </row>
    <row r="2638" spans="1:19">
      <c r="A2638" s="103" t="s">
        <v>4422</v>
      </c>
      <c r="B2638" s="149" t="str">
        <f>IFERROR(VLOOKUP(Proc[[#This Row],[App]],Table2[],3,0),"open")</f>
        <v>ok</v>
      </c>
      <c r="C2638" s="117" t="s">
        <v>369</v>
      </c>
      <c r="D2638" t="s">
        <v>4559</v>
      </c>
      <c r="E2638" t="s">
        <v>4741</v>
      </c>
      <c r="F2638" s="94" t="s">
        <v>4741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4785</v>
      </c>
      <c r="J2638" s="94" t="b">
        <f>Proc[[#This Row],[Requested]]=Proc[[#This Row],[CurrentParent]]</f>
        <v>1</v>
      </c>
      <c r="K2638" s="144" t="str">
        <f>IF(Proc[[#This Row],[Author]]="Marcela Urrego",VLOOKUP(LEFT(Proc[[#This Row],[Requested]],1),Table3[#All],2,0),VLOOKUP(Proc[[#This Row],[Author]],Table4[],2,0))</f>
        <v>MGF</v>
      </c>
      <c r="L2638" s="125" t="s">
        <v>4894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116</v>
      </c>
      <c r="R2638" s="110" t="s">
        <v>485</v>
      </c>
      <c r="S2638" s="94"/>
    </row>
    <row r="2639" spans="1:19">
      <c r="A2639" s="103" t="s">
        <v>4422</v>
      </c>
      <c r="B2639" s="149" t="str">
        <f>IFERROR(VLOOKUP(Proc[[#This Row],[App]],Table2[],3,0),"open")</f>
        <v>ok</v>
      </c>
      <c r="C2639" s="117" t="s">
        <v>369</v>
      </c>
      <c r="D2639" t="s">
        <v>4560</v>
      </c>
      <c r="E2639" t="s">
        <v>4743</v>
      </c>
      <c r="F2639" s="94" t="s">
        <v>4743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4785</v>
      </c>
      <c r="J2639" s="94" t="b">
        <f>Proc[[#This Row],[Requested]]=Proc[[#This Row],[CurrentParent]]</f>
        <v>1</v>
      </c>
      <c r="K2639" s="144" t="str">
        <f>IF(Proc[[#This Row],[Author]]="Marcela Urrego",VLOOKUP(LEFT(Proc[[#This Row],[Requested]],1),Table3[#All],2,0),VLOOKUP(Proc[[#This Row],[Author]],Table4[],2,0))</f>
        <v>MGF</v>
      </c>
      <c r="L2639" s="125" t="s">
        <v>4894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116</v>
      </c>
      <c r="R2639" s="110" t="s">
        <v>485</v>
      </c>
      <c r="S2639" s="94"/>
    </row>
    <row r="2640" spans="1:19">
      <c r="A2640" s="103" t="s">
        <v>4422</v>
      </c>
      <c r="B2640" s="149" t="str">
        <f>IFERROR(VLOOKUP(Proc[[#This Row],[App]],Table2[],3,0),"open")</f>
        <v>ok</v>
      </c>
      <c r="C2640" s="117" t="s">
        <v>369</v>
      </c>
      <c r="D2640" t="s">
        <v>4561</v>
      </c>
      <c r="E2640" t="s">
        <v>4743</v>
      </c>
      <c r="F2640" s="94" t="s">
        <v>4743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4785</v>
      </c>
      <c r="J2640" s="94" t="b">
        <f>Proc[[#This Row],[Requested]]=Proc[[#This Row],[CurrentParent]]</f>
        <v>1</v>
      </c>
      <c r="K2640" s="144" t="str">
        <f>IF(Proc[[#This Row],[Author]]="Marcela Urrego",VLOOKUP(LEFT(Proc[[#This Row],[Requested]],1),Table3[#All],2,0),VLOOKUP(Proc[[#This Row],[Author]],Table4[],2,0))</f>
        <v>MGF</v>
      </c>
      <c r="L2640" s="125" t="s">
        <v>4894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116</v>
      </c>
      <c r="R2640" s="110" t="s">
        <v>485</v>
      </c>
      <c r="S2640" s="94"/>
    </row>
    <row r="2641" spans="1:19">
      <c r="A2641" s="103" t="s">
        <v>4422</v>
      </c>
      <c r="B2641" s="149" t="str">
        <f>IFERROR(VLOOKUP(Proc[[#This Row],[App]],Table2[],3,0),"open")</f>
        <v>ok</v>
      </c>
      <c r="C2641" s="117" t="s">
        <v>369</v>
      </c>
      <c r="D2641" t="s">
        <v>4562</v>
      </c>
      <c r="E2641" t="s">
        <v>4743</v>
      </c>
      <c r="F2641" s="94" t="s">
        <v>4743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4785</v>
      </c>
      <c r="J2641" s="94" t="b">
        <f>Proc[[#This Row],[Requested]]=Proc[[#This Row],[CurrentParent]]</f>
        <v>1</v>
      </c>
      <c r="K2641" s="144" t="str">
        <f>IF(Proc[[#This Row],[Author]]="Marcela Urrego",VLOOKUP(LEFT(Proc[[#This Row],[Requested]],1),Table3[#All],2,0),VLOOKUP(Proc[[#This Row],[Author]],Table4[],2,0))</f>
        <v>MGF</v>
      </c>
      <c r="L2641" s="125" t="s">
        <v>4894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116</v>
      </c>
      <c r="R2641" s="110" t="s">
        <v>485</v>
      </c>
      <c r="S2641" s="94"/>
    </row>
    <row r="2642" spans="1:19">
      <c r="A2642" s="103" t="s">
        <v>4422</v>
      </c>
      <c r="B2642" s="149" t="str">
        <f>IFERROR(VLOOKUP(Proc[[#This Row],[App]],Table2[],3,0),"open")</f>
        <v>ok</v>
      </c>
      <c r="C2642" s="117" t="s">
        <v>369</v>
      </c>
      <c r="D2642" t="s">
        <v>4563</v>
      </c>
      <c r="E2642" t="s">
        <v>4743</v>
      </c>
      <c r="F2642" s="94" t="s">
        <v>4743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4785</v>
      </c>
      <c r="J2642" s="94" t="b">
        <f>Proc[[#This Row],[Requested]]=Proc[[#This Row],[CurrentParent]]</f>
        <v>1</v>
      </c>
      <c r="K2642" s="144" t="str">
        <f>IF(Proc[[#This Row],[Author]]="Marcela Urrego",VLOOKUP(LEFT(Proc[[#This Row],[Requested]],1),Table3[#All],2,0),VLOOKUP(Proc[[#This Row],[Author]],Table4[],2,0))</f>
        <v>MGF</v>
      </c>
      <c r="L2642" s="125" t="s">
        <v>4894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116</v>
      </c>
      <c r="R2642" s="110" t="s">
        <v>485</v>
      </c>
      <c r="S2642" s="94"/>
    </row>
    <row r="2643" spans="1:19">
      <c r="A2643" s="103" t="s">
        <v>4422</v>
      </c>
      <c r="B2643" s="149" t="str">
        <f>IFERROR(VLOOKUP(Proc[[#This Row],[App]],Table2[],3,0),"open")</f>
        <v>ok</v>
      </c>
      <c r="C2643" s="117" t="s">
        <v>369</v>
      </c>
      <c r="D2643" t="s">
        <v>4564</v>
      </c>
      <c r="E2643" t="s">
        <v>4741</v>
      </c>
      <c r="F2643" s="94" t="s">
        <v>4741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4785</v>
      </c>
      <c r="J2643" s="94" t="b">
        <f>Proc[[#This Row],[Requested]]=Proc[[#This Row],[CurrentParent]]</f>
        <v>1</v>
      </c>
      <c r="K2643" s="144" t="str">
        <f>IF(Proc[[#This Row],[Author]]="Marcela Urrego",VLOOKUP(LEFT(Proc[[#This Row],[Requested]],1),Table3[#All],2,0),VLOOKUP(Proc[[#This Row],[Author]],Table4[],2,0))</f>
        <v>MGF</v>
      </c>
      <c r="L2643" s="125" t="s">
        <v>4894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116</v>
      </c>
      <c r="R2643" s="110" t="s">
        <v>485</v>
      </c>
      <c r="S2643" s="94"/>
    </row>
    <row r="2644" spans="1:19">
      <c r="A2644" s="103" t="s">
        <v>4422</v>
      </c>
      <c r="B2644" s="149" t="str">
        <f>IFERROR(VLOOKUP(Proc[[#This Row],[App]],Table2[],3,0),"open")</f>
        <v>ok</v>
      </c>
      <c r="C2644" s="117" t="s">
        <v>369</v>
      </c>
      <c r="D2644" t="s">
        <v>4565</v>
      </c>
      <c r="E2644" t="s">
        <v>4741</v>
      </c>
      <c r="F2644" s="94" t="s">
        <v>4741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4785</v>
      </c>
      <c r="J2644" s="94" t="b">
        <f>Proc[[#This Row],[Requested]]=Proc[[#This Row],[CurrentParent]]</f>
        <v>1</v>
      </c>
      <c r="K2644" s="144" t="str">
        <f>IF(Proc[[#This Row],[Author]]="Marcela Urrego",VLOOKUP(LEFT(Proc[[#This Row],[Requested]],1),Table3[#All],2,0),VLOOKUP(Proc[[#This Row],[Author]],Table4[],2,0))</f>
        <v>MGF</v>
      </c>
      <c r="L2644" s="125" t="s">
        <v>4894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116</v>
      </c>
      <c r="R2644" s="110" t="s">
        <v>485</v>
      </c>
      <c r="S2644" s="94"/>
    </row>
    <row r="2645" spans="1:19">
      <c r="A2645" s="103" t="s">
        <v>4422</v>
      </c>
      <c r="B2645" s="149" t="str">
        <f>IFERROR(VLOOKUP(Proc[[#This Row],[App]],Table2[],3,0),"open")</f>
        <v>ok</v>
      </c>
      <c r="C2645" s="117" t="s">
        <v>369</v>
      </c>
      <c r="D2645" t="s">
        <v>4566</v>
      </c>
      <c r="E2645" t="s">
        <v>4741</v>
      </c>
      <c r="F2645" s="94" t="s">
        <v>4741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4785</v>
      </c>
      <c r="J2645" s="94" t="b">
        <f>Proc[[#This Row],[Requested]]=Proc[[#This Row],[CurrentParent]]</f>
        <v>1</v>
      </c>
      <c r="K2645" s="144" t="str">
        <f>IF(Proc[[#This Row],[Author]]="Marcela Urrego",VLOOKUP(LEFT(Proc[[#This Row],[Requested]],1),Table3[#All],2,0),VLOOKUP(Proc[[#This Row],[Author]],Table4[],2,0))</f>
        <v>MGF</v>
      </c>
      <c r="L2645" s="125" t="s">
        <v>4894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116</v>
      </c>
      <c r="R2645" s="110" t="s">
        <v>485</v>
      </c>
      <c r="S2645" s="94"/>
    </row>
    <row r="2646" spans="1:19">
      <c r="A2646" s="103" t="s">
        <v>4422</v>
      </c>
      <c r="B2646" s="149" t="str">
        <f>IFERROR(VLOOKUP(Proc[[#This Row],[App]],Table2[],3,0),"open")</f>
        <v>ok</v>
      </c>
      <c r="C2646" s="117" t="s">
        <v>369</v>
      </c>
      <c r="D2646" t="s">
        <v>4567</v>
      </c>
      <c r="E2646" t="s">
        <v>4741</v>
      </c>
      <c r="F2646" s="94" t="s">
        <v>4741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4785</v>
      </c>
      <c r="J2646" s="94" t="b">
        <f>Proc[[#This Row],[Requested]]=Proc[[#This Row],[CurrentParent]]</f>
        <v>1</v>
      </c>
      <c r="K2646" s="144" t="str">
        <f>IF(Proc[[#This Row],[Author]]="Marcela Urrego",VLOOKUP(LEFT(Proc[[#This Row],[Requested]],1),Table3[#All],2,0),VLOOKUP(Proc[[#This Row],[Author]],Table4[],2,0))</f>
        <v>MGF</v>
      </c>
      <c r="L2646" s="125" t="s">
        <v>4894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116</v>
      </c>
      <c r="R2646" s="110" t="s">
        <v>485</v>
      </c>
      <c r="S2646" s="94"/>
    </row>
    <row r="2647" spans="1:19">
      <c r="A2647" s="103" t="s">
        <v>4422</v>
      </c>
      <c r="B2647" s="149" t="str">
        <f>IFERROR(VLOOKUP(Proc[[#This Row],[App]],Table2[],3,0),"open")</f>
        <v>ok</v>
      </c>
      <c r="C2647" s="117" t="s">
        <v>369</v>
      </c>
      <c r="D2647" t="s">
        <v>4568</v>
      </c>
      <c r="E2647" t="s">
        <v>4743</v>
      </c>
      <c r="F2647" s="94" t="s">
        <v>4743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4785</v>
      </c>
      <c r="J2647" s="94" t="b">
        <f>Proc[[#This Row],[Requested]]=Proc[[#This Row],[CurrentParent]]</f>
        <v>1</v>
      </c>
      <c r="K2647" s="144" t="str">
        <f>IF(Proc[[#This Row],[Author]]="Marcela Urrego",VLOOKUP(LEFT(Proc[[#This Row],[Requested]],1),Table3[#All],2,0),VLOOKUP(Proc[[#This Row],[Author]],Table4[],2,0))</f>
        <v>MGF</v>
      </c>
      <c r="L2647" s="125" t="s">
        <v>4894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116</v>
      </c>
      <c r="R2647" s="110" t="s">
        <v>485</v>
      </c>
      <c r="S2647" s="94"/>
    </row>
    <row r="2648" spans="1:19">
      <c r="A2648" s="103" t="s">
        <v>4422</v>
      </c>
      <c r="B2648" s="149" t="str">
        <f>IFERROR(VLOOKUP(Proc[[#This Row],[App]],Table2[],3,0),"open")</f>
        <v>ok</v>
      </c>
      <c r="C2648" s="117" t="s">
        <v>369</v>
      </c>
      <c r="D2648" t="s">
        <v>4569</v>
      </c>
      <c r="E2648" t="s">
        <v>4744</v>
      </c>
      <c r="F2648" s="94" t="s">
        <v>4744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4785</v>
      </c>
      <c r="J2648" s="94" t="b">
        <f>Proc[[#This Row],[Requested]]=Proc[[#This Row],[CurrentParent]]</f>
        <v>1</v>
      </c>
      <c r="K2648" s="144" t="str">
        <f>IF(Proc[[#This Row],[Author]]="Marcela Urrego",VLOOKUP(LEFT(Proc[[#This Row],[Requested]],1),Table3[#All],2,0),VLOOKUP(Proc[[#This Row],[Author]],Table4[],2,0))</f>
        <v>MGF</v>
      </c>
      <c r="L2648" s="125" t="s">
        <v>4894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116</v>
      </c>
      <c r="R2648" s="110" t="s">
        <v>485</v>
      </c>
      <c r="S2648" s="94"/>
    </row>
    <row r="2649" spans="1:19">
      <c r="A2649" s="103" t="s">
        <v>4422</v>
      </c>
      <c r="B2649" s="149" t="str">
        <f>IFERROR(VLOOKUP(Proc[[#This Row],[App]],Table2[],3,0),"open")</f>
        <v>ok</v>
      </c>
      <c r="C2649" s="117" t="s">
        <v>369</v>
      </c>
      <c r="D2649" t="s">
        <v>4570</v>
      </c>
      <c r="E2649" t="s">
        <v>4744</v>
      </c>
      <c r="F2649" s="94" t="s">
        <v>4744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4785</v>
      </c>
      <c r="J2649" s="94" t="b">
        <f>Proc[[#This Row],[Requested]]=Proc[[#This Row],[CurrentParent]]</f>
        <v>1</v>
      </c>
      <c r="K2649" s="144" t="str">
        <f>IF(Proc[[#This Row],[Author]]="Marcela Urrego",VLOOKUP(LEFT(Proc[[#This Row],[Requested]],1),Table3[#All],2,0),VLOOKUP(Proc[[#This Row],[Author]],Table4[],2,0))</f>
        <v>MGF</v>
      </c>
      <c r="L2649" s="125" t="s">
        <v>4894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116</v>
      </c>
      <c r="R2649" s="110" t="s">
        <v>485</v>
      </c>
      <c r="S2649" s="94"/>
    </row>
    <row r="2650" spans="1:19">
      <c r="A2650" s="103" t="s">
        <v>4422</v>
      </c>
      <c r="B2650" s="149" t="str">
        <f>IFERROR(VLOOKUP(Proc[[#This Row],[App]],Table2[],3,0),"open")</f>
        <v>ok</v>
      </c>
      <c r="C2650" s="117" t="s">
        <v>369</v>
      </c>
      <c r="D2650" t="s">
        <v>4571</v>
      </c>
      <c r="E2650" t="s">
        <v>4744</v>
      </c>
      <c r="F2650" s="94" t="s">
        <v>4744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4785</v>
      </c>
      <c r="J2650" s="94" t="b">
        <f>Proc[[#This Row],[Requested]]=Proc[[#This Row],[CurrentParent]]</f>
        <v>1</v>
      </c>
      <c r="K2650" s="144" t="str">
        <f>IF(Proc[[#This Row],[Author]]="Marcela Urrego",VLOOKUP(LEFT(Proc[[#This Row],[Requested]],1),Table3[#All],2,0),VLOOKUP(Proc[[#This Row],[Author]],Table4[],2,0))</f>
        <v>MGF</v>
      </c>
      <c r="L2650" s="125" t="s">
        <v>4894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116</v>
      </c>
      <c r="R2650" s="110" t="s">
        <v>485</v>
      </c>
      <c r="S2650" s="94"/>
    </row>
    <row r="2651" spans="1:19">
      <c r="A2651" s="103" t="s">
        <v>4422</v>
      </c>
      <c r="B2651" s="149" t="str">
        <f>IFERROR(VLOOKUP(Proc[[#This Row],[App]],Table2[],3,0),"open")</f>
        <v>ok</v>
      </c>
      <c r="C2651" s="117" t="s">
        <v>369</v>
      </c>
      <c r="D2651" t="s">
        <v>4572</v>
      </c>
      <c r="E2651" t="s">
        <v>4744</v>
      </c>
      <c r="F2651" s="94" t="s">
        <v>4744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4785</v>
      </c>
      <c r="J2651" s="94" t="b">
        <f>Proc[[#This Row],[Requested]]=Proc[[#This Row],[CurrentParent]]</f>
        <v>1</v>
      </c>
      <c r="K2651" s="144" t="str">
        <f>IF(Proc[[#This Row],[Author]]="Marcela Urrego",VLOOKUP(LEFT(Proc[[#This Row],[Requested]],1),Table3[#All],2,0),VLOOKUP(Proc[[#This Row],[Author]],Table4[],2,0))</f>
        <v>MGF</v>
      </c>
      <c r="L2651" s="125" t="s">
        <v>4894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116</v>
      </c>
      <c r="R2651" s="110" t="s">
        <v>485</v>
      </c>
      <c r="S2651" s="94"/>
    </row>
    <row r="2652" spans="1:19">
      <c r="A2652" s="103" t="s">
        <v>4422</v>
      </c>
      <c r="B2652" s="149" t="str">
        <f>IFERROR(VLOOKUP(Proc[[#This Row],[App]],Table2[],3,0),"open")</f>
        <v>ok</v>
      </c>
      <c r="C2652" s="117" t="s">
        <v>369</v>
      </c>
      <c r="D2652" t="s">
        <v>4573</v>
      </c>
      <c r="E2652" t="s">
        <v>4741</v>
      </c>
      <c r="F2652" s="94" t="s">
        <v>4741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4785</v>
      </c>
      <c r="J2652" s="94" t="b">
        <f>Proc[[#This Row],[Requested]]=Proc[[#This Row],[CurrentParent]]</f>
        <v>1</v>
      </c>
      <c r="K2652" s="144" t="str">
        <f>IF(Proc[[#This Row],[Author]]="Marcela Urrego",VLOOKUP(LEFT(Proc[[#This Row],[Requested]],1),Table3[#All],2,0),VLOOKUP(Proc[[#This Row],[Author]],Table4[],2,0))</f>
        <v>MGF</v>
      </c>
      <c r="L2652" s="125" t="s">
        <v>4894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116</v>
      </c>
      <c r="R2652" s="110" t="s">
        <v>485</v>
      </c>
      <c r="S2652" s="94"/>
    </row>
    <row r="2653" spans="1:19">
      <c r="A2653" s="103" t="s">
        <v>4422</v>
      </c>
      <c r="B2653" s="149" t="str">
        <f>IFERROR(VLOOKUP(Proc[[#This Row],[App]],Table2[],3,0),"open")</f>
        <v>ok</v>
      </c>
      <c r="C2653" s="117" t="s">
        <v>369</v>
      </c>
      <c r="D2653" t="s">
        <v>4574</v>
      </c>
      <c r="E2653" t="s">
        <v>4740</v>
      </c>
      <c r="F2653" s="94" t="s">
        <v>4740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4785</v>
      </c>
      <c r="J2653" s="94" t="b">
        <f>Proc[[#This Row],[Requested]]=Proc[[#This Row],[CurrentParent]]</f>
        <v>1</v>
      </c>
      <c r="K2653" s="144" t="str">
        <f>IF(Proc[[#This Row],[Author]]="Marcela Urrego",VLOOKUP(LEFT(Proc[[#This Row],[Requested]],1),Table3[#All],2,0),VLOOKUP(Proc[[#This Row],[Author]],Table4[],2,0))</f>
        <v>MGF</v>
      </c>
      <c r="L2653" s="125" t="s">
        <v>4894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116</v>
      </c>
      <c r="R2653" s="110" t="s">
        <v>485</v>
      </c>
      <c r="S2653" s="94"/>
    </row>
    <row r="2654" spans="1:19">
      <c r="A2654" s="103" t="s">
        <v>4422</v>
      </c>
      <c r="B2654" s="149" t="str">
        <f>IFERROR(VLOOKUP(Proc[[#This Row],[App]],Table2[],3,0),"open")</f>
        <v>ok</v>
      </c>
      <c r="C2654" s="117" t="s">
        <v>369</v>
      </c>
      <c r="D2654" t="s">
        <v>4575</v>
      </c>
      <c r="E2654" t="s">
        <v>4740</v>
      </c>
      <c r="F2654" s="94" t="s">
        <v>4740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4785</v>
      </c>
      <c r="J2654" s="94" t="b">
        <f>Proc[[#This Row],[Requested]]=Proc[[#This Row],[CurrentParent]]</f>
        <v>1</v>
      </c>
      <c r="K2654" s="144" t="str">
        <f>IF(Proc[[#This Row],[Author]]="Marcela Urrego",VLOOKUP(LEFT(Proc[[#This Row],[Requested]],1),Table3[#All],2,0),VLOOKUP(Proc[[#This Row],[Author]],Table4[],2,0))</f>
        <v>MGF</v>
      </c>
      <c r="L2654" s="125" t="s">
        <v>4894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116</v>
      </c>
      <c r="R2654" s="110" t="s">
        <v>485</v>
      </c>
      <c r="S2654" s="94"/>
    </row>
    <row r="2655" spans="1:19">
      <c r="A2655" s="103" t="s">
        <v>4422</v>
      </c>
      <c r="B2655" s="149" t="str">
        <f>IFERROR(VLOOKUP(Proc[[#This Row],[App]],Table2[],3,0),"open")</f>
        <v>ok</v>
      </c>
      <c r="C2655" s="117" t="s">
        <v>369</v>
      </c>
      <c r="D2655" t="s">
        <v>4576</v>
      </c>
      <c r="E2655" t="s">
        <v>4744</v>
      </c>
      <c r="F2655" s="94" t="s">
        <v>4744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4785</v>
      </c>
      <c r="J2655" s="94" t="b">
        <f>Proc[[#This Row],[Requested]]=Proc[[#This Row],[CurrentParent]]</f>
        <v>1</v>
      </c>
      <c r="K2655" s="144" t="str">
        <f>IF(Proc[[#This Row],[Author]]="Marcela Urrego",VLOOKUP(LEFT(Proc[[#This Row],[Requested]],1),Table3[#All],2,0),VLOOKUP(Proc[[#This Row],[Author]],Table4[],2,0))</f>
        <v>MGF</v>
      </c>
      <c r="L2655" s="125" t="s">
        <v>4894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116</v>
      </c>
      <c r="R2655" s="110" t="s">
        <v>485</v>
      </c>
      <c r="S2655" s="94"/>
    </row>
    <row r="2656" spans="1:19">
      <c r="A2656" s="103" t="s">
        <v>4422</v>
      </c>
      <c r="B2656" s="149" t="str">
        <f>IFERROR(VLOOKUP(Proc[[#This Row],[App]],Table2[],3,0),"open")</f>
        <v>ok</v>
      </c>
      <c r="C2656" s="117" t="s">
        <v>369</v>
      </c>
      <c r="D2656" t="s">
        <v>4577</v>
      </c>
      <c r="E2656" t="s">
        <v>4740</v>
      </c>
      <c r="F2656" s="94" t="s">
        <v>4740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4785</v>
      </c>
      <c r="J2656" s="94" t="b">
        <f>Proc[[#This Row],[Requested]]=Proc[[#This Row],[CurrentParent]]</f>
        <v>1</v>
      </c>
      <c r="K2656" s="144" t="str">
        <f>IF(Proc[[#This Row],[Author]]="Marcela Urrego",VLOOKUP(LEFT(Proc[[#This Row],[Requested]],1),Table3[#All],2,0),VLOOKUP(Proc[[#This Row],[Author]],Table4[],2,0))</f>
        <v>MGF</v>
      </c>
      <c r="L2656" s="125" t="s">
        <v>4894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116</v>
      </c>
      <c r="R2656" s="110" t="s">
        <v>485</v>
      </c>
      <c r="S2656" s="94"/>
    </row>
    <row r="2657" spans="1:19">
      <c r="A2657" s="103" t="s">
        <v>4422</v>
      </c>
      <c r="B2657" s="149" t="str">
        <f>IFERROR(VLOOKUP(Proc[[#This Row],[App]],Table2[],3,0),"open")</f>
        <v>ok</v>
      </c>
      <c r="C2657" s="117" t="s">
        <v>369</v>
      </c>
      <c r="D2657" t="s">
        <v>4578</v>
      </c>
      <c r="E2657" t="s">
        <v>4745</v>
      </c>
      <c r="F2657" s="94" t="s">
        <v>4745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4785</v>
      </c>
      <c r="J2657" s="94" t="b">
        <f>Proc[[#This Row],[Requested]]=Proc[[#This Row],[CurrentParent]]</f>
        <v>1</v>
      </c>
      <c r="K2657" s="144" t="str">
        <f>IF(Proc[[#This Row],[Author]]="Marcela Urrego",VLOOKUP(LEFT(Proc[[#This Row],[Requested]],1),Table3[#All],2,0),VLOOKUP(Proc[[#This Row],[Author]],Table4[],2,0))</f>
        <v>MGF</v>
      </c>
      <c r="L2657" s="125" t="s">
        <v>4894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116</v>
      </c>
      <c r="R2657" s="110" t="s">
        <v>485</v>
      </c>
      <c r="S2657" s="94"/>
    </row>
    <row r="2658" spans="1:19">
      <c r="A2658" s="103" t="s">
        <v>4422</v>
      </c>
      <c r="B2658" s="149" t="str">
        <f>IFERROR(VLOOKUP(Proc[[#This Row],[App]],Table2[],3,0),"open")</f>
        <v>ok</v>
      </c>
      <c r="C2658" s="117" t="s">
        <v>369</v>
      </c>
      <c r="D2658" t="s">
        <v>4579</v>
      </c>
      <c r="E2658" t="s">
        <v>4745</v>
      </c>
      <c r="F2658" s="94" t="s">
        <v>4745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4785</v>
      </c>
      <c r="J2658" s="94" t="b">
        <f>Proc[[#This Row],[Requested]]=Proc[[#This Row],[CurrentParent]]</f>
        <v>1</v>
      </c>
      <c r="K2658" s="144" t="str">
        <f>IF(Proc[[#This Row],[Author]]="Marcela Urrego",VLOOKUP(LEFT(Proc[[#This Row],[Requested]],1),Table3[#All],2,0),VLOOKUP(Proc[[#This Row],[Author]],Table4[],2,0))</f>
        <v>MGF</v>
      </c>
      <c r="L2658" s="125" t="s">
        <v>4894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116</v>
      </c>
      <c r="R2658" s="110" t="s">
        <v>485</v>
      </c>
      <c r="S2658" s="94"/>
    </row>
    <row r="2659" spans="1:19">
      <c r="A2659" s="103" t="s">
        <v>4422</v>
      </c>
      <c r="B2659" s="149" t="str">
        <f>IFERROR(VLOOKUP(Proc[[#This Row],[App]],Table2[],3,0),"open")</f>
        <v>ok</v>
      </c>
      <c r="C2659" s="117" t="s">
        <v>369</v>
      </c>
      <c r="D2659" t="s">
        <v>4580</v>
      </c>
      <c r="E2659" t="s">
        <v>4745</v>
      </c>
      <c r="F2659" s="94" t="s">
        <v>4745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4785</v>
      </c>
      <c r="J2659" s="94" t="b">
        <f>Proc[[#This Row],[Requested]]=Proc[[#This Row],[CurrentParent]]</f>
        <v>1</v>
      </c>
      <c r="K2659" s="144" t="str">
        <f>IF(Proc[[#This Row],[Author]]="Marcela Urrego",VLOOKUP(LEFT(Proc[[#This Row],[Requested]],1),Table3[#All],2,0),VLOOKUP(Proc[[#This Row],[Author]],Table4[],2,0))</f>
        <v>MGF</v>
      </c>
      <c r="L2659" s="125" t="s">
        <v>4894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116</v>
      </c>
      <c r="R2659" s="110" t="s">
        <v>485</v>
      </c>
      <c r="S2659" s="94"/>
    </row>
    <row r="2660" spans="1:19">
      <c r="A2660" s="103" t="s">
        <v>4422</v>
      </c>
      <c r="B2660" s="149" t="str">
        <f>IFERROR(VLOOKUP(Proc[[#This Row],[App]],Table2[],3,0),"open")</f>
        <v>ok</v>
      </c>
      <c r="C2660" s="117" t="s">
        <v>369</v>
      </c>
      <c r="D2660" t="s">
        <v>4581</v>
      </c>
      <c r="E2660" t="s">
        <v>4745</v>
      </c>
      <c r="F2660" s="94" t="s">
        <v>4745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4785</v>
      </c>
      <c r="J2660" s="94" t="b">
        <f>Proc[[#This Row],[Requested]]=Proc[[#This Row],[CurrentParent]]</f>
        <v>1</v>
      </c>
      <c r="K2660" s="144" t="str">
        <f>IF(Proc[[#This Row],[Author]]="Marcela Urrego",VLOOKUP(LEFT(Proc[[#This Row],[Requested]],1),Table3[#All],2,0),VLOOKUP(Proc[[#This Row],[Author]],Table4[],2,0))</f>
        <v>MGF</v>
      </c>
      <c r="L2660" s="125" t="s">
        <v>4894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116</v>
      </c>
      <c r="R2660" s="110" t="s">
        <v>485</v>
      </c>
      <c r="S2660" s="94"/>
    </row>
    <row r="2661" spans="1:19">
      <c r="A2661" s="103" t="s">
        <v>4422</v>
      </c>
      <c r="B2661" s="149" t="str">
        <f>IFERROR(VLOOKUP(Proc[[#This Row],[App]],Table2[],3,0),"open")</f>
        <v>ok</v>
      </c>
      <c r="C2661" s="117" t="s">
        <v>369</v>
      </c>
      <c r="D2661" t="s">
        <v>4582</v>
      </c>
      <c r="E2661" t="s">
        <v>4745</v>
      </c>
      <c r="F2661" s="94" t="s">
        <v>4745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4785</v>
      </c>
      <c r="J2661" s="94" t="b">
        <f>Proc[[#This Row],[Requested]]=Proc[[#This Row],[CurrentParent]]</f>
        <v>1</v>
      </c>
      <c r="K2661" s="144" t="str">
        <f>IF(Proc[[#This Row],[Author]]="Marcela Urrego",VLOOKUP(LEFT(Proc[[#This Row],[Requested]],1),Table3[#All],2,0),VLOOKUP(Proc[[#This Row],[Author]],Table4[],2,0))</f>
        <v>MGF</v>
      </c>
      <c r="L2661" s="125" t="s">
        <v>4894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116</v>
      </c>
      <c r="R2661" s="110" t="s">
        <v>485</v>
      </c>
      <c r="S2661" s="94"/>
    </row>
    <row r="2662" spans="1:19">
      <c r="A2662" s="103" t="s">
        <v>4422</v>
      </c>
      <c r="B2662" s="149" t="str">
        <f>IFERROR(VLOOKUP(Proc[[#This Row],[App]],Table2[],3,0),"open")</f>
        <v>ok</v>
      </c>
      <c r="C2662" s="117" t="s">
        <v>369</v>
      </c>
      <c r="D2662" t="s">
        <v>4583</v>
      </c>
      <c r="E2662" t="s">
        <v>4745</v>
      </c>
      <c r="F2662" s="94" t="s">
        <v>4745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4785</v>
      </c>
      <c r="J2662" s="94" t="b">
        <f>Proc[[#This Row],[Requested]]=Proc[[#This Row],[CurrentParent]]</f>
        <v>1</v>
      </c>
      <c r="K2662" s="144" t="str">
        <f>IF(Proc[[#This Row],[Author]]="Marcela Urrego",VLOOKUP(LEFT(Proc[[#This Row],[Requested]],1),Table3[#All],2,0),VLOOKUP(Proc[[#This Row],[Author]],Table4[],2,0))</f>
        <v>MGF</v>
      </c>
      <c r="L2662" s="125" t="s">
        <v>4894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116</v>
      </c>
      <c r="R2662" s="110" t="s">
        <v>485</v>
      </c>
      <c r="S2662" s="94"/>
    </row>
    <row r="2663" spans="1:19">
      <c r="A2663" s="103" t="s">
        <v>4422</v>
      </c>
      <c r="B2663" s="149" t="str">
        <f>IFERROR(VLOOKUP(Proc[[#This Row],[App]],Table2[],3,0),"open")</f>
        <v>ok</v>
      </c>
      <c r="C2663" s="117" t="s">
        <v>369</v>
      </c>
      <c r="D2663" t="s">
        <v>4584</v>
      </c>
      <c r="E2663" t="s">
        <v>4746</v>
      </c>
      <c r="F2663" s="94" t="s">
        <v>4746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4785</v>
      </c>
      <c r="J2663" s="94" t="b">
        <f>Proc[[#This Row],[Requested]]=Proc[[#This Row],[CurrentParent]]</f>
        <v>1</v>
      </c>
      <c r="K2663" s="144" t="str">
        <f>IF(Proc[[#This Row],[Author]]="Marcela Urrego",VLOOKUP(LEFT(Proc[[#This Row],[Requested]],1),Table3[#All],2,0),VLOOKUP(Proc[[#This Row],[Author]],Table4[],2,0))</f>
        <v>MGF</v>
      </c>
      <c r="L2663" s="125" t="s">
        <v>4894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116</v>
      </c>
      <c r="R2663" s="110" t="s">
        <v>485</v>
      </c>
      <c r="S2663" s="94"/>
    </row>
    <row r="2664" spans="1:19">
      <c r="A2664" s="103" t="s">
        <v>4422</v>
      </c>
      <c r="B2664" s="149" t="str">
        <f>IFERROR(VLOOKUP(Proc[[#This Row],[App]],Table2[],3,0),"open")</f>
        <v>ok</v>
      </c>
      <c r="C2664" s="117" t="s">
        <v>369</v>
      </c>
      <c r="D2664" t="s">
        <v>4585</v>
      </c>
      <c r="E2664" t="s">
        <v>4746</v>
      </c>
      <c r="F2664" s="94" t="s">
        <v>4746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4785</v>
      </c>
      <c r="J2664" s="94" t="b">
        <f>Proc[[#This Row],[Requested]]=Proc[[#This Row],[CurrentParent]]</f>
        <v>1</v>
      </c>
      <c r="K2664" s="144" t="str">
        <f>IF(Proc[[#This Row],[Author]]="Marcela Urrego",VLOOKUP(LEFT(Proc[[#This Row],[Requested]],1),Table3[#All],2,0),VLOOKUP(Proc[[#This Row],[Author]],Table4[],2,0))</f>
        <v>MGF</v>
      </c>
      <c r="L2664" s="125" t="s">
        <v>4894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116</v>
      </c>
      <c r="R2664" s="110" t="s">
        <v>485</v>
      </c>
      <c r="S2664" s="94"/>
    </row>
    <row r="2665" spans="1:19">
      <c r="A2665" s="103" t="s">
        <v>4422</v>
      </c>
      <c r="B2665" s="149" t="str">
        <f>IFERROR(VLOOKUP(Proc[[#This Row],[App]],Table2[],3,0),"open")</f>
        <v>ok</v>
      </c>
      <c r="C2665" s="117" t="s">
        <v>369</v>
      </c>
      <c r="D2665" t="s">
        <v>4586</v>
      </c>
      <c r="E2665" t="s">
        <v>4746</v>
      </c>
      <c r="F2665" s="94" t="s">
        <v>4746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4785</v>
      </c>
      <c r="J2665" s="94" t="b">
        <f>Proc[[#This Row],[Requested]]=Proc[[#This Row],[CurrentParent]]</f>
        <v>1</v>
      </c>
      <c r="K2665" s="144" t="str">
        <f>IF(Proc[[#This Row],[Author]]="Marcela Urrego",VLOOKUP(LEFT(Proc[[#This Row],[Requested]],1),Table3[#All],2,0),VLOOKUP(Proc[[#This Row],[Author]],Table4[],2,0))</f>
        <v>MGF</v>
      </c>
      <c r="L2665" s="125" t="s">
        <v>4894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116</v>
      </c>
      <c r="R2665" s="110" t="s">
        <v>485</v>
      </c>
      <c r="S2665" s="94"/>
    </row>
    <row r="2666" spans="1:19">
      <c r="A2666" s="103" t="s">
        <v>4422</v>
      </c>
      <c r="B2666" s="149" t="str">
        <f>IFERROR(VLOOKUP(Proc[[#This Row],[App]],Table2[],3,0),"open")</f>
        <v>ok</v>
      </c>
      <c r="C2666" s="117" t="s">
        <v>369</v>
      </c>
      <c r="D2666" t="s">
        <v>4587</v>
      </c>
      <c r="E2666" t="s">
        <v>4746</v>
      </c>
      <c r="F2666" s="94" t="s">
        <v>4746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4785</v>
      </c>
      <c r="J2666" s="94" t="b">
        <f>Proc[[#This Row],[Requested]]=Proc[[#This Row],[CurrentParent]]</f>
        <v>1</v>
      </c>
      <c r="K2666" s="144" t="str">
        <f>IF(Proc[[#This Row],[Author]]="Marcela Urrego",VLOOKUP(LEFT(Proc[[#This Row],[Requested]],1),Table3[#All],2,0),VLOOKUP(Proc[[#This Row],[Author]],Table4[],2,0))</f>
        <v>MGF</v>
      </c>
      <c r="L2666" s="125" t="s">
        <v>4894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116</v>
      </c>
      <c r="R2666" s="110" t="s">
        <v>485</v>
      </c>
      <c r="S2666" s="94"/>
    </row>
    <row r="2667" spans="1:19">
      <c r="A2667" s="103" t="s">
        <v>4422</v>
      </c>
      <c r="B2667" s="149" t="str">
        <f>IFERROR(VLOOKUP(Proc[[#This Row],[App]],Table2[],3,0),"open")</f>
        <v>ok</v>
      </c>
      <c r="C2667" s="117" t="s">
        <v>369</v>
      </c>
      <c r="D2667" t="s">
        <v>4588</v>
      </c>
      <c r="E2667" t="s">
        <v>4746</v>
      </c>
      <c r="F2667" s="94" t="s">
        <v>4746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4785</v>
      </c>
      <c r="J2667" s="94" t="b">
        <f>Proc[[#This Row],[Requested]]=Proc[[#This Row],[CurrentParent]]</f>
        <v>1</v>
      </c>
      <c r="K2667" s="144" t="str">
        <f>IF(Proc[[#This Row],[Author]]="Marcela Urrego",VLOOKUP(LEFT(Proc[[#This Row],[Requested]],1),Table3[#All],2,0),VLOOKUP(Proc[[#This Row],[Author]],Table4[],2,0))</f>
        <v>MGF</v>
      </c>
      <c r="L2667" s="125" t="s">
        <v>4894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116</v>
      </c>
      <c r="R2667" s="110" t="s">
        <v>485</v>
      </c>
      <c r="S2667" s="94"/>
    </row>
    <row r="2668" spans="1:19">
      <c r="A2668" s="103" t="s">
        <v>4422</v>
      </c>
      <c r="B2668" s="149" t="str">
        <f>IFERROR(VLOOKUP(Proc[[#This Row],[App]],Table2[],3,0),"open")</f>
        <v>ok</v>
      </c>
      <c r="C2668" s="117" t="s">
        <v>369</v>
      </c>
      <c r="D2668" t="s">
        <v>4589</v>
      </c>
      <c r="E2668" t="s">
        <v>4746</v>
      </c>
      <c r="F2668" s="94" t="s">
        <v>4746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4785</v>
      </c>
      <c r="J2668" s="94" t="b">
        <f>Proc[[#This Row],[Requested]]=Proc[[#This Row],[CurrentParent]]</f>
        <v>1</v>
      </c>
      <c r="K2668" s="144" t="str">
        <f>IF(Proc[[#This Row],[Author]]="Marcela Urrego",VLOOKUP(LEFT(Proc[[#This Row],[Requested]],1),Table3[#All],2,0),VLOOKUP(Proc[[#This Row],[Author]],Table4[],2,0))</f>
        <v>MGF</v>
      </c>
      <c r="L2668" s="125" t="s">
        <v>4894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116</v>
      </c>
      <c r="R2668" s="110" t="s">
        <v>485</v>
      </c>
      <c r="S2668" s="94"/>
    </row>
    <row r="2669" spans="1:19">
      <c r="A2669" s="103" t="s">
        <v>4422</v>
      </c>
      <c r="B2669" s="149" t="str">
        <f>IFERROR(VLOOKUP(Proc[[#This Row],[App]],Table2[],3,0),"open")</f>
        <v>ok</v>
      </c>
      <c r="C2669" s="117" t="s">
        <v>369</v>
      </c>
      <c r="D2669" t="s">
        <v>4590</v>
      </c>
      <c r="E2669" t="s">
        <v>4746</v>
      </c>
      <c r="F2669" s="94" t="s">
        <v>4746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4785</v>
      </c>
      <c r="J2669" s="94" t="b">
        <f>Proc[[#This Row],[Requested]]=Proc[[#This Row],[CurrentParent]]</f>
        <v>1</v>
      </c>
      <c r="K2669" s="144" t="str">
        <f>IF(Proc[[#This Row],[Author]]="Marcela Urrego",VLOOKUP(LEFT(Proc[[#This Row],[Requested]],1),Table3[#All],2,0),VLOOKUP(Proc[[#This Row],[Author]],Table4[],2,0))</f>
        <v>MGF</v>
      </c>
      <c r="L2669" s="125" t="s">
        <v>4894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116</v>
      </c>
      <c r="R2669" s="110" t="s">
        <v>485</v>
      </c>
      <c r="S2669" s="94"/>
    </row>
    <row r="2670" spans="1:19">
      <c r="A2670" s="103" t="s">
        <v>4422</v>
      </c>
      <c r="B2670" s="149" t="str">
        <f>IFERROR(VLOOKUP(Proc[[#This Row],[App]],Table2[],3,0),"open")</f>
        <v>ok</v>
      </c>
      <c r="C2670" s="117" t="s">
        <v>369</v>
      </c>
      <c r="D2670" t="s">
        <v>4591</v>
      </c>
      <c r="E2670" t="s">
        <v>4747</v>
      </c>
      <c r="F2670" s="94" t="s">
        <v>4747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4785</v>
      </c>
      <c r="J2670" s="94" t="b">
        <f>Proc[[#This Row],[Requested]]=Proc[[#This Row],[CurrentParent]]</f>
        <v>1</v>
      </c>
      <c r="K2670" s="144" t="str">
        <f>IF(Proc[[#This Row],[Author]]="Marcela Urrego",VLOOKUP(LEFT(Proc[[#This Row],[Requested]],1),Table3[#All],2,0),VLOOKUP(Proc[[#This Row],[Author]],Table4[],2,0))</f>
        <v>MGF</v>
      </c>
      <c r="L2670" s="125" t="s">
        <v>4894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116</v>
      </c>
      <c r="R2670" s="110" t="s">
        <v>485</v>
      </c>
      <c r="S2670" s="94"/>
    </row>
    <row r="2671" spans="1:19">
      <c r="A2671" s="103" t="s">
        <v>4422</v>
      </c>
      <c r="B2671" s="149" t="str">
        <f>IFERROR(VLOOKUP(Proc[[#This Row],[App]],Table2[],3,0),"open")</f>
        <v>ok</v>
      </c>
      <c r="C2671" s="117" t="s">
        <v>369</v>
      </c>
      <c r="D2671" t="s">
        <v>4592</v>
      </c>
      <c r="E2671" t="s">
        <v>4747</v>
      </c>
      <c r="F2671" s="94" t="s">
        <v>4747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4785</v>
      </c>
      <c r="J2671" s="94" t="b">
        <f>Proc[[#This Row],[Requested]]=Proc[[#This Row],[CurrentParent]]</f>
        <v>1</v>
      </c>
      <c r="K2671" s="144" t="str">
        <f>IF(Proc[[#This Row],[Author]]="Marcela Urrego",VLOOKUP(LEFT(Proc[[#This Row],[Requested]],1),Table3[#All],2,0),VLOOKUP(Proc[[#This Row],[Author]],Table4[],2,0))</f>
        <v>MGF</v>
      </c>
      <c r="L2671" s="125" t="s">
        <v>4894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116</v>
      </c>
      <c r="R2671" s="110" t="s">
        <v>485</v>
      </c>
      <c r="S2671" s="94"/>
    </row>
    <row r="2672" spans="1:19">
      <c r="A2672" s="103" t="s">
        <v>4422</v>
      </c>
      <c r="B2672" s="149" t="str">
        <f>IFERROR(VLOOKUP(Proc[[#This Row],[App]],Table2[],3,0),"open")</f>
        <v>ok</v>
      </c>
      <c r="C2672" s="117" t="s">
        <v>369</v>
      </c>
      <c r="D2672" t="s">
        <v>4593</v>
      </c>
      <c r="E2672" t="s">
        <v>4747</v>
      </c>
      <c r="F2672" s="94" t="s">
        <v>4747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4785</v>
      </c>
      <c r="J2672" s="94" t="b">
        <f>Proc[[#This Row],[Requested]]=Proc[[#This Row],[CurrentParent]]</f>
        <v>1</v>
      </c>
      <c r="K2672" s="144" t="str">
        <f>IF(Proc[[#This Row],[Author]]="Marcela Urrego",VLOOKUP(LEFT(Proc[[#This Row],[Requested]],1),Table3[#All],2,0),VLOOKUP(Proc[[#This Row],[Author]],Table4[],2,0))</f>
        <v>MGF</v>
      </c>
      <c r="L2672" s="125" t="s">
        <v>4894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116</v>
      </c>
      <c r="R2672" s="110" t="s">
        <v>485</v>
      </c>
      <c r="S2672" s="94"/>
    </row>
    <row r="2673" spans="1:19">
      <c r="A2673" s="103" t="s">
        <v>4422</v>
      </c>
      <c r="B2673" s="149" t="str">
        <f>IFERROR(VLOOKUP(Proc[[#This Row],[App]],Table2[],3,0),"open")</f>
        <v>ok</v>
      </c>
      <c r="C2673" s="117" t="s">
        <v>369</v>
      </c>
      <c r="D2673" t="s">
        <v>4594</v>
      </c>
      <c r="E2673" t="s">
        <v>4748</v>
      </c>
      <c r="F2673" s="94" t="s">
        <v>4748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4785</v>
      </c>
      <c r="J2673" s="94" t="b">
        <f>Proc[[#This Row],[Requested]]=Proc[[#This Row],[CurrentParent]]</f>
        <v>1</v>
      </c>
      <c r="K2673" s="144" t="str">
        <f>IF(Proc[[#This Row],[Author]]="Marcela Urrego",VLOOKUP(LEFT(Proc[[#This Row],[Requested]],1),Table3[#All],2,0),VLOOKUP(Proc[[#This Row],[Author]],Table4[],2,0))</f>
        <v>MGF</v>
      </c>
      <c r="L2673" s="125" t="s">
        <v>4894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116</v>
      </c>
      <c r="R2673" s="110" t="s">
        <v>485</v>
      </c>
      <c r="S2673" s="94"/>
    </row>
    <row r="2674" spans="1:19">
      <c r="A2674" s="103" t="s">
        <v>4422</v>
      </c>
      <c r="B2674" s="149" t="str">
        <f>IFERROR(VLOOKUP(Proc[[#This Row],[App]],Table2[],3,0),"open")</f>
        <v>ok</v>
      </c>
      <c r="C2674" s="117" t="s">
        <v>369</v>
      </c>
      <c r="D2674" t="s">
        <v>4595</v>
      </c>
      <c r="E2674" t="s">
        <v>4747</v>
      </c>
      <c r="F2674" s="94" t="s">
        <v>4747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4785</v>
      </c>
      <c r="J2674" s="94" t="b">
        <f>Proc[[#This Row],[Requested]]=Proc[[#This Row],[CurrentParent]]</f>
        <v>1</v>
      </c>
      <c r="K2674" s="144" t="str">
        <f>IF(Proc[[#This Row],[Author]]="Marcela Urrego",VLOOKUP(LEFT(Proc[[#This Row],[Requested]],1),Table3[#All],2,0),VLOOKUP(Proc[[#This Row],[Author]],Table4[],2,0))</f>
        <v>MGF</v>
      </c>
      <c r="L2674" s="125" t="s">
        <v>4894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116</v>
      </c>
      <c r="R2674" s="110" t="s">
        <v>485</v>
      </c>
      <c r="S2674" s="94"/>
    </row>
    <row r="2675" spans="1:19">
      <c r="A2675" s="103" t="s">
        <v>4422</v>
      </c>
      <c r="B2675" s="149" t="str">
        <f>IFERROR(VLOOKUP(Proc[[#This Row],[App]],Table2[],3,0),"open")</f>
        <v>ok</v>
      </c>
      <c r="C2675" s="117" t="s">
        <v>369</v>
      </c>
      <c r="D2675" t="s">
        <v>4596</v>
      </c>
      <c r="E2675" t="s">
        <v>4748</v>
      </c>
      <c r="F2675" s="94" t="s">
        <v>4748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4785</v>
      </c>
      <c r="J2675" s="94" t="b">
        <f>Proc[[#This Row],[Requested]]=Proc[[#This Row],[CurrentParent]]</f>
        <v>1</v>
      </c>
      <c r="K2675" s="144" t="str">
        <f>IF(Proc[[#This Row],[Author]]="Marcela Urrego",VLOOKUP(LEFT(Proc[[#This Row],[Requested]],1),Table3[#All],2,0),VLOOKUP(Proc[[#This Row],[Author]],Table4[],2,0))</f>
        <v>MGF</v>
      </c>
      <c r="L2675" s="125" t="s">
        <v>4894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116</v>
      </c>
      <c r="R2675" s="110" t="s">
        <v>485</v>
      </c>
      <c r="S2675" s="94"/>
    </row>
    <row r="2676" spans="1:19">
      <c r="A2676" s="103" t="s">
        <v>4422</v>
      </c>
      <c r="B2676" s="149" t="str">
        <f>IFERROR(VLOOKUP(Proc[[#This Row],[App]],Table2[],3,0),"open")</f>
        <v>ok</v>
      </c>
      <c r="C2676" s="117" t="s">
        <v>369</v>
      </c>
      <c r="D2676" t="s">
        <v>4597</v>
      </c>
      <c r="E2676" t="s">
        <v>4749</v>
      </c>
      <c r="F2676" s="94" t="s">
        <v>4749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4785</v>
      </c>
      <c r="J2676" s="94" t="b">
        <f>Proc[[#This Row],[Requested]]=Proc[[#This Row],[CurrentParent]]</f>
        <v>1</v>
      </c>
      <c r="K2676" s="144" t="str">
        <f>IF(Proc[[#This Row],[Author]]="Marcela Urrego",VLOOKUP(LEFT(Proc[[#This Row],[Requested]],1),Table3[#All],2,0),VLOOKUP(Proc[[#This Row],[Author]],Table4[],2,0))</f>
        <v>MGF</v>
      </c>
      <c r="L2676" s="125" t="s">
        <v>4894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116</v>
      </c>
      <c r="R2676" s="110" t="s">
        <v>485</v>
      </c>
      <c r="S2676" s="94"/>
    </row>
    <row r="2677" spans="1:19">
      <c r="A2677" s="103" t="s">
        <v>4422</v>
      </c>
      <c r="B2677" s="149" t="str">
        <f>IFERROR(VLOOKUP(Proc[[#This Row],[App]],Table2[],3,0),"open")</f>
        <v>ok</v>
      </c>
      <c r="C2677" s="117" t="s">
        <v>369</v>
      </c>
      <c r="D2677" t="s">
        <v>4598</v>
      </c>
      <c r="E2677" t="s">
        <v>4748</v>
      </c>
      <c r="F2677" s="94" t="s">
        <v>4748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4785</v>
      </c>
      <c r="J2677" s="94" t="b">
        <f>Proc[[#This Row],[Requested]]=Proc[[#This Row],[CurrentParent]]</f>
        <v>1</v>
      </c>
      <c r="K2677" s="144" t="str">
        <f>IF(Proc[[#This Row],[Author]]="Marcela Urrego",VLOOKUP(LEFT(Proc[[#This Row],[Requested]],1),Table3[#All],2,0),VLOOKUP(Proc[[#This Row],[Author]],Table4[],2,0))</f>
        <v>MGF</v>
      </c>
      <c r="L2677" s="125" t="s">
        <v>4894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116</v>
      </c>
      <c r="R2677" s="110" t="s">
        <v>485</v>
      </c>
      <c r="S2677" s="94"/>
    </row>
    <row r="2678" spans="1:19">
      <c r="A2678" s="103" t="s">
        <v>4422</v>
      </c>
      <c r="B2678" s="149" t="str">
        <f>IFERROR(VLOOKUP(Proc[[#This Row],[App]],Table2[],3,0),"open")</f>
        <v>ok</v>
      </c>
      <c r="C2678" s="117" t="s">
        <v>369</v>
      </c>
      <c r="D2678" t="s">
        <v>4599</v>
      </c>
      <c r="E2678" t="s">
        <v>4748</v>
      </c>
      <c r="F2678" s="94" t="s">
        <v>4748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4785</v>
      </c>
      <c r="J2678" s="94" t="b">
        <f>Proc[[#This Row],[Requested]]=Proc[[#This Row],[CurrentParent]]</f>
        <v>1</v>
      </c>
      <c r="K2678" s="144" t="str">
        <f>IF(Proc[[#This Row],[Author]]="Marcela Urrego",VLOOKUP(LEFT(Proc[[#This Row],[Requested]],1),Table3[#All],2,0),VLOOKUP(Proc[[#This Row],[Author]],Table4[],2,0))</f>
        <v>MGF</v>
      </c>
      <c r="L2678" s="125" t="s">
        <v>4894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116</v>
      </c>
      <c r="R2678" s="110" t="s">
        <v>485</v>
      </c>
      <c r="S2678" s="94"/>
    </row>
    <row r="2679" spans="1:19">
      <c r="A2679" s="103" t="s">
        <v>4422</v>
      </c>
      <c r="B2679" s="149" t="str">
        <f>IFERROR(VLOOKUP(Proc[[#This Row],[App]],Table2[],3,0),"open")</f>
        <v>ok</v>
      </c>
      <c r="C2679" s="117" t="s">
        <v>369</v>
      </c>
      <c r="D2679" t="s">
        <v>4600</v>
      </c>
      <c r="E2679" t="s">
        <v>4747</v>
      </c>
      <c r="F2679" s="94" t="s">
        <v>4747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4785</v>
      </c>
      <c r="J2679" s="94" t="b">
        <f>Proc[[#This Row],[Requested]]=Proc[[#This Row],[CurrentParent]]</f>
        <v>1</v>
      </c>
      <c r="K2679" s="144" t="str">
        <f>IF(Proc[[#This Row],[Author]]="Marcela Urrego",VLOOKUP(LEFT(Proc[[#This Row],[Requested]],1),Table3[#All],2,0),VLOOKUP(Proc[[#This Row],[Author]],Table4[],2,0))</f>
        <v>MGF</v>
      </c>
      <c r="L2679" s="125" t="s">
        <v>4894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116</v>
      </c>
      <c r="R2679" s="110" t="s">
        <v>485</v>
      </c>
      <c r="S2679" s="94"/>
    </row>
    <row r="2680" spans="1:19">
      <c r="A2680" s="103" t="s">
        <v>4422</v>
      </c>
      <c r="B2680" s="149" t="str">
        <f>IFERROR(VLOOKUP(Proc[[#This Row],[App]],Table2[],3,0),"open")</f>
        <v>ok</v>
      </c>
      <c r="C2680" s="117" t="s">
        <v>369</v>
      </c>
      <c r="D2680" t="s">
        <v>4601</v>
      </c>
      <c r="E2680" t="s">
        <v>4747</v>
      </c>
      <c r="F2680" s="94" t="s">
        <v>4747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4785</v>
      </c>
      <c r="J2680" s="94" t="b">
        <f>Proc[[#This Row],[Requested]]=Proc[[#This Row],[CurrentParent]]</f>
        <v>1</v>
      </c>
      <c r="K2680" s="144" t="str">
        <f>IF(Proc[[#This Row],[Author]]="Marcela Urrego",VLOOKUP(LEFT(Proc[[#This Row],[Requested]],1),Table3[#All],2,0),VLOOKUP(Proc[[#This Row],[Author]],Table4[],2,0))</f>
        <v>MGF</v>
      </c>
      <c r="L2680" s="125" t="s">
        <v>4894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116</v>
      </c>
      <c r="R2680" s="110" t="s">
        <v>485</v>
      </c>
      <c r="S2680" s="94"/>
    </row>
    <row r="2681" spans="1:19">
      <c r="A2681" s="103" t="s">
        <v>4422</v>
      </c>
      <c r="B2681" s="149" t="str">
        <f>IFERROR(VLOOKUP(Proc[[#This Row],[App]],Table2[],3,0),"open")</f>
        <v>ok</v>
      </c>
      <c r="C2681" s="117" t="s">
        <v>369</v>
      </c>
      <c r="D2681" t="s">
        <v>4602</v>
      </c>
      <c r="E2681" t="s">
        <v>4747</v>
      </c>
      <c r="F2681" s="94" t="s">
        <v>4747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4785</v>
      </c>
      <c r="J2681" s="94" t="b">
        <f>Proc[[#This Row],[Requested]]=Proc[[#This Row],[CurrentParent]]</f>
        <v>1</v>
      </c>
      <c r="K2681" s="144" t="str">
        <f>IF(Proc[[#This Row],[Author]]="Marcela Urrego",VLOOKUP(LEFT(Proc[[#This Row],[Requested]],1),Table3[#All],2,0),VLOOKUP(Proc[[#This Row],[Author]],Table4[],2,0))</f>
        <v>MGF</v>
      </c>
      <c r="L2681" s="125" t="s">
        <v>4894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116</v>
      </c>
      <c r="R2681" s="110" t="s">
        <v>485</v>
      </c>
      <c r="S2681" s="94"/>
    </row>
    <row r="2682" spans="1:19">
      <c r="A2682" s="103" t="s">
        <v>4422</v>
      </c>
      <c r="B2682" s="149" t="str">
        <f>IFERROR(VLOOKUP(Proc[[#This Row],[App]],Table2[],3,0),"open")</f>
        <v>ok</v>
      </c>
      <c r="C2682" s="117" t="s">
        <v>369</v>
      </c>
      <c r="D2682" t="s">
        <v>4603</v>
      </c>
      <c r="E2682" t="s">
        <v>4747</v>
      </c>
      <c r="F2682" s="94" t="s">
        <v>4747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4785</v>
      </c>
      <c r="J2682" s="94" t="b">
        <f>Proc[[#This Row],[Requested]]=Proc[[#This Row],[CurrentParent]]</f>
        <v>1</v>
      </c>
      <c r="K2682" s="144" t="str">
        <f>IF(Proc[[#This Row],[Author]]="Marcela Urrego",VLOOKUP(LEFT(Proc[[#This Row],[Requested]],1),Table3[#All],2,0),VLOOKUP(Proc[[#This Row],[Author]],Table4[],2,0))</f>
        <v>MGF</v>
      </c>
      <c r="L2682" s="125" t="s">
        <v>4894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116</v>
      </c>
      <c r="R2682" s="110" t="s">
        <v>485</v>
      </c>
      <c r="S2682" s="94"/>
    </row>
    <row r="2683" spans="1:19">
      <c r="A2683" s="103" t="s">
        <v>4422</v>
      </c>
      <c r="B2683" s="149" t="str">
        <f>IFERROR(VLOOKUP(Proc[[#This Row],[App]],Table2[],3,0),"open")</f>
        <v>ok</v>
      </c>
      <c r="C2683" s="117" t="s">
        <v>369</v>
      </c>
      <c r="D2683" t="s">
        <v>4604</v>
      </c>
      <c r="E2683" t="s">
        <v>4747</v>
      </c>
      <c r="F2683" s="94" t="s">
        <v>4747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4785</v>
      </c>
      <c r="J2683" s="94" t="b">
        <f>Proc[[#This Row],[Requested]]=Proc[[#This Row],[CurrentParent]]</f>
        <v>1</v>
      </c>
      <c r="K2683" s="144" t="str">
        <f>IF(Proc[[#This Row],[Author]]="Marcela Urrego",VLOOKUP(LEFT(Proc[[#This Row],[Requested]],1),Table3[#All],2,0),VLOOKUP(Proc[[#This Row],[Author]],Table4[],2,0))</f>
        <v>MGF</v>
      </c>
      <c r="L2683" s="125" t="s">
        <v>4894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116</v>
      </c>
      <c r="R2683" s="110" t="s">
        <v>485</v>
      </c>
      <c r="S2683" s="94"/>
    </row>
    <row r="2684" spans="1:19">
      <c r="A2684" s="103" t="s">
        <v>4422</v>
      </c>
      <c r="B2684" s="149" t="str">
        <f>IFERROR(VLOOKUP(Proc[[#This Row],[App]],Table2[],3,0),"open")</f>
        <v>ok</v>
      </c>
      <c r="C2684" s="117" t="s">
        <v>369</v>
      </c>
      <c r="D2684" t="s">
        <v>4605</v>
      </c>
      <c r="E2684" t="s">
        <v>4749</v>
      </c>
      <c r="F2684" s="94" t="s">
        <v>4749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4785</v>
      </c>
      <c r="J2684" s="94" t="b">
        <f>Proc[[#This Row],[Requested]]=Proc[[#This Row],[CurrentParent]]</f>
        <v>1</v>
      </c>
      <c r="K2684" s="144" t="str">
        <f>IF(Proc[[#This Row],[Author]]="Marcela Urrego",VLOOKUP(LEFT(Proc[[#This Row],[Requested]],1),Table3[#All],2,0),VLOOKUP(Proc[[#This Row],[Author]],Table4[],2,0))</f>
        <v>MGF</v>
      </c>
      <c r="L2684" s="125" t="s">
        <v>4894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116</v>
      </c>
      <c r="R2684" s="110" t="s">
        <v>485</v>
      </c>
      <c r="S2684" s="94"/>
    </row>
    <row r="2685" spans="1:19">
      <c r="A2685" s="103" t="s">
        <v>4422</v>
      </c>
      <c r="B2685" s="149" t="str">
        <f>IFERROR(VLOOKUP(Proc[[#This Row],[App]],Table2[],3,0),"open")</f>
        <v>ok</v>
      </c>
      <c r="C2685" s="117" t="s">
        <v>369</v>
      </c>
      <c r="D2685" t="s">
        <v>4606</v>
      </c>
      <c r="E2685" t="s">
        <v>4747</v>
      </c>
      <c r="F2685" s="94" t="s">
        <v>4747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4785</v>
      </c>
      <c r="J2685" s="94" t="b">
        <f>Proc[[#This Row],[Requested]]=Proc[[#This Row],[CurrentParent]]</f>
        <v>1</v>
      </c>
      <c r="K2685" s="144" t="str">
        <f>IF(Proc[[#This Row],[Author]]="Marcela Urrego",VLOOKUP(LEFT(Proc[[#This Row],[Requested]],1),Table3[#All],2,0),VLOOKUP(Proc[[#This Row],[Author]],Table4[],2,0))</f>
        <v>MGF</v>
      </c>
      <c r="L2685" s="125" t="s">
        <v>4894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116</v>
      </c>
      <c r="R2685" s="110" t="s">
        <v>485</v>
      </c>
      <c r="S2685" s="94"/>
    </row>
    <row r="2686" spans="1:19">
      <c r="A2686" s="103" t="s">
        <v>4422</v>
      </c>
      <c r="B2686" s="149" t="str">
        <f>IFERROR(VLOOKUP(Proc[[#This Row],[App]],Table2[],3,0),"open")</f>
        <v>ok</v>
      </c>
      <c r="C2686" s="117" t="s">
        <v>369</v>
      </c>
      <c r="D2686" t="s">
        <v>4607</v>
      </c>
      <c r="E2686" t="s">
        <v>4747</v>
      </c>
      <c r="F2686" s="94" t="s">
        <v>4747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4785</v>
      </c>
      <c r="J2686" s="94" t="b">
        <f>Proc[[#This Row],[Requested]]=Proc[[#This Row],[CurrentParent]]</f>
        <v>1</v>
      </c>
      <c r="K2686" s="144" t="str">
        <f>IF(Proc[[#This Row],[Author]]="Marcela Urrego",VLOOKUP(LEFT(Proc[[#This Row],[Requested]],1),Table3[#All],2,0),VLOOKUP(Proc[[#This Row],[Author]],Table4[],2,0))</f>
        <v>MGF</v>
      </c>
      <c r="L2686" s="125" t="s">
        <v>4894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116</v>
      </c>
      <c r="R2686" s="110" t="s">
        <v>485</v>
      </c>
      <c r="S2686" s="94"/>
    </row>
    <row r="2687" spans="1:19">
      <c r="A2687" s="103" t="s">
        <v>4422</v>
      </c>
      <c r="B2687" s="149" t="str">
        <f>IFERROR(VLOOKUP(Proc[[#This Row],[App]],Table2[],3,0),"open")</f>
        <v>ok</v>
      </c>
      <c r="C2687" s="117" t="s">
        <v>369</v>
      </c>
      <c r="D2687" t="s">
        <v>4608</v>
      </c>
      <c r="E2687" t="s">
        <v>4747</v>
      </c>
      <c r="F2687" s="94" t="s">
        <v>4747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4785</v>
      </c>
      <c r="J2687" s="94" t="b">
        <f>Proc[[#This Row],[Requested]]=Proc[[#This Row],[CurrentParent]]</f>
        <v>1</v>
      </c>
      <c r="K2687" s="144" t="str">
        <f>IF(Proc[[#This Row],[Author]]="Marcela Urrego",VLOOKUP(LEFT(Proc[[#This Row],[Requested]],1),Table3[#All],2,0),VLOOKUP(Proc[[#This Row],[Author]],Table4[],2,0))</f>
        <v>MGF</v>
      </c>
      <c r="L2687" s="125" t="s">
        <v>4894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116</v>
      </c>
      <c r="R2687" s="110" t="s">
        <v>485</v>
      </c>
      <c r="S2687" s="94"/>
    </row>
    <row r="2688" spans="1:19">
      <c r="A2688" s="103" t="s">
        <v>4422</v>
      </c>
      <c r="B2688" s="149" t="str">
        <f>IFERROR(VLOOKUP(Proc[[#This Row],[App]],Table2[],3,0),"open")</f>
        <v>ok</v>
      </c>
      <c r="C2688" s="117" t="s">
        <v>369</v>
      </c>
      <c r="D2688" t="s">
        <v>4609</v>
      </c>
      <c r="E2688" t="s">
        <v>4749</v>
      </c>
      <c r="F2688" s="94" t="s">
        <v>4749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4785</v>
      </c>
      <c r="J2688" s="94" t="b">
        <f>Proc[[#This Row],[Requested]]=Proc[[#This Row],[CurrentParent]]</f>
        <v>1</v>
      </c>
      <c r="K2688" s="144" t="str">
        <f>IF(Proc[[#This Row],[Author]]="Marcela Urrego",VLOOKUP(LEFT(Proc[[#This Row],[Requested]],1),Table3[#All],2,0),VLOOKUP(Proc[[#This Row],[Author]],Table4[],2,0))</f>
        <v>MGF</v>
      </c>
      <c r="L2688" s="125" t="s">
        <v>4894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116</v>
      </c>
      <c r="R2688" s="110" t="s">
        <v>485</v>
      </c>
      <c r="S2688" s="94"/>
    </row>
    <row r="2689" spans="1:19">
      <c r="A2689" s="103" t="s">
        <v>4422</v>
      </c>
      <c r="B2689" s="149" t="str">
        <f>IFERROR(VLOOKUP(Proc[[#This Row],[App]],Table2[],3,0),"open")</f>
        <v>ok</v>
      </c>
      <c r="C2689" s="117" t="s">
        <v>369</v>
      </c>
      <c r="D2689" t="s">
        <v>4610</v>
      </c>
      <c r="E2689" t="s">
        <v>4747</v>
      </c>
      <c r="F2689" s="94" t="s">
        <v>4747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4785</v>
      </c>
      <c r="J2689" s="94" t="b">
        <f>Proc[[#This Row],[Requested]]=Proc[[#This Row],[CurrentParent]]</f>
        <v>1</v>
      </c>
      <c r="K2689" s="144" t="str">
        <f>IF(Proc[[#This Row],[Author]]="Marcela Urrego",VLOOKUP(LEFT(Proc[[#This Row],[Requested]],1),Table3[#All],2,0),VLOOKUP(Proc[[#This Row],[Author]],Table4[],2,0))</f>
        <v>MGF</v>
      </c>
      <c r="L2689" s="125" t="s">
        <v>4894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116</v>
      </c>
      <c r="R2689" s="110" t="s">
        <v>485</v>
      </c>
      <c r="S2689" s="94"/>
    </row>
    <row r="2690" spans="1:19">
      <c r="A2690" s="103" t="s">
        <v>4422</v>
      </c>
      <c r="B2690" s="149" t="str">
        <f>IFERROR(VLOOKUP(Proc[[#This Row],[App]],Table2[],3,0),"open")</f>
        <v>ok</v>
      </c>
      <c r="C2690" s="117" t="s">
        <v>369</v>
      </c>
      <c r="D2690" t="s">
        <v>4611</v>
      </c>
      <c r="E2690" t="s">
        <v>4747</v>
      </c>
      <c r="F2690" s="94" t="s">
        <v>4747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4785</v>
      </c>
      <c r="J2690" s="94" t="b">
        <f>Proc[[#This Row],[Requested]]=Proc[[#This Row],[CurrentParent]]</f>
        <v>1</v>
      </c>
      <c r="K2690" s="144" t="str">
        <f>IF(Proc[[#This Row],[Author]]="Marcela Urrego",VLOOKUP(LEFT(Proc[[#This Row],[Requested]],1),Table3[#All],2,0),VLOOKUP(Proc[[#This Row],[Author]],Table4[],2,0))</f>
        <v>MGF</v>
      </c>
      <c r="L2690" s="125" t="s">
        <v>4894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116</v>
      </c>
      <c r="R2690" s="110" t="s">
        <v>485</v>
      </c>
      <c r="S2690" s="94"/>
    </row>
    <row r="2691" spans="1:19">
      <c r="A2691" s="103" t="s">
        <v>4422</v>
      </c>
      <c r="B2691" s="149" t="str">
        <f>IFERROR(VLOOKUP(Proc[[#This Row],[App]],Table2[],3,0),"open")</f>
        <v>ok</v>
      </c>
      <c r="C2691" s="117" t="s">
        <v>369</v>
      </c>
      <c r="D2691" t="s">
        <v>4612</v>
      </c>
      <c r="E2691" t="s">
        <v>4747</v>
      </c>
      <c r="F2691" s="94" t="s">
        <v>4747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4785</v>
      </c>
      <c r="J2691" s="94" t="b">
        <f>Proc[[#This Row],[Requested]]=Proc[[#This Row],[CurrentParent]]</f>
        <v>1</v>
      </c>
      <c r="K2691" s="144" t="str">
        <f>IF(Proc[[#This Row],[Author]]="Marcela Urrego",VLOOKUP(LEFT(Proc[[#This Row],[Requested]],1),Table3[#All],2,0),VLOOKUP(Proc[[#This Row],[Author]],Table4[],2,0))</f>
        <v>MGF</v>
      </c>
      <c r="L2691" s="125" t="s">
        <v>4894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116</v>
      </c>
      <c r="R2691" s="110" t="s">
        <v>485</v>
      </c>
      <c r="S2691" s="94"/>
    </row>
    <row r="2692" spans="1:19">
      <c r="A2692" s="103" t="s">
        <v>4422</v>
      </c>
      <c r="B2692" s="149" t="str">
        <f>IFERROR(VLOOKUP(Proc[[#This Row],[App]],Table2[],3,0),"open")</f>
        <v>ok</v>
      </c>
      <c r="C2692" s="117" t="s">
        <v>369</v>
      </c>
      <c r="D2692" t="s">
        <v>4613</v>
      </c>
      <c r="E2692" t="s">
        <v>4748</v>
      </c>
      <c r="F2692" s="94" t="s">
        <v>4748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4785</v>
      </c>
      <c r="J2692" s="94" t="b">
        <f>Proc[[#This Row],[Requested]]=Proc[[#This Row],[CurrentParent]]</f>
        <v>1</v>
      </c>
      <c r="K2692" s="144" t="str">
        <f>IF(Proc[[#This Row],[Author]]="Marcela Urrego",VLOOKUP(LEFT(Proc[[#This Row],[Requested]],1),Table3[#All],2,0),VLOOKUP(Proc[[#This Row],[Author]],Table4[],2,0))</f>
        <v>MGF</v>
      </c>
      <c r="L2692" s="125" t="s">
        <v>4894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116</v>
      </c>
      <c r="R2692" s="110" t="s">
        <v>485</v>
      </c>
      <c r="S2692" s="94"/>
    </row>
    <row r="2693" spans="1:19">
      <c r="A2693" s="103" t="s">
        <v>4422</v>
      </c>
      <c r="B2693" s="149" t="str">
        <f>IFERROR(VLOOKUP(Proc[[#This Row],[App]],Table2[],3,0),"open")</f>
        <v>ok</v>
      </c>
      <c r="C2693" s="117" t="s">
        <v>369</v>
      </c>
      <c r="D2693" t="s">
        <v>4614</v>
      </c>
      <c r="E2693" t="s">
        <v>4747</v>
      </c>
      <c r="F2693" s="94" t="s">
        <v>4747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4785</v>
      </c>
      <c r="J2693" s="94" t="b">
        <f>Proc[[#This Row],[Requested]]=Proc[[#This Row],[CurrentParent]]</f>
        <v>1</v>
      </c>
      <c r="K2693" s="144" t="str">
        <f>IF(Proc[[#This Row],[Author]]="Marcela Urrego",VLOOKUP(LEFT(Proc[[#This Row],[Requested]],1),Table3[#All],2,0),VLOOKUP(Proc[[#This Row],[Author]],Table4[],2,0))</f>
        <v>MGF</v>
      </c>
      <c r="L2693" s="125" t="s">
        <v>4894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116</v>
      </c>
      <c r="R2693" s="110" t="s">
        <v>485</v>
      </c>
      <c r="S2693" s="94"/>
    </row>
    <row r="2694" spans="1:19">
      <c r="A2694" s="103" t="s">
        <v>4422</v>
      </c>
      <c r="B2694" s="149" t="str">
        <f>IFERROR(VLOOKUP(Proc[[#This Row],[App]],Table2[],3,0),"open")</f>
        <v>ok</v>
      </c>
      <c r="C2694" s="117" t="s">
        <v>369</v>
      </c>
      <c r="D2694" t="s">
        <v>4615</v>
      </c>
      <c r="E2694" t="s">
        <v>4749</v>
      </c>
      <c r="F2694" s="94" t="s">
        <v>4749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4785</v>
      </c>
      <c r="J2694" s="94" t="b">
        <f>Proc[[#This Row],[Requested]]=Proc[[#This Row],[CurrentParent]]</f>
        <v>1</v>
      </c>
      <c r="K2694" s="144" t="str">
        <f>IF(Proc[[#This Row],[Author]]="Marcela Urrego",VLOOKUP(LEFT(Proc[[#This Row],[Requested]],1),Table3[#All],2,0),VLOOKUP(Proc[[#This Row],[Author]],Table4[],2,0))</f>
        <v>MGF</v>
      </c>
      <c r="L2694" s="125" t="s">
        <v>4894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116</v>
      </c>
      <c r="R2694" s="110" t="s">
        <v>485</v>
      </c>
      <c r="S2694" s="94"/>
    </row>
    <row r="2695" spans="1:19">
      <c r="A2695" s="103" t="s">
        <v>4422</v>
      </c>
      <c r="B2695" s="149" t="str">
        <f>IFERROR(VLOOKUP(Proc[[#This Row],[App]],Table2[],3,0),"open")</f>
        <v>ok</v>
      </c>
      <c r="C2695" s="117" t="s">
        <v>369</v>
      </c>
      <c r="D2695" t="s">
        <v>4616</v>
      </c>
      <c r="E2695" t="s">
        <v>4749</v>
      </c>
      <c r="F2695" s="94" t="s">
        <v>4749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4785</v>
      </c>
      <c r="J2695" s="94" t="b">
        <f>Proc[[#This Row],[Requested]]=Proc[[#This Row],[CurrentParent]]</f>
        <v>1</v>
      </c>
      <c r="K2695" s="144" t="str">
        <f>IF(Proc[[#This Row],[Author]]="Marcela Urrego",VLOOKUP(LEFT(Proc[[#This Row],[Requested]],1),Table3[#All],2,0),VLOOKUP(Proc[[#This Row],[Author]],Table4[],2,0))</f>
        <v>MGF</v>
      </c>
      <c r="L2695" s="125" t="s">
        <v>4894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116</v>
      </c>
      <c r="R2695" s="110" t="s">
        <v>485</v>
      </c>
      <c r="S2695" s="94"/>
    </row>
    <row r="2696" spans="1:19">
      <c r="A2696" s="103" t="s">
        <v>4422</v>
      </c>
      <c r="B2696" s="149" t="str">
        <f>IFERROR(VLOOKUP(Proc[[#This Row],[App]],Table2[],3,0),"open")</f>
        <v>ok</v>
      </c>
      <c r="C2696" s="117" t="s">
        <v>369</v>
      </c>
      <c r="D2696" t="s">
        <v>4617</v>
      </c>
      <c r="E2696" t="s">
        <v>4747</v>
      </c>
      <c r="F2696" s="94" t="s">
        <v>4747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4785</v>
      </c>
      <c r="J2696" s="94" t="b">
        <f>Proc[[#This Row],[Requested]]=Proc[[#This Row],[CurrentParent]]</f>
        <v>1</v>
      </c>
      <c r="K2696" s="144" t="str">
        <f>IF(Proc[[#This Row],[Author]]="Marcela Urrego",VLOOKUP(LEFT(Proc[[#This Row],[Requested]],1),Table3[#All],2,0),VLOOKUP(Proc[[#This Row],[Author]],Table4[],2,0))</f>
        <v>MGF</v>
      </c>
      <c r="L2696" s="125" t="s">
        <v>4894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116</v>
      </c>
      <c r="R2696" s="110" t="s">
        <v>485</v>
      </c>
      <c r="S2696" s="94"/>
    </row>
    <row r="2697" spans="1:19">
      <c r="A2697" s="103" t="s">
        <v>4422</v>
      </c>
      <c r="B2697" s="149" t="str">
        <f>IFERROR(VLOOKUP(Proc[[#This Row],[App]],Table2[],3,0),"open")</f>
        <v>ok</v>
      </c>
      <c r="C2697" s="117" t="s">
        <v>369</v>
      </c>
      <c r="D2697" t="s">
        <v>4618</v>
      </c>
      <c r="E2697" t="s">
        <v>4747</v>
      </c>
      <c r="F2697" s="94" t="s">
        <v>4747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4785</v>
      </c>
      <c r="J2697" s="94" t="b">
        <f>Proc[[#This Row],[Requested]]=Proc[[#This Row],[CurrentParent]]</f>
        <v>1</v>
      </c>
      <c r="K2697" s="144" t="str">
        <f>IF(Proc[[#This Row],[Author]]="Marcela Urrego",VLOOKUP(LEFT(Proc[[#This Row],[Requested]],1),Table3[#All],2,0),VLOOKUP(Proc[[#This Row],[Author]],Table4[],2,0))</f>
        <v>MGF</v>
      </c>
      <c r="L2697" s="125" t="s">
        <v>4894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116</v>
      </c>
      <c r="R2697" s="110" t="s">
        <v>485</v>
      </c>
      <c r="S2697" s="94"/>
    </row>
    <row r="2698" spans="1:19">
      <c r="A2698" s="103" t="s">
        <v>4422</v>
      </c>
      <c r="B2698" s="149" t="str">
        <f>IFERROR(VLOOKUP(Proc[[#This Row],[App]],Table2[],3,0),"open")</f>
        <v>ok</v>
      </c>
      <c r="C2698" s="117" t="s">
        <v>369</v>
      </c>
      <c r="D2698" t="s">
        <v>4619</v>
      </c>
      <c r="E2698" t="s">
        <v>4747</v>
      </c>
      <c r="F2698" s="94" t="s">
        <v>4747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4785</v>
      </c>
      <c r="J2698" s="94" t="b">
        <f>Proc[[#This Row],[Requested]]=Proc[[#This Row],[CurrentParent]]</f>
        <v>1</v>
      </c>
      <c r="K2698" s="144" t="str">
        <f>IF(Proc[[#This Row],[Author]]="Marcela Urrego",VLOOKUP(LEFT(Proc[[#This Row],[Requested]],1),Table3[#All],2,0),VLOOKUP(Proc[[#This Row],[Author]],Table4[],2,0))</f>
        <v>MGF</v>
      </c>
      <c r="L2698" s="125" t="s">
        <v>4894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116</v>
      </c>
      <c r="R2698" s="110" t="s">
        <v>485</v>
      </c>
      <c r="S2698" s="94"/>
    </row>
    <row r="2699" spans="1:19">
      <c r="A2699" s="103" t="s">
        <v>4422</v>
      </c>
      <c r="B2699" s="149" t="str">
        <f>IFERROR(VLOOKUP(Proc[[#This Row],[App]],Table2[],3,0),"open")</f>
        <v>ok</v>
      </c>
      <c r="C2699" s="117" t="s">
        <v>369</v>
      </c>
      <c r="D2699" t="s">
        <v>4620</v>
      </c>
      <c r="E2699" t="s">
        <v>4748</v>
      </c>
      <c r="F2699" s="94" t="s">
        <v>4748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4785</v>
      </c>
      <c r="J2699" s="94" t="b">
        <f>Proc[[#This Row],[Requested]]=Proc[[#This Row],[CurrentParent]]</f>
        <v>1</v>
      </c>
      <c r="K2699" s="144" t="str">
        <f>IF(Proc[[#This Row],[Author]]="Marcela Urrego",VLOOKUP(LEFT(Proc[[#This Row],[Requested]],1),Table3[#All],2,0),VLOOKUP(Proc[[#This Row],[Author]],Table4[],2,0))</f>
        <v>MGF</v>
      </c>
      <c r="L2699" s="125" t="s">
        <v>4894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116</v>
      </c>
      <c r="R2699" s="110" t="s">
        <v>485</v>
      </c>
      <c r="S2699" s="94"/>
    </row>
    <row r="2700" spans="1:19">
      <c r="A2700" s="103" t="s">
        <v>4422</v>
      </c>
      <c r="B2700" s="149" t="str">
        <f>IFERROR(VLOOKUP(Proc[[#This Row],[App]],Table2[],3,0),"open")</f>
        <v>ok</v>
      </c>
      <c r="C2700" s="117" t="s">
        <v>369</v>
      </c>
      <c r="D2700" t="s">
        <v>4621</v>
      </c>
      <c r="E2700" t="s">
        <v>4748</v>
      </c>
      <c r="F2700" s="94" t="s">
        <v>4748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4785</v>
      </c>
      <c r="J2700" s="94" t="b">
        <f>Proc[[#This Row],[Requested]]=Proc[[#This Row],[CurrentParent]]</f>
        <v>1</v>
      </c>
      <c r="K2700" s="144" t="str">
        <f>IF(Proc[[#This Row],[Author]]="Marcela Urrego",VLOOKUP(LEFT(Proc[[#This Row],[Requested]],1),Table3[#All],2,0),VLOOKUP(Proc[[#This Row],[Author]],Table4[],2,0))</f>
        <v>MGF</v>
      </c>
      <c r="L2700" s="125" t="s">
        <v>4894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116</v>
      </c>
      <c r="R2700" s="110" t="s">
        <v>485</v>
      </c>
      <c r="S2700" s="94"/>
    </row>
    <row r="2701" spans="1:19">
      <c r="A2701" s="103" t="s">
        <v>4422</v>
      </c>
      <c r="B2701" s="149" t="str">
        <f>IFERROR(VLOOKUP(Proc[[#This Row],[App]],Table2[],3,0),"open")</f>
        <v>ok</v>
      </c>
      <c r="C2701" s="117" t="s">
        <v>369</v>
      </c>
      <c r="D2701" t="s">
        <v>4622</v>
      </c>
      <c r="E2701" t="s">
        <v>4748</v>
      </c>
      <c r="F2701" s="94" t="s">
        <v>4748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4785</v>
      </c>
      <c r="J2701" s="94" t="b">
        <f>Proc[[#This Row],[Requested]]=Proc[[#This Row],[CurrentParent]]</f>
        <v>1</v>
      </c>
      <c r="K2701" s="144" t="str">
        <f>IF(Proc[[#This Row],[Author]]="Marcela Urrego",VLOOKUP(LEFT(Proc[[#This Row],[Requested]],1),Table3[#All],2,0),VLOOKUP(Proc[[#This Row],[Author]],Table4[],2,0))</f>
        <v>MGF</v>
      </c>
      <c r="L2701" s="125" t="s">
        <v>4894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116</v>
      </c>
      <c r="R2701" s="110" t="s">
        <v>485</v>
      </c>
      <c r="S2701" s="94"/>
    </row>
    <row r="2702" spans="1:19">
      <c r="A2702" s="103" t="s">
        <v>4422</v>
      </c>
      <c r="B2702" s="149" t="str">
        <f>IFERROR(VLOOKUP(Proc[[#This Row],[App]],Table2[],3,0),"open")</f>
        <v>ok</v>
      </c>
      <c r="C2702" s="117" t="s">
        <v>369</v>
      </c>
      <c r="D2702" t="s">
        <v>4623</v>
      </c>
      <c r="E2702" t="s">
        <v>4748</v>
      </c>
      <c r="F2702" s="94" t="s">
        <v>4748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4785</v>
      </c>
      <c r="J2702" s="94" t="b">
        <f>Proc[[#This Row],[Requested]]=Proc[[#This Row],[CurrentParent]]</f>
        <v>1</v>
      </c>
      <c r="K2702" s="144" t="str">
        <f>IF(Proc[[#This Row],[Author]]="Marcela Urrego",VLOOKUP(LEFT(Proc[[#This Row],[Requested]],1),Table3[#All],2,0),VLOOKUP(Proc[[#This Row],[Author]],Table4[],2,0))</f>
        <v>MGF</v>
      </c>
      <c r="L2702" s="125" t="s">
        <v>4894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116</v>
      </c>
      <c r="R2702" s="110" t="s">
        <v>485</v>
      </c>
      <c r="S2702" s="94"/>
    </row>
    <row r="2703" spans="1:19">
      <c r="A2703" s="103" t="s">
        <v>4422</v>
      </c>
      <c r="B2703" s="149" t="str">
        <f>IFERROR(VLOOKUP(Proc[[#This Row],[App]],Table2[],3,0),"open")</f>
        <v>ok</v>
      </c>
      <c r="C2703" s="117" t="s">
        <v>369</v>
      </c>
      <c r="D2703" t="s">
        <v>4624</v>
      </c>
      <c r="E2703" t="s">
        <v>4748</v>
      </c>
      <c r="F2703" s="94" t="s">
        <v>4748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4785</v>
      </c>
      <c r="J2703" s="94" t="b">
        <f>Proc[[#This Row],[Requested]]=Proc[[#This Row],[CurrentParent]]</f>
        <v>1</v>
      </c>
      <c r="K2703" s="144" t="str">
        <f>IF(Proc[[#This Row],[Author]]="Marcela Urrego",VLOOKUP(LEFT(Proc[[#This Row],[Requested]],1),Table3[#All],2,0),VLOOKUP(Proc[[#This Row],[Author]],Table4[],2,0))</f>
        <v>MGF</v>
      </c>
      <c r="L2703" s="125" t="s">
        <v>4894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116</v>
      </c>
      <c r="R2703" s="110" t="s">
        <v>485</v>
      </c>
      <c r="S2703" s="94"/>
    </row>
    <row r="2704" spans="1:19">
      <c r="A2704" s="103" t="s">
        <v>4422</v>
      </c>
      <c r="B2704" s="149" t="str">
        <f>IFERROR(VLOOKUP(Proc[[#This Row],[App]],Table2[],3,0),"open")</f>
        <v>ok</v>
      </c>
      <c r="C2704" s="117" t="s">
        <v>369</v>
      </c>
      <c r="D2704" t="s">
        <v>4625</v>
      </c>
      <c r="E2704" t="s">
        <v>4748</v>
      </c>
      <c r="F2704" s="94" t="s">
        <v>4748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4785</v>
      </c>
      <c r="J2704" s="94" t="b">
        <f>Proc[[#This Row],[Requested]]=Proc[[#This Row],[CurrentParent]]</f>
        <v>1</v>
      </c>
      <c r="K2704" s="144" t="str">
        <f>IF(Proc[[#This Row],[Author]]="Marcela Urrego",VLOOKUP(LEFT(Proc[[#This Row],[Requested]],1),Table3[#All],2,0),VLOOKUP(Proc[[#This Row],[Author]],Table4[],2,0))</f>
        <v>MGF</v>
      </c>
      <c r="L2704" s="125" t="s">
        <v>4894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116</v>
      </c>
      <c r="R2704" s="110" t="s">
        <v>485</v>
      </c>
      <c r="S2704" s="94"/>
    </row>
    <row r="2705" spans="1:19">
      <c r="A2705" s="103" t="s">
        <v>4422</v>
      </c>
      <c r="B2705" s="149" t="str">
        <f>IFERROR(VLOOKUP(Proc[[#This Row],[App]],Table2[],3,0),"open")</f>
        <v>ok</v>
      </c>
      <c r="C2705" s="117" t="s">
        <v>369</v>
      </c>
      <c r="D2705" t="s">
        <v>4626</v>
      </c>
      <c r="E2705" t="s">
        <v>4748</v>
      </c>
      <c r="F2705" s="94" t="s">
        <v>4748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4785</v>
      </c>
      <c r="J2705" s="94" t="b">
        <f>Proc[[#This Row],[Requested]]=Proc[[#This Row],[CurrentParent]]</f>
        <v>1</v>
      </c>
      <c r="K2705" s="144" t="str">
        <f>IF(Proc[[#This Row],[Author]]="Marcela Urrego",VLOOKUP(LEFT(Proc[[#This Row],[Requested]],1),Table3[#All],2,0),VLOOKUP(Proc[[#This Row],[Author]],Table4[],2,0))</f>
        <v>MGF</v>
      </c>
      <c r="L2705" s="125" t="s">
        <v>4894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116</v>
      </c>
      <c r="R2705" s="110" t="s">
        <v>485</v>
      </c>
      <c r="S2705" s="94"/>
    </row>
    <row r="2706" spans="1:19">
      <c r="A2706" s="103" t="s">
        <v>4422</v>
      </c>
      <c r="B2706" s="149" t="str">
        <f>IFERROR(VLOOKUP(Proc[[#This Row],[App]],Table2[],3,0),"open")</f>
        <v>ok</v>
      </c>
      <c r="C2706" s="117" t="s">
        <v>369</v>
      </c>
      <c r="D2706" t="s">
        <v>4627</v>
      </c>
      <c r="E2706" t="s">
        <v>4748</v>
      </c>
      <c r="F2706" s="94" t="s">
        <v>4748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4785</v>
      </c>
      <c r="J2706" s="94" t="b">
        <f>Proc[[#This Row],[Requested]]=Proc[[#This Row],[CurrentParent]]</f>
        <v>1</v>
      </c>
      <c r="K2706" s="144" t="str">
        <f>IF(Proc[[#This Row],[Author]]="Marcela Urrego",VLOOKUP(LEFT(Proc[[#This Row],[Requested]],1),Table3[#All],2,0),VLOOKUP(Proc[[#This Row],[Author]],Table4[],2,0))</f>
        <v>MGF</v>
      </c>
      <c r="L2706" s="125" t="s">
        <v>4894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116</v>
      </c>
      <c r="R2706" s="110" t="s">
        <v>485</v>
      </c>
      <c r="S2706" s="94"/>
    </row>
    <row r="2707" spans="1:19">
      <c r="A2707" s="103" t="s">
        <v>4422</v>
      </c>
      <c r="B2707" s="149" t="str">
        <f>IFERROR(VLOOKUP(Proc[[#This Row],[App]],Table2[],3,0),"open")</f>
        <v>ok</v>
      </c>
      <c r="C2707" s="117" t="s">
        <v>369</v>
      </c>
      <c r="D2707" t="s">
        <v>4628</v>
      </c>
      <c r="E2707" t="s">
        <v>4748</v>
      </c>
      <c r="F2707" s="94" t="s">
        <v>4748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4785</v>
      </c>
      <c r="J2707" s="94" t="b">
        <f>Proc[[#This Row],[Requested]]=Proc[[#This Row],[CurrentParent]]</f>
        <v>1</v>
      </c>
      <c r="K2707" s="144" t="str">
        <f>IF(Proc[[#This Row],[Author]]="Marcela Urrego",VLOOKUP(LEFT(Proc[[#This Row],[Requested]],1),Table3[#All],2,0),VLOOKUP(Proc[[#This Row],[Author]],Table4[],2,0))</f>
        <v>MGF</v>
      </c>
      <c r="L2707" s="125" t="s">
        <v>4894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116</v>
      </c>
      <c r="R2707" s="110" t="s">
        <v>485</v>
      </c>
      <c r="S2707" s="94"/>
    </row>
    <row r="2708" spans="1:19">
      <c r="A2708" s="103" t="s">
        <v>4422</v>
      </c>
      <c r="B2708" s="149" t="str">
        <f>IFERROR(VLOOKUP(Proc[[#This Row],[App]],Table2[],3,0),"open")</f>
        <v>ok</v>
      </c>
      <c r="C2708" s="117" t="s">
        <v>369</v>
      </c>
      <c r="D2708" t="s">
        <v>4629</v>
      </c>
      <c r="E2708" t="s">
        <v>4748</v>
      </c>
      <c r="F2708" s="94" t="s">
        <v>4748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4785</v>
      </c>
      <c r="J2708" s="94" t="b">
        <f>Proc[[#This Row],[Requested]]=Proc[[#This Row],[CurrentParent]]</f>
        <v>1</v>
      </c>
      <c r="K2708" s="144" t="str">
        <f>IF(Proc[[#This Row],[Author]]="Marcela Urrego",VLOOKUP(LEFT(Proc[[#This Row],[Requested]],1),Table3[#All],2,0),VLOOKUP(Proc[[#This Row],[Author]],Table4[],2,0))</f>
        <v>MGF</v>
      </c>
      <c r="L2708" s="125" t="s">
        <v>4894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116</v>
      </c>
      <c r="R2708" s="110" t="s">
        <v>485</v>
      </c>
      <c r="S2708" s="94"/>
    </row>
    <row r="2709" spans="1:19">
      <c r="A2709" s="103" t="s">
        <v>4422</v>
      </c>
      <c r="B2709" s="149" t="str">
        <f>IFERROR(VLOOKUP(Proc[[#This Row],[App]],Table2[],3,0),"open")</f>
        <v>ok</v>
      </c>
      <c r="C2709" s="117" t="s">
        <v>369</v>
      </c>
      <c r="D2709" t="s">
        <v>4630</v>
      </c>
      <c r="E2709" t="s">
        <v>4748</v>
      </c>
      <c r="F2709" s="94" t="s">
        <v>4748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4785</v>
      </c>
      <c r="J2709" s="94" t="b">
        <f>Proc[[#This Row],[Requested]]=Proc[[#This Row],[CurrentParent]]</f>
        <v>1</v>
      </c>
      <c r="K2709" s="144" t="str">
        <f>IF(Proc[[#This Row],[Author]]="Marcela Urrego",VLOOKUP(LEFT(Proc[[#This Row],[Requested]],1),Table3[#All],2,0),VLOOKUP(Proc[[#This Row],[Author]],Table4[],2,0))</f>
        <v>MGF</v>
      </c>
      <c r="L2709" s="125" t="s">
        <v>4894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116</v>
      </c>
      <c r="R2709" s="110" t="s">
        <v>485</v>
      </c>
      <c r="S2709" s="94"/>
    </row>
    <row r="2710" spans="1:19">
      <c r="A2710" s="103" t="s">
        <v>4422</v>
      </c>
      <c r="B2710" s="149" t="str">
        <f>IFERROR(VLOOKUP(Proc[[#This Row],[App]],Table2[],3,0),"open")</f>
        <v>ok</v>
      </c>
      <c r="C2710" s="117" t="s">
        <v>369</v>
      </c>
      <c r="D2710" t="s">
        <v>4631</v>
      </c>
      <c r="E2710" t="s">
        <v>4748</v>
      </c>
      <c r="F2710" s="94" t="s">
        <v>4748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4785</v>
      </c>
      <c r="J2710" s="94" t="b">
        <f>Proc[[#This Row],[Requested]]=Proc[[#This Row],[CurrentParent]]</f>
        <v>1</v>
      </c>
      <c r="K2710" s="144" t="str">
        <f>IF(Proc[[#This Row],[Author]]="Marcela Urrego",VLOOKUP(LEFT(Proc[[#This Row],[Requested]],1),Table3[#All],2,0),VLOOKUP(Proc[[#This Row],[Author]],Table4[],2,0))</f>
        <v>MGF</v>
      </c>
      <c r="L2710" s="125" t="s">
        <v>4894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116</v>
      </c>
      <c r="R2710" s="110" t="s">
        <v>485</v>
      </c>
      <c r="S2710" s="94"/>
    </row>
    <row r="2711" spans="1:19">
      <c r="A2711" s="103" t="s">
        <v>4422</v>
      </c>
      <c r="B2711" s="149" t="str">
        <f>IFERROR(VLOOKUP(Proc[[#This Row],[App]],Table2[],3,0),"open")</f>
        <v>ok</v>
      </c>
      <c r="C2711" s="117" t="s">
        <v>369</v>
      </c>
      <c r="D2711" t="s">
        <v>4632</v>
      </c>
      <c r="E2711" t="s">
        <v>4748</v>
      </c>
      <c r="F2711" s="94" t="s">
        <v>4748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4785</v>
      </c>
      <c r="J2711" s="94" t="b">
        <f>Proc[[#This Row],[Requested]]=Proc[[#This Row],[CurrentParent]]</f>
        <v>1</v>
      </c>
      <c r="K2711" s="144" t="str">
        <f>IF(Proc[[#This Row],[Author]]="Marcela Urrego",VLOOKUP(LEFT(Proc[[#This Row],[Requested]],1),Table3[#All],2,0),VLOOKUP(Proc[[#This Row],[Author]],Table4[],2,0))</f>
        <v>MGF</v>
      </c>
      <c r="L2711" s="125" t="s">
        <v>4894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116</v>
      </c>
      <c r="R2711" s="110" t="s">
        <v>485</v>
      </c>
      <c r="S2711" s="94"/>
    </row>
    <row r="2712" spans="1:19">
      <c r="A2712" s="103" t="s">
        <v>4422</v>
      </c>
      <c r="B2712" s="149" t="str">
        <f>IFERROR(VLOOKUP(Proc[[#This Row],[App]],Table2[],3,0),"open")</f>
        <v>ok</v>
      </c>
      <c r="C2712" s="117" t="s">
        <v>369</v>
      </c>
      <c r="D2712" t="s">
        <v>4633</v>
      </c>
      <c r="E2712" t="s">
        <v>4748</v>
      </c>
      <c r="F2712" s="94" t="s">
        <v>4748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4785</v>
      </c>
      <c r="J2712" s="94" t="b">
        <f>Proc[[#This Row],[Requested]]=Proc[[#This Row],[CurrentParent]]</f>
        <v>1</v>
      </c>
      <c r="K2712" s="144" t="str">
        <f>IF(Proc[[#This Row],[Author]]="Marcela Urrego",VLOOKUP(LEFT(Proc[[#This Row],[Requested]],1),Table3[#All],2,0),VLOOKUP(Proc[[#This Row],[Author]],Table4[],2,0))</f>
        <v>MGF</v>
      </c>
      <c r="L2712" s="125" t="s">
        <v>4894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116</v>
      </c>
      <c r="R2712" s="110" t="s">
        <v>485</v>
      </c>
      <c r="S2712" s="94"/>
    </row>
    <row r="2713" spans="1:19">
      <c r="A2713" s="103" t="s">
        <v>4422</v>
      </c>
      <c r="B2713" s="149" t="str">
        <f>IFERROR(VLOOKUP(Proc[[#This Row],[App]],Table2[],3,0),"open")</f>
        <v>ok</v>
      </c>
      <c r="C2713" s="117" t="s">
        <v>369</v>
      </c>
      <c r="D2713" t="s">
        <v>4634</v>
      </c>
      <c r="E2713" t="s">
        <v>4747</v>
      </c>
      <c r="F2713" s="94" t="s">
        <v>4747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4785</v>
      </c>
      <c r="J2713" s="94" t="b">
        <f>Proc[[#This Row],[Requested]]=Proc[[#This Row],[CurrentParent]]</f>
        <v>1</v>
      </c>
      <c r="K2713" s="144" t="str">
        <f>IF(Proc[[#This Row],[Author]]="Marcela Urrego",VLOOKUP(LEFT(Proc[[#This Row],[Requested]],1),Table3[#All],2,0),VLOOKUP(Proc[[#This Row],[Author]],Table4[],2,0))</f>
        <v>MGF</v>
      </c>
      <c r="L2713" s="125" t="s">
        <v>4894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116</v>
      </c>
      <c r="R2713" s="110" t="s">
        <v>485</v>
      </c>
      <c r="S2713" s="94"/>
    </row>
    <row r="2714" spans="1:19">
      <c r="A2714" s="103" t="s">
        <v>4422</v>
      </c>
      <c r="B2714" s="149" t="str">
        <f>IFERROR(VLOOKUP(Proc[[#This Row],[App]],Table2[],3,0),"open")</f>
        <v>ok</v>
      </c>
      <c r="C2714" s="117" t="s">
        <v>369</v>
      </c>
      <c r="D2714" t="s">
        <v>4635</v>
      </c>
      <c r="E2714" t="s">
        <v>4747</v>
      </c>
      <c r="F2714" s="94" t="s">
        <v>4747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4785</v>
      </c>
      <c r="J2714" s="94" t="b">
        <f>Proc[[#This Row],[Requested]]=Proc[[#This Row],[CurrentParent]]</f>
        <v>1</v>
      </c>
      <c r="K2714" s="144" t="str">
        <f>IF(Proc[[#This Row],[Author]]="Marcela Urrego",VLOOKUP(LEFT(Proc[[#This Row],[Requested]],1),Table3[#All],2,0),VLOOKUP(Proc[[#This Row],[Author]],Table4[],2,0))</f>
        <v>MGF</v>
      </c>
      <c r="L2714" s="125" t="s">
        <v>4894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116</v>
      </c>
      <c r="R2714" s="110" t="s">
        <v>485</v>
      </c>
      <c r="S2714" s="94"/>
    </row>
    <row r="2715" spans="1:19">
      <c r="A2715" s="103" t="s">
        <v>4422</v>
      </c>
      <c r="B2715" s="149" t="str">
        <f>IFERROR(VLOOKUP(Proc[[#This Row],[App]],Table2[],3,0),"open")</f>
        <v>ok</v>
      </c>
      <c r="C2715" s="117" t="s">
        <v>369</v>
      </c>
      <c r="D2715" t="s">
        <v>4636</v>
      </c>
      <c r="E2715" t="s">
        <v>4747</v>
      </c>
      <c r="F2715" s="94" t="s">
        <v>4747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4785</v>
      </c>
      <c r="J2715" s="94" t="b">
        <f>Proc[[#This Row],[Requested]]=Proc[[#This Row],[CurrentParent]]</f>
        <v>1</v>
      </c>
      <c r="K2715" s="144" t="str">
        <f>IF(Proc[[#This Row],[Author]]="Marcela Urrego",VLOOKUP(LEFT(Proc[[#This Row],[Requested]],1),Table3[#All],2,0),VLOOKUP(Proc[[#This Row],[Author]],Table4[],2,0))</f>
        <v>MGF</v>
      </c>
      <c r="L2715" s="125" t="s">
        <v>4894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116</v>
      </c>
      <c r="R2715" s="110" t="s">
        <v>485</v>
      </c>
      <c r="S2715" s="94"/>
    </row>
    <row r="2716" spans="1:19">
      <c r="A2716" s="103" t="s">
        <v>4422</v>
      </c>
      <c r="B2716" s="149" t="str">
        <f>IFERROR(VLOOKUP(Proc[[#This Row],[App]],Table2[],3,0),"open")</f>
        <v>ok</v>
      </c>
      <c r="C2716" s="117" t="s">
        <v>369</v>
      </c>
      <c r="D2716" t="s">
        <v>4637</v>
      </c>
      <c r="E2716" t="s">
        <v>4748</v>
      </c>
      <c r="F2716" s="94" t="s">
        <v>4748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4785</v>
      </c>
      <c r="J2716" s="94" t="b">
        <f>Proc[[#This Row],[Requested]]=Proc[[#This Row],[CurrentParent]]</f>
        <v>1</v>
      </c>
      <c r="K2716" s="144" t="str">
        <f>IF(Proc[[#This Row],[Author]]="Marcela Urrego",VLOOKUP(LEFT(Proc[[#This Row],[Requested]],1),Table3[#All],2,0),VLOOKUP(Proc[[#This Row],[Author]],Table4[],2,0))</f>
        <v>MGF</v>
      </c>
      <c r="L2716" s="125" t="s">
        <v>4894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116</v>
      </c>
      <c r="R2716" s="110" t="s">
        <v>485</v>
      </c>
      <c r="S2716" s="94"/>
    </row>
    <row r="2717" spans="1:19">
      <c r="A2717" s="103" t="s">
        <v>4422</v>
      </c>
      <c r="B2717" s="149" t="str">
        <f>IFERROR(VLOOKUP(Proc[[#This Row],[App]],Table2[],3,0),"open")</f>
        <v>ok</v>
      </c>
      <c r="C2717" s="117" t="s">
        <v>369</v>
      </c>
      <c r="D2717" t="s">
        <v>4638</v>
      </c>
      <c r="E2717" t="s">
        <v>4748</v>
      </c>
      <c r="F2717" s="94" t="s">
        <v>4748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4785</v>
      </c>
      <c r="J2717" s="94" t="b">
        <f>Proc[[#This Row],[Requested]]=Proc[[#This Row],[CurrentParent]]</f>
        <v>1</v>
      </c>
      <c r="K2717" s="144" t="str">
        <f>IF(Proc[[#This Row],[Author]]="Marcela Urrego",VLOOKUP(LEFT(Proc[[#This Row],[Requested]],1),Table3[#All],2,0),VLOOKUP(Proc[[#This Row],[Author]],Table4[],2,0))</f>
        <v>MGF</v>
      </c>
      <c r="L2717" s="125" t="s">
        <v>4894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116</v>
      </c>
      <c r="R2717" s="110" t="s">
        <v>485</v>
      </c>
      <c r="S2717" s="94"/>
    </row>
    <row r="2718" spans="1:19">
      <c r="A2718" s="103" t="s">
        <v>4422</v>
      </c>
      <c r="B2718" s="149" t="str">
        <f>IFERROR(VLOOKUP(Proc[[#This Row],[App]],Table2[],3,0),"open")</f>
        <v>ok</v>
      </c>
      <c r="C2718" s="117" t="s">
        <v>369</v>
      </c>
      <c r="D2718" t="s">
        <v>4639</v>
      </c>
      <c r="E2718" t="s">
        <v>4748</v>
      </c>
      <c r="F2718" s="94" t="s">
        <v>4748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4785</v>
      </c>
      <c r="J2718" s="94" t="b">
        <f>Proc[[#This Row],[Requested]]=Proc[[#This Row],[CurrentParent]]</f>
        <v>1</v>
      </c>
      <c r="K2718" s="144" t="str">
        <f>IF(Proc[[#This Row],[Author]]="Marcela Urrego",VLOOKUP(LEFT(Proc[[#This Row],[Requested]],1),Table3[#All],2,0),VLOOKUP(Proc[[#This Row],[Author]],Table4[],2,0))</f>
        <v>MGF</v>
      </c>
      <c r="L2718" s="125" t="s">
        <v>4894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116</v>
      </c>
      <c r="R2718" s="110" t="s">
        <v>485</v>
      </c>
      <c r="S2718" s="94"/>
    </row>
    <row r="2719" spans="1:19">
      <c r="A2719" s="103" t="s">
        <v>4422</v>
      </c>
      <c r="B2719" s="149" t="str">
        <f>IFERROR(VLOOKUP(Proc[[#This Row],[App]],Table2[],3,0),"open")</f>
        <v>ok</v>
      </c>
      <c r="C2719" s="117" t="s">
        <v>369</v>
      </c>
      <c r="D2719" t="s">
        <v>4640</v>
      </c>
      <c r="E2719" t="s">
        <v>4748</v>
      </c>
      <c r="F2719" s="94" t="s">
        <v>4748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4785</v>
      </c>
      <c r="J2719" s="94" t="b">
        <f>Proc[[#This Row],[Requested]]=Proc[[#This Row],[CurrentParent]]</f>
        <v>1</v>
      </c>
      <c r="K2719" s="144" t="str">
        <f>IF(Proc[[#This Row],[Author]]="Marcela Urrego",VLOOKUP(LEFT(Proc[[#This Row],[Requested]],1),Table3[#All],2,0),VLOOKUP(Proc[[#This Row],[Author]],Table4[],2,0))</f>
        <v>MGF</v>
      </c>
      <c r="L2719" s="125" t="s">
        <v>4894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116</v>
      </c>
      <c r="R2719" s="110" t="s">
        <v>485</v>
      </c>
      <c r="S2719" s="94"/>
    </row>
    <row r="2720" spans="1:19">
      <c r="A2720" s="103" t="s">
        <v>4422</v>
      </c>
      <c r="B2720" s="149" t="str">
        <f>IFERROR(VLOOKUP(Proc[[#This Row],[App]],Table2[],3,0),"open")</f>
        <v>ok</v>
      </c>
      <c r="C2720" s="117" t="s">
        <v>369</v>
      </c>
      <c r="D2720" t="s">
        <v>4641</v>
      </c>
      <c r="E2720" t="s">
        <v>4748</v>
      </c>
      <c r="F2720" s="94" t="s">
        <v>4748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4785</v>
      </c>
      <c r="J2720" s="94" t="b">
        <f>Proc[[#This Row],[Requested]]=Proc[[#This Row],[CurrentParent]]</f>
        <v>1</v>
      </c>
      <c r="K2720" s="144" t="str">
        <f>IF(Proc[[#This Row],[Author]]="Marcela Urrego",VLOOKUP(LEFT(Proc[[#This Row],[Requested]],1),Table3[#All],2,0),VLOOKUP(Proc[[#This Row],[Author]],Table4[],2,0))</f>
        <v>MGF</v>
      </c>
      <c r="L2720" s="125" t="s">
        <v>4894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116</v>
      </c>
      <c r="R2720" s="110" t="s">
        <v>485</v>
      </c>
      <c r="S2720" s="94"/>
    </row>
    <row r="2721" spans="1:19">
      <c r="A2721" s="103" t="s">
        <v>4422</v>
      </c>
      <c r="B2721" s="149" t="str">
        <f>IFERROR(VLOOKUP(Proc[[#This Row],[App]],Table2[],3,0),"open")</f>
        <v>ok</v>
      </c>
      <c r="C2721" s="117" t="s">
        <v>369</v>
      </c>
      <c r="D2721" t="s">
        <v>4642</v>
      </c>
      <c r="E2721" t="s">
        <v>4748</v>
      </c>
      <c r="F2721" s="94" t="s">
        <v>4748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4785</v>
      </c>
      <c r="J2721" s="94" t="b">
        <f>Proc[[#This Row],[Requested]]=Proc[[#This Row],[CurrentParent]]</f>
        <v>1</v>
      </c>
      <c r="K2721" s="144" t="str">
        <f>IF(Proc[[#This Row],[Author]]="Marcela Urrego",VLOOKUP(LEFT(Proc[[#This Row],[Requested]],1),Table3[#All],2,0),VLOOKUP(Proc[[#This Row],[Author]],Table4[],2,0))</f>
        <v>MGF</v>
      </c>
      <c r="L2721" s="125" t="s">
        <v>4894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116</v>
      </c>
      <c r="R2721" s="110" t="s">
        <v>485</v>
      </c>
      <c r="S2721" s="94"/>
    </row>
    <row r="2722" spans="1:19">
      <c r="A2722" s="103" t="s">
        <v>4422</v>
      </c>
      <c r="B2722" s="149" t="str">
        <f>IFERROR(VLOOKUP(Proc[[#This Row],[App]],Table2[],3,0),"open")</f>
        <v>ok</v>
      </c>
      <c r="C2722" s="117" t="s">
        <v>369</v>
      </c>
      <c r="D2722" t="s">
        <v>4643</v>
      </c>
      <c r="E2722" t="s">
        <v>4748</v>
      </c>
      <c r="F2722" s="94" t="s">
        <v>4748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4785</v>
      </c>
      <c r="J2722" s="94" t="b">
        <f>Proc[[#This Row],[Requested]]=Proc[[#This Row],[CurrentParent]]</f>
        <v>1</v>
      </c>
      <c r="K2722" s="144" t="str">
        <f>IF(Proc[[#This Row],[Author]]="Marcela Urrego",VLOOKUP(LEFT(Proc[[#This Row],[Requested]],1),Table3[#All],2,0),VLOOKUP(Proc[[#This Row],[Author]],Table4[],2,0))</f>
        <v>MGF</v>
      </c>
      <c r="L2722" s="125" t="s">
        <v>4894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116</v>
      </c>
      <c r="R2722" s="110" t="s">
        <v>485</v>
      </c>
      <c r="S2722" s="94"/>
    </row>
    <row r="2723" spans="1:19">
      <c r="A2723" s="103" t="s">
        <v>4422</v>
      </c>
      <c r="B2723" s="149" t="str">
        <f>IFERROR(VLOOKUP(Proc[[#This Row],[App]],Table2[],3,0),"open")</f>
        <v>ok</v>
      </c>
      <c r="C2723" s="117" t="s">
        <v>369</v>
      </c>
      <c r="D2723" t="s">
        <v>4644</v>
      </c>
      <c r="E2723" t="s">
        <v>4748</v>
      </c>
      <c r="F2723" s="94" t="s">
        <v>4748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4785</v>
      </c>
      <c r="J2723" s="94" t="b">
        <f>Proc[[#This Row],[Requested]]=Proc[[#This Row],[CurrentParent]]</f>
        <v>1</v>
      </c>
      <c r="K2723" s="144" t="str">
        <f>IF(Proc[[#This Row],[Author]]="Marcela Urrego",VLOOKUP(LEFT(Proc[[#This Row],[Requested]],1),Table3[#All],2,0),VLOOKUP(Proc[[#This Row],[Author]],Table4[],2,0))</f>
        <v>MGF</v>
      </c>
      <c r="L2723" s="125" t="s">
        <v>4894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116</v>
      </c>
      <c r="R2723" s="110" t="s">
        <v>485</v>
      </c>
      <c r="S2723" s="94"/>
    </row>
    <row r="2724" spans="1:19">
      <c r="A2724" s="103" t="s">
        <v>4422</v>
      </c>
      <c r="B2724" s="149" t="str">
        <f>IFERROR(VLOOKUP(Proc[[#This Row],[App]],Table2[],3,0),"open")</f>
        <v>ok</v>
      </c>
      <c r="C2724" s="117" t="s">
        <v>369</v>
      </c>
      <c r="D2724" t="s">
        <v>4645</v>
      </c>
      <c r="E2724" t="s">
        <v>4748</v>
      </c>
      <c r="F2724" s="94" t="s">
        <v>4748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4785</v>
      </c>
      <c r="J2724" s="94" t="b">
        <f>Proc[[#This Row],[Requested]]=Proc[[#This Row],[CurrentParent]]</f>
        <v>1</v>
      </c>
      <c r="K2724" s="144" t="str">
        <f>IF(Proc[[#This Row],[Author]]="Marcela Urrego",VLOOKUP(LEFT(Proc[[#This Row],[Requested]],1),Table3[#All],2,0),VLOOKUP(Proc[[#This Row],[Author]],Table4[],2,0))</f>
        <v>MGF</v>
      </c>
      <c r="L2724" s="125" t="s">
        <v>4894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116</v>
      </c>
      <c r="R2724" s="110" t="s">
        <v>485</v>
      </c>
      <c r="S2724" s="94"/>
    </row>
    <row r="2725" spans="1:19">
      <c r="A2725" s="103" t="s">
        <v>4422</v>
      </c>
      <c r="B2725" s="149" t="str">
        <f>IFERROR(VLOOKUP(Proc[[#This Row],[App]],Table2[],3,0),"open")</f>
        <v>ok</v>
      </c>
      <c r="C2725" s="117" t="s">
        <v>369</v>
      </c>
      <c r="D2725" t="s">
        <v>4646</v>
      </c>
      <c r="E2725" t="s">
        <v>4748</v>
      </c>
      <c r="F2725" s="94" t="s">
        <v>4748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4785</v>
      </c>
      <c r="J2725" s="94" t="b">
        <f>Proc[[#This Row],[Requested]]=Proc[[#This Row],[CurrentParent]]</f>
        <v>1</v>
      </c>
      <c r="K2725" s="144" t="str">
        <f>IF(Proc[[#This Row],[Author]]="Marcela Urrego",VLOOKUP(LEFT(Proc[[#This Row],[Requested]],1),Table3[#All],2,0),VLOOKUP(Proc[[#This Row],[Author]],Table4[],2,0))</f>
        <v>MGF</v>
      </c>
      <c r="L2725" s="125" t="s">
        <v>4894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116</v>
      </c>
      <c r="R2725" s="110" t="s">
        <v>485</v>
      </c>
      <c r="S2725" s="94"/>
    </row>
    <row r="2726" spans="1:19">
      <c r="A2726" s="103" t="s">
        <v>4422</v>
      </c>
      <c r="B2726" s="149" t="str">
        <f>IFERROR(VLOOKUP(Proc[[#This Row],[App]],Table2[],3,0),"open")</f>
        <v>ok</v>
      </c>
      <c r="C2726" s="117" t="s">
        <v>369</v>
      </c>
      <c r="D2726" t="s">
        <v>4647</v>
      </c>
      <c r="E2726" t="s">
        <v>4748</v>
      </c>
      <c r="F2726" s="94" t="s">
        <v>4748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4785</v>
      </c>
      <c r="J2726" s="94" t="b">
        <f>Proc[[#This Row],[Requested]]=Proc[[#This Row],[CurrentParent]]</f>
        <v>1</v>
      </c>
      <c r="K2726" s="144" t="str">
        <f>IF(Proc[[#This Row],[Author]]="Marcela Urrego",VLOOKUP(LEFT(Proc[[#This Row],[Requested]],1),Table3[#All],2,0),VLOOKUP(Proc[[#This Row],[Author]],Table4[],2,0))</f>
        <v>MGF</v>
      </c>
      <c r="L2726" s="125" t="s">
        <v>4894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116</v>
      </c>
      <c r="R2726" s="110" t="s">
        <v>485</v>
      </c>
      <c r="S2726" s="94"/>
    </row>
    <row r="2727" spans="1:19">
      <c r="A2727" s="103" t="s">
        <v>4422</v>
      </c>
      <c r="B2727" s="149" t="str">
        <f>IFERROR(VLOOKUP(Proc[[#This Row],[App]],Table2[],3,0),"open")</f>
        <v>ok</v>
      </c>
      <c r="C2727" s="117" t="s">
        <v>369</v>
      </c>
      <c r="D2727" t="s">
        <v>4648</v>
      </c>
      <c r="E2727" t="s">
        <v>4748</v>
      </c>
      <c r="F2727" s="94" t="s">
        <v>4748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4785</v>
      </c>
      <c r="J2727" s="94" t="b">
        <f>Proc[[#This Row],[Requested]]=Proc[[#This Row],[CurrentParent]]</f>
        <v>1</v>
      </c>
      <c r="K2727" s="144" t="str">
        <f>IF(Proc[[#This Row],[Author]]="Marcela Urrego",VLOOKUP(LEFT(Proc[[#This Row],[Requested]],1),Table3[#All],2,0),VLOOKUP(Proc[[#This Row],[Author]],Table4[],2,0))</f>
        <v>MGF</v>
      </c>
      <c r="L2727" s="125" t="s">
        <v>4894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116</v>
      </c>
      <c r="R2727" s="110" t="s">
        <v>485</v>
      </c>
      <c r="S2727" s="94"/>
    </row>
    <row r="2728" spans="1:19">
      <c r="A2728" s="103" t="s">
        <v>4422</v>
      </c>
      <c r="B2728" s="149" t="str">
        <f>IFERROR(VLOOKUP(Proc[[#This Row],[App]],Table2[],3,0),"open")</f>
        <v>ok</v>
      </c>
      <c r="C2728" s="117" t="s">
        <v>369</v>
      </c>
      <c r="D2728" t="s">
        <v>4649</v>
      </c>
      <c r="E2728" t="s">
        <v>4748</v>
      </c>
      <c r="F2728" s="94" t="s">
        <v>4748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4785</v>
      </c>
      <c r="J2728" s="94" t="b">
        <f>Proc[[#This Row],[Requested]]=Proc[[#This Row],[CurrentParent]]</f>
        <v>1</v>
      </c>
      <c r="K2728" s="144" t="str">
        <f>IF(Proc[[#This Row],[Author]]="Marcela Urrego",VLOOKUP(LEFT(Proc[[#This Row],[Requested]],1),Table3[#All],2,0),VLOOKUP(Proc[[#This Row],[Author]],Table4[],2,0))</f>
        <v>MGF</v>
      </c>
      <c r="L2728" s="125" t="s">
        <v>4894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116</v>
      </c>
      <c r="R2728" s="110" t="s">
        <v>485</v>
      </c>
      <c r="S2728" s="94"/>
    </row>
    <row r="2729" spans="1:19">
      <c r="A2729" s="103" t="s">
        <v>4422</v>
      </c>
      <c r="B2729" s="149" t="str">
        <f>IFERROR(VLOOKUP(Proc[[#This Row],[App]],Table2[],3,0),"open")</f>
        <v>ok</v>
      </c>
      <c r="C2729" s="117" t="s">
        <v>369</v>
      </c>
      <c r="D2729" t="s">
        <v>4650</v>
      </c>
      <c r="E2729" t="s">
        <v>4748</v>
      </c>
      <c r="F2729" s="94" t="s">
        <v>4748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4785</v>
      </c>
      <c r="J2729" s="94" t="b">
        <f>Proc[[#This Row],[Requested]]=Proc[[#This Row],[CurrentParent]]</f>
        <v>1</v>
      </c>
      <c r="K2729" s="144" t="str">
        <f>IF(Proc[[#This Row],[Author]]="Marcela Urrego",VLOOKUP(LEFT(Proc[[#This Row],[Requested]],1),Table3[#All],2,0),VLOOKUP(Proc[[#This Row],[Author]],Table4[],2,0))</f>
        <v>MGF</v>
      </c>
      <c r="L2729" s="125" t="s">
        <v>4894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116</v>
      </c>
      <c r="R2729" s="110" t="s">
        <v>485</v>
      </c>
      <c r="S2729" s="94"/>
    </row>
    <row r="2730" spans="1:19">
      <c r="A2730" s="103" t="s">
        <v>4422</v>
      </c>
      <c r="B2730" s="149" t="str">
        <f>IFERROR(VLOOKUP(Proc[[#This Row],[App]],Table2[],3,0),"open")</f>
        <v>ok</v>
      </c>
      <c r="C2730" s="117" t="s">
        <v>369</v>
      </c>
      <c r="D2730" t="s">
        <v>4651</v>
      </c>
      <c r="E2730" t="s">
        <v>4748</v>
      </c>
      <c r="F2730" s="94" t="s">
        <v>4748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4785</v>
      </c>
      <c r="J2730" s="94" t="b">
        <f>Proc[[#This Row],[Requested]]=Proc[[#This Row],[CurrentParent]]</f>
        <v>1</v>
      </c>
      <c r="K2730" s="144" t="str">
        <f>IF(Proc[[#This Row],[Author]]="Marcela Urrego",VLOOKUP(LEFT(Proc[[#This Row],[Requested]],1),Table3[#All],2,0),VLOOKUP(Proc[[#This Row],[Author]],Table4[],2,0))</f>
        <v>MGF</v>
      </c>
      <c r="L2730" s="125" t="s">
        <v>4894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116</v>
      </c>
      <c r="R2730" s="110" t="s">
        <v>485</v>
      </c>
      <c r="S2730" s="94"/>
    </row>
    <row r="2731" spans="1:19">
      <c r="A2731" s="103" t="s">
        <v>4422</v>
      </c>
      <c r="B2731" s="149" t="str">
        <f>IFERROR(VLOOKUP(Proc[[#This Row],[App]],Table2[],3,0),"open")</f>
        <v>ok</v>
      </c>
      <c r="C2731" s="117" t="s">
        <v>369</v>
      </c>
      <c r="D2731" t="s">
        <v>4652</v>
      </c>
      <c r="E2731" t="s">
        <v>4748</v>
      </c>
      <c r="F2731" s="94" t="s">
        <v>4748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4785</v>
      </c>
      <c r="J2731" s="94" t="b">
        <f>Proc[[#This Row],[Requested]]=Proc[[#This Row],[CurrentParent]]</f>
        <v>1</v>
      </c>
      <c r="K2731" s="144" t="str">
        <f>IF(Proc[[#This Row],[Author]]="Marcela Urrego",VLOOKUP(LEFT(Proc[[#This Row],[Requested]],1),Table3[#All],2,0),VLOOKUP(Proc[[#This Row],[Author]],Table4[],2,0))</f>
        <v>MGF</v>
      </c>
      <c r="L2731" s="125" t="s">
        <v>4894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116</v>
      </c>
      <c r="R2731" s="110" t="s">
        <v>485</v>
      </c>
      <c r="S2731" s="94"/>
    </row>
    <row r="2732" spans="1:19">
      <c r="A2732" s="103" t="s">
        <v>4422</v>
      </c>
      <c r="B2732" s="149" t="str">
        <f>IFERROR(VLOOKUP(Proc[[#This Row],[App]],Table2[],3,0),"open")</f>
        <v>ok</v>
      </c>
      <c r="C2732" s="117" t="s">
        <v>369</v>
      </c>
      <c r="D2732" t="s">
        <v>4653</v>
      </c>
      <c r="E2732" t="s">
        <v>4748</v>
      </c>
      <c r="F2732" s="94" t="s">
        <v>4748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4785</v>
      </c>
      <c r="J2732" s="94" t="b">
        <f>Proc[[#This Row],[Requested]]=Proc[[#This Row],[CurrentParent]]</f>
        <v>1</v>
      </c>
      <c r="K2732" s="144" t="str">
        <f>IF(Proc[[#This Row],[Author]]="Marcela Urrego",VLOOKUP(LEFT(Proc[[#This Row],[Requested]],1),Table3[#All],2,0),VLOOKUP(Proc[[#This Row],[Author]],Table4[],2,0))</f>
        <v>MGF</v>
      </c>
      <c r="L2732" s="125" t="s">
        <v>4894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116</v>
      </c>
      <c r="R2732" s="110" t="s">
        <v>485</v>
      </c>
      <c r="S2732" s="94"/>
    </row>
    <row r="2733" spans="1:19">
      <c r="A2733" s="103" t="s">
        <v>4422</v>
      </c>
      <c r="B2733" s="149" t="str">
        <f>IFERROR(VLOOKUP(Proc[[#This Row],[App]],Table2[],3,0),"open")</f>
        <v>ok</v>
      </c>
      <c r="C2733" s="117" t="s">
        <v>369</v>
      </c>
      <c r="D2733" t="s">
        <v>4654</v>
      </c>
      <c r="E2733" t="s">
        <v>4748</v>
      </c>
      <c r="F2733" s="94" t="s">
        <v>4748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4785</v>
      </c>
      <c r="J2733" s="94" t="b">
        <f>Proc[[#This Row],[Requested]]=Proc[[#This Row],[CurrentParent]]</f>
        <v>1</v>
      </c>
      <c r="K2733" s="144" t="str">
        <f>IF(Proc[[#This Row],[Author]]="Marcela Urrego",VLOOKUP(LEFT(Proc[[#This Row],[Requested]],1),Table3[#All],2,0),VLOOKUP(Proc[[#This Row],[Author]],Table4[],2,0))</f>
        <v>MGF</v>
      </c>
      <c r="L2733" s="125" t="s">
        <v>4894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116</v>
      </c>
      <c r="R2733" s="110" t="s">
        <v>485</v>
      </c>
      <c r="S2733" s="94"/>
    </row>
    <row r="2734" spans="1:19">
      <c r="A2734" s="103" t="s">
        <v>4422</v>
      </c>
      <c r="B2734" s="149" t="str">
        <f>IFERROR(VLOOKUP(Proc[[#This Row],[App]],Table2[],3,0),"open")</f>
        <v>ok</v>
      </c>
      <c r="C2734" s="117" t="s">
        <v>369</v>
      </c>
      <c r="D2734" t="s">
        <v>4655</v>
      </c>
      <c r="E2734" t="s">
        <v>4750</v>
      </c>
      <c r="F2734" s="94" t="s">
        <v>4750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4785</v>
      </c>
      <c r="J2734" s="94" t="b">
        <f>Proc[[#This Row],[Requested]]=Proc[[#This Row],[CurrentParent]]</f>
        <v>1</v>
      </c>
      <c r="K2734" s="144" t="str">
        <f>IF(Proc[[#This Row],[Author]]="Marcela Urrego",VLOOKUP(LEFT(Proc[[#This Row],[Requested]],1),Table3[#All],2,0),VLOOKUP(Proc[[#This Row],[Author]],Table4[],2,0))</f>
        <v>MGF</v>
      </c>
      <c r="L2734" s="125" t="s">
        <v>4894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116</v>
      </c>
      <c r="R2734" s="110" t="s">
        <v>485</v>
      </c>
      <c r="S2734" s="94"/>
    </row>
    <row r="2735" spans="1:19">
      <c r="A2735" s="103" t="s">
        <v>4422</v>
      </c>
      <c r="B2735" s="149" t="str">
        <f>IFERROR(VLOOKUP(Proc[[#This Row],[App]],Table2[],3,0),"open")</f>
        <v>ok</v>
      </c>
      <c r="C2735" s="117" t="s">
        <v>369</v>
      </c>
      <c r="D2735" t="s">
        <v>4656</v>
      </c>
      <c r="E2735" t="s">
        <v>4751</v>
      </c>
      <c r="F2735" s="94" t="s">
        <v>4751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4785</v>
      </c>
      <c r="J2735" s="94" t="b">
        <f>Proc[[#This Row],[Requested]]=Proc[[#This Row],[CurrentParent]]</f>
        <v>1</v>
      </c>
      <c r="K2735" s="144" t="str">
        <f>IF(Proc[[#This Row],[Author]]="Marcela Urrego",VLOOKUP(LEFT(Proc[[#This Row],[Requested]],1),Table3[#All],2,0),VLOOKUP(Proc[[#This Row],[Author]],Table4[],2,0))</f>
        <v>MGF</v>
      </c>
      <c r="L2735" s="125" t="s">
        <v>4894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116</v>
      </c>
      <c r="R2735" s="110" t="s">
        <v>485</v>
      </c>
      <c r="S2735" s="94"/>
    </row>
    <row r="2736" spans="1:19">
      <c r="A2736" s="103" t="s">
        <v>4422</v>
      </c>
      <c r="B2736" s="149" t="str">
        <f>IFERROR(VLOOKUP(Proc[[#This Row],[App]],Table2[],3,0),"open")</f>
        <v>ok</v>
      </c>
      <c r="C2736" s="117" t="s">
        <v>369</v>
      </c>
      <c r="D2736" t="s">
        <v>4657</v>
      </c>
      <c r="E2736" t="s">
        <v>4750</v>
      </c>
      <c r="F2736" s="94" t="s">
        <v>4750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4785</v>
      </c>
      <c r="J2736" s="94" t="b">
        <f>Proc[[#This Row],[Requested]]=Proc[[#This Row],[CurrentParent]]</f>
        <v>1</v>
      </c>
      <c r="K2736" s="144" t="str">
        <f>IF(Proc[[#This Row],[Author]]="Marcela Urrego",VLOOKUP(LEFT(Proc[[#This Row],[Requested]],1),Table3[#All],2,0),VLOOKUP(Proc[[#This Row],[Author]],Table4[],2,0))</f>
        <v>MGF</v>
      </c>
      <c r="L2736" s="125" t="s">
        <v>4894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116</v>
      </c>
      <c r="R2736" s="110" t="s">
        <v>485</v>
      </c>
      <c r="S2736" s="94"/>
    </row>
    <row r="2737" spans="1:19">
      <c r="A2737" s="103" t="s">
        <v>4422</v>
      </c>
      <c r="B2737" s="149" t="str">
        <f>IFERROR(VLOOKUP(Proc[[#This Row],[App]],Table2[],3,0),"open")</f>
        <v>ok</v>
      </c>
      <c r="C2737" s="117" t="s">
        <v>369</v>
      </c>
      <c r="D2737" t="s">
        <v>4658</v>
      </c>
      <c r="E2737" t="s">
        <v>4752</v>
      </c>
      <c r="F2737" s="94" t="s">
        <v>4752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4785</v>
      </c>
      <c r="J2737" s="94" t="b">
        <f>Proc[[#This Row],[Requested]]=Proc[[#This Row],[CurrentParent]]</f>
        <v>1</v>
      </c>
      <c r="K2737" s="144" t="str">
        <f>IF(Proc[[#This Row],[Author]]="Marcela Urrego",VLOOKUP(LEFT(Proc[[#This Row],[Requested]],1),Table3[#All],2,0),VLOOKUP(Proc[[#This Row],[Author]],Table4[],2,0))</f>
        <v>MGF</v>
      </c>
      <c r="L2737" s="125" t="s">
        <v>4894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116</v>
      </c>
      <c r="R2737" s="110" t="s">
        <v>485</v>
      </c>
      <c r="S2737" s="94"/>
    </row>
    <row r="2738" spans="1:19">
      <c r="A2738" s="103" t="s">
        <v>4422</v>
      </c>
      <c r="B2738" s="149" t="str">
        <f>IFERROR(VLOOKUP(Proc[[#This Row],[App]],Table2[],3,0),"open")</f>
        <v>ok</v>
      </c>
      <c r="C2738" s="117" t="s">
        <v>369</v>
      </c>
      <c r="D2738" t="s">
        <v>4659</v>
      </c>
      <c r="E2738" t="s">
        <v>4750</v>
      </c>
      <c r="F2738" s="94" t="s">
        <v>4750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4785</v>
      </c>
      <c r="J2738" s="94" t="b">
        <f>Proc[[#This Row],[Requested]]=Proc[[#This Row],[CurrentParent]]</f>
        <v>1</v>
      </c>
      <c r="K2738" s="144" t="str">
        <f>IF(Proc[[#This Row],[Author]]="Marcela Urrego",VLOOKUP(LEFT(Proc[[#This Row],[Requested]],1),Table3[#All],2,0),VLOOKUP(Proc[[#This Row],[Author]],Table4[],2,0))</f>
        <v>MGF</v>
      </c>
      <c r="L2738" s="125" t="s">
        <v>4894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116</v>
      </c>
      <c r="R2738" s="110" t="s">
        <v>485</v>
      </c>
      <c r="S2738" s="94"/>
    </row>
    <row r="2739" spans="1:19">
      <c r="A2739" s="103" t="s">
        <v>4422</v>
      </c>
      <c r="B2739" s="149" t="str">
        <f>IFERROR(VLOOKUP(Proc[[#This Row],[App]],Table2[],3,0),"open")</f>
        <v>ok</v>
      </c>
      <c r="C2739" s="117" t="s">
        <v>369</v>
      </c>
      <c r="D2739" t="s">
        <v>4660</v>
      </c>
      <c r="E2739" t="s">
        <v>4750</v>
      </c>
      <c r="F2739" s="94" t="s">
        <v>4750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4785</v>
      </c>
      <c r="J2739" s="94" t="b">
        <f>Proc[[#This Row],[Requested]]=Proc[[#This Row],[CurrentParent]]</f>
        <v>1</v>
      </c>
      <c r="K2739" s="144" t="str">
        <f>IF(Proc[[#This Row],[Author]]="Marcela Urrego",VLOOKUP(LEFT(Proc[[#This Row],[Requested]],1),Table3[#All],2,0),VLOOKUP(Proc[[#This Row],[Author]],Table4[],2,0))</f>
        <v>MGF</v>
      </c>
      <c r="L2739" s="125" t="s">
        <v>4894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116</v>
      </c>
      <c r="R2739" s="110" t="s">
        <v>485</v>
      </c>
      <c r="S2739" s="94"/>
    </row>
    <row r="2740" spans="1:19">
      <c r="A2740" s="103" t="s">
        <v>4422</v>
      </c>
      <c r="B2740" s="149" t="str">
        <f>IFERROR(VLOOKUP(Proc[[#This Row],[App]],Table2[],3,0),"open")</f>
        <v>ok</v>
      </c>
      <c r="C2740" s="117" t="s">
        <v>369</v>
      </c>
      <c r="D2740" t="s">
        <v>4661</v>
      </c>
      <c r="E2740" t="s">
        <v>4750</v>
      </c>
      <c r="F2740" s="94" t="s">
        <v>4750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4785</v>
      </c>
      <c r="J2740" s="94" t="b">
        <f>Proc[[#This Row],[Requested]]=Proc[[#This Row],[CurrentParent]]</f>
        <v>1</v>
      </c>
      <c r="K2740" s="144" t="str">
        <f>IF(Proc[[#This Row],[Author]]="Marcela Urrego",VLOOKUP(LEFT(Proc[[#This Row],[Requested]],1),Table3[#All],2,0),VLOOKUP(Proc[[#This Row],[Author]],Table4[],2,0))</f>
        <v>MGF</v>
      </c>
      <c r="L2740" s="125" t="s">
        <v>4894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116</v>
      </c>
      <c r="R2740" s="110" t="s">
        <v>485</v>
      </c>
      <c r="S2740" s="94"/>
    </row>
    <row r="2741" spans="1:19">
      <c r="A2741" s="103" t="s">
        <v>4422</v>
      </c>
      <c r="B2741" s="149" t="str">
        <f>IFERROR(VLOOKUP(Proc[[#This Row],[App]],Table2[],3,0),"open")</f>
        <v>ok</v>
      </c>
      <c r="C2741" s="117" t="s">
        <v>369</v>
      </c>
      <c r="D2741" t="s">
        <v>4662</v>
      </c>
      <c r="E2741" t="s">
        <v>4752</v>
      </c>
      <c r="F2741" s="94" t="s">
        <v>4752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4785</v>
      </c>
      <c r="J2741" s="94" t="b">
        <f>Proc[[#This Row],[Requested]]=Proc[[#This Row],[CurrentParent]]</f>
        <v>1</v>
      </c>
      <c r="K2741" s="144" t="str">
        <f>IF(Proc[[#This Row],[Author]]="Marcela Urrego",VLOOKUP(LEFT(Proc[[#This Row],[Requested]],1),Table3[#All],2,0),VLOOKUP(Proc[[#This Row],[Author]],Table4[],2,0))</f>
        <v>MGF</v>
      </c>
      <c r="L2741" s="125" t="s">
        <v>4894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116</v>
      </c>
      <c r="R2741" s="110" t="s">
        <v>485</v>
      </c>
      <c r="S2741" s="94"/>
    </row>
    <row r="2742" spans="1:19">
      <c r="A2742" s="103" t="s">
        <v>4422</v>
      </c>
      <c r="B2742" s="149" t="str">
        <f>IFERROR(VLOOKUP(Proc[[#This Row],[App]],Table2[],3,0),"open")</f>
        <v>ok</v>
      </c>
      <c r="C2742" s="117" t="s">
        <v>369</v>
      </c>
      <c r="D2742" t="s">
        <v>4663</v>
      </c>
      <c r="E2742" t="s">
        <v>4751</v>
      </c>
      <c r="F2742" s="94" t="s">
        <v>4751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4785</v>
      </c>
      <c r="J2742" s="94" t="b">
        <f>Proc[[#This Row],[Requested]]=Proc[[#This Row],[CurrentParent]]</f>
        <v>1</v>
      </c>
      <c r="K2742" s="144" t="str">
        <f>IF(Proc[[#This Row],[Author]]="Marcela Urrego",VLOOKUP(LEFT(Proc[[#This Row],[Requested]],1),Table3[#All],2,0),VLOOKUP(Proc[[#This Row],[Author]],Table4[],2,0))</f>
        <v>MGF</v>
      </c>
      <c r="L2742" s="125" t="s">
        <v>4894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116</v>
      </c>
      <c r="R2742" s="110" t="s">
        <v>485</v>
      </c>
      <c r="S2742" s="94"/>
    </row>
    <row r="2743" spans="1:19">
      <c r="A2743" s="103" t="s">
        <v>4422</v>
      </c>
      <c r="B2743" s="149" t="str">
        <f>IFERROR(VLOOKUP(Proc[[#This Row],[App]],Table2[],3,0),"open")</f>
        <v>ok</v>
      </c>
      <c r="C2743" s="117" t="s">
        <v>369</v>
      </c>
      <c r="D2743" t="s">
        <v>4664</v>
      </c>
      <c r="E2743" t="s">
        <v>4750</v>
      </c>
      <c r="F2743" s="94" t="s">
        <v>4750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4785</v>
      </c>
      <c r="J2743" s="94" t="b">
        <f>Proc[[#This Row],[Requested]]=Proc[[#This Row],[CurrentParent]]</f>
        <v>1</v>
      </c>
      <c r="K2743" s="144" t="str">
        <f>IF(Proc[[#This Row],[Author]]="Marcela Urrego",VLOOKUP(LEFT(Proc[[#This Row],[Requested]],1),Table3[#All],2,0),VLOOKUP(Proc[[#This Row],[Author]],Table4[],2,0))</f>
        <v>MGF</v>
      </c>
      <c r="L2743" s="125" t="s">
        <v>4894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116</v>
      </c>
      <c r="R2743" s="110" t="s">
        <v>485</v>
      </c>
      <c r="S2743" s="94"/>
    </row>
    <row r="2744" spans="1:19">
      <c r="A2744" s="103" t="s">
        <v>4422</v>
      </c>
      <c r="B2744" s="149" t="str">
        <f>IFERROR(VLOOKUP(Proc[[#This Row],[App]],Table2[],3,0),"open")</f>
        <v>ok</v>
      </c>
      <c r="C2744" s="117" t="s">
        <v>369</v>
      </c>
      <c r="D2744" t="s">
        <v>4665</v>
      </c>
      <c r="E2744" t="s">
        <v>4750</v>
      </c>
      <c r="F2744" s="94" t="s">
        <v>4750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4785</v>
      </c>
      <c r="J2744" s="94" t="b">
        <f>Proc[[#This Row],[Requested]]=Proc[[#This Row],[CurrentParent]]</f>
        <v>1</v>
      </c>
      <c r="K2744" s="144" t="str">
        <f>IF(Proc[[#This Row],[Author]]="Marcela Urrego",VLOOKUP(LEFT(Proc[[#This Row],[Requested]],1),Table3[#All],2,0),VLOOKUP(Proc[[#This Row],[Author]],Table4[],2,0))</f>
        <v>MGF</v>
      </c>
      <c r="L2744" s="125" t="s">
        <v>4894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116</v>
      </c>
      <c r="R2744" s="110" t="s">
        <v>485</v>
      </c>
      <c r="S2744" s="94"/>
    </row>
    <row r="2745" spans="1:19">
      <c r="A2745" s="103" t="s">
        <v>4422</v>
      </c>
      <c r="B2745" s="149" t="str">
        <f>IFERROR(VLOOKUP(Proc[[#This Row],[App]],Table2[],3,0),"open")</f>
        <v>ok</v>
      </c>
      <c r="C2745" s="117" t="s">
        <v>369</v>
      </c>
      <c r="D2745" t="s">
        <v>4666</v>
      </c>
      <c r="E2745" t="s">
        <v>4750</v>
      </c>
      <c r="F2745" s="94" t="s">
        <v>4750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4785</v>
      </c>
      <c r="J2745" s="94" t="b">
        <f>Proc[[#This Row],[Requested]]=Proc[[#This Row],[CurrentParent]]</f>
        <v>1</v>
      </c>
      <c r="K2745" s="144" t="str">
        <f>IF(Proc[[#This Row],[Author]]="Marcela Urrego",VLOOKUP(LEFT(Proc[[#This Row],[Requested]],1),Table3[#All],2,0),VLOOKUP(Proc[[#This Row],[Author]],Table4[],2,0))</f>
        <v>MGF</v>
      </c>
      <c r="L2745" s="125" t="s">
        <v>4894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116</v>
      </c>
      <c r="R2745" s="110" t="s">
        <v>485</v>
      </c>
      <c r="S2745" s="94"/>
    </row>
    <row r="2746" spans="1:19">
      <c r="A2746" s="103" t="s">
        <v>4422</v>
      </c>
      <c r="B2746" s="149" t="str">
        <f>IFERROR(VLOOKUP(Proc[[#This Row],[App]],Table2[],3,0),"open")</f>
        <v>ok</v>
      </c>
      <c r="C2746" s="117" t="s">
        <v>369</v>
      </c>
      <c r="D2746" t="s">
        <v>4667</v>
      </c>
      <c r="E2746" t="s">
        <v>4750</v>
      </c>
      <c r="F2746" s="94" t="s">
        <v>4750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4785</v>
      </c>
      <c r="J2746" s="94" t="b">
        <f>Proc[[#This Row],[Requested]]=Proc[[#This Row],[CurrentParent]]</f>
        <v>1</v>
      </c>
      <c r="K2746" s="144" t="str">
        <f>IF(Proc[[#This Row],[Author]]="Marcela Urrego",VLOOKUP(LEFT(Proc[[#This Row],[Requested]],1),Table3[#All],2,0),VLOOKUP(Proc[[#This Row],[Author]],Table4[],2,0))</f>
        <v>MGF</v>
      </c>
      <c r="L2746" s="125" t="s">
        <v>4894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116</v>
      </c>
      <c r="R2746" s="110" t="s">
        <v>485</v>
      </c>
      <c r="S2746" s="94"/>
    </row>
    <row r="2747" spans="1:19">
      <c r="A2747" s="103" t="s">
        <v>4422</v>
      </c>
      <c r="B2747" s="149" t="str">
        <f>IFERROR(VLOOKUP(Proc[[#This Row],[App]],Table2[],3,0),"open")</f>
        <v>ok</v>
      </c>
      <c r="C2747" s="117" t="s">
        <v>369</v>
      </c>
      <c r="D2747" t="s">
        <v>4668</v>
      </c>
      <c r="E2747" t="s">
        <v>4750</v>
      </c>
      <c r="F2747" s="94" t="s">
        <v>4750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4785</v>
      </c>
      <c r="J2747" s="94" t="b">
        <f>Proc[[#This Row],[Requested]]=Proc[[#This Row],[CurrentParent]]</f>
        <v>1</v>
      </c>
      <c r="K2747" s="144" t="str">
        <f>IF(Proc[[#This Row],[Author]]="Marcela Urrego",VLOOKUP(LEFT(Proc[[#This Row],[Requested]],1),Table3[#All],2,0),VLOOKUP(Proc[[#This Row],[Author]],Table4[],2,0))</f>
        <v>MGF</v>
      </c>
      <c r="L2747" s="125" t="s">
        <v>4894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116</v>
      </c>
      <c r="R2747" s="110" t="s">
        <v>485</v>
      </c>
      <c r="S2747" s="94"/>
    </row>
    <row r="2748" spans="1:19">
      <c r="A2748" s="103" t="s">
        <v>4422</v>
      </c>
      <c r="B2748" s="149" t="str">
        <f>IFERROR(VLOOKUP(Proc[[#This Row],[App]],Table2[],3,0),"open")</f>
        <v>ok</v>
      </c>
      <c r="C2748" s="117" t="s">
        <v>369</v>
      </c>
      <c r="D2748" t="s">
        <v>4669</v>
      </c>
      <c r="E2748" t="s">
        <v>4750</v>
      </c>
      <c r="F2748" s="94" t="s">
        <v>4750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4785</v>
      </c>
      <c r="J2748" s="94" t="b">
        <f>Proc[[#This Row],[Requested]]=Proc[[#This Row],[CurrentParent]]</f>
        <v>1</v>
      </c>
      <c r="K2748" s="144" t="str">
        <f>IF(Proc[[#This Row],[Author]]="Marcela Urrego",VLOOKUP(LEFT(Proc[[#This Row],[Requested]],1),Table3[#All],2,0),VLOOKUP(Proc[[#This Row],[Author]],Table4[],2,0))</f>
        <v>MGF</v>
      </c>
      <c r="L2748" s="125" t="s">
        <v>4894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116</v>
      </c>
      <c r="R2748" s="110" t="s">
        <v>485</v>
      </c>
      <c r="S2748" s="94"/>
    </row>
    <row r="2749" spans="1:19">
      <c r="A2749" s="103" t="s">
        <v>4422</v>
      </c>
      <c r="B2749" s="149" t="str">
        <f>IFERROR(VLOOKUP(Proc[[#This Row],[App]],Table2[],3,0),"open")</f>
        <v>ok</v>
      </c>
      <c r="C2749" s="117" t="s">
        <v>369</v>
      </c>
      <c r="D2749" t="s">
        <v>4670</v>
      </c>
      <c r="E2749" t="s">
        <v>4750</v>
      </c>
      <c r="F2749" s="94" t="s">
        <v>4750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4785</v>
      </c>
      <c r="J2749" s="94" t="b">
        <f>Proc[[#This Row],[Requested]]=Proc[[#This Row],[CurrentParent]]</f>
        <v>1</v>
      </c>
      <c r="K2749" s="144" t="str">
        <f>IF(Proc[[#This Row],[Author]]="Marcela Urrego",VLOOKUP(LEFT(Proc[[#This Row],[Requested]],1),Table3[#All],2,0),VLOOKUP(Proc[[#This Row],[Author]],Table4[],2,0))</f>
        <v>MGF</v>
      </c>
      <c r="L2749" s="125" t="s">
        <v>4894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116</v>
      </c>
      <c r="R2749" s="110" t="s">
        <v>485</v>
      </c>
      <c r="S2749" s="94"/>
    </row>
    <row r="2750" spans="1:19">
      <c r="A2750" s="103" t="s">
        <v>4422</v>
      </c>
      <c r="B2750" s="149" t="str">
        <f>IFERROR(VLOOKUP(Proc[[#This Row],[App]],Table2[],3,0),"open")</f>
        <v>ok</v>
      </c>
      <c r="C2750" s="117" t="s">
        <v>369</v>
      </c>
      <c r="D2750" t="s">
        <v>4671</v>
      </c>
      <c r="E2750" t="s">
        <v>4750</v>
      </c>
      <c r="F2750" s="94" t="s">
        <v>4750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4785</v>
      </c>
      <c r="J2750" s="94" t="b">
        <f>Proc[[#This Row],[Requested]]=Proc[[#This Row],[CurrentParent]]</f>
        <v>1</v>
      </c>
      <c r="K2750" s="144" t="str">
        <f>IF(Proc[[#This Row],[Author]]="Marcela Urrego",VLOOKUP(LEFT(Proc[[#This Row],[Requested]],1),Table3[#All],2,0),VLOOKUP(Proc[[#This Row],[Author]],Table4[],2,0))</f>
        <v>MGF</v>
      </c>
      <c r="L2750" s="125" t="s">
        <v>4894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116</v>
      </c>
      <c r="R2750" s="110" t="s">
        <v>485</v>
      </c>
      <c r="S2750" s="94"/>
    </row>
    <row r="2751" spans="1:19">
      <c r="A2751" s="103" t="s">
        <v>4422</v>
      </c>
      <c r="B2751" s="149" t="str">
        <f>IFERROR(VLOOKUP(Proc[[#This Row],[App]],Table2[],3,0),"open")</f>
        <v>ok</v>
      </c>
      <c r="C2751" s="117" t="s">
        <v>369</v>
      </c>
      <c r="D2751" t="s">
        <v>4672</v>
      </c>
      <c r="E2751" t="s">
        <v>4750</v>
      </c>
      <c r="F2751" s="94" t="s">
        <v>4750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4785</v>
      </c>
      <c r="J2751" s="94" t="b">
        <f>Proc[[#This Row],[Requested]]=Proc[[#This Row],[CurrentParent]]</f>
        <v>1</v>
      </c>
      <c r="K2751" s="144" t="str">
        <f>IF(Proc[[#This Row],[Author]]="Marcela Urrego",VLOOKUP(LEFT(Proc[[#This Row],[Requested]],1),Table3[#All],2,0),VLOOKUP(Proc[[#This Row],[Author]],Table4[],2,0))</f>
        <v>MGF</v>
      </c>
      <c r="L2751" s="125" t="s">
        <v>4894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116</v>
      </c>
      <c r="R2751" s="110" t="s">
        <v>485</v>
      </c>
      <c r="S2751" s="94"/>
    </row>
    <row r="2752" spans="1:19">
      <c r="A2752" s="103" t="s">
        <v>4422</v>
      </c>
      <c r="B2752" s="149" t="str">
        <f>IFERROR(VLOOKUP(Proc[[#This Row],[App]],Table2[],3,0),"open")</f>
        <v>ok</v>
      </c>
      <c r="C2752" s="117" t="s">
        <v>369</v>
      </c>
      <c r="D2752" t="s">
        <v>4673</v>
      </c>
      <c r="E2752" t="s">
        <v>4750</v>
      </c>
      <c r="F2752" s="94" t="s">
        <v>4750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4785</v>
      </c>
      <c r="J2752" s="94" t="b">
        <f>Proc[[#This Row],[Requested]]=Proc[[#This Row],[CurrentParent]]</f>
        <v>1</v>
      </c>
      <c r="K2752" s="144" t="str">
        <f>IF(Proc[[#This Row],[Author]]="Marcela Urrego",VLOOKUP(LEFT(Proc[[#This Row],[Requested]],1),Table3[#All],2,0),VLOOKUP(Proc[[#This Row],[Author]],Table4[],2,0))</f>
        <v>MGF</v>
      </c>
      <c r="L2752" s="125" t="s">
        <v>4894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116</v>
      </c>
      <c r="R2752" s="110" t="s">
        <v>485</v>
      </c>
      <c r="S2752" s="94"/>
    </row>
    <row r="2753" spans="1:19">
      <c r="A2753" s="103" t="s">
        <v>4422</v>
      </c>
      <c r="B2753" s="149" t="str">
        <f>IFERROR(VLOOKUP(Proc[[#This Row],[App]],Table2[],3,0),"open")</f>
        <v>ok</v>
      </c>
      <c r="C2753" s="117" t="s">
        <v>369</v>
      </c>
      <c r="D2753" t="s">
        <v>4674</v>
      </c>
      <c r="E2753" t="s">
        <v>4750</v>
      </c>
      <c r="F2753" s="94" t="s">
        <v>4750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4785</v>
      </c>
      <c r="J2753" s="94" t="b">
        <f>Proc[[#This Row],[Requested]]=Proc[[#This Row],[CurrentParent]]</f>
        <v>1</v>
      </c>
      <c r="K2753" s="144" t="str">
        <f>IF(Proc[[#This Row],[Author]]="Marcela Urrego",VLOOKUP(LEFT(Proc[[#This Row],[Requested]],1),Table3[#All],2,0),VLOOKUP(Proc[[#This Row],[Author]],Table4[],2,0))</f>
        <v>MGF</v>
      </c>
      <c r="L2753" s="125" t="s">
        <v>4894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116</v>
      </c>
      <c r="R2753" s="110" t="s">
        <v>485</v>
      </c>
      <c r="S2753" s="94"/>
    </row>
    <row r="2754" spans="1:19">
      <c r="A2754" s="103" t="s">
        <v>4422</v>
      </c>
      <c r="B2754" s="149" t="str">
        <f>IFERROR(VLOOKUP(Proc[[#This Row],[App]],Table2[],3,0),"open")</f>
        <v>ok</v>
      </c>
      <c r="C2754" s="117" t="s">
        <v>369</v>
      </c>
      <c r="D2754" t="s">
        <v>4675</v>
      </c>
      <c r="E2754" t="s">
        <v>4750</v>
      </c>
      <c r="F2754" s="94" t="s">
        <v>4750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4785</v>
      </c>
      <c r="J2754" s="94" t="b">
        <f>Proc[[#This Row],[Requested]]=Proc[[#This Row],[CurrentParent]]</f>
        <v>1</v>
      </c>
      <c r="K2754" s="144" t="str">
        <f>IF(Proc[[#This Row],[Author]]="Marcela Urrego",VLOOKUP(LEFT(Proc[[#This Row],[Requested]],1),Table3[#All],2,0),VLOOKUP(Proc[[#This Row],[Author]],Table4[],2,0))</f>
        <v>MGF</v>
      </c>
      <c r="L2754" s="125" t="s">
        <v>4894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116</v>
      </c>
      <c r="R2754" s="110" t="s">
        <v>485</v>
      </c>
      <c r="S2754" s="94"/>
    </row>
    <row r="2755" spans="1:19">
      <c r="A2755" s="103" t="s">
        <v>4422</v>
      </c>
      <c r="B2755" s="149" t="str">
        <f>IFERROR(VLOOKUP(Proc[[#This Row],[App]],Table2[],3,0),"open")</f>
        <v>ok</v>
      </c>
      <c r="C2755" s="117" t="s">
        <v>369</v>
      </c>
      <c r="D2755" t="s">
        <v>4676</v>
      </c>
      <c r="E2755" t="s">
        <v>4750</v>
      </c>
      <c r="F2755" s="94" t="s">
        <v>4750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4785</v>
      </c>
      <c r="J2755" s="94" t="b">
        <f>Proc[[#This Row],[Requested]]=Proc[[#This Row],[CurrentParent]]</f>
        <v>1</v>
      </c>
      <c r="K2755" s="144" t="str">
        <f>IF(Proc[[#This Row],[Author]]="Marcela Urrego",VLOOKUP(LEFT(Proc[[#This Row],[Requested]],1),Table3[#All],2,0),VLOOKUP(Proc[[#This Row],[Author]],Table4[],2,0))</f>
        <v>MGF</v>
      </c>
      <c r="L2755" s="125" t="s">
        <v>4894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116</v>
      </c>
      <c r="R2755" s="110" t="s">
        <v>485</v>
      </c>
      <c r="S2755" s="94"/>
    </row>
    <row r="2756" spans="1:19">
      <c r="A2756" s="103" t="s">
        <v>4422</v>
      </c>
      <c r="B2756" s="149" t="str">
        <f>IFERROR(VLOOKUP(Proc[[#This Row],[App]],Table2[],3,0),"open")</f>
        <v>ok</v>
      </c>
      <c r="C2756" s="117" t="s">
        <v>369</v>
      </c>
      <c r="D2756" t="s">
        <v>4677</v>
      </c>
      <c r="E2756" t="s">
        <v>4750</v>
      </c>
      <c r="F2756" s="94" t="s">
        <v>4750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4785</v>
      </c>
      <c r="J2756" s="94" t="b">
        <f>Proc[[#This Row],[Requested]]=Proc[[#This Row],[CurrentParent]]</f>
        <v>1</v>
      </c>
      <c r="K2756" s="144" t="str">
        <f>IF(Proc[[#This Row],[Author]]="Marcela Urrego",VLOOKUP(LEFT(Proc[[#This Row],[Requested]],1),Table3[#All],2,0),VLOOKUP(Proc[[#This Row],[Author]],Table4[],2,0))</f>
        <v>MGF</v>
      </c>
      <c r="L2756" s="125" t="s">
        <v>4894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116</v>
      </c>
      <c r="R2756" s="110" t="s">
        <v>485</v>
      </c>
      <c r="S2756" s="94"/>
    </row>
    <row r="2757" spans="1:19">
      <c r="A2757" s="103" t="s">
        <v>4422</v>
      </c>
      <c r="B2757" s="149" t="str">
        <f>IFERROR(VLOOKUP(Proc[[#This Row],[App]],Table2[],3,0),"open")</f>
        <v>ok</v>
      </c>
      <c r="C2757" s="117" t="s">
        <v>369</v>
      </c>
      <c r="D2757" t="s">
        <v>4678</v>
      </c>
      <c r="E2757" t="s">
        <v>4750</v>
      </c>
      <c r="F2757" s="94" t="s">
        <v>4750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4785</v>
      </c>
      <c r="J2757" s="94" t="b">
        <f>Proc[[#This Row],[Requested]]=Proc[[#This Row],[CurrentParent]]</f>
        <v>1</v>
      </c>
      <c r="K2757" s="144" t="str">
        <f>IF(Proc[[#This Row],[Author]]="Marcela Urrego",VLOOKUP(LEFT(Proc[[#This Row],[Requested]],1),Table3[#All],2,0),VLOOKUP(Proc[[#This Row],[Author]],Table4[],2,0))</f>
        <v>MGF</v>
      </c>
      <c r="L2757" s="125" t="s">
        <v>4894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116</v>
      </c>
      <c r="R2757" s="110" t="s">
        <v>485</v>
      </c>
      <c r="S2757" s="94"/>
    </row>
    <row r="2758" spans="1:19">
      <c r="A2758" s="103" t="s">
        <v>4422</v>
      </c>
      <c r="B2758" s="149" t="str">
        <f>IFERROR(VLOOKUP(Proc[[#This Row],[App]],Table2[],3,0),"open")</f>
        <v>ok</v>
      </c>
      <c r="C2758" s="117" t="s">
        <v>369</v>
      </c>
      <c r="D2758" t="s">
        <v>4679</v>
      </c>
      <c r="E2758" t="s">
        <v>4750</v>
      </c>
      <c r="F2758" s="94" t="s">
        <v>4750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4785</v>
      </c>
      <c r="J2758" s="94" t="b">
        <f>Proc[[#This Row],[Requested]]=Proc[[#This Row],[CurrentParent]]</f>
        <v>1</v>
      </c>
      <c r="K2758" s="144" t="str">
        <f>IF(Proc[[#This Row],[Author]]="Marcela Urrego",VLOOKUP(LEFT(Proc[[#This Row],[Requested]],1),Table3[#All],2,0),VLOOKUP(Proc[[#This Row],[Author]],Table4[],2,0))</f>
        <v>MGF</v>
      </c>
      <c r="L2758" s="125" t="s">
        <v>4894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116</v>
      </c>
      <c r="R2758" s="110" t="s">
        <v>485</v>
      </c>
      <c r="S2758" s="94"/>
    </row>
    <row r="2759" spans="1:19">
      <c r="A2759" s="103" t="s">
        <v>4422</v>
      </c>
      <c r="B2759" s="149" t="str">
        <f>IFERROR(VLOOKUP(Proc[[#This Row],[App]],Table2[],3,0),"open")</f>
        <v>ok</v>
      </c>
      <c r="C2759" s="117" t="s">
        <v>369</v>
      </c>
      <c r="D2759" t="s">
        <v>4680</v>
      </c>
      <c r="E2759" t="s">
        <v>4751</v>
      </c>
      <c r="F2759" s="94" t="s">
        <v>4751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4785</v>
      </c>
      <c r="J2759" s="94" t="b">
        <f>Proc[[#This Row],[Requested]]=Proc[[#This Row],[CurrentParent]]</f>
        <v>1</v>
      </c>
      <c r="K2759" s="144" t="str">
        <f>IF(Proc[[#This Row],[Author]]="Marcela Urrego",VLOOKUP(LEFT(Proc[[#This Row],[Requested]],1),Table3[#All],2,0),VLOOKUP(Proc[[#This Row],[Author]],Table4[],2,0))</f>
        <v>MGF</v>
      </c>
      <c r="L2759" s="125" t="s">
        <v>4894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116</v>
      </c>
      <c r="R2759" s="110" t="s">
        <v>485</v>
      </c>
      <c r="S2759" s="94"/>
    </row>
    <row r="2760" spans="1:19">
      <c r="A2760" s="103" t="s">
        <v>4422</v>
      </c>
      <c r="B2760" s="149" t="str">
        <f>IFERROR(VLOOKUP(Proc[[#This Row],[App]],Table2[],3,0),"open")</f>
        <v>ok</v>
      </c>
      <c r="C2760" s="117" t="s">
        <v>369</v>
      </c>
      <c r="D2760" t="s">
        <v>4681</v>
      </c>
      <c r="E2760" t="s">
        <v>4751</v>
      </c>
      <c r="F2760" s="94" t="s">
        <v>4751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4785</v>
      </c>
      <c r="J2760" s="94" t="b">
        <f>Proc[[#This Row],[Requested]]=Proc[[#This Row],[CurrentParent]]</f>
        <v>1</v>
      </c>
      <c r="K2760" s="144" t="str">
        <f>IF(Proc[[#This Row],[Author]]="Marcela Urrego",VLOOKUP(LEFT(Proc[[#This Row],[Requested]],1),Table3[#All],2,0),VLOOKUP(Proc[[#This Row],[Author]],Table4[],2,0))</f>
        <v>MGF</v>
      </c>
      <c r="L2760" s="125" t="s">
        <v>4894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116</v>
      </c>
      <c r="R2760" s="110" t="s">
        <v>485</v>
      </c>
      <c r="S2760" s="94"/>
    </row>
    <row r="2761" spans="1:19">
      <c r="A2761" s="103" t="s">
        <v>4422</v>
      </c>
      <c r="B2761" s="149" t="str">
        <f>IFERROR(VLOOKUP(Proc[[#This Row],[App]],Table2[],3,0),"open")</f>
        <v>ok</v>
      </c>
      <c r="C2761" s="117" t="s">
        <v>369</v>
      </c>
      <c r="D2761" t="s">
        <v>4682</v>
      </c>
      <c r="E2761" t="s">
        <v>4750</v>
      </c>
      <c r="F2761" s="94" t="s">
        <v>4750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4785</v>
      </c>
      <c r="J2761" s="94" t="b">
        <f>Proc[[#This Row],[Requested]]=Proc[[#This Row],[CurrentParent]]</f>
        <v>1</v>
      </c>
      <c r="K2761" s="144" t="str">
        <f>IF(Proc[[#This Row],[Author]]="Marcela Urrego",VLOOKUP(LEFT(Proc[[#This Row],[Requested]],1),Table3[#All],2,0),VLOOKUP(Proc[[#This Row],[Author]],Table4[],2,0))</f>
        <v>MGF</v>
      </c>
      <c r="L2761" s="125" t="s">
        <v>4894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116</v>
      </c>
      <c r="R2761" s="110" t="s">
        <v>485</v>
      </c>
      <c r="S2761" s="94"/>
    </row>
    <row r="2762" spans="1:19">
      <c r="A2762" s="103" t="s">
        <v>4422</v>
      </c>
      <c r="B2762" s="149" t="str">
        <f>IFERROR(VLOOKUP(Proc[[#This Row],[App]],Table2[],3,0),"open")</f>
        <v>ok</v>
      </c>
      <c r="C2762" s="117" t="s">
        <v>369</v>
      </c>
      <c r="D2762" t="s">
        <v>4683</v>
      </c>
      <c r="E2762" t="s">
        <v>4751</v>
      </c>
      <c r="F2762" s="94" t="s">
        <v>4751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4785</v>
      </c>
      <c r="J2762" s="94" t="b">
        <f>Proc[[#This Row],[Requested]]=Proc[[#This Row],[CurrentParent]]</f>
        <v>1</v>
      </c>
      <c r="K2762" s="144" t="str">
        <f>IF(Proc[[#This Row],[Author]]="Marcela Urrego",VLOOKUP(LEFT(Proc[[#This Row],[Requested]],1),Table3[#All],2,0),VLOOKUP(Proc[[#This Row],[Author]],Table4[],2,0))</f>
        <v>MGF</v>
      </c>
      <c r="L2762" s="125" t="s">
        <v>4894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116</v>
      </c>
      <c r="R2762" s="110" t="s">
        <v>485</v>
      </c>
      <c r="S2762" s="94"/>
    </row>
    <row r="2763" spans="1:19">
      <c r="A2763" s="103" t="s">
        <v>4422</v>
      </c>
      <c r="B2763" s="149" t="str">
        <f>IFERROR(VLOOKUP(Proc[[#This Row],[App]],Table2[],3,0),"open")</f>
        <v>ok</v>
      </c>
      <c r="C2763" s="117" t="s">
        <v>369</v>
      </c>
      <c r="D2763" t="s">
        <v>4684</v>
      </c>
      <c r="E2763" t="s">
        <v>4750</v>
      </c>
      <c r="F2763" s="94" t="s">
        <v>4750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4785</v>
      </c>
      <c r="J2763" s="94" t="b">
        <f>Proc[[#This Row],[Requested]]=Proc[[#This Row],[CurrentParent]]</f>
        <v>1</v>
      </c>
      <c r="K2763" s="144" t="str">
        <f>IF(Proc[[#This Row],[Author]]="Marcela Urrego",VLOOKUP(LEFT(Proc[[#This Row],[Requested]],1),Table3[#All],2,0),VLOOKUP(Proc[[#This Row],[Author]],Table4[],2,0))</f>
        <v>MGF</v>
      </c>
      <c r="L2763" s="125" t="s">
        <v>4894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116</v>
      </c>
      <c r="R2763" s="110" t="s">
        <v>485</v>
      </c>
      <c r="S2763" s="94"/>
    </row>
    <row r="2764" spans="1:19">
      <c r="A2764" s="103" t="s">
        <v>4422</v>
      </c>
      <c r="B2764" s="149" t="str">
        <f>IFERROR(VLOOKUP(Proc[[#This Row],[App]],Table2[],3,0),"open")</f>
        <v>ok</v>
      </c>
      <c r="C2764" s="117" t="s">
        <v>369</v>
      </c>
      <c r="D2764" t="s">
        <v>4685</v>
      </c>
      <c r="E2764" t="s">
        <v>4751</v>
      </c>
      <c r="F2764" s="94" t="s">
        <v>4751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4785</v>
      </c>
      <c r="J2764" s="94" t="b">
        <f>Proc[[#This Row],[Requested]]=Proc[[#This Row],[CurrentParent]]</f>
        <v>1</v>
      </c>
      <c r="K2764" s="144" t="str">
        <f>IF(Proc[[#This Row],[Author]]="Marcela Urrego",VLOOKUP(LEFT(Proc[[#This Row],[Requested]],1),Table3[#All],2,0),VLOOKUP(Proc[[#This Row],[Author]],Table4[],2,0))</f>
        <v>MGF</v>
      </c>
      <c r="L2764" s="125" t="s">
        <v>4894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116</v>
      </c>
      <c r="R2764" s="110" t="s">
        <v>485</v>
      </c>
      <c r="S2764" s="94"/>
    </row>
    <row r="2765" spans="1:19">
      <c r="A2765" s="103" t="s">
        <v>4422</v>
      </c>
      <c r="B2765" s="149" t="str">
        <f>IFERROR(VLOOKUP(Proc[[#This Row],[App]],Table2[],3,0),"open")</f>
        <v>ok</v>
      </c>
      <c r="C2765" s="117" t="s">
        <v>369</v>
      </c>
      <c r="D2765" t="s">
        <v>4686</v>
      </c>
      <c r="E2765" t="s">
        <v>4750</v>
      </c>
      <c r="F2765" s="94" t="s">
        <v>4750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4785</v>
      </c>
      <c r="J2765" s="94" t="b">
        <f>Proc[[#This Row],[Requested]]=Proc[[#This Row],[CurrentParent]]</f>
        <v>1</v>
      </c>
      <c r="K2765" s="144" t="str">
        <f>IF(Proc[[#This Row],[Author]]="Marcela Urrego",VLOOKUP(LEFT(Proc[[#This Row],[Requested]],1),Table3[#All],2,0),VLOOKUP(Proc[[#This Row],[Author]],Table4[],2,0))</f>
        <v>MGF</v>
      </c>
      <c r="L2765" s="125" t="s">
        <v>4894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116</v>
      </c>
      <c r="R2765" s="110" t="s">
        <v>485</v>
      </c>
      <c r="S2765" s="94"/>
    </row>
    <row r="2766" spans="1:19">
      <c r="A2766" s="103" t="s">
        <v>4422</v>
      </c>
      <c r="B2766" s="149" t="str">
        <f>IFERROR(VLOOKUP(Proc[[#This Row],[App]],Table2[],3,0),"open")</f>
        <v>ok</v>
      </c>
      <c r="C2766" s="117" t="s">
        <v>369</v>
      </c>
      <c r="D2766" t="s">
        <v>4687</v>
      </c>
      <c r="E2766" t="s">
        <v>4751</v>
      </c>
      <c r="F2766" s="94" t="s">
        <v>4751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4785</v>
      </c>
      <c r="J2766" s="94" t="b">
        <f>Proc[[#This Row],[Requested]]=Proc[[#This Row],[CurrentParent]]</f>
        <v>1</v>
      </c>
      <c r="K2766" s="144" t="str">
        <f>IF(Proc[[#This Row],[Author]]="Marcela Urrego",VLOOKUP(LEFT(Proc[[#This Row],[Requested]],1),Table3[#All],2,0),VLOOKUP(Proc[[#This Row],[Author]],Table4[],2,0))</f>
        <v>MGF</v>
      </c>
      <c r="L2766" s="125" t="s">
        <v>4894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116</v>
      </c>
      <c r="R2766" s="110" t="s">
        <v>485</v>
      </c>
      <c r="S2766" s="94"/>
    </row>
    <row r="2767" spans="1:19">
      <c r="A2767" s="103" t="s">
        <v>4422</v>
      </c>
      <c r="B2767" s="149" t="str">
        <f>IFERROR(VLOOKUP(Proc[[#This Row],[App]],Table2[],3,0),"open")</f>
        <v>ok</v>
      </c>
      <c r="C2767" s="117" t="s">
        <v>369</v>
      </c>
      <c r="D2767" t="s">
        <v>4688</v>
      </c>
      <c r="E2767" t="s">
        <v>4753</v>
      </c>
      <c r="F2767" s="94" t="s">
        <v>4753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4785</v>
      </c>
      <c r="J2767" s="94" t="b">
        <f>Proc[[#This Row],[Requested]]=Proc[[#This Row],[CurrentParent]]</f>
        <v>1</v>
      </c>
      <c r="K2767" s="144" t="str">
        <f>IF(Proc[[#This Row],[Author]]="Marcela Urrego",VLOOKUP(LEFT(Proc[[#This Row],[Requested]],1),Table3[#All],2,0),VLOOKUP(Proc[[#This Row],[Author]],Table4[],2,0))</f>
        <v>MGF</v>
      </c>
      <c r="L2767" s="125" t="s">
        <v>4894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116</v>
      </c>
      <c r="R2767" s="110" t="s">
        <v>485</v>
      </c>
      <c r="S2767" s="94"/>
    </row>
    <row r="2768" spans="1:19">
      <c r="A2768" s="103" t="s">
        <v>4422</v>
      </c>
      <c r="B2768" s="149" t="str">
        <f>IFERROR(VLOOKUP(Proc[[#This Row],[App]],Table2[],3,0),"open")</f>
        <v>ok</v>
      </c>
      <c r="C2768" s="117" t="s">
        <v>369</v>
      </c>
      <c r="D2768" t="s">
        <v>4689</v>
      </c>
      <c r="E2768" t="s">
        <v>4751</v>
      </c>
      <c r="F2768" s="94" t="s">
        <v>4751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4785</v>
      </c>
      <c r="J2768" s="94" t="b">
        <f>Proc[[#This Row],[Requested]]=Proc[[#This Row],[CurrentParent]]</f>
        <v>1</v>
      </c>
      <c r="K2768" s="144" t="str">
        <f>IF(Proc[[#This Row],[Author]]="Marcela Urrego",VLOOKUP(LEFT(Proc[[#This Row],[Requested]],1),Table3[#All],2,0),VLOOKUP(Proc[[#This Row],[Author]],Table4[],2,0))</f>
        <v>MGF</v>
      </c>
      <c r="L2768" s="125" t="s">
        <v>4894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116</v>
      </c>
      <c r="R2768" s="110" t="s">
        <v>485</v>
      </c>
      <c r="S2768" s="94"/>
    </row>
    <row r="2769" spans="1:19">
      <c r="A2769" s="103" t="s">
        <v>4422</v>
      </c>
      <c r="B2769" s="149" t="str">
        <f>IFERROR(VLOOKUP(Proc[[#This Row],[App]],Table2[],3,0),"open")</f>
        <v>ok</v>
      </c>
      <c r="C2769" s="117" t="s">
        <v>369</v>
      </c>
      <c r="D2769" t="s">
        <v>4690</v>
      </c>
      <c r="E2769" t="s">
        <v>4751</v>
      </c>
      <c r="F2769" s="94" t="s">
        <v>4751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4785</v>
      </c>
      <c r="J2769" s="94" t="b">
        <f>Proc[[#This Row],[Requested]]=Proc[[#This Row],[CurrentParent]]</f>
        <v>1</v>
      </c>
      <c r="K2769" s="144" t="str">
        <f>IF(Proc[[#This Row],[Author]]="Marcela Urrego",VLOOKUP(LEFT(Proc[[#This Row],[Requested]],1),Table3[#All],2,0),VLOOKUP(Proc[[#This Row],[Author]],Table4[],2,0))</f>
        <v>MGF</v>
      </c>
      <c r="L2769" s="125" t="s">
        <v>4894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116</v>
      </c>
      <c r="R2769" s="110" t="s">
        <v>485</v>
      </c>
      <c r="S2769" s="94"/>
    </row>
    <row r="2770" spans="1:19">
      <c r="A2770" s="103" t="s">
        <v>4422</v>
      </c>
      <c r="B2770" s="149" t="str">
        <f>IFERROR(VLOOKUP(Proc[[#This Row],[App]],Table2[],3,0),"open")</f>
        <v>ok</v>
      </c>
      <c r="C2770" s="117" t="s">
        <v>369</v>
      </c>
      <c r="D2770" t="s">
        <v>4691</v>
      </c>
      <c r="E2770" t="s">
        <v>4751</v>
      </c>
      <c r="F2770" s="94" t="s">
        <v>4751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4785</v>
      </c>
      <c r="J2770" s="94" t="b">
        <f>Proc[[#This Row],[Requested]]=Proc[[#This Row],[CurrentParent]]</f>
        <v>1</v>
      </c>
      <c r="K2770" s="144" t="str">
        <f>IF(Proc[[#This Row],[Author]]="Marcela Urrego",VLOOKUP(LEFT(Proc[[#This Row],[Requested]],1),Table3[#All],2,0),VLOOKUP(Proc[[#This Row],[Author]],Table4[],2,0))</f>
        <v>MGF</v>
      </c>
      <c r="L2770" s="125" t="s">
        <v>4894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116</v>
      </c>
      <c r="R2770" s="110" t="s">
        <v>485</v>
      </c>
      <c r="S2770" s="94"/>
    </row>
    <row r="2771" spans="1:19">
      <c r="A2771" s="103" t="s">
        <v>4422</v>
      </c>
      <c r="B2771" s="149" t="str">
        <f>IFERROR(VLOOKUP(Proc[[#This Row],[App]],Table2[],3,0),"open")</f>
        <v>ok</v>
      </c>
      <c r="C2771" s="117" t="s">
        <v>369</v>
      </c>
      <c r="D2771" t="s">
        <v>4692</v>
      </c>
      <c r="E2771" t="s">
        <v>4751</v>
      </c>
      <c r="F2771" s="94" t="s">
        <v>4751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4785</v>
      </c>
      <c r="J2771" s="94" t="b">
        <f>Proc[[#This Row],[Requested]]=Proc[[#This Row],[CurrentParent]]</f>
        <v>1</v>
      </c>
      <c r="K2771" s="144" t="str">
        <f>IF(Proc[[#This Row],[Author]]="Marcela Urrego",VLOOKUP(LEFT(Proc[[#This Row],[Requested]],1),Table3[#All],2,0),VLOOKUP(Proc[[#This Row],[Author]],Table4[],2,0))</f>
        <v>MGF</v>
      </c>
      <c r="L2771" s="125" t="s">
        <v>4894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116</v>
      </c>
      <c r="R2771" s="110" t="s">
        <v>485</v>
      </c>
      <c r="S2771" s="94"/>
    </row>
    <row r="2772" spans="1:19">
      <c r="A2772" s="103" t="s">
        <v>4422</v>
      </c>
      <c r="B2772" s="149" t="str">
        <f>IFERROR(VLOOKUP(Proc[[#This Row],[App]],Table2[],3,0),"open")</f>
        <v>ok</v>
      </c>
      <c r="C2772" s="117" t="s">
        <v>369</v>
      </c>
      <c r="D2772" t="s">
        <v>4693</v>
      </c>
      <c r="E2772" t="s">
        <v>4751</v>
      </c>
      <c r="F2772" s="94" t="s">
        <v>4751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4785</v>
      </c>
      <c r="J2772" s="94" t="b">
        <f>Proc[[#This Row],[Requested]]=Proc[[#This Row],[CurrentParent]]</f>
        <v>1</v>
      </c>
      <c r="K2772" s="144" t="str">
        <f>IF(Proc[[#This Row],[Author]]="Marcela Urrego",VLOOKUP(LEFT(Proc[[#This Row],[Requested]],1),Table3[#All],2,0),VLOOKUP(Proc[[#This Row],[Author]],Table4[],2,0))</f>
        <v>MGF</v>
      </c>
      <c r="L2772" s="125" t="s">
        <v>4894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116</v>
      </c>
      <c r="R2772" s="110" t="s">
        <v>485</v>
      </c>
      <c r="S2772" s="94"/>
    </row>
    <row r="2773" spans="1:19">
      <c r="A2773" s="103" t="s">
        <v>4422</v>
      </c>
      <c r="B2773" s="149" t="str">
        <f>IFERROR(VLOOKUP(Proc[[#This Row],[App]],Table2[],3,0),"open")</f>
        <v>ok</v>
      </c>
      <c r="C2773" s="117" t="s">
        <v>369</v>
      </c>
      <c r="D2773" t="s">
        <v>4694</v>
      </c>
      <c r="E2773" t="s">
        <v>4754</v>
      </c>
      <c r="F2773" s="94" t="s">
        <v>4754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4785</v>
      </c>
      <c r="J2773" s="94" t="b">
        <f>Proc[[#This Row],[Requested]]=Proc[[#This Row],[CurrentParent]]</f>
        <v>1</v>
      </c>
      <c r="K2773" s="144" t="str">
        <f>IF(Proc[[#This Row],[Author]]="Marcela Urrego",VLOOKUP(LEFT(Proc[[#This Row],[Requested]],1),Table3[#All],2,0),VLOOKUP(Proc[[#This Row],[Author]],Table4[],2,0))</f>
        <v>MGF</v>
      </c>
      <c r="L2773" s="125" t="s">
        <v>4894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116</v>
      </c>
      <c r="R2773" s="110" t="s">
        <v>485</v>
      </c>
      <c r="S2773" s="94"/>
    </row>
    <row r="2774" spans="1:19">
      <c r="A2774" s="103" t="s">
        <v>4422</v>
      </c>
      <c r="B2774" s="149" t="str">
        <f>IFERROR(VLOOKUP(Proc[[#This Row],[App]],Table2[],3,0),"open")</f>
        <v>ok</v>
      </c>
      <c r="C2774" s="117" t="s">
        <v>369</v>
      </c>
      <c r="D2774" t="s">
        <v>4695</v>
      </c>
      <c r="E2774" t="s">
        <v>4751</v>
      </c>
      <c r="F2774" s="94" t="s">
        <v>4751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4785</v>
      </c>
      <c r="J2774" s="94" t="b">
        <f>Proc[[#This Row],[Requested]]=Proc[[#This Row],[CurrentParent]]</f>
        <v>1</v>
      </c>
      <c r="K2774" s="144" t="str">
        <f>IF(Proc[[#This Row],[Author]]="Marcela Urrego",VLOOKUP(LEFT(Proc[[#This Row],[Requested]],1),Table3[#All],2,0),VLOOKUP(Proc[[#This Row],[Author]],Table4[],2,0))</f>
        <v>MGF</v>
      </c>
      <c r="L2774" s="125" t="s">
        <v>4894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116</v>
      </c>
      <c r="R2774" s="110" t="s">
        <v>485</v>
      </c>
      <c r="S2774" s="94"/>
    </row>
    <row r="2775" spans="1:19">
      <c r="A2775" s="103" t="s">
        <v>4422</v>
      </c>
      <c r="B2775" s="149" t="str">
        <f>IFERROR(VLOOKUP(Proc[[#This Row],[App]],Table2[],3,0),"open")</f>
        <v>ok</v>
      </c>
      <c r="C2775" s="117" t="s">
        <v>369</v>
      </c>
      <c r="D2775" t="s">
        <v>4696</v>
      </c>
      <c r="E2775" t="s">
        <v>4751</v>
      </c>
      <c r="F2775" s="94" t="s">
        <v>4751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4785</v>
      </c>
      <c r="J2775" s="94" t="b">
        <f>Proc[[#This Row],[Requested]]=Proc[[#This Row],[CurrentParent]]</f>
        <v>1</v>
      </c>
      <c r="K2775" s="144" t="str">
        <f>IF(Proc[[#This Row],[Author]]="Marcela Urrego",VLOOKUP(LEFT(Proc[[#This Row],[Requested]],1),Table3[#All],2,0),VLOOKUP(Proc[[#This Row],[Author]],Table4[],2,0))</f>
        <v>MGF</v>
      </c>
      <c r="L2775" s="125" t="s">
        <v>4894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116</v>
      </c>
      <c r="R2775" s="110" t="s">
        <v>485</v>
      </c>
      <c r="S2775" s="94"/>
    </row>
    <row r="2776" spans="1:19">
      <c r="A2776" s="103" t="s">
        <v>4422</v>
      </c>
      <c r="B2776" s="149" t="str">
        <f>IFERROR(VLOOKUP(Proc[[#This Row],[App]],Table2[],3,0),"open")</f>
        <v>ok</v>
      </c>
      <c r="C2776" s="117" t="s">
        <v>369</v>
      </c>
      <c r="D2776" t="s">
        <v>4697</v>
      </c>
      <c r="E2776" t="s">
        <v>4751</v>
      </c>
      <c r="F2776" s="94" t="s">
        <v>4751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4785</v>
      </c>
      <c r="J2776" s="94" t="b">
        <f>Proc[[#This Row],[Requested]]=Proc[[#This Row],[CurrentParent]]</f>
        <v>1</v>
      </c>
      <c r="K2776" s="144" t="str">
        <f>IF(Proc[[#This Row],[Author]]="Marcela Urrego",VLOOKUP(LEFT(Proc[[#This Row],[Requested]],1),Table3[#All],2,0),VLOOKUP(Proc[[#This Row],[Author]],Table4[],2,0))</f>
        <v>MGF</v>
      </c>
      <c r="L2776" s="125" t="s">
        <v>4894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116</v>
      </c>
      <c r="R2776" s="110" t="s">
        <v>485</v>
      </c>
      <c r="S2776" s="94"/>
    </row>
    <row r="2777" spans="1:19">
      <c r="A2777" s="103" t="s">
        <v>4422</v>
      </c>
      <c r="B2777" s="149" t="str">
        <f>IFERROR(VLOOKUP(Proc[[#This Row],[App]],Table2[],3,0),"open")</f>
        <v>ok</v>
      </c>
      <c r="C2777" s="117" t="s">
        <v>369</v>
      </c>
      <c r="D2777" t="s">
        <v>4698</v>
      </c>
      <c r="E2777" t="s">
        <v>4751</v>
      </c>
      <c r="F2777" s="94" t="s">
        <v>4751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4785</v>
      </c>
      <c r="J2777" s="94" t="b">
        <f>Proc[[#This Row],[Requested]]=Proc[[#This Row],[CurrentParent]]</f>
        <v>1</v>
      </c>
      <c r="K2777" s="144" t="str">
        <f>IF(Proc[[#This Row],[Author]]="Marcela Urrego",VLOOKUP(LEFT(Proc[[#This Row],[Requested]],1),Table3[#All],2,0),VLOOKUP(Proc[[#This Row],[Author]],Table4[],2,0))</f>
        <v>MGF</v>
      </c>
      <c r="L2777" s="125" t="s">
        <v>4894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116</v>
      </c>
      <c r="R2777" s="110" t="s">
        <v>485</v>
      </c>
      <c r="S2777" s="94"/>
    </row>
    <row r="2778" spans="1:19">
      <c r="A2778" s="103" t="s">
        <v>4422</v>
      </c>
      <c r="B2778" s="149" t="str">
        <f>IFERROR(VLOOKUP(Proc[[#This Row],[App]],Table2[],3,0),"open")</f>
        <v>ok</v>
      </c>
      <c r="C2778" s="117" t="s">
        <v>369</v>
      </c>
      <c r="D2778" t="s">
        <v>4699</v>
      </c>
      <c r="E2778" t="s">
        <v>4754</v>
      </c>
      <c r="F2778" s="94" t="s">
        <v>4754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4785</v>
      </c>
      <c r="J2778" s="94" t="b">
        <f>Proc[[#This Row],[Requested]]=Proc[[#This Row],[CurrentParent]]</f>
        <v>1</v>
      </c>
      <c r="K2778" s="144" t="str">
        <f>IF(Proc[[#This Row],[Author]]="Marcela Urrego",VLOOKUP(LEFT(Proc[[#This Row],[Requested]],1),Table3[#All],2,0),VLOOKUP(Proc[[#This Row],[Author]],Table4[],2,0))</f>
        <v>MGF</v>
      </c>
      <c r="L2778" s="125" t="s">
        <v>4894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116</v>
      </c>
      <c r="R2778" s="110" t="s">
        <v>485</v>
      </c>
      <c r="S2778" s="94"/>
    </row>
    <row r="2779" spans="1:19">
      <c r="A2779" s="103" t="s">
        <v>4422</v>
      </c>
      <c r="B2779" s="149" t="str">
        <f>IFERROR(VLOOKUP(Proc[[#This Row],[App]],Table2[],3,0),"open")</f>
        <v>ok</v>
      </c>
      <c r="C2779" s="117" t="s">
        <v>369</v>
      </c>
      <c r="D2779" t="s">
        <v>4700</v>
      </c>
      <c r="E2779" t="s">
        <v>4751</v>
      </c>
      <c r="F2779" s="94" t="s">
        <v>4751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4785</v>
      </c>
      <c r="J2779" s="94" t="b">
        <f>Proc[[#This Row],[Requested]]=Proc[[#This Row],[CurrentParent]]</f>
        <v>1</v>
      </c>
      <c r="K2779" s="144" t="str">
        <f>IF(Proc[[#This Row],[Author]]="Marcela Urrego",VLOOKUP(LEFT(Proc[[#This Row],[Requested]],1),Table3[#All],2,0),VLOOKUP(Proc[[#This Row],[Author]],Table4[],2,0))</f>
        <v>MGF</v>
      </c>
      <c r="L2779" s="125" t="s">
        <v>4894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116</v>
      </c>
      <c r="R2779" s="110" t="s">
        <v>485</v>
      </c>
      <c r="S2779" s="94"/>
    </row>
    <row r="2780" spans="1:19">
      <c r="A2780" s="103" t="s">
        <v>4422</v>
      </c>
      <c r="B2780" s="149" t="str">
        <f>IFERROR(VLOOKUP(Proc[[#This Row],[App]],Table2[],3,0),"open")</f>
        <v>ok</v>
      </c>
      <c r="C2780" s="117" t="s">
        <v>369</v>
      </c>
      <c r="D2780" t="s">
        <v>4701</v>
      </c>
      <c r="E2780" t="s">
        <v>4751</v>
      </c>
      <c r="F2780" s="94" t="s">
        <v>4751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4785</v>
      </c>
      <c r="J2780" s="94" t="b">
        <f>Proc[[#This Row],[Requested]]=Proc[[#This Row],[CurrentParent]]</f>
        <v>1</v>
      </c>
      <c r="K2780" s="144" t="str">
        <f>IF(Proc[[#This Row],[Author]]="Marcela Urrego",VLOOKUP(LEFT(Proc[[#This Row],[Requested]],1),Table3[#All],2,0),VLOOKUP(Proc[[#This Row],[Author]],Table4[],2,0))</f>
        <v>MGF</v>
      </c>
      <c r="L2780" s="125" t="s">
        <v>4894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116</v>
      </c>
      <c r="R2780" s="110" t="s">
        <v>485</v>
      </c>
      <c r="S2780" s="94"/>
    </row>
    <row r="2781" spans="1:19">
      <c r="A2781" s="103" t="s">
        <v>4422</v>
      </c>
      <c r="B2781" s="149" t="str">
        <f>IFERROR(VLOOKUP(Proc[[#This Row],[App]],Table2[],3,0),"open")</f>
        <v>ok</v>
      </c>
      <c r="C2781" s="117" t="s">
        <v>369</v>
      </c>
      <c r="D2781" t="s">
        <v>4702</v>
      </c>
      <c r="E2781" t="s">
        <v>4750</v>
      </c>
      <c r="F2781" s="94" t="s">
        <v>4750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4785</v>
      </c>
      <c r="J2781" s="94" t="b">
        <f>Proc[[#This Row],[Requested]]=Proc[[#This Row],[CurrentParent]]</f>
        <v>1</v>
      </c>
      <c r="K2781" s="144" t="str">
        <f>IF(Proc[[#This Row],[Author]]="Marcela Urrego",VLOOKUP(LEFT(Proc[[#This Row],[Requested]],1),Table3[#All],2,0),VLOOKUP(Proc[[#This Row],[Author]],Table4[],2,0))</f>
        <v>MGF</v>
      </c>
      <c r="L2781" s="125" t="s">
        <v>4894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116</v>
      </c>
      <c r="R2781" s="110" t="s">
        <v>485</v>
      </c>
      <c r="S2781" s="94"/>
    </row>
    <row r="2782" spans="1:19">
      <c r="A2782" s="103" t="s">
        <v>4422</v>
      </c>
      <c r="B2782" s="149" t="str">
        <f>IFERROR(VLOOKUP(Proc[[#This Row],[App]],Table2[],3,0),"open")</f>
        <v>ok</v>
      </c>
      <c r="C2782" s="117" t="s">
        <v>369</v>
      </c>
      <c r="D2782" t="s">
        <v>4703</v>
      </c>
      <c r="E2782" t="s">
        <v>4751</v>
      </c>
      <c r="F2782" s="94" t="s">
        <v>4751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4785</v>
      </c>
      <c r="J2782" s="94" t="b">
        <f>Proc[[#This Row],[Requested]]=Proc[[#This Row],[CurrentParent]]</f>
        <v>1</v>
      </c>
      <c r="K2782" s="144" t="str">
        <f>IF(Proc[[#This Row],[Author]]="Marcela Urrego",VLOOKUP(LEFT(Proc[[#This Row],[Requested]],1),Table3[#All],2,0),VLOOKUP(Proc[[#This Row],[Author]],Table4[],2,0))</f>
        <v>MGF</v>
      </c>
      <c r="L2782" s="125" t="s">
        <v>4894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116</v>
      </c>
      <c r="R2782" s="110" t="s">
        <v>485</v>
      </c>
      <c r="S2782" s="94"/>
    </row>
    <row r="2783" spans="1:19">
      <c r="A2783" s="103" t="s">
        <v>4422</v>
      </c>
      <c r="B2783" s="149" t="str">
        <f>IFERROR(VLOOKUP(Proc[[#This Row],[App]],Table2[],3,0),"open")</f>
        <v>ok</v>
      </c>
      <c r="C2783" s="117" t="s">
        <v>369</v>
      </c>
      <c r="D2783" t="s">
        <v>4704</v>
      </c>
      <c r="E2783" t="s">
        <v>4751</v>
      </c>
      <c r="F2783" s="94" t="s">
        <v>4751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4785</v>
      </c>
      <c r="J2783" s="94" t="b">
        <f>Proc[[#This Row],[Requested]]=Proc[[#This Row],[CurrentParent]]</f>
        <v>1</v>
      </c>
      <c r="K2783" s="144" t="str">
        <f>IF(Proc[[#This Row],[Author]]="Marcela Urrego",VLOOKUP(LEFT(Proc[[#This Row],[Requested]],1),Table3[#All],2,0),VLOOKUP(Proc[[#This Row],[Author]],Table4[],2,0))</f>
        <v>MGF</v>
      </c>
      <c r="L2783" s="125" t="s">
        <v>4894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116</v>
      </c>
      <c r="R2783" s="110" t="s">
        <v>485</v>
      </c>
      <c r="S2783" s="94"/>
    </row>
    <row r="2784" spans="1:19">
      <c r="A2784" s="103" t="s">
        <v>4422</v>
      </c>
      <c r="B2784" s="149" t="str">
        <f>IFERROR(VLOOKUP(Proc[[#This Row],[App]],Table2[],3,0),"open")</f>
        <v>ok</v>
      </c>
      <c r="C2784" s="117" t="s">
        <v>369</v>
      </c>
      <c r="D2784" t="s">
        <v>4705</v>
      </c>
      <c r="E2784" t="s">
        <v>4749</v>
      </c>
      <c r="F2784" s="94" t="s">
        <v>4749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4785</v>
      </c>
      <c r="J2784" s="94" t="b">
        <f>Proc[[#This Row],[Requested]]=Proc[[#This Row],[CurrentParent]]</f>
        <v>1</v>
      </c>
      <c r="K2784" s="144" t="str">
        <f>IF(Proc[[#This Row],[Author]]="Marcela Urrego",VLOOKUP(LEFT(Proc[[#This Row],[Requested]],1),Table3[#All],2,0),VLOOKUP(Proc[[#This Row],[Author]],Table4[],2,0))</f>
        <v>MGF</v>
      </c>
      <c r="L2784" s="125" t="s">
        <v>4894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116</v>
      </c>
      <c r="R2784" s="110" t="s">
        <v>485</v>
      </c>
      <c r="S2784" s="94"/>
    </row>
    <row r="2785" spans="1:19">
      <c r="A2785" s="103" t="s">
        <v>4422</v>
      </c>
      <c r="B2785" s="149" t="str">
        <f>IFERROR(VLOOKUP(Proc[[#This Row],[App]],Table2[],3,0),"open")</f>
        <v>ok</v>
      </c>
      <c r="C2785" s="117" t="s">
        <v>369</v>
      </c>
      <c r="D2785" t="s">
        <v>4706</v>
      </c>
      <c r="E2785" t="s">
        <v>4751</v>
      </c>
      <c r="F2785" s="94" t="s">
        <v>4751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4785</v>
      </c>
      <c r="J2785" s="94" t="b">
        <f>Proc[[#This Row],[Requested]]=Proc[[#This Row],[CurrentParent]]</f>
        <v>1</v>
      </c>
      <c r="K2785" s="144" t="str">
        <f>IF(Proc[[#This Row],[Author]]="Marcela Urrego",VLOOKUP(LEFT(Proc[[#This Row],[Requested]],1),Table3[#All],2,0),VLOOKUP(Proc[[#This Row],[Author]],Table4[],2,0))</f>
        <v>MGF</v>
      </c>
      <c r="L2785" s="125" t="s">
        <v>4894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116</v>
      </c>
      <c r="R2785" s="110" t="s">
        <v>485</v>
      </c>
      <c r="S2785" s="94"/>
    </row>
    <row r="2786" spans="1:19">
      <c r="A2786" s="103" t="s">
        <v>4422</v>
      </c>
      <c r="B2786" s="149" t="str">
        <f>IFERROR(VLOOKUP(Proc[[#This Row],[App]],Table2[],3,0),"open")</f>
        <v>ok</v>
      </c>
      <c r="C2786" s="117" t="s">
        <v>369</v>
      </c>
      <c r="D2786" t="s">
        <v>4707</v>
      </c>
      <c r="E2786" t="s">
        <v>4751</v>
      </c>
      <c r="F2786" s="94" t="s">
        <v>4751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4785</v>
      </c>
      <c r="J2786" s="94" t="b">
        <f>Proc[[#This Row],[Requested]]=Proc[[#This Row],[CurrentParent]]</f>
        <v>1</v>
      </c>
      <c r="K2786" s="144" t="str">
        <f>IF(Proc[[#This Row],[Author]]="Marcela Urrego",VLOOKUP(LEFT(Proc[[#This Row],[Requested]],1),Table3[#All],2,0),VLOOKUP(Proc[[#This Row],[Author]],Table4[],2,0))</f>
        <v>MGF</v>
      </c>
      <c r="L2786" s="125" t="s">
        <v>4894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116</v>
      </c>
      <c r="R2786" s="110" t="s">
        <v>485</v>
      </c>
      <c r="S2786" s="94"/>
    </row>
    <row r="2787" spans="1:19">
      <c r="A2787" s="103" t="s">
        <v>4422</v>
      </c>
      <c r="B2787" s="149" t="str">
        <f>IFERROR(VLOOKUP(Proc[[#This Row],[App]],Table2[],3,0),"open")</f>
        <v>ok</v>
      </c>
      <c r="C2787" s="117" t="s">
        <v>369</v>
      </c>
      <c r="D2787" t="s">
        <v>4708</v>
      </c>
      <c r="E2787" t="s">
        <v>4751</v>
      </c>
      <c r="F2787" s="94" t="s">
        <v>4751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4785</v>
      </c>
      <c r="J2787" s="94" t="b">
        <f>Proc[[#This Row],[Requested]]=Proc[[#This Row],[CurrentParent]]</f>
        <v>1</v>
      </c>
      <c r="K2787" s="144" t="str">
        <f>IF(Proc[[#This Row],[Author]]="Marcela Urrego",VLOOKUP(LEFT(Proc[[#This Row],[Requested]],1),Table3[#All],2,0),VLOOKUP(Proc[[#This Row],[Author]],Table4[],2,0))</f>
        <v>MGF</v>
      </c>
      <c r="L2787" s="125" t="s">
        <v>4894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116</v>
      </c>
      <c r="R2787" s="110" t="s">
        <v>485</v>
      </c>
      <c r="S2787" s="94"/>
    </row>
    <row r="2788" spans="1:19">
      <c r="A2788" s="103" t="s">
        <v>4422</v>
      </c>
      <c r="B2788" s="149" t="str">
        <f>IFERROR(VLOOKUP(Proc[[#This Row],[App]],Table2[],3,0),"open")</f>
        <v>ok</v>
      </c>
      <c r="C2788" s="117" t="s">
        <v>369</v>
      </c>
      <c r="D2788" t="s">
        <v>4709</v>
      </c>
      <c r="E2788" t="s">
        <v>4753</v>
      </c>
      <c r="F2788" s="94" t="s">
        <v>4753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4785</v>
      </c>
      <c r="J2788" s="94" t="b">
        <f>Proc[[#This Row],[Requested]]=Proc[[#This Row],[CurrentParent]]</f>
        <v>1</v>
      </c>
      <c r="K2788" s="144" t="str">
        <f>IF(Proc[[#This Row],[Author]]="Marcela Urrego",VLOOKUP(LEFT(Proc[[#This Row],[Requested]],1),Table3[#All],2,0),VLOOKUP(Proc[[#This Row],[Author]],Table4[],2,0))</f>
        <v>MGF</v>
      </c>
      <c r="L2788" s="125" t="s">
        <v>4894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116</v>
      </c>
      <c r="R2788" s="110" t="s">
        <v>485</v>
      </c>
      <c r="S2788" s="94"/>
    </row>
    <row r="2789" spans="1:19">
      <c r="A2789" s="103" t="s">
        <v>4422</v>
      </c>
      <c r="B2789" s="149" t="str">
        <f>IFERROR(VLOOKUP(Proc[[#This Row],[App]],Table2[],3,0),"open")</f>
        <v>ok</v>
      </c>
      <c r="C2789" s="117" t="s">
        <v>369</v>
      </c>
      <c r="D2789" t="s">
        <v>4710</v>
      </c>
      <c r="E2789" t="s">
        <v>4753</v>
      </c>
      <c r="F2789" s="94" t="s">
        <v>4753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4785</v>
      </c>
      <c r="J2789" s="94" t="b">
        <f>Proc[[#This Row],[Requested]]=Proc[[#This Row],[CurrentParent]]</f>
        <v>1</v>
      </c>
      <c r="K2789" s="144" t="str">
        <f>IF(Proc[[#This Row],[Author]]="Marcela Urrego",VLOOKUP(LEFT(Proc[[#This Row],[Requested]],1),Table3[#All],2,0),VLOOKUP(Proc[[#This Row],[Author]],Table4[],2,0))</f>
        <v>MGF</v>
      </c>
      <c r="L2789" s="125" t="s">
        <v>4894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116</v>
      </c>
      <c r="R2789" s="110" t="s">
        <v>485</v>
      </c>
      <c r="S2789" s="94"/>
    </row>
    <row r="2790" spans="1:19">
      <c r="A2790" s="103" t="s">
        <v>4422</v>
      </c>
      <c r="B2790" s="149" t="str">
        <f>IFERROR(VLOOKUP(Proc[[#This Row],[App]],Table2[],3,0),"open")</f>
        <v>ok</v>
      </c>
      <c r="C2790" s="117" t="s">
        <v>369</v>
      </c>
      <c r="D2790" t="s">
        <v>4711</v>
      </c>
      <c r="E2790" t="s">
        <v>4754</v>
      </c>
      <c r="F2790" s="94" t="s">
        <v>4754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4785</v>
      </c>
      <c r="J2790" s="94" t="b">
        <f>Proc[[#This Row],[Requested]]=Proc[[#This Row],[CurrentParent]]</f>
        <v>1</v>
      </c>
      <c r="K2790" s="144" t="str">
        <f>IF(Proc[[#This Row],[Author]]="Marcela Urrego",VLOOKUP(LEFT(Proc[[#This Row],[Requested]],1),Table3[#All],2,0),VLOOKUP(Proc[[#This Row],[Author]],Table4[],2,0))</f>
        <v>MGF</v>
      </c>
      <c r="L2790" s="125" t="s">
        <v>4894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116</v>
      </c>
      <c r="R2790" s="110" t="s">
        <v>485</v>
      </c>
      <c r="S2790" s="94"/>
    </row>
    <row r="2791" spans="1:19">
      <c r="A2791" s="103" t="s">
        <v>4422</v>
      </c>
      <c r="B2791" s="149" t="str">
        <f>IFERROR(VLOOKUP(Proc[[#This Row],[App]],Table2[],3,0),"open")</f>
        <v>ok</v>
      </c>
      <c r="C2791" s="117" t="s">
        <v>369</v>
      </c>
      <c r="D2791" t="s">
        <v>4712</v>
      </c>
      <c r="E2791" t="s">
        <v>4754</v>
      </c>
      <c r="F2791" s="94" t="s">
        <v>4754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4785</v>
      </c>
      <c r="J2791" s="94" t="b">
        <f>Proc[[#This Row],[Requested]]=Proc[[#This Row],[CurrentParent]]</f>
        <v>1</v>
      </c>
      <c r="K2791" s="144" t="str">
        <f>IF(Proc[[#This Row],[Author]]="Marcela Urrego",VLOOKUP(LEFT(Proc[[#This Row],[Requested]],1),Table3[#All],2,0),VLOOKUP(Proc[[#This Row],[Author]],Table4[],2,0))</f>
        <v>MGF</v>
      </c>
      <c r="L2791" s="125" t="s">
        <v>4894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116</v>
      </c>
      <c r="R2791" s="110" t="s">
        <v>485</v>
      </c>
      <c r="S2791" s="94"/>
    </row>
    <row r="2792" spans="1:19">
      <c r="A2792" s="103" t="s">
        <v>4422</v>
      </c>
      <c r="B2792" s="149" t="str">
        <f>IFERROR(VLOOKUP(Proc[[#This Row],[App]],Table2[],3,0),"open")</f>
        <v>ok</v>
      </c>
      <c r="C2792" s="117" t="s">
        <v>369</v>
      </c>
      <c r="D2792" t="s">
        <v>4713</v>
      </c>
      <c r="E2792" t="s">
        <v>4744</v>
      </c>
      <c r="F2792" s="94" t="s">
        <v>4744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4785</v>
      </c>
      <c r="J2792" s="94" t="b">
        <f>Proc[[#This Row],[Requested]]=Proc[[#This Row],[CurrentParent]]</f>
        <v>1</v>
      </c>
      <c r="K2792" s="144" t="str">
        <f>IF(Proc[[#This Row],[Author]]="Marcela Urrego",VLOOKUP(LEFT(Proc[[#This Row],[Requested]],1),Table3[#All],2,0),VLOOKUP(Proc[[#This Row],[Author]],Table4[],2,0))</f>
        <v>MGF</v>
      </c>
      <c r="L2792" s="125" t="s">
        <v>4894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116</v>
      </c>
      <c r="R2792" s="110" t="s">
        <v>485</v>
      </c>
      <c r="S2792" s="94"/>
    </row>
    <row r="2793" spans="1:19">
      <c r="A2793" s="103" t="s">
        <v>4422</v>
      </c>
      <c r="B2793" s="149" t="str">
        <f>IFERROR(VLOOKUP(Proc[[#This Row],[App]],Table2[],3,0),"open")</f>
        <v>ok</v>
      </c>
      <c r="C2793" s="117" t="s">
        <v>369</v>
      </c>
      <c r="D2793" t="s">
        <v>4714</v>
      </c>
      <c r="E2793" t="s">
        <v>4751</v>
      </c>
      <c r="F2793" s="94" t="s">
        <v>4751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4785</v>
      </c>
      <c r="J2793" s="94" t="b">
        <f>Proc[[#This Row],[Requested]]=Proc[[#This Row],[CurrentParent]]</f>
        <v>1</v>
      </c>
      <c r="K2793" s="144" t="str">
        <f>IF(Proc[[#This Row],[Author]]="Marcela Urrego",VLOOKUP(LEFT(Proc[[#This Row],[Requested]],1),Table3[#All],2,0),VLOOKUP(Proc[[#This Row],[Author]],Table4[],2,0))</f>
        <v>MGF</v>
      </c>
      <c r="L2793" s="125" t="s">
        <v>4894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116</v>
      </c>
      <c r="R2793" s="110" t="s">
        <v>485</v>
      </c>
      <c r="S2793" s="94"/>
    </row>
    <row r="2794" spans="1:19">
      <c r="A2794" s="103" t="s">
        <v>4422</v>
      </c>
      <c r="B2794" s="149" t="str">
        <f>IFERROR(VLOOKUP(Proc[[#This Row],[App]],Table2[],3,0),"open")</f>
        <v>ok</v>
      </c>
      <c r="C2794" s="117" t="s">
        <v>369</v>
      </c>
      <c r="D2794" t="s">
        <v>4715</v>
      </c>
      <c r="E2794" t="s">
        <v>4751</v>
      </c>
      <c r="F2794" s="94" t="s">
        <v>4751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4785</v>
      </c>
      <c r="J2794" s="94" t="b">
        <f>Proc[[#This Row],[Requested]]=Proc[[#This Row],[CurrentParent]]</f>
        <v>1</v>
      </c>
      <c r="K2794" s="144" t="str">
        <f>IF(Proc[[#This Row],[Author]]="Marcela Urrego",VLOOKUP(LEFT(Proc[[#This Row],[Requested]],1),Table3[#All],2,0),VLOOKUP(Proc[[#This Row],[Author]],Table4[],2,0))</f>
        <v>MGF</v>
      </c>
      <c r="L2794" s="125" t="s">
        <v>4894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116</v>
      </c>
      <c r="R2794" s="110" t="s">
        <v>485</v>
      </c>
      <c r="S2794" s="94"/>
    </row>
    <row r="2795" spans="1:19">
      <c r="A2795" s="103" t="s">
        <v>4422</v>
      </c>
      <c r="B2795" s="149" t="str">
        <f>IFERROR(VLOOKUP(Proc[[#This Row],[App]],Table2[],3,0),"open")</f>
        <v>ok</v>
      </c>
      <c r="C2795" s="117" t="s">
        <v>369</v>
      </c>
      <c r="D2795" t="s">
        <v>4716</v>
      </c>
      <c r="E2795" t="s">
        <v>4749</v>
      </c>
      <c r="F2795" s="94" t="s">
        <v>4749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4785</v>
      </c>
      <c r="J2795" s="94" t="b">
        <f>Proc[[#This Row],[Requested]]=Proc[[#This Row],[CurrentParent]]</f>
        <v>1</v>
      </c>
      <c r="K2795" s="144" t="str">
        <f>IF(Proc[[#This Row],[Author]]="Marcela Urrego",VLOOKUP(LEFT(Proc[[#This Row],[Requested]],1),Table3[#All],2,0),VLOOKUP(Proc[[#This Row],[Author]],Table4[],2,0))</f>
        <v>MGF</v>
      </c>
      <c r="L2795" s="125" t="s">
        <v>4894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116</v>
      </c>
      <c r="R2795" s="110" t="s">
        <v>485</v>
      </c>
      <c r="S2795" s="94"/>
    </row>
    <row r="2796" spans="1:19">
      <c r="A2796" s="103" t="s">
        <v>4422</v>
      </c>
      <c r="B2796" s="149" t="str">
        <f>IFERROR(VLOOKUP(Proc[[#This Row],[App]],Table2[],3,0),"open")</f>
        <v>ok</v>
      </c>
      <c r="C2796" s="117" t="s">
        <v>369</v>
      </c>
      <c r="D2796" t="s">
        <v>4717</v>
      </c>
      <c r="E2796" t="s">
        <v>4749</v>
      </c>
      <c r="F2796" s="94" t="s">
        <v>4749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4785</v>
      </c>
      <c r="J2796" s="94" t="b">
        <f>Proc[[#This Row],[Requested]]=Proc[[#This Row],[CurrentParent]]</f>
        <v>1</v>
      </c>
      <c r="K2796" s="144" t="str">
        <f>IF(Proc[[#This Row],[Author]]="Marcela Urrego",VLOOKUP(LEFT(Proc[[#This Row],[Requested]],1),Table3[#All],2,0),VLOOKUP(Proc[[#This Row],[Author]],Table4[],2,0))</f>
        <v>MGF</v>
      </c>
      <c r="L2796" s="125" t="s">
        <v>4894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116</v>
      </c>
      <c r="R2796" s="110" t="s">
        <v>485</v>
      </c>
      <c r="S2796" s="94"/>
    </row>
    <row r="2797" spans="1:19">
      <c r="A2797" s="103" t="s">
        <v>4422</v>
      </c>
      <c r="B2797" s="149" t="str">
        <f>IFERROR(VLOOKUP(Proc[[#This Row],[App]],Table2[],3,0),"open")</f>
        <v>ok</v>
      </c>
      <c r="C2797" s="117" t="s">
        <v>369</v>
      </c>
      <c r="D2797" t="s">
        <v>4718</v>
      </c>
      <c r="E2797" t="s">
        <v>4749</v>
      </c>
      <c r="F2797" s="94" t="s">
        <v>4749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4785</v>
      </c>
      <c r="J2797" s="94" t="b">
        <f>Proc[[#This Row],[Requested]]=Proc[[#This Row],[CurrentParent]]</f>
        <v>1</v>
      </c>
      <c r="K2797" s="144" t="str">
        <f>IF(Proc[[#This Row],[Author]]="Marcela Urrego",VLOOKUP(LEFT(Proc[[#This Row],[Requested]],1),Table3[#All],2,0),VLOOKUP(Proc[[#This Row],[Author]],Table4[],2,0))</f>
        <v>MGF</v>
      </c>
      <c r="L2797" s="125" t="s">
        <v>4894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116</v>
      </c>
      <c r="R2797" s="110" t="s">
        <v>485</v>
      </c>
      <c r="S2797" s="94"/>
    </row>
    <row r="2798" spans="1:19">
      <c r="A2798" s="103" t="s">
        <v>4422</v>
      </c>
      <c r="B2798" s="149" t="str">
        <f>IFERROR(VLOOKUP(Proc[[#This Row],[App]],Table2[],3,0),"open")</f>
        <v>ok</v>
      </c>
      <c r="C2798" s="117" t="s">
        <v>369</v>
      </c>
      <c r="D2798" t="s">
        <v>4719</v>
      </c>
      <c r="E2798" t="s">
        <v>4749</v>
      </c>
      <c r="F2798" s="94" t="s">
        <v>4749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4785</v>
      </c>
      <c r="J2798" s="94" t="b">
        <f>Proc[[#This Row],[Requested]]=Proc[[#This Row],[CurrentParent]]</f>
        <v>1</v>
      </c>
      <c r="K2798" s="144" t="str">
        <f>IF(Proc[[#This Row],[Author]]="Marcela Urrego",VLOOKUP(LEFT(Proc[[#This Row],[Requested]],1),Table3[#All],2,0),VLOOKUP(Proc[[#This Row],[Author]],Table4[],2,0))</f>
        <v>MGF</v>
      </c>
      <c r="L2798" s="125" t="s">
        <v>4894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116</v>
      </c>
      <c r="R2798" s="110" t="s">
        <v>485</v>
      </c>
      <c r="S2798" s="94"/>
    </row>
    <row r="2799" spans="1:19">
      <c r="A2799" s="103" t="s">
        <v>4422</v>
      </c>
      <c r="B2799" s="149" t="str">
        <f>IFERROR(VLOOKUP(Proc[[#This Row],[App]],Table2[],3,0),"open")</f>
        <v>ok</v>
      </c>
      <c r="C2799" s="117" t="s">
        <v>369</v>
      </c>
      <c r="D2799" t="s">
        <v>4720</v>
      </c>
      <c r="E2799" t="s">
        <v>4751</v>
      </c>
      <c r="F2799" s="94" t="s">
        <v>4751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4785</v>
      </c>
      <c r="J2799" s="94" t="b">
        <f>Proc[[#This Row],[Requested]]=Proc[[#This Row],[CurrentParent]]</f>
        <v>1</v>
      </c>
      <c r="K2799" s="144" t="str">
        <f>IF(Proc[[#This Row],[Author]]="Marcela Urrego",VLOOKUP(LEFT(Proc[[#This Row],[Requested]],1),Table3[#All],2,0),VLOOKUP(Proc[[#This Row],[Author]],Table4[],2,0))</f>
        <v>MGF</v>
      </c>
      <c r="L2799" s="125" t="s">
        <v>4894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116</v>
      </c>
      <c r="R2799" s="110" t="s">
        <v>485</v>
      </c>
      <c r="S2799" s="94"/>
    </row>
    <row r="2800" spans="1:19">
      <c r="A2800" s="103" t="s">
        <v>4422</v>
      </c>
      <c r="B2800" s="149" t="str">
        <f>IFERROR(VLOOKUP(Proc[[#This Row],[App]],Table2[],3,0),"open")</f>
        <v>ok</v>
      </c>
      <c r="C2800" s="117" t="s">
        <v>369</v>
      </c>
      <c r="D2800" t="s">
        <v>4721</v>
      </c>
      <c r="E2800" t="s">
        <v>4751</v>
      </c>
      <c r="F2800" s="94" t="s">
        <v>4751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4785</v>
      </c>
      <c r="J2800" s="94" t="b">
        <f>Proc[[#This Row],[Requested]]=Proc[[#This Row],[CurrentParent]]</f>
        <v>1</v>
      </c>
      <c r="K2800" s="144" t="str">
        <f>IF(Proc[[#This Row],[Author]]="Marcela Urrego",VLOOKUP(LEFT(Proc[[#This Row],[Requested]],1),Table3[#All],2,0),VLOOKUP(Proc[[#This Row],[Author]],Table4[],2,0))</f>
        <v>MGF</v>
      </c>
      <c r="L2800" s="125" t="s">
        <v>4894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116</v>
      </c>
      <c r="R2800" s="110" t="s">
        <v>485</v>
      </c>
      <c r="S2800" s="94"/>
    </row>
    <row r="2801" spans="1:19">
      <c r="A2801" s="103" t="s">
        <v>4422</v>
      </c>
      <c r="B2801" s="149" t="str">
        <f>IFERROR(VLOOKUP(Proc[[#This Row],[App]],Table2[],3,0),"open")</f>
        <v>ok</v>
      </c>
      <c r="C2801" s="117" t="s">
        <v>369</v>
      </c>
      <c r="D2801" t="s">
        <v>4722</v>
      </c>
      <c r="E2801" t="s">
        <v>4751</v>
      </c>
      <c r="F2801" s="94" t="s">
        <v>4751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4785</v>
      </c>
      <c r="J2801" s="94" t="b">
        <f>Proc[[#This Row],[Requested]]=Proc[[#This Row],[CurrentParent]]</f>
        <v>1</v>
      </c>
      <c r="K2801" s="144" t="str">
        <f>IF(Proc[[#This Row],[Author]]="Marcela Urrego",VLOOKUP(LEFT(Proc[[#This Row],[Requested]],1),Table3[#All],2,0),VLOOKUP(Proc[[#This Row],[Author]],Table4[],2,0))</f>
        <v>MGF</v>
      </c>
      <c r="L2801" s="125" t="s">
        <v>4894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116</v>
      </c>
      <c r="R2801" s="110" t="s">
        <v>485</v>
      </c>
      <c r="S2801" s="94"/>
    </row>
    <row r="2802" spans="1:19">
      <c r="A2802" s="103" t="s">
        <v>4422</v>
      </c>
      <c r="B2802" s="149" t="str">
        <f>IFERROR(VLOOKUP(Proc[[#This Row],[App]],Table2[],3,0),"open")</f>
        <v>ok</v>
      </c>
      <c r="C2802" s="117" t="s">
        <v>369</v>
      </c>
      <c r="D2802" t="s">
        <v>4723</v>
      </c>
      <c r="E2802" t="s">
        <v>4751</v>
      </c>
      <c r="F2802" s="94" t="s">
        <v>4751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4785</v>
      </c>
      <c r="J2802" s="94" t="b">
        <f>Proc[[#This Row],[Requested]]=Proc[[#This Row],[CurrentParent]]</f>
        <v>1</v>
      </c>
      <c r="K2802" s="144" t="str">
        <f>IF(Proc[[#This Row],[Author]]="Marcela Urrego",VLOOKUP(LEFT(Proc[[#This Row],[Requested]],1),Table3[#All],2,0),VLOOKUP(Proc[[#This Row],[Author]],Table4[],2,0))</f>
        <v>MGF</v>
      </c>
      <c r="L2802" s="125" t="s">
        <v>4894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116</v>
      </c>
      <c r="R2802" s="110" t="s">
        <v>485</v>
      </c>
      <c r="S2802" s="94"/>
    </row>
    <row r="2803" spans="1:19">
      <c r="A2803" s="103" t="s">
        <v>4422</v>
      </c>
      <c r="B2803" s="149" t="str">
        <f>IFERROR(VLOOKUP(Proc[[#This Row],[App]],Table2[],3,0),"open")</f>
        <v>ok</v>
      </c>
      <c r="C2803" s="117" t="s">
        <v>369</v>
      </c>
      <c r="D2803" t="s">
        <v>4724</v>
      </c>
      <c r="E2803" t="s">
        <v>4753</v>
      </c>
      <c r="F2803" s="94" t="s">
        <v>4753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4785</v>
      </c>
      <c r="J2803" s="94" t="b">
        <f>Proc[[#This Row],[Requested]]=Proc[[#This Row],[CurrentParent]]</f>
        <v>1</v>
      </c>
      <c r="K2803" s="144" t="str">
        <f>IF(Proc[[#This Row],[Author]]="Marcela Urrego",VLOOKUP(LEFT(Proc[[#This Row],[Requested]],1),Table3[#All],2,0),VLOOKUP(Proc[[#This Row],[Author]],Table4[],2,0))</f>
        <v>MGF</v>
      </c>
      <c r="L2803" s="125" t="s">
        <v>4894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116</v>
      </c>
      <c r="R2803" s="110" t="s">
        <v>485</v>
      </c>
      <c r="S2803" s="94"/>
    </row>
    <row r="2804" spans="1:19">
      <c r="A2804" s="103" t="s">
        <v>4422</v>
      </c>
      <c r="B2804" s="149" t="str">
        <f>IFERROR(VLOOKUP(Proc[[#This Row],[App]],Table2[],3,0),"open")</f>
        <v>ok</v>
      </c>
      <c r="C2804" s="117" t="s">
        <v>369</v>
      </c>
      <c r="D2804" t="s">
        <v>4725</v>
      </c>
      <c r="E2804" t="s">
        <v>4754</v>
      </c>
      <c r="F2804" s="94" t="s">
        <v>4754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4785</v>
      </c>
      <c r="J2804" s="94" t="b">
        <f>Proc[[#This Row],[Requested]]=Proc[[#This Row],[CurrentParent]]</f>
        <v>1</v>
      </c>
      <c r="K2804" s="144" t="str">
        <f>IF(Proc[[#This Row],[Author]]="Marcela Urrego",VLOOKUP(LEFT(Proc[[#This Row],[Requested]],1),Table3[#All],2,0),VLOOKUP(Proc[[#This Row],[Author]],Table4[],2,0))</f>
        <v>MGF</v>
      </c>
      <c r="L2804" s="125" t="s">
        <v>4894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116</v>
      </c>
      <c r="R2804" s="110" t="s">
        <v>485</v>
      </c>
      <c r="S2804" s="94"/>
    </row>
    <row r="2805" spans="1:19">
      <c r="A2805" s="103" t="s">
        <v>4422</v>
      </c>
      <c r="B2805" s="149" t="str">
        <f>IFERROR(VLOOKUP(Proc[[#This Row],[App]],Table2[],3,0),"open")</f>
        <v>ok</v>
      </c>
      <c r="C2805" s="117" t="s">
        <v>369</v>
      </c>
      <c r="D2805" t="s">
        <v>4726</v>
      </c>
      <c r="E2805" t="s">
        <v>4754</v>
      </c>
      <c r="F2805" s="94" t="s">
        <v>4754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4785</v>
      </c>
      <c r="J2805" s="94" t="b">
        <f>Proc[[#This Row],[Requested]]=Proc[[#This Row],[CurrentParent]]</f>
        <v>1</v>
      </c>
      <c r="K2805" s="144" t="str">
        <f>IF(Proc[[#This Row],[Author]]="Marcela Urrego",VLOOKUP(LEFT(Proc[[#This Row],[Requested]],1),Table3[#All],2,0),VLOOKUP(Proc[[#This Row],[Author]],Table4[],2,0))</f>
        <v>MGF</v>
      </c>
      <c r="L2805" s="125" t="s">
        <v>4894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116</v>
      </c>
      <c r="R2805" s="110" t="s">
        <v>485</v>
      </c>
      <c r="S2805" s="94"/>
    </row>
    <row r="2806" spans="1:19">
      <c r="A2806" s="103" t="s">
        <v>4422</v>
      </c>
      <c r="B2806" s="149" t="str">
        <f>IFERROR(VLOOKUP(Proc[[#This Row],[App]],Table2[],3,0),"open")</f>
        <v>ok</v>
      </c>
      <c r="C2806" s="117" t="s">
        <v>369</v>
      </c>
      <c r="D2806" t="s">
        <v>4727</v>
      </c>
      <c r="E2806" t="s">
        <v>4754</v>
      </c>
      <c r="F2806" s="94" t="s">
        <v>4754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4785</v>
      </c>
      <c r="J2806" s="94" t="b">
        <f>Proc[[#This Row],[Requested]]=Proc[[#This Row],[CurrentParent]]</f>
        <v>1</v>
      </c>
      <c r="K2806" s="144" t="str">
        <f>IF(Proc[[#This Row],[Author]]="Marcela Urrego",VLOOKUP(LEFT(Proc[[#This Row],[Requested]],1),Table3[#All],2,0),VLOOKUP(Proc[[#This Row],[Author]],Table4[],2,0))</f>
        <v>MGF</v>
      </c>
      <c r="L2806" s="125" t="s">
        <v>4894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116</v>
      </c>
      <c r="R2806" s="110" t="s">
        <v>485</v>
      </c>
      <c r="S2806" s="94"/>
    </row>
    <row r="2807" spans="1:19">
      <c r="A2807" s="103" t="s">
        <v>4422</v>
      </c>
      <c r="B2807" s="149" t="str">
        <f>IFERROR(VLOOKUP(Proc[[#This Row],[App]],Table2[],3,0),"open")</f>
        <v>ok</v>
      </c>
      <c r="C2807" s="117" t="s">
        <v>369</v>
      </c>
      <c r="D2807" t="s">
        <v>4728</v>
      </c>
      <c r="E2807" t="s">
        <v>4754</v>
      </c>
      <c r="F2807" s="94" t="s">
        <v>4754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4785</v>
      </c>
      <c r="J2807" s="94" t="b">
        <f>Proc[[#This Row],[Requested]]=Proc[[#This Row],[CurrentParent]]</f>
        <v>1</v>
      </c>
      <c r="K2807" s="144" t="str">
        <f>IF(Proc[[#This Row],[Author]]="Marcela Urrego",VLOOKUP(LEFT(Proc[[#This Row],[Requested]],1),Table3[#All],2,0),VLOOKUP(Proc[[#This Row],[Author]],Table4[],2,0))</f>
        <v>MGF</v>
      </c>
      <c r="L2807" s="125" t="s">
        <v>4894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116</v>
      </c>
      <c r="R2807" s="110" t="s">
        <v>485</v>
      </c>
      <c r="S2807" s="94"/>
    </row>
    <row r="2808" spans="1:19">
      <c r="A2808" s="103" t="s">
        <v>4422</v>
      </c>
      <c r="B2808" s="149" t="str">
        <f>IFERROR(VLOOKUP(Proc[[#This Row],[App]],Table2[],3,0),"open")</f>
        <v>ok</v>
      </c>
      <c r="C2808" s="117" t="s">
        <v>369</v>
      </c>
      <c r="D2808" t="s">
        <v>4729</v>
      </c>
      <c r="E2808" t="s">
        <v>4751</v>
      </c>
      <c r="F2808" s="94" t="s">
        <v>4751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4785</v>
      </c>
      <c r="J2808" s="94" t="b">
        <f>Proc[[#This Row],[Requested]]=Proc[[#This Row],[CurrentParent]]</f>
        <v>1</v>
      </c>
      <c r="K2808" s="144" t="str">
        <f>IF(Proc[[#This Row],[Author]]="Marcela Urrego",VLOOKUP(LEFT(Proc[[#This Row],[Requested]],1),Table3[#All],2,0),VLOOKUP(Proc[[#This Row],[Author]],Table4[],2,0))</f>
        <v>MGF</v>
      </c>
      <c r="L2808" s="125" t="s">
        <v>4894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116</v>
      </c>
      <c r="R2808" s="110" t="s">
        <v>485</v>
      </c>
      <c r="S2808" s="94"/>
    </row>
    <row r="2809" spans="1:19">
      <c r="A2809" s="103" t="s">
        <v>4422</v>
      </c>
      <c r="B2809" s="149" t="str">
        <f>IFERROR(VLOOKUP(Proc[[#This Row],[App]],Table2[],3,0),"open")</f>
        <v>ok</v>
      </c>
      <c r="C2809" s="117" t="s">
        <v>369</v>
      </c>
      <c r="D2809" t="s">
        <v>4730</v>
      </c>
      <c r="E2809" t="s">
        <v>4750</v>
      </c>
      <c r="F2809" s="94" t="s">
        <v>4750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4785</v>
      </c>
      <c r="J2809" s="94" t="b">
        <f>Proc[[#This Row],[Requested]]=Proc[[#This Row],[CurrentParent]]</f>
        <v>1</v>
      </c>
      <c r="K2809" s="144" t="str">
        <f>IF(Proc[[#This Row],[Author]]="Marcela Urrego",VLOOKUP(LEFT(Proc[[#This Row],[Requested]],1),Table3[#All],2,0),VLOOKUP(Proc[[#This Row],[Author]],Table4[],2,0))</f>
        <v>MGF</v>
      </c>
      <c r="L2809" s="125" t="s">
        <v>4894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116</v>
      </c>
      <c r="R2809" s="110" t="s">
        <v>485</v>
      </c>
      <c r="S2809" s="94"/>
    </row>
    <row r="2810" spans="1:19">
      <c r="A2810" s="103" t="s">
        <v>4422</v>
      </c>
      <c r="B2810" s="149" t="str">
        <f>IFERROR(VLOOKUP(Proc[[#This Row],[App]],Table2[],3,0),"open")</f>
        <v>ok</v>
      </c>
      <c r="C2810" s="117" t="s">
        <v>369</v>
      </c>
      <c r="D2810" t="s">
        <v>4731</v>
      </c>
      <c r="E2810" t="s">
        <v>4750</v>
      </c>
      <c r="F2810" s="94" t="s">
        <v>4750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4785</v>
      </c>
      <c r="J2810" s="94" t="b">
        <f>Proc[[#This Row],[Requested]]=Proc[[#This Row],[CurrentParent]]</f>
        <v>1</v>
      </c>
      <c r="K2810" s="144" t="str">
        <f>IF(Proc[[#This Row],[Author]]="Marcela Urrego",VLOOKUP(LEFT(Proc[[#This Row],[Requested]],1),Table3[#All],2,0),VLOOKUP(Proc[[#This Row],[Author]],Table4[],2,0))</f>
        <v>MGF</v>
      </c>
      <c r="L2810" s="125" t="s">
        <v>4894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116</v>
      </c>
      <c r="R2810" s="110" t="s">
        <v>485</v>
      </c>
      <c r="S2810" s="94"/>
    </row>
    <row r="2811" spans="1:19">
      <c r="A2811" s="103" t="s">
        <v>4422</v>
      </c>
      <c r="B2811" s="149" t="str">
        <f>IFERROR(VLOOKUP(Proc[[#This Row],[App]],Table2[],3,0),"open")</f>
        <v>ok</v>
      </c>
      <c r="C2811" s="117" t="s">
        <v>369</v>
      </c>
      <c r="D2811" t="s">
        <v>4732</v>
      </c>
      <c r="E2811" t="s">
        <v>4754</v>
      </c>
      <c r="F2811" s="94" t="s">
        <v>4754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4785</v>
      </c>
      <c r="J2811" s="94" t="b">
        <f>Proc[[#This Row],[Requested]]=Proc[[#This Row],[CurrentParent]]</f>
        <v>1</v>
      </c>
      <c r="K2811" s="144" t="str">
        <f>IF(Proc[[#This Row],[Author]]="Marcela Urrego",VLOOKUP(LEFT(Proc[[#This Row],[Requested]],1),Table3[#All],2,0),VLOOKUP(Proc[[#This Row],[Author]],Table4[],2,0))</f>
        <v>MGF</v>
      </c>
      <c r="L2811" s="125" t="s">
        <v>4894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116</v>
      </c>
      <c r="R2811" s="110" t="s">
        <v>485</v>
      </c>
      <c r="S2811" s="94"/>
    </row>
    <row r="2812" spans="1:19">
      <c r="A2812" s="103" t="s">
        <v>4422</v>
      </c>
      <c r="B2812" s="149" t="str">
        <f>IFERROR(VLOOKUP(Proc[[#This Row],[App]],Table2[],3,0),"open")</f>
        <v>ok</v>
      </c>
      <c r="C2812" s="117" t="s">
        <v>369</v>
      </c>
      <c r="D2812" t="s">
        <v>4733</v>
      </c>
      <c r="E2812" t="s">
        <v>4740</v>
      </c>
      <c r="F2812" s="94" t="s">
        <v>4740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4785</v>
      </c>
      <c r="J2812" s="94" t="b">
        <f>Proc[[#This Row],[Requested]]=Proc[[#This Row],[CurrentParent]]</f>
        <v>1</v>
      </c>
      <c r="K2812" s="144" t="str">
        <f>IF(Proc[[#This Row],[Author]]="Marcela Urrego",VLOOKUP(LEFT(Proc[[#This Row],[Requested]],1),Table3[#All],2,0),VLOOKUP(Proc[[#This Row],[Author]],Table4[],2,0))</f>
        <v>MGF</v>
      </c>
      <c r="L2812" s="125" t="s">
        <v>4894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116</v>
      </c>
      <c r="R2812" s="110" t="s">
        <v>485</v>
      </c>
      <c r="S2812" s="94"/>
    </row>
    <row r="2813" spans="1:19">
      <c r="A2813" t="s">
        <v>4755</v>
      </c>
      <c r="B2813" s="149" t="str">
        <f>IFERROR(VLOOKUP(Proc[[#This Row],[App]],Table2[],3,0),"open")</f>
        <v>ok</v>
      </c>
      <c r="C2813" s="103" t="s">
        <v>369</v>
      </c>
      <c r="D2813" t="s">
        <v>4756</v>
      </c>
      <c r="E2813" t="s">
        <v>4764</v>
      </c>
      <c r="F2813" s="117" t="s">
        <v>4764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4785</v>
      </c>
      <c r="J2813" s="94" t="b">
        <f>Proc[[#This Row],[Requested]]=Proc[[#This Row],[CurrentParent]]</f>
        <v>1</v>
      </c>
      <c r="K2813" s="144" t="str">
        <f>IF(Proc[[#This Row],[Author]]="Marcela Urrego",VLOOKUP(LEFT(Proc[[#This Row],[Requested]],1),Table3[#All],2,0),VLOOKUP(Proc[[#This Row],[Author]],Table4[],2,0))</f>
        <v>HC</v>
      </c>
      <c r="L2813" s="125" t="s">
        <v>4894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116</v>
      </c>
      <c r="R2813" s="110" t="s">
        <v>410</v>
      </c>
      <c r="S2813" s="94"/>
    </row>
    <row r="2814" spans="1:19">
      <c r="A2814" s="103" t="s">
        <v>4755</v>
      </c>
      <c r="B2814" s="149" t="str">
        <f>IFERROR(VLOOKUP(Proc[[#This Row],[App]],Table2[],3,0),"open")</f>
        <v>ok</v>
      </c>
      <c r="C2814" s="117" t="s">
        <v>369</v>
      </c>
      <c r="D2814" t="s">
        <v>4757</v>
      </c>
      <c r="E2814" t="s">
        <v>4764</v>
      </c>
      <c r="F2814" s="117" t="s">
        <v>4764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4785</v>
      </c>
      <c r="J2814" s="94" t="b">
        <f>Proc[[#This Row],[Requested]]=Proc[[#This Row],[CurrentParent]]</f>
        <v>1</v>
      </c>
      <c r="K2814" s="144" t="str">
        <f>IF(Proc[[#This Row],[Author]]="Marcela Urrego",VLOOKUP(LEFT(Proc[[#This Row],[Requested]],1),Table3[#All],2,0),VLOOKUP(Proc[[#This Row],[Author]],Table4[],2,0))</f>
        <v>HC</v>
      </c>
      <c r="L2814" s="125" t="s">
        <v>4894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116</v>
      </c>
      <c r="R2814" s="110" t="s">
        <v>410</v>
      </c>
      <c r="S2814" s="94"/>
    </row>
    <row r="2815" spans="1:19">
      <c r="A2815" s="103" t="s">
        <v>4755</v>
      </c>
      <c r="B2815" s="149" t="str">
        <f>IFERROR(VLOOKUP(Proc[[#This Row],[App]],Table2[],3,0),"open")</f>
        <v>ok</v>
      </c>
      <c r="C2815" s="117" t="s">
        <v>369</v>
      </c>
      <c r="D2815" t="s">
        <v>4758</v>
      </c>
      <c r="E2815" t="s">
        <v>4764</v>
      </c>
      <c r="F2815" s="117" t="s">
        <v>4764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4785</v>
      </c>
      <c r="J2815" s="94" t="b">
        <f>Proc[[#This Row],[Requested]]=Proc[[#This Row],[CurrentParent]]</f>
        <v>1</v>
      </c>
      <c r="K2815" s="144" t="str">
        <f>IF(Proc[[#This Row],[Author]]="Marcela Urrego",VLOOKUP(LEFT(Proc[[#This Row],[Requested]],1),Table3[#All],2,0),VLOOKUP(Proc[[#This Row],[Author]],Table4[],2,0))</f>
        <v>HC</v>
      </c>
      <c r="L2815" s="125" t="s">
        <v>4894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116</v>
      </c>
      <c r="R2815" s="110" t="s">
        <v>410</v>
      </c>
      <c r="S2815" s="94"/>
    </row>
    <row r="2816" spans="1:19">
      <c r="A2816" s="103" t="s">
        <v>4755</v>
      </c>
      <c r="B2816" s="149" t="str">
        <f>IFERROR(VLOOKUP(Proc[[#This Row],[App]],Table2[],3,0),"open")</f>
        <v>ok</v>
      </c>
      <c r="C2816" s="117" t="s">
        <v>369</v>
      </c>
      <c r="D2816" t="s">
        <v>4759</v>
      </c>
      <c r="E2816" t="s">
        <v>4764</v>
      </c>
      <c r="F2816" s="117" t="s">
        <v>4764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4785</v>
      </c>
      <c r="J2816" s="94" t="b">
        <f>Proc[[#This Row],[Requested]]=Proc[[#This Row],[CurrentParent]]</f>
        <v>1</v>
      </c>
      <c r="K2816" s="144" t="str">
        <f>IF(Proc[[#This Row],[Author]]="Marcela Urrego",VLOOKUP(LEFT(Proc[[#This Row],[Requested]],1),Table3[#All],2,0),VLOOKUP(Proc[[#This Row],[Author]],Table4[],2,0))</f>
        <v>HC</v>
      </c>
      <c r="L2816" s="125" t="s">
        <v>4894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116</v>
      </c>
      <c r="R2816" s="110" t="s">
        <v>410</v>
      </c>
      <c r="S2816" s="94"/>
    </row>
    <row r="2817" spans="1:19">
      <c r="A2817" s="103" t="s">
        <v>4755</v>
      </c>
      <c r="B2817" s="149" t="str">
        <f>IFERROR(VLOOKUP(Proc[[#This Row],[App]],Table2[],3,0),"open")</f>
        <v>ok</v>
      </c>
      <c r="C2817" s="117" t="s">
        <v>369</v>
      </c>
      <c r="D2817" t="s">
        <v>4760</v>
      </c>
      <c r="E2817" t="s">
        <v>4764</v>
      </c>
      <c r="F2817" s="117" t="s">
        <v>4764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4785</v>
      </c>
      <c r="J2817" s="94" t="b">
        <f>Proc[[#This Row],[Requested]]=Proc[[#This Row],[CurrentParent]]</f>
        <v>1</v>
      </c>
      <c r="K2817" s="144" t="str">
        <f>IF(Proc[[#This Row],[Author]]="Marcela Urrego",VLOOKUP(LEFT(Proc[[#This Row],[Requested]],1),Table3[#All],2,0),VLOOKUP(Proc[[#This Row],[Author]],Table4[],2,0))</f>
        <v>HC</v>
      </c>
      <c r="L2817" s="125" t="s">
        <v>4894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116</v>
      </c>
      <c r="R2817" s="110" t="s">
        <v>410</v>
      </c>
      <c r="S2817" s="94"/>
    </row>
    <row r="2818" spans="1:19">
      <c r="A2818" s="103" t="s">
        <v>4755</v>
      </c>
      <c r="B2818" s="149" t="str">
        <f>IFERROR(VLOOKUP(Proc[[#This Row],[App]],Table2[],3,0),"open")</f>
        <v>ok</v>
      </c>
      <c r="C2818" s="117" t="s">
        <v>369</v>
      </c>
      <c r="D2818" t="s">
        <v>4761</v>
      </c>
      <c r="E2818" t="s">
        <v>4764</v>
      </c>
      <c r="F2818" s="117" t="s">
        <v>4764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4785</v>
      </c>
      <c r="J2818" s="94" t="b">
        <f>Proc[[#This Row],[Requested]]=Proc[[#This Row],[CurrentParent]]</f>
        <v>1</v>
      </c>
      <c r="K2818" s="144" t="str">
        <f>IF(Proc[[#This Row],[Author]]="Marcela Urrego",VLOOKUP(LEFT(Proc[[#This Row],[Requested]],1),Table3[#All],2,0),VLOOKUP(Proc[[#This Row],[Author]],Table4[],2,0))</f>
        <v>HC</v>
      </c>
      <c r="L2818" s="125" t="s">
        <v>4894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116</v>
      </c>
      <c r="R2818" s="110" t="s">
        <v>410</v>
      </c>
      <c r="S2818" s="94"/>
    </row>
    <row r="2819" spans="1:19">
      <c r="A2819" s="103" t="s">
        <v>4755</v>
      </c>
      <c r="B2819" s="149" t="str">
        <f>IFERROR(VLOOKUP(Proc[[#This Row],[App]],Table2[],3,0),"open")</f>
        <v>ok</v>
      </c>
      <c r="C2819" s="117" t="s">
        <v>369</v>
      </c>
      <c r="D2819" t="s">
        <v>4762</v>
      </c>
      <c r="E2819" t="s">
        <v>4764</v>
      </c>
      <c r="F2819" s="117" t="s">
        <v>4764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144" t="str">
        <f>IF(Proc[[#This Row],[Author]]="Marcela Urrego",VLOOKUP(LEFT(Proc[[#This Row],[Requested]],1),Table3[#All],2,0),VLOOKUP(Proc[[#This Row],[Author]],Table4[],2,0))</f>
        <v>HC</v>
      </c>
      <c r="L2819" s="125" t="s">
        <v>4894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116</v>
      </c>
      <c r="R2819" s="110" t="s">
        <v>410</v>
      </c>
      <c r="S2819" s="94"/>
    </row>
    <row r="2820" spans="1:19">
      <c r="A2820" s="103" t="s">
        <v>4755</v>
      </c>
      <c r="B2820" s="149" t="str">
        <f>IFERROR(VLOOKUP(Proc[[#This Row],[App]],Table2[],3,0),"open")</f>
        <v>ok</v>
      </c>
      <c r="C2820" s="117" t="s">
        <v>369</v>
      </c>
      <c r="D2820" t="s">
        <v>4763</v>
      </c>
      <c r="E2820" t="s">
        <v>4764</v>
      </c>
      <c r="F2820" s="117" t="s">
        <v>4764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144" t="str">
        <f>IF(Proc[[#This Row],[Author]]="Marcela Urrego",VLOOKUP(LEFT(Proc[[#This Row],[Requested]],1),Table3[#All],2,0),VLOOKUP(Proc[[#This Row],[Author]],Table4[],2,0))</f>
        <v>HC</v>
      </c>
      <c r="L2820" s="125" t="s">
        <v>4894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116</v>
      </c>
      <c r="R2820" s="110" t="s">
        <v>410</v>
      </c>
      <c r="S2820" s="94"/>
    </row>
    <row r="2821" spans="1:19">
      <c r="A2821" t="s">
        <v>4765</v>
      </c>
      <c r="B2821" s="149" t="str">
        <f>IFERROR(VLOOKUP(Proc[[#This Row],[App]],Table2[],3,0),"open")</f>
        <v>ok</v>
      </c>
      <c r="C2821" s="103" t="s">
        <v>369</v>
      </c>
      <c r="D2821" t="s">
        <v>4766</v>
      </c>
      <c r="E2821" t="s">
        <v>4777</v>
      </c>
      <c r="F2821" s="117" t="s">
        <v>4777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4785</v>
      </c>
      <c r="J2821" s="94" t="b">
        <f>Proc[[#This Row],[Requested]]=Proc[[#This Row],[CurrentParent]]</f>
        <v>1</v>
      </c>
      <c r="K2821" s="144" t="str">
        <f>IF(Proc[[#This Row],[Author]]="Marcela Urrego",VLOOKUP(LEFT(Proc[[#This Row],[Requested]],1),Table3[#All],2,0),VLOOKUP(Proc[[#This Row],[Author]],Table4[],2,0))</f>
        <v>MGF</v>
      </c>
      <c r="L2821" s="125" t="s">
        <v>4894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116</v>
      </c>
      <c r="R2821" s="94" t="s">
        <v>515</v>
      </c>
      <c r="S2821" s="94"/>
    </row>
    <row r="2822" spans="1:19">
      <c r="A2822" s="103" t="s">
        <v>4765</v>
      </c>
      <c r="B2822" s="149" t="str">
        <f>IFERROR(VLOOKUP(Proc[[#This Row],[App]],Table2[],3,0),"open")</f>
        <v>ok</v>
      </c>
      <c r="C2822" s="117" t="s">
        <v>369</v>
      </c>
      <c r="D2822" t="s">
        <v>4767</v>
      </c>
      <c r="E2822" t="s">
        <v>4777</v>
      </c>
      <c r="F2822" s="117" t="s">
        <v>4777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4785</v>
      </c>
      <c r="J2822" s="94" t="b">
        <f>Proc[[#This Row],[Requested]]=Proc[[#This Row],[CurrentParent]]</f>
        <v>1</v>
      </c>
      <c r="K2822" s="144" t="str">
        <f>IF(Proc[[#This Row],[Author]]="Marcela Urrego",VLOOKUP(LEFT(Proc[[#This Row],[Requested]],1),Table3[#All],2,0),VLOOKUP(Proc[[#This Row],[Author]],Table4[],2,0))</f>
        <v>MGF</v>
      </c>
      <c r="L2822" s="125" t="s">
        <v>4894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116</v>
      </c>
      <c r="R2822" s="94" t="s">
        <v>515</v>
      </c>
      <c r="S2822" s="94"/>
    </row>
    <row r="2823" spans="1:19">
      <c r="A2823" s="103" t="s">
        <v>4765</v>
      </c>
      <c r="B2823" s="149" t="str">
        <f>IFERROR(VLOOKUP(Proc[[#This Row],[App]],Table2[],3,0),"open")</f>
        <v>ok</v>
      </c>
      <c r="C2823" s="117" t="s">
        <v>369</v>
      </c>
      <c r="D2823" t="s">
        <v>4768</v>
      </c>
      <c r="E2823" t="s">
        <v>4777</v>
      </c>
      <c r="F2823" s="117" t="s">
        <v>4777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4785</v>
      </c>
      <c r="J2823" s="94" t="b">
        <f>Proc[[#This Row],[Requested]]=Proc[[#This Row],[CurrentParent]]</f>
        <v>1</v>
      </c>
      <c r="K2823" s="144" t="str">
        <f>IF(Proc[[#This Row],[Author]]="Marcela Urrego",VLOOKUP(LEFT(Proc[[#This Row],[Requested]],1),Table3[#All],2,0),VLOOKUP(Proc[[#This Row],[Author]],Table4[],2,0))</f>
        <v>MGF</v>
      </c>
      <c r="L2823" s="125" t="s">
        <v>4894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116</v>
      </c>
      <c r="R2823" s="94" t="s">
        <v>515</v>
      </c>
      <c r="S2823" s="94"/>
    </row>
    <row r="2824" spans="1:19">
      <c r="A2824" s="103" t="s">
        <v>4765</v>
      </c>
      <c r="B2824" s="149" t="str">
        <f>IFERROR(VLOOKUP(Proc[[#This Row],[App]],Table2[],3,0),"open")</f>
        <v>ok</v>
      </c>
      <c r="C2824" s="117" t="s">
        <v>369</v>
      </c>
      <c r="D2824" t="s">
        <v>4769</v>
      </c>
      <c r="E2824" t="s">
        <v>4778</v>
      </c>
      <c r="F2824" s="117" t="s">
        <v>4778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4785</v>
      </c>
      <c r="J2824" s="94" t="b">
        <f>Proc[[#This Row],[Requested]]=Proc[[#This Row],[CurrentParent]]</f>
        <v>1</v>
      </c>
      <c r="K2824" s="144" t="str">
        <f>IF(Proc[[#This Row],[Author]]="Marcela Urrego",VLOOKUP(LEFT(Proc[[#This Row],[Requested]],1),Table3[#All],2,0),VLOOKUP(Proc[[#This Row],[Author]],Table4[],2,0))</f>
        <v>MGF</v>
      </c>
      <c r="L2824" s="125" t="s">
        <v>4894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116</v>
      </c>
      <c r="R2824" s="94" t="s">
        <v>515</v>
      </c>
      <c r="S2824" s="94"/>
    </row>
    <row r="2825" spans="1:19">
      <c r="A2825" s="103" t="s">
        <v>4765</v>
      </c>
      <c r="B2825" s="149" t="str">
        <f>IFERROR(VLOOKUP(Proc[[#This Row],[App]],Table2[],3,0),"open")</f>
        <v>ok</v>
      </c>
      <c r="C2825" s="117" t="s">
        <v>369</v>
      </c>
      <c r="D2825" t="s">
        <v>4770</v>
      </c>
      <c r="E2825" t="s">
        <v>4777</v>
      </c>
      <c r="F2825" s="117" t="s">
        <v>4777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4785</v>
      </c>
      <c r="J2825" s="94" t="b">
        <f>Proc[[#This Row],[Requested]]=Proc[[#This Row],[CurrentParent]]</f>
        <v>1</v>
      </c>
      <c r="K2825" s="144" t="str">
        <f>IF(Proc[[#This Row],[Author]]="Marcela Urrego",VLOOKUP(LEFT(Proc[[#This Row],[Requested]],1),Table3[#All],2,0),VLOOKUP(Proc[[#This Row],[Author]],Table4[],2,0))</f>
        <v>MGF</v>
      </c>
      <c r="L2825" s="125" t="s">
        <v>4894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116</v>
      </c>
      <c r="R2825" s="94" t="s">
        <v>515</v>
      </c>
      <c r="S2825" s="94"/>
    </row>
    <row r="2826" spans="1:19">
      <c r="A2826" s="103" t="s">
        <v>4765</v>
      </c>
      <c r="B2826" s="149" t="str">
        <f>IFERROR(VLOOKUP(Proc[[#This Row],[App]],Table2[],3,0),"open")</f>
        <v>ok</v>
      </c>
      <c r="C2826" s="117" t="s">
        <v>369</v>
      </c>
      <c r="D2826" t="s">
        <v>4771</v>
      </c>
      <c r="E2826" t="s">
        <v>4777</v>
      </c>
      <c r="F2826" s="117" t="s">
        <v>4777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4785</v>
      </c>
      <c r="J2826" s="94" t="b">
        <f>Proc[[#This Row],[Requested]]=Proc[[#This Row],[CurrentParent]]</f>
        <v>1</v>
      </c>
      <c r="K2826" s="144" t="str">
        <f>IF(Proc[[#This Row],[Author]]="Marcela Urrego",VLOOKUP(LEFT(Proc[[#This Row],[Requested]],1),Table3[#All],2,0),VLOOKUP(Proc[[#This Row],[Author]],Table4[],2,0))</f>
        <v>MGF</v>
      </c>
      <c r="L2826" s="125" t="s">
        <v>4894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116</v>
      </c>
      <c r="R2826" s="94" t="s">
        <v>515</v>
      </c>
      <c r="S2826" s="94"/>
    </row>
    <row r="2827" spans="1:19">
      <c r="A2827" s="103" t="s">
        <v>4765</v>
      </c>
      <c r="B2827" s="149" t="str">
        <f>IFERROR(VLOOKUP(Proc[[#This Row],[App]],Table2[],3,0),"open")</f>
        <v>ok</v>
      </c>
      <c r="C2827" s="117" t="s">
        <v>369</v>
      </c>
      <c r="D2827" t="s">
        <v>4772</v>
      </c>
      <c r="E2827" t="s">
        <v>4777</v>
      </c>
      <c r="F2827" s="117" t="s">
        <v>4777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4785</v>
      </c>
      <c r="J2827" s="94" t="b">
        <f>Proc[[#This Row],[Requested]]=Proc[[#This Row],[CurrentParent]]</f>
        <v>1</v>
      </c>
      <c r="K2827" s="144" t="str">
        <f>IF(Proc[[#This Row],[Author]]="Marcela Urrego",VLOOKUP(LEFT(Proc[[#This Row],[Requested]],1),Table3[#All],2,0),VLOOKUP(Proc[[#This Row],[Author]],Table4[],2,0))</f>
        <v>MGF</v>
      </c>
      <c r="L2827" s="125" t="s">
        <v>4894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116</v>
      </c>
      <c r="R2827" s="94" t="s">
        <v>515</v>
      </c>
      <c r="S2827" s="94"/>
    </row>
    <row r="2828" spans="1:19">
      <c r="A2828" s="103" t="s">
        <v>4765</v>
      </c>
      <c r="B2828" s="149" t="str">
        <f>IFERROR(VLOOKUP(Proc[[#This Row],[App]],Table2[],3,0),"open")</f>
        <v>ok</v>
      </c>
      <c r="C2828" s="117" t="s">
        <v>369</v>
      </c>
      <c r="D2828" t="s">
        <v>4773</v>
      </c>
      <c r="E2828" t="s">
        <v>4777</v>
      </c>
      <c r="F2828" s="117" t="s">
        <v>4777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4785</v>
      </c>
      <c r="J2828" s="94" t="b">
        <f>Proc[[#This Row],[Requested]]=Proc[[#This Row],[CurrentParent]]</f>
        <v>1</v>
      </c>
      <c r="K2828" s="144" t="str">
        <f>IF(Proc[[#This Row],[Author]]="Marcela Urrego",VLOOKUP(LEFT(Proc[[#This Row],[Requested]],1),Table3[#All],2,0),VLOOKUP(Proc[[#This Row],[Author]],Table4[],2,0))</f>
        <v>MGF</v>
      </c>
      <c r="L2828" s="125" t="s">
        <v>4894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116</v>
      </c>
      <c r="R2828" s="94" t="s">
        <v>515</v>
      </c>
      <c r="S2828" s="94"/>
    </row>
    <row r="2829" spans="1:19">
      <c r="A2829" s="103" t="s">
        <v>4765</v>
      </c>
      <c r="B2829" s="149" t="str">
        <f>IFERROR(VLOOKUP(Proc[[#This Row],[App]],Table2[],3,0),"open")</f>
        <v>ok</v>
      </c>
      <c r="C2829" s="117" t="s">
        <v>369</v>
      </c>
      <c r="D2829" t="s">
        <v>4774</v>
      </c>
      <c r="E2829" t="s">
        <v>4777</v>
      </c>
      <c r="F2829" s="117" t="s">
        <v>4777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4785</v>
      </c>
      <c r="J2829" s="94" t="b">
        <f>Proc[[#This Row],[Requested]]=Proc[[#This Row],[CurrentParent]]</f>
        <v>1</v>
      </c>
      <c r="K2829" s="144" t="str">
        <f>IF(Proc[[#This Row],[Author]]="Marcela Urrego",VLOOKUP(LEFT(Proc[[#This Row],[Requested]],1),Table3[#All],2,0),VLOOKUP(Proc[[#This Row],[Author]],Table4[],2,0))</f>
        <v>MGF</v>
      </c>
      <c r="L2829" s="125" t="s">
        <v>4894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116</v>
      </c>
      <c r="R2829" s="94" t="s">
        <v>515</v>
      </c>
      <c r="S2829" s="94"/>
    </row>
    <row r="2830" spans="1:19">
      <c r="A2830" s="103" t="s">
        <v>4765</v>
      </c>
      <c r="B2830" s="149" t="str">
        <f>IFERROR(VLOOKUP(Proc[[#This Row],[App]],Table2[],3,0),"open")</f>
        <v>ok</v>
      </c>
      <c r="C2830" s="117" t="s">
        <v>369</v>
      </c>
      <c r="D2830" t="s">
        <v>4775</v>
      </c>
      <c r="E2830" t="s">
        <v>4777</v>
      </c>
      <c r="F2830" s="117" t="s">
        <v>4777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4785</v>
      </c>
      <c r="J2830" s="94" t="b">
        <f>Proc[[#This Row],[Requested]]=Proc[[#This Row],[CurrentParent]]</f>
        <v>1</v>
      </c>
      <c r="K2830" s="144" t="str">
        <f>IF(Proc[[#This Row],[Author]]="Marcela Urrego",VLOOKUP(LEFT(Proc[[#This Row],[Requested]],1),Table3[#All],2,0),VLOOKUP(Proc[[#This Row],[Author]],Table4[],2,0))</f>
        <v>MGF</v>
      </c>
      <c r="L2830" s="125" t="s">
        <v>4894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116</v>
      </c>
      <c r="R2830" s="94" t="s">
        <v>515</v>
      </c>
      <c r="S2830" s="94"/>
    </row>
    <row r="2831" spans="1:19">
      <c r="A2831" s="103" t="s">
        <v>4765</v>
      </c>
      <c r="B2831" s="149" t="str">
        <f>IFERROR(VLOOKUP(Proc[[#This Row],[App]],Table2[],3,0),"open")</f>
        <v>ok</v>
      </c>
      <c r="C2831" s="117" t="s">
        <v>369</v>
      </c>
      <c r="D2831" t="s">
        <v>4800</v>
      </c>
      <c r="E2831" t="s">
        <v>4778</v>
      </c>
      <c r="F2831" s="117" t="s">
        <v>4778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4783</v>
      </c>
      <c r="J2831" s="94" t="b">
        <f>Proc[[#This Row],[Requested]]=Proc[[#This Row],[CurrentParent]]</f>
        <v>1</v>
      </c>
      <c r="K2831" s="144" t="str">
        <f>IF(Proc[[#This Row],[Author]]="Marcela Urrego",VLOOKUP(LEFT(Proc[[#This Row],[Requested]],1),Table3[#All],2,0),VLOOKUP(Proc[[#This Row],[Author]],Table4[],2,0))</f>
        <v>MGF</v>
      </c>
      <c r="L2831" s="125" t="s">
        <v>4894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116</v>
      </c>
      <c r="R2831" s="94" t="s">
        <v>515</v>
      </c>
      <c r="S2831" s="94"/>
    </row>
    <row r="2832" spans="1:19">
      <c r="A2832" s="103" t="s">
        <v>4765</v>
      </c>
      <c r="B2832" s="149" t="str">
        <f>IFERROR(VLOOKUP(Proc[[#This Row],[App]],Table2[],3,0),"open")</f>
        <v>ok</v>
      </c>
      <c r="C2832" s="117" t="s">
        <v>369</v>
      </c>
      <c r="D2832" t="s">
        <v>4776</v>
      </c>
      <c r="E2832" t="s">
        <v>4777</v>
      </c>
      <c r="F2832" s="117" t="s">
        <v>4777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144" t="str">
        <f>IF(Proc[[#This Row],[Author]]="Marcela Urrego",VLOOKUP(LEFT(Proc[[#This Row],[Requested]],1),Table3[#All],2,0),VLOOKUP(Proc[[#This Row],[Author]],Table4[],2,0))</f>
        <v>MGF</v>
      </c>
      <c r="L2832" s="125" t="s">
        <v>4894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116</v>
      </c>
      <c r="R2832" s="94" t="s">
        <v>515</v>
      </c>
      <c r="S2832" s="94"/>
    </row>
    <row r="2833" spans="1:19">
      <c r="A2833" t="s">
        <v>4782</v>
      </c>
      <c r="B2833" s="149" t="str">
        <f>IFERROR(VLOOKUP(Proc[[#This Row],[App]],Table2[],3,0),"open")</f>
        <v>ok</v>
      </c>
      <c r="C2833" s="117" t="s">
        <v>369</v>
      </c>
      <c r="D2833" t="s">
        <v>4779</v>
      </c>
      <c r="E2833" t="s">
        <v>4322</v>
      </c>
      <c r="F2833" s="120" t="s">
        <v>4322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4781</v>
      </c>
      <c r="J2833" s="94" t="b">
        <f>Proc[[#This Row],[Requested]]=Proc[[#This Row],[CurrentParent]]</f>
        <v>1</v>
      </c>
      <c r="K2833" s="144" t="str">
        <f>IF(Proc[[#This Row],[Author]]="Marcela Urrego",VLOOKUP(LEFT(Proc[[#This Row],[Requested]],1),Table3[#All],2,0),VLOOKUP(Proc[[#This Row],[Author]],Table4[],2,0))</f>
        <v>EL</v>
      </c>
      <c r="L2833" s="125" t="s">
        <v>4894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116</v>
      </c>
      <c r="R2833" s="110" t="s">
        <v>780</v>
      </c>
      <c r="S2833" s="94"/>
    </row>
    <row r="2834" spans="1:19">
      <c r="A2834" s="103" t="s">
        <v>4782</v>
      </c>
      <c r="B2834" s="149" t="str">
        <f>IFERROR(VLOOKUP(Proc[[#This Row],[App]],Table2[],3,0),"open")</f>
        <v>ok</v>
      </c>
      <c r="C2834" t="s">
        <v>369</v>
      </c>
      <c r="D2834" t="s">
        <v>4780</v>
      </c>
      <c r="E2834" t="s">
        <v>4322</v>
      </c>
      <c r="F2834" s="94" t="s">
        <v>4322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4781</v>
      </c>
      <c r="J2834" s="94" t="b">
        <f>Proc[[#This Row],[Requested]]=Proc[[#This Row],[CurrentParent]]</f>
        <v>1</v>
      </c>
      <c r="K2834" s="144" t="str">
        <f>IF(Proc[[#This Row],[Author]]="Marcela Urrego",VLOOKUP(LEFT(Proc[[#This Row],[Requested]],1),Table3[#All],2,0),VLOOKUP(Proc[[#This Row],[Author]],Table4[],2,0))</f>
        <v>EL</v>
      </c>
      <c r="L2834" s="125" t="s">
        <v>4894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116</v>
      </c>
      <c r="R2834" s="110" t="s">
        <v>780</v>
      </c>
      <c r="S2834" s="94"/>
    </row>
    <row r="2835" spans="1:19">
      <c r="A2835" t="s">
        <v>4786</v>
      </c>
      <c r="B2835" s="149" t="str">
        <f>IFERROR(VLOOKUP(Proc[[#This Row],[App]],Table2[],3,0),"open")</f>
        <v>ok</v>
      </c>
      <c r="C2835" s="117" t="s">
        <v>369</v>
      </c>
      <c r="D2835" t="s">
        <v>4807</v>
      </c>
      <c r="E2835" t="s">
        <v>4787</v>
      </c>
      <c r="F2835" s="94" t="s">
        <v>4787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144" t="str">
        <f>IF(Proc[[#This Row],[Author]]="Marcela Urrego",VLOOKUP(LEFT(Proc[[#This Row],[Requested]],1),Table3[#All],2,0),VLOOKUP(Proc[[#This Row],[Author]],Table4[],2,0))</f>
        <v>MGF</v>
      </c>
      <c r="L2835" s="125" t="s">
        <v>4894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114</v>
      </c>
      <c r="R2835" s="110" t="s">
        <v>1459</v>
      </c>
      <c r="S2835" s="94"/>
    </row>
    <row r="2836" spans="1:19">
      <c r="A2836" s="114" t="s">
        <v>4788</v>
      </c>
      <c r="B2836" s="149" t="str">
        <f>IFERROR(VLOOKUP(Proc[[#This Row],[App]],Table2[],3,0),"open")</f>
        <v>ok</v>
      </c>
      <c r="C2836" s="117" t="s">
        <v>369</v>
      </c>
      <c r="D2836" s="114" t="s">
        <v>4789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144" t="str">
        <f>IF(Proc[[#This Row],[Author]]="Marcela Urrego",VLOOKUP(LEFT(Proc[[#This Row],[Requested]],1),Table3[#All],2,0),VLOOKUP(Proc[[#This Row],[Author]],Table4[],2,0))</f>
        <v>LS</v>
      </c>
      <c r="L2836" s="125" t="s">
        <v>4894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114</v>
      </c>
      <c r="R2836" s="115" t="s">
        <v>489</v>
      </c>
      <c r="S2836" s="94"/>
    </row>
    <row r="2837" spans="1:19">
      <c r="A2837" s="114" t="s">
        <v>4788</v>
      </c>
      <c r="B2837" s="149" t="str">
        <f>IFERROR(VLOOKUP(Proc[[#This Row],[App]],Table2[],3,0),"open")</f>
        <v>ok</v>
      </c>
      <c r="C2837" s="117" t="s">
        <v>369</v>
      </c>
      <c r="D2837" s="114" t="s">
        <v>4790</v>
      </c>
      <c r="E2837" s="114" t="s">
        <v>3557</v>
      </c>
      <c r="F2837" s="94" t="s">
        <v>3557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144" t="str">
        <f>IF(Proc[[#This Row],[Author]]="Marcela Urrego",VLOOKUP(LEFT(Proc[[#This Row],[Requested]],1),Table3[#All],2,0),VLOOKUP(Proc[[#This Row],[Author]],Table4[],2,0))</f>
        <v>LS</v>
      </c>
      <c r="L2837" s="125" t="s">
        <v>4894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114</v>
      </c>
      <c r="R2837" s="115" t="s">
        <v>489</v>
      </c>
      <c r="S2837" s="94"/>
    </row>
    <row r="2838" spans="1:19">
      <c r="A2838" s="114" t="s">
        <v>4788</v>
      </c>
      <c r="B2838" s="149" t="str">
        <f>IFERROR(VLOOKUP(Proc[[#This Row],[App]],Table2[],3,0),"open")</f>
        <v>ok</v>
      </c>
      <c r="C2838" s="114" t="s">
        <v>377</v>
      </c>
      <c r="D2838" s="114" t="s">
        <v>4791</v>
      </c>
      <c r="E2838" s="114" t="s">
        <v>417</v>
      </c>
      <c r="F2838" s="94" t="s">
        <v>4804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144" t="str">
        <f>IF(Proc[[#This Row],[Author]]="Marcela Urrego",VLOOKUP(LEFT(Proc[[#This Row],[Requested]],1),Table3[#All],2,0),VLOOKUP(Proc[[#This Row],[Author]],Table4[],2,0))</f>
        <v>LS</v>
      </c>
      <c r="L2838" s="125" t="s">
        <v>4894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114</v>
      </c>
      <c r="R2838" s="115" t="s">
        <v>489</v>
      </c>
      <c r="S2838" s="94"/>
    </row>
    <row r="2839" spans="1:19">
      <c r="A2839" s="114" t="s">
        <v>4788</v>
      </c>
      <c r="B2839" s="149" t="str">
        <f>IFERROR(VLOOKUP(Proc[[#This Row],[App]],Table2[],3,0),"open")</f>
        <v>ok</v>
      </c>
      <c r="C2839" s="117" t="s">
        <v>377</v>
      </c>
      <c r="D2839" s="114" t="s">
        <v>4792</v>
      </c>
      <c r="E2839" s="114" t="s">
        <v>417</v>
      </c>
      <c r="F2839" s="94" t="s">
        <v>4804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144" t="str">
        <f>IF(Proc[[#This Row],[Author]]="Marcela Urrego",VLOOKUP(LEFT(Proc[[#This Row],[Requested]],1),Table3[#All],2,0),VLOOKUP(Proc[[#This Row],[Author]],Table4[],2,0))</f>
        <v>LS</v>
      </c>
      <c r="L2839" s="125" t="s">
        <v>4894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114</v>
      </c>
      <c r="R2839" s="115" t="s">
        <v>489</v>
      </c>
      <c r="S2839" s="94"/>
    </row>
    <row r="2840" spans="1:19">
      <c r="A2840" s="114" t="s">
        <v>4788</v>
      </c>
      <c r="B2840" s="149" t="str">
        <f>IFERROR(VLOOKUP(Proc[[#This Row],[App]],Table2[],3,0),"open")</f>
        <v>ok</v>
      </c>
      <c r="C2840" s="117" t="s">
        <v>377</v>
      </c>
      <c r="D2840" s="114" t="s">
        <v>4793</v>
      </c>
      <c r="E2840" s="114" t="s">
        <v>417</v>
      </c>
      <c r="F2840" s="94" t="s">
        <v>4805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144" t="str">
        <f>IF(Proc[[#This Row],[Author]]="Marcela Urrego",VLOOKUP(LEFT(Proc[[#This Row],[Requested]],1),Table3[#All],2,0),VLOOKUP(Proc[[#This Row],[Author]],Table4[],2,0))</f>
        <v>LS</v>
      </c>
      <c r="L2840" s="125" t="s">
        <v>4894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114</v>
      </c>
      <c r="R2840" s="115" t="s">
        <v>489</v>
      </c>
      <c r="S2840" s="94"/>
    </row>
    <row r="2841" spans="1:19">
      <c r="A2841" s="114" t="s">
        <v>4788</v>
      </c>
      <c r="B2841" s="149" t="str">
        <f>IFERROR(VLOOKUP(Proc[[#This Row],[App]],Table2[],3,0),"open")</f>
        <v>ok</v>
      </c>
      <c r="C2841" s="117" t="s">
        <v>377</v>
      </c>
      <c r="D2841" s="114" t="s">
        <v>4794</v>
      </c>
      <c r="E2841" s="114" t="s">
        <v>417</v>
      </c>
      <c r="F2841" s="94" t="s">
        <v>4806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144" t="str">
        <f>IF(Proc[[#This Row],[Author]]="Marcela Urrego",VLOOKUP(LEFT(Proc[[#This Row],[Requested]],1),Table3[#All],2,0),VLOOKUP(Proc[[#This Row],[Author]],Table4[],2,0))</f>
        <v>LS</v>
      </c>
      <c r="L2841" s="125" t="s">
        <v>4894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114</v>
      </c>
      <c r="R2841" s="115" t="s">
        <v>489</v>
      </c>
      <c r="S2841" s="94"/>
    </row>
    <row r="2842" spans="1:19">
      <c r="A2842" s="114" t="s">
        <v>4788</v>
      </c>
      <c r="B2842" s="149" t="str">
        <f>IFERROR(VLOOKUP(Proc[[#This Row],[App]],Table2[],3,0),"open")</f>
        <v>ok</v>
      </c>
      <c r="C2842" s="117" t="s">
        <v>369</v>
      </c>
      <c r="D2842" s="114" t="s">
        <v>4795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144" t="str">
        <f>IF(Proc[[#This Row],[Author]]="Marcela Urrego",VLOOKUP(LEFT(Proc[[#This Row],[Requested]],1),Table3[#All],2,0),VLOOKUP(Proc[[#This Row],[Author]],Table4[],2,0))</f>
        <v>LS</v>
      </c>
      <c r="L2842" s="125" t="s">
        <v>4894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114</v>
      </c>
      <c r="R2842" s="115" t="s">
        <v>489</v>
      </c>
      <c r="S2842" s="94"/>
    </row>
    <row r="2843" spans="1:19">
      <c r="A2843" t="s">
        <v>4796</v>
      </c>
      <c r="B2843" s="149" t="str">
        <f>IFERROR(VLOOKUP(Proc[[#This Row],[App]],Table2[],3,0),"open")</f>
        <v>ok</v>
      </c>
      <c r="C2843" s="114" t="s">
        <v>369</v>
      </c>
      <c r="D2843" t="s">
        <v>4801</v>
      </c>
      <c r="E2843" t="s">
        <v>4797</v>
      </c>
      <c r="F2843" s="94" t="s">
        <v>4797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4802</v>
      </c>
      <c r="J2843" s="94" t="b">
        <f>Proc[[#This Row],[Requested]]=Proc[[#This Row],[CurrentParent]]</f>
        <v>1</v>
      </c>
      <c r="K2843" s="144" t="str">
        <f>IF(Proc[[#This Row],[Author]]="Marcela Urrego",VLOOKUP(LEFT(Proc[[#This Row],[Requested]],1),Table3[#All],2,0),VLOOKUP(Proc[[#This Row],[Author]],Table4[],2,0))</f>
        <v>LS</v>
      </c>
      <c r="L2843" s="125" t="s">
        <v>4894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114</v>
      </c>
      <c r="R2843" s="115" t="s">
        <v>489</v>
      </c>
      <c r="S2843" s="94"/>
    </row>
    <row r="2844" spans="1:19">
      <c r="A2844" t="s">
        <v>4799</v>
      </c>
      <c r="B2844" s="149" t="str">
        <f>IFERROR(VLOOKUP(Proc[[#This Row],[App]],Table2[],3,0),"open")</f>
        <v>ok</v>
      </c>
      <c r="C2844" s="117" t="s">
        <v>369</v>
      </c>
      <c r="D2844" s="116" t="s">
        <v>4798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144" t="str">
        <f>IF(Proc[[#This Row],[Author]]="Marcela Urrego",VLOOKUP(LEFT(Proc[[#This Row],[Requested]],1),Table3[#All],2,0),VLOOKUP(Proc[[#This Row],[Author]],Table4[],2,0))</f>
        <v>MGF</v>
      </c>
      <c r="L2844" s="125" t="s">
        <v>4894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114</v>
      </c>
      <c r="R2844" s="115" t="s">
        <v>515</v>
      </c>
      <c r="S2844" s="94"/>
    </row>
    <row r="2845" spans="1:19">
      <c r="A2845" t="s">
        <v>4808</v>
      </c>
      <c r="B2845" s="149" t="str">
        <f>IFERROR(VLOOKUP(Proc[[#This Row],[App]],Table2[],3,0),"open")</f>
        <v>ok</v>
      </c>
      <c r="C2845" s="117" t="s">
        <v>369</v>
      </c>
      <c r="D2845" t="s">
        <v>4809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144" t="str">
        <f>IF(Proc[[#This Row],[Author]]="Marcela Urrego",VLOOKUP(LEFT(Proc[[#This Row],[Requested]],1),Table3[#All],2,0),VLOOKUP(Proc[[#This Row],[Author]],Table4[],2,0))</f>
        <v>LS</v>
      </c>
      <c r="L2845" s="125" t="s">
        <v>4894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113</v>
      </c>
      <c r="R2845" s="115" t="s">
        <v>489</v>
      </c>
      <c r="S2845" s="94"/>
    </row>
    <row r="2846" spans="1:19">
      <c r="A2846" s="117" t="s">
        <v>4808</v>
      </c>
      <c r="B2846" s="149" t="str">
        <f>IFERROR(VLOOKUP(Proc[[#This Row],[App]],Table2[],3,0),"open")</f>
        <v>ok</v>
      </c>
      <c r="C2846" s="117" t="s">
        <v>369</v>
      </c>
      <c r="D2846" t="s">
        <v>4810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144" t="str">
        <f>IF(Proc[[#This Row],[Author]]="Marcela Urrego",VLOOKUP(LEFT(Proc[[#This Row],[Requested]],1),Table3[#All],2,0),VLOOKUP(Proc[[#This Row],[Author]],Table4[],2,0))</f>
        <v>LS</v>
      </c>
      <c r="L2846" s="125" t="s">
        <v>4894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113</v>
      </c>
      <c r="R2846" s="115" t="s">
        <v>489</v>
      </c>
      <c r="S2846" s="94"/>
    </row>
    <row r="2847" spans="1:19">
      <c r="A2847" s="117" t="s">
        <v>4808</v>
      </c>
      <c r="B2847" s="149" t="str">
        <f>IFERROR(VLOOKUP(Proc[[#This Row],[App]],Table2[],3,0),"open")</f>
        <v>ok</v>
      </c>
      <c r="C2847" s="117" t="s">
        <v>369</v>
      </c>
      <c r="D2847" t="s">
        <v>4811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144" t="str">
        <f>IF(Proc[[#This Row],[Author]]="Marcela Urrego",VLOOKUP(LEFT(Proc[[#This Row],[Requested]],1),Table3[#All],2,0),VLOOKUP(Proc[[#This Row],[Author]],Table4[],2,0))</f>
        <v>LS</v>
      </c>
      <c r="L2847" s="125" t="s">
        <v>4894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113</v>
      </c>
      <c r="R2847" s="115" t="s">
        <v>489</v>
      </c>
      <c r="S2847" s="94"/>
    </row>
    <row r="2848" spans="1:19">
      <c r="A2848" t="s">
        <v>4812</v>
      </c>
      <c r="B2848" s="149" t="str">
        <f>IFERROR(VLOOKUP(Proc[[#This Row],[App]],Table2[],3,0),"open")</f>
        <v>ok</v>
      </c>
      <c r="C2848" s="117" t="s">
        <v>369</v>
      </c>
      <c r="D2848" t="s">
        <v>4821</v>
      </c>
      <c r="E2848" s="94" t="s">
        <v>4813</v>
      </c>
      <c r="F2848" s="94" t="s">
        <v>4813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144" t="str">
        <f>IF(Proc[[#This Row],[Author]]="Marcela Urrego",VLOOKUP(LEFT(Proc[[#This Row],[Requested]],1),Table3[#All],2,0),VLOOKUP(Proc[[#This Row],[Author]],Table4[],2,0))</f>
        <v>LS</v>
      </c>
      <c r="L2848" s="125" t="s">
        <v>4894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112</v>
      </c>
      <c r="R2848" s="115" t="s">
        <v>4820</v>
      </c>
      <c r="S2848" s="94"/>
    </row>
    <row r="2849" spans="1:19">
      <c r="A2849" t="s">
        <v>4814</v>
      </c>
      <c r="B2849" s="149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144" t="str">
        <f>IF(Proc[[#This Row],[Author]]="Marcela Urrego",VLOOKUP(LEFT(Proc[[#This Row],[Requested]],1),Table3[#All],2,0),VLOOKUP(Proc[[#This Row],[Author]],Table4[],2,0))</f>
        <v>LS</v>
      </c>
      <c r="L2849" s="125" t="s">
        <v>4894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112</v>
      </c>
      <c r="R2849" s="115" t="s">
        <v>4819</v>
      </c>
      <c r="S2849" s="94"/>
    </row>
    <row r="2850" spans="1:19">
      <c r="A2850" s="117" t="s">
        <v>4814</v>
      </c>
      <c r="B2850" s="149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144" t="str">
        <f>IF(Proc[[#This Row],[Author]]="Marcela Urrego",VLOOKUP(LEFT(Proc[[#This Row],[Requested]],1),Table3[#All],2,0),VLOOKUP(Proc[[#This Row],[Author]],Table4[],2,0))</f>
        <v>LS</v>
      </c>
      <c r="L2850" s="125" t="s">
        <v>4894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112</v>
      </c>
      <c r="R2850" s="115" t="s">
        <v>4819</v>
      </c>
      <c r="S2850" s="94"/>
    </row>
    <row r="2851" spans="1:19">
      <c r="A2851" s="117" t="s">
        <v>4814</v>
      </c>
      <c r="B2851" s="149" t="str">
        <f>IFERROR(VLOOKUP(Proc[[#This Row],[App]],Table2[],3,0),"open")</f>
        <v>ok</v>
      </c>
      <c r="C2851" s="117" t="s">
        <v>369</v>
      </c>
      <c r="D2851" t="s">
        <v>4822</v>
      </c>
      <c r="E2851" t="s">
        <v>4815</v>
      </c>
      <c r="F2851" s="94" t="s">
        <v>4815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144" t="str">
        <f>IF(Proc[[#This Row],[Author]]="Marcela Urrego",VLOOKUP(LEFT(Proc[[#This Row],[Requested]],1),Table3[#All],2,0),VLOOKUP(Proc[[#This Row],[Author]],Table4[],2,0))</f>
        <v>LS</v>
      </c>
      <c r="L2851" s="125" t="s">
        <v>4894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112</v>
      </c>
      <c r="R2851" s="115" t="s">
        <v>4819</v>
      </c>
      <c r="S2851" s="94"/>
    </row>
    <row r="2852" spans="1:19">
      <c r="A2852" t="s">
        <v>4816</v>
      </c>
      <c r="B2852" s="149" t="str">
        <f>IFERROR(VLOOKUP(Proc[[#This Row],[App]],Table2[],3,0),"open")</f>
        <v>ok</v>
      </c>
      <c r="C2852" s="117" t="s">
        <v>369</v>
      </c>
      <c r="D2852" t="s">
        <v>4817</v>
      </c>
      <c r="E2852" t="s">
        <v>3382</v>
      </c>
      <c r="F2852" s="117" t="s">
        <v>3382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144" t="str">
        <f>IF(Proc[[#This Row],[Author]]="Marcela Urrego",VLOOKUP(LEFT(Proc[[#This Row],[Requested]],1),Table3[#All],2,0),VLOOKUP(Proc[[#This Row],[Author]],Table4[],2,0))</f>
        <v>MGF</v>
      </c>
      <c r="L2852" s="125" t="s">
        <v>4894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112</v>
      </c>
      <c r="R2852" s="115" t="s">
        <v>481</v>
      </c>
      <c r="S2852" s="94"/>
    </row>
    <row r="2853" spans="1:19">
      <c r="A2853" s="117" t="s">
        <v>4816</v>
      </c>
      <c r="B2853" s="149" t="str">
        <f>IFERROR(VLOOKUP(Proc[[#This Row],[App]],Table2[],3,0),"open")</f>
        <v>ok</v>
      </c>
      <c r="C2853" s="117" t="s">
        <v>369</v>
      </c>
      <c r="D2853" t="s">
        <v>4818</v>
      </c>
      <c r="E2853" t="s">
        <v>3381</v>
      </c>
      <c r="F2853" s="117" t="s">
        <v>3381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144" t="str">
        <f>IF(Proc[[#This Row],[Author]]="Marcela Urrego",VLOOKUP(LEFT(Proc[[#This Row],[Requested]],1),Table3[#All],2,0),VLOOKUP(Proc[[#This Row],[Author]],Table4[],2,0))</f>
        <v>MGF</v>
      </c>
      <c r="L2853" s="125" t="s">
        <v>4894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112</v>
      </c>
      <c r="R2853" s="115" t="s">
        <v>481</v>
      </c>
      <c r="S2853" s="94"/>
    </row>
    <row r="2854" spans="1:19">
      <c r="A2854" t="s">
        <v>4823</v>
      </c>
      <c r="B2854" s="149" t="str">
        <f>IFERROR(VLOOKUP(Proc[[#This Row],[App]],Table2[],3,0),"open")</f>
        <v>ok</v>
      </c>
      <c r="C2854" s="117" t="s">
        <v>369</v>
      </c>
      <c r="D2854" s="99" t="s">
        <v>4824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144" t="str">
        <f>IF(Proc[[#This Row],[Author]]="Marcela Urrego",VLOOKUP(LEFT(Proc[[#This Row],[Requested]],1),Table3[#All],2,0),VLOOKUP(Proc[[#This Row],[Author]],Table4[],2,0))</f>
        <v>HC</v>
      </c>
      <c r="L2854" s="125" t="s">
        <v>4894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111</v>
      </c>
      <c r="R2854" s="115" t="s">
        <v>410</v>
      </c>
      <c r="S2854" s="94"/>
    </row>
    <row r="2855" spans="1:19">
      <c r="A2855" t="s">
        <v>4825</v>
      </c>
      <c r="B2855" s="149" t="str">
        <f>IFERROR(VLOOKUP(Proc[[#This Row],[App]],Table2[],3,0),"open")</f>
        <v>ok</v>
      </c>
      <c r="C2855" s="117" t="s">
        <v>369</v>
      </c>
      <c r="D2855" t="s">
        <v>4826</v>
      </c>
      <c r="E2855" t="s">
        <v>4827</v>
      </c>
      <c r="F2855" s="117" t="s">
        <v>4827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144" t="str">
        <f>IF(Proc[[#This Row],[Author]]="Marcela Urrego",VLOOKUP(LEFT(Proc[[#This Row],[Requested]],1),Table3[#All],2,0),VLOOKUP(Proc[[#This Row],[Author]],Table4[],2,0))</f>
        <v>LS</v>
      </c>
      <c r="L2855" s="125" t="s">
        <v>4894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111</v>
      </c>
      <c r="R2855" s="115" t="s">
        <v>4819</v>
      </c>
      <c r="S2855" s="94"/>
    </row>
    <row r="2856" spans="1:19">
      <c r="A2856" t="s">
        <v>4830</v>
      </c>
      <c r="B2856" s="149" t="str">
        <f>IFERROR(VLOOKUP(Proc[[#This Row],[App]],Table2[],3,0),"open")</f>
        <v>ok</v>
      </c>
      <c r="C2856" t="s">
        <v>369</v>
      </c>
      <c r="D2856" t="s">
        <v>4831</v>
      </c>
      <c r="E2856" t="s">
        <v>4829</v>
      </c>
      <c r="F2856" s="120" t="s">
        <v>4829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144" t="str">
        <f>IF(Proc[[#This Row],[Author]]="Marcela Urrego",VLOOKUP(LEFT(Proc[[#This Row],[Requested]],1),Table3[#All],2,0),VLOOKUP(Proc[[#This Row],[Author]],Table4[],2,0))</f>
        <v>HC</v>
      </c>
      <c r="L2856" s="125" t="s">
        <v>4894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109</v>
      </c>
      <c r="R2856" s="115" t="s">
        <v>410</v>
      </c>
      <c r="S2856" s="94"/>
    </row>
    <row r="2857" spans="1:19">
      <c r="A2857" t="s">
        <v>4834</v>
      </c>
      <c r="B2857" s="149" t="str">
        <f>IFERROR(VLOOKUP(Proc[[#This Row],[App]],Table2[],3,0),"open")</f>
        <v>ok</v>
      </c>
      <c r="C2857" s="121" t="s">
        <v>369</v>
      </c>
      <c r="D2857" s="119" t="s">
        <v>4839</v>
      </c>
      <c r="E2857" t="s">
        <v>4833</v>
      </c>
      <c r="F2857" s="125" t="s">
        <v>4833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44" t="str">
        <f>IF(Proc[[#This Row],[Author]]="Marcela Urrego",VLOOKUP(LEFT(Proc[[#This Row],[Requested]],1),Table3[#All],2,0),VLOOKUP(Proc[[#This Row],[Author]],Table4[],2,0))</f>
        <v>HC</v>
      </c>
      <c r="L2857" s="125" t="s">
        <v>4894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108</v>
      </c>
      <c r="R2857" s="115" t="s">
        <v>410</v>
      </c>
      <c r="S2857" s="120"/>
    </row>
    <row r="2858" spans="1:19">
      <c r="A2858" t="s">
        <v>4838</v>
      </c>
      <c r="B2858" s="149" t="str">
        <f>IFERROR(VLOOKUP(Proc[[#This Row],[App]],Table2[],3,0),"open")</f>
        <v>ok</v>
      </c>
      <c r="C2858" s="121" t="s">
        <v>369</v>
      </c>
      <c r="D2858" t="s">
        <v>4835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44" t="str">
        <f>IF(Proc[[#This Row],[Author]]="Marcela Urrego",VLOOKUP(LEFT(Proc[[#This Row],[Requested]],1),Table3[#All],2,0),VLOOKUP(Proc[[#This Row],[Author]],Table4[],2,0))</f>
        <v>EL</v>
      </c>
      <c r="L2858" s="125" t="s">
        <v>4894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108</v>
      </c>
      <c r="R2858" s="115" t="s">
        <v>780</v>
      </c>
      <c r="S2858" s="120"/>
    </row>
    <row r="2859" spans="1:19">
      <c r="A2859" s="119" t="s">
        <v>4838</v>
      </c>
      <c r="B2859" s="149" t="str">
        <f>IFERROR(VLOOKUP(Proc[[#This Row],[App]],Table2[],3,0),"open")</f>
        <v>ok</v>
      </c>
      <c r="C2859" s="121" t="s">
        <v>369</v>
      </c>
      <c r="D2859" t="s">
        <v>4836</v>
      </c>
      <c r="E2859" t="s">
        <v>4837</v>
      </c>
      <c r="F2859" s="125" t="s">
        <v>4837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44" t="str">
        <f>IF(Proc[[#This Row],[Author]]="Marcela Urrego",VLOOKUP(LEFT(Proc[[#This Row],[Requested]],1),Table3[#All],2,0),VLOOKUP(Proc[[#This Row],[Author]],Table4[],2,0))</f>
        <v>EL</v>
      </c>
      <c r="L2859" s="125" t="s">
        <v>4894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108</v>
      </c>
      <c r="R2859" s="115" t="s">
        <v>780</v>
      </c>
      <c r="S2859" s="120"/>
    </row>
    <row r="2860" spans="1:19">
      <c r="A2860" t="s">
        <v>4842</v>
      </c>
      <c r="B2860" s="149" t="str">
        <f>IFERROR(VLOOKUP(Proc[[#This Row],[App]],Table2[],3,0),"open")</f>
        <v>ok</v>
      </c>
      <c r="C2860" s="121" t="s">
        <v>369</v>
      </c>
      <c r="D2860" t="s">
        <v>4840</v>
      </c>
      <c r="E2860" t="s">
        <v>4841</v>
      </c>
      <c r="F2860" s="124" t="s">
        <v>4841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4843</v>
      </c>
      <c r="J2860" s="120" t="b">
        <f>Proc[[#This Row],[Requested]]=Proc[[#This Row],[CurrentParent]]</f>
        <v>1</v>
      </c>
      <c r="K2860" s="144" t="str">
        <f>IF(Proc[[#This Row],[Author]]="Marcela Urrego",VLOOKUP(LEFT(Proc[[#This Row],[Requested]],1),Table3[#All],2,0),VLOOKUP(Proc[[#This Row],[Author]],Table4[],2,0))</f>
        <v>MGF</v>
      </c>
      <c r="L2860" s="125" t="s">
        <v>4894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107</v>
      </c>
      <c r="R2860" s="115" t="s">
        <v>856</v>
      </c>
      <c r="S2860" s="120"/>
    </row>
    <row r="2861" spans="1:19">
      <c r="A2861" t="s">
        <v>4844</v>
      </c>
      <c r="B2861" s="149" t="str">
        <f>IFERROR(VLOOKUP(Proc[[#This Row],[App]],Table2[],3,0),"open")</f>
        <v>ok</v>
      </c>
      <c r="C2861" s="121" t="s">
        <v>369</v>
      </c>
      <c r="D2861" t="s">
        <v>4845</v>
      </c>
      <c r="E2861" t="s">
        <v>3534</v>
      </c>
      <c r="F2861" s="125" t="s">
        <v>3534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44" t="str">
        <f>IF(Proc[[#This Row],[Author]]="Marcela Urrego",VLOOKUP(LEFT(Proc[[#This Row],[Requested]],1),Table3[#All],2,0),VLOOKUP(Proc[[#This Row],[Author]],Table4[],2,0))</f>
        <v>MGF</v>
      </c>
      <c r="L2861" s="125" t="s">
        <v>4894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107</v>
      </c>
      <c r="R2861" s="115" t="s">
        <v>856</v>
      </c>
      <c r="S2861" s="120"/>
    </row>
    <row r="2862" spans="1:19">
      <c r="A2862" t="s">
        <v>4846</v>
      </c>
      <c r="B2862" s="149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44" t="str">
        <f>IF(Proc[[#This Row],[Author]]="Marcela Urrego",VLOOKUP(LEFT(Proc[[#This Row],[Requested]],1),Table3[#All],2,0),VLOOKUP(Proc[[#This Row],[Author]],Table4[],2,0))</f>
        <v>LS</v>
      </c>
      <c r="L2862" s="125" t="s">
        <v>4894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107</v>
      </c>
      <c r="R2862" s="115" t="s">
        <v>489</v>
      </c>
      <c r="S2862" s="120"/>
    </row>
    <row r="2863" spans="1:19">
      <c r="A2863" t="s">
        <v>4848</v>
      </c>
      <c r="B2863" s="149" t="str">
        <f>IFERROR(VLOOKUP(Proc[[#This Row],[App]],Table2[],3,0),"open")</f>
        <v>ok</v>
      </c>
      <c r="C2863" s="121" t="s">
        <v>369</v>
      </c>
      <c r="D2863" t="s">
        <v>4840</v>
      </c>
      <c r="E2863" t="s">
        <v>4847</v>
      </c>
      <c r="F2863" s="124" t="s">
        <v>4847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44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>
      <c r="A2864" t="s">
        <v>4853</v>
      </c>
      <c r="B2864" s="149" t="str">
        <f>IFERROR(VLOOKUP(Proc[[#This Row],[App]],Table2[],3,0),"open")</f>
        <v>ok</v>
      </c>
      <c r="C2864" t="s">
        <v>369</v>
      </c>
      <c r="D2864" t="s">
        <v>4849</v>
      </c>
      <c r="E2864" t="s">
        <v>4865</v>
      </c>
      <c r="F2864" s="125" t="s">
        <v>4865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44" t="str">
        <f>IF(Proc[[#This Row],[Author]]="Marcela Urrego",VLOOKUP(LEFT(Proc[[#This Row],[Requested]],1),Table3[#All],2,0),VLOOKUP(Proc[[#This Row],[Author]],Table4[],2,0))</f>
        <v>MGF</v>
      </c>
      <c r="L2864" s="125" t="s">
        <v>4894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105</v>
      </c>
      <c r="R2864" s="115" t="s">
        <v>515</v>
      </c>
      <c r="S2864" s="120"/>
    </row>
    <row r="2865" spans="1:19">
      <c r="A2865" s="121" t="s">
        <v>4853</v>
      </c>
      <c r="B2865" s="149" t="str">
        <f>IFERROR(VLOOKUP(Proc[[#This Row],[App]],Table2[],3,0),"open")</f>
        <v>ok</v>
      </c>
      <c r="C2865" s="124" t="s">
        <v>369</v>
      </c>
      <c r="D2865" t="s">
        <v>4850</v>
      </c>
      <c r="E2865" t="s">
        <v>4865</v>
      </c>
      <c r="F2865" s="125" t="s">
        <v>4865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44" t="str">
        <f>IF(Proc[[#This Row],[Author]]="Marcela Urrego",VLOOKUP(LEFT(Proc[[#This Row],[Requested]],1),Table3[#All],2,0),VLOOKUP(Proc[[#This Row],[Author]],Table4[],2,0))</f>
        <v>MGF</v>
      </c>
      <c r="L2865" s="125" t="s">
        <v>4894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105</v>
      </c>
      <c r="R2865" s="115" t="s">
        <v>515</v>
      </c>
      <c r="S2865" s="120"/>
    </row>
    <row r="2866" spans="1:19">
      <c r="A2866" s="121" t="s">
        <v>4853</v>
      </c>
      <c r="B2866" s="149" t="str">
        <f>IFERROR(VLOOKUP(Proc[[#This Row],[App]],Table2[],3,0),"open")</f>
        <v>ok</v>
      </c>
      <c r="C2866" s="121" t="s">
        <v>369</v>
      </c>
      <c r="D2866" t="s">
        <v>4851</v>
      </c>
      <c r="E2866" t="s">
        <v>4864</v>
      </c>
      <c r="F2866" s="124" t="s">
        <v>4864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44" t="str">
        <f>IF(Proc[[#This Row],[Author]]="Marcela Urrego",VLOOKUP(LEFT(Proc[[#This Row],[Requested]],1),Table3[#All],2,0),VLOOKUP(Proc[[#This Row],[Author]],Table4[],2,0))</f>
        <v>MGF</v>
      </c>
      <c r="L2866" s="125" t="s">
        <v>4894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105</v>
      </c>
      <c r="R2866" s="115" t="s">
        <v>515</v>
      </c>
      <c r="S2866" s="120"/>
    </row>
    <row r="2867" spans="1:19">
      <c r="A2867" s="121" t="s">
        <v>4853</v>
      </c>
      <c r="B2867" s="149" t="str">
        <f>IFERROR(VLOOKUP(Proc[[#This Row],[App]],Table2[],3,0),"open")</f>
        <v>ok</v>
      </c>
      <c r="C2867" s="124" t="s">
        <v>369</v>
      </c>
      <c r="D2867" t="s">
        <v>4852</v>
      </c>
      <c r="E2867" t="s">
        <v>4864</v>
      </c>
      <c r="F2867" s="124" t="s">
        <v>4864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44" t="str">
        <f>IF(Proc[[#This Row],[Author]]="Marcela Urrego",VLOOKUP(LEFT(Proc[[#This Row],[Requested]],1),Table3[#All],2,0),VLOOKUP(Proc[[#This Row],[Author]],Table4[],2,0))</f>
        <v>MGF</v>
      </c>
      <c r="L2867" s="125" t="s">
        <v>4894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105</v>
      </c>
      <c r="R2867" s="115" t="s">
        <v>515</v>
      </c>
      <c r="S2867" s="120"/>
    </row>
    <row r="2868" spans="1:19">
      <c r="A2868" t="s">
        <v>4854</v>
      </c>
      <c r="B2868" s="149" t="str">
        <f>IFERROR(VLOOKUP(Proc[[#This Row],[App]],Table2[],3,0),"open")</f>
        <v>ok</v>
      </c>
      <c r="C2868" s="124" t="s">
        <v>369</v>
      </c>
      <c r="D2868" t="s">
        <v>4861</v>
      </c>
      <c r="E2868" t="s">
        <v>4855</v>
      </c>
      <c r="F2868" s="124" t="s">
        <v>4855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44" t="str">
        <f>IF(Proc[[#This Row],[Author]]="Marcela Urrego",VLOOKUP(LEFT(Proc[[#This Row],[Requested]],1),Table3[#All],2,0),VLOOKUP(Proc[[#This Row],[Author]],Table4[],2,0))</f>
        <v>HC</v>
      </c>
      <c r="L2868" s="125" t="s">
        <v>4894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105</v>
      </c>
      <c r="R2868" s="115" t="s">
        <v>415</v>
      </c>
      <c r="S2868" s="120"/>
    </row>
    <row r="2869" spans="1:19">
      <c r="A2869" t="s">
        <v>4857</v>
      </c>
      <c r="B2869" s="149" t="str">
        <f>IFERROR(VLOOKUP(Proc[[#This Row],[App]],Table2[],3,0),"open")</f>
        <v>ok</v>
      </c>
      <c r="C2869" s="124" t="s">
        <v>369</v>
      </c>
      <c r="D2869" s="122" t="s">
        <v>4332</v>
      </c>
      <c r="E2869" s="125" t="s">
        <v>4856</v>
      </c>
      <c r="F2869" s="124" t="s">
        <v>4856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44" t="str">
        <f>IF(Proc[[#This Row],[Author]]="Marcela Urrego",VLOOKUP(LEFT(Proc[[#This Row],[Requested]],1),Table3[#All],2,0),VLOOKUP(Proc[[#This Row],[Author]],Table4[],2,0))</f>
        <v>HC</v>
      </c>
      <c r="L2869" s="125" t="s">
        <v>4894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105</v>
      </c>
      <c r="R2869" s="115" t="s">
        <v>410</v>
      </c>
      <c r="S2869" s="123"/>
    </row>
    <row r="2870" spans="1:19">
      <c r="A2870" t="s">
        <v>4858</v>
      </c>
      <c r="B2870" s="149" t="str">
        <f>IFERROR(VLOOKUP(Proc[[#This Row],[App]],Table2[],3,0),"open")</f>
        <v>ok</v>
      </c>
      <c r="C2870" s="124" t="s">
        <v>369</v>
      </c>
      <c r="D2870" t="s">
        <v>4859</v>
      </c>
      <c r="E2870" t="s">
        <v>4860</v>
      </c>
      <c r="F2870" s="124" t="s">
        <v>4860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44" t="str">
        <f>IF(Proc[[#This Row],[Author]]="Marcela Urrego",VLOOKUP(LEFT(Proc[[#This Row],[Requested]],1),Table3[#All],2,0),VLOOKUP(Proc[[#This Row],[Author]],Table4[],2,0))</f>
        <v>MGF</v>
      </c>
      <c r="L2870" s="125" t="s">
        <v>4894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105</v>
      </c>
      <c r="R2870" s="115" t="s">
        <v>856</v>
      </c>
      <c r="S2870" s="125"/>
    </row>
    <row r="2871" spans="1:19">
      <c r="A2871" t="s">
        <v>4862</v>
      </c>
      <c r="B2871" s="149" t="str">
        <f>IFERROR(VLOOKUP(Proc[[#This Row],[App]],Table2[],3,0),"open")</f>
        <v>ok</v>
      </c>
      <c r="C2871" s="124" t="s">
        <v>369</v>
      </c>
      <c r="D2871" t="s">
        <v>4863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44" t="str">
        <f>IF(Proc[[#This Row],[Author]]="Marcela Urrego",VLOOKUP(LEFT(Proc[[#This Row],[Requested]],1),Table3[#All],2,0),VLOOKUP(Proc[[#This Row],[Author]],Table4[],2,0))</f>
        <v>HC</v>
      </c>
      <c r="L2871" s="125" t="s">
        <v>4894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102</v>
      </c>
      <c r="R2871" s="115" t="s">
        <v>415</v>
      </c>
      <c r="S2871" s="125"/>
    </row>
    <row r="2872" spans="1:19">
      <c r="A2872" t="s">
        <v>4866</v>
      </c>
      <c r="B2872" s="149" t="str">
        <f>IFERROR(VLOOKUP(Proc[[#This Row],[App]],Table2[],3,0),"open")</f>
        <v>ok</v>
      </c>
      <c r="C2872" s="124" t="s">
        <v>369</v>
      </c>
      <c r="D2872" t="s">
        <v>4867</v>
      </c>
      <c r="E2872" s="124" t="s">
        <v>4899</v>
      </c>
      <c r="F2872" s="125" t="s">
        <v>4899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44" t="str">
        <f>IF(Proc[[#This Row],[Author]]="Marcela Urrego",VLOOKUP(LEFT(Proc[[#This Row],[Requested]],1),Table3[#All],2,0),VLOOKUP(Proc[[#This Row],[Author]],Table4[],2,0))</f>
        <v>MGF</v>
      </c>
      <c r="L2872" s="125" t="s">
        <v>4894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102</v>
      </c>
      <c r="R2872" s="115" t="s">
        <v>515</v>
      </c>
      <c r="S2872" s="125"/>
    </row>
    <row r="2873" spans="1:19">
      <c r="A2873" s="124" t="s">
        <v>4866</v>
      </c>
      <c r="B2873" s="149" t="str">
        <f>IFERROR(VLOOKUP(Proc[[#This Row],[App]],Table2[],3,0),"open")</f>
        <v>ok</v>
      </c>
      <c r="C2873" s="124" t="s">
        <v>369</v>
      </c>
      <c r="D2873" t="s">
        <v>4868</v>
      </c>
      <c r="E2873" s="124" t="s">
        <v>4899</v>
      </c>
      <c r="F2873" s="125" t="s">
        <v>4899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44" t="str">
        <f>IF(Proc[[#This Row],[Author]]="Marcela Urrego",VLOOKUP(LEFT(Proc[[#This Row],[Requested]],1),Table3[#All],2,0),VLOOKUP(Proc[[#This Row],[Author]],Table4[],2,0))</f>
        <v>MGF</v>
      </c>
      <c r="L2873" s="125" t="s">
        <v>4894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102</v>
      </c>
      <c r="R2873" s="115" t="s">
        <v>515</v>
      </c>
      <c r="S2873" s="125"/>
    </row>
    <row r="2874" spans="1:19">
      <c r="A2874" s="124" t="s">
        <v>4866</v>
      </c>
      <c r="B2874" s="149" t="str">
        <f>IFERROR(VLOOKUP(Proc[[#This Row],[App]],Table2[],3,0),"open")</f>
        <v>ok</v>
      </c>
      <c r="C2874" s="124" t="s">
        <v>369</v>
      </c>
      <c r="D2874" t="s">
        <v>4869</v>
      </c>
      <c r="E2874" s="124" t="s">
        <v>4899</v>
      </c>
      <c r="F2874" s="125" t="s">
        <v>4899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44" t="str">
        <f>IF(Proc[[#This Row],[Author]]="Marcela Urrego",VLOOKUP(LEFT(Proc[[#This Row],[Requested]],1),Table3[#All],2,0),VLOOKUP(Proc[[#This Row],[Author]],Table4[],2,0))</f>
        <v>MGF</v>
      </c>
      <c r="L2874" s="125" t="s">
        <v>4894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102</v>
      </c>
      <c r="R2874" s="115" t="s">
        <v>515</v>
      </c>
      <c r="S2874" s="125"/>
    </row>
    <row r="2875" spans="1:19">
      <c r="A2875" s="124" t="s">
        <v>4866</v>
      </c>
      <c r="B2875" s="149" t="str">
        <f>IFERROR(VLOOKUP(Proc[[#This Row],[App]],Table2[],3,0),"open")</f>
        <v>ok</v>
      </c>
      <c r="C2875" s="124" t="s">
        <v>369</v>
      </c>
      <c r="D2875" t="s">
        <v>4870</v>
      </c>
      <c r="E2875" s="124" t="s">
        <v>4899</v>
      </c>
      <c r="F2875" s="125" t="s">
        <v>4899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44" t="str">
        <f>IF(Proc[[#This Row],[Author]]="Marcela Urrego",VLOOKUP(LEFT(Proc[[#This Row],[Requested]],1),Table3[#All],2,0),VLOOKUP(Proc[[#This Row],[Author]],Table4[],2,0))</f>
        <v>MGF</v>
      </c>
      <c r="L2875" s="125" t="s">
        <v>4894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102</v>
      </c>
      <c r="R2875" s="115" t="s">
        <v>515</v>
      </c>
      <c r="S2875" s="125"/>
    </row>
    <row r="2876" spans="1:19">
      <c r="A2876" s="124" t="s">
        <v>4866</v>
      </c>
      <c r="B2876" s="149" t="str">
        <f>IFERROR(VLOOKUP(Proc[[#This Row],[App]],Table2[],3,0),"open")</f>
        <v>ok</v>
      </c>
      <c r="C2876" s="124" t="s">
        <v>369</v>
      </c>
      <c r="D2876" t="s">
        <v>4871</v>
      </c>
      <c r="E2876" s="124" t="s">
        <v>4899</v>
      </c>
      <c r="F2876" s="125" t="s">
        <v>4899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44" t="str">
        <f>IF(Proc[[#This Row],[Author]]="Marcela Urrego",VLOOKUP(LEFT(Proc[[#This Row],[Requested]],1),Table3[#All],2,0),VLOOKUP(Proc[[#This Row],[Author]],Table4[],2,0))</f>
        <v>MGF</v>
      </c>
      <c r="L2876" s="125" t="s">
        <v>4894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102</v>
      </c>
      <c r="R2876" s="115" t="s">
        <v>515</v>
      </c>
      <c r="S2876" s="125"/>
    </row>
    <row r="2877" spans="1:19">
      <c r="A2877" s="124" t="s">
        <v>4866</v>
      </c>
      <c r="B2877" s="149" t="str">
        <f>IFERROR(VLOOKUP(Proc[[#This Row],[App]],Table2[],3,0),"open")</f>
        <v>ok</v>
      </c>
      <c r="C2877" s="124" t="s">
        <v>369</v>
      </c>
      <c r="D2877" t="s">
        <v>4872</v>
      </c>
      <c r="E2877" s="124" t="s">
        <v>4899</v>
      </c>
      <c r="F2877" s="125" t="s">
        <v>4899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44" t="str">
        <f>IF(Proc[[#This Row],[Author]]="Marcela Urrego",VLOOKUP(LEFT(Proc[[#This Row],[Requested]],1),Table3[#All],2,0),VLOOKUP(Proc[[#This Row],[Author]],Table4[],2,0))</f>
        <v>MGF</v>
      </c>
      <c r="L2877" s="125" t="s">
        <v>4894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102</v>
      </c>
      <c r="R2877" s="115" t="s">
        <v>515</v>
      </c>
      <c r="S2877" s="125"/>
    </row>
    <row r="2878" spans="1:19">
      <c r="A2878" s="124" t="s">
        <v>4866</v>
      </c>
      <c r="B2878" s="149" t="str">
        <f>IFERROR(VLOOKUP(Proc[[#This Row],[App]],Table2[],3,0),"open")</f>
        <v>ok</v>
      </c>
      <c r="C2878" s="124" t="s">
        <v>369</v>
      </c>
      <c r="D2878" t="s">
        <v>4873</v>
      </c>
      <c r="E2878" s="124" t="s">
        <v>4899</v>
      </c>
      <c r="F2878" s="125" t="s">
        <v>4899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44" t="str">
        <f>IF(Proc[[#This Row],[Author]]="Marcela Urrego",VLOOKUP(LEFT(Proc[[#This Row],[Requested]],1),Table3[#All],2,0),VLOOKUP(Proc[[#This Row],[Author]],Table4[],2,0))</f>
        <v>MGF</v>
      </c>
      <c r="L2878" s="125" t="s">
        <v>4894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102</v>
      </c>
      <c r="R2878" s="115" t="s">
        <v>515</v>
      </c>
      <c r="S2878" s="125"/>
    </row>
    <row r="2879" spans="1:19">
      <c r="A2879" s="124" t="s">
        <v>4866</v>
      </c>
      <c r="B2879" s="149" t="str">
        <f>IFERROR(VLOOKUP(Proc[[#This Row],[App]],Table2[],3,0),"open")</f>
        <v>ok</v>
      </c>
      <c r="C2879" s="124" t="s">
        <v>369</v>
      </c>
      <c r="D2879" t="s">
        <v>4874</v>
      </c>
      <c r="E2879" s="124" t="s">
        <v>4899</v>
      </c>
      <c r="F2879" s="125" t="s">
        <v>4899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44" t="str">
        <f>IF(Proc[[#This Row],[Author]]="Marcela Urrego",VLOOKUP(LEFT(Proc[[#This Row],[Requested]],1),Table3[#All],2,0),VLOOKUP(Proc[[#This Row],[Author]],Table4[],2,0))</f>
        <v>MGF</v>
      </c>
      <c r="L2879" s="125" t="s">
        <v>4894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102</v>
      </c>
      <c r="R2879" s="115" t="s">
        <v>515</v>
      </c>
      <c r="S2879" s="125"/>
    </row>
    <row r="2880" spans="1:19">
      <c r="A2880" s="124" t="s">
        <v>4866</v>
      </c>
      <c r="B2880" s="149" t="str">
        <f>IFERROR(VLOOKUP(Proc[[#This Row],[App]],Table2[],3,0),"open")</f>
        <v>ok</v>
      </c>
      <c r="C2880" s="124" t="s">
        <v>369</v>
      </c>
      <c r="D2880" t="s">
        <v>4875</v>
      </c>
      <c r="E2880" s="124" t="s">
        <v>4899</v>
      </c>
      <c r="F2880" s="125" t="s">
        <v>4899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44" t="str">
        <f>IF(Proc[[#This Row],[Author]]="Marcela Urrego",VLOOKUP(LEFT(Proc[[#This Row],[Requested]],1),Table3[#All],2,0),VLOOKUP(Proc[[#This Row],[Author]],Table4[],2,0))</f>
        <v>MGF</v>
      </c>
      <c r="L2880" s="125" t="s">
        <v>4894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102</v>
      </c>
      <c r="R2880" s="115" t="s">
        <v>515</v>
      </c>
      <c r="S2880" s="125"/>
    </row>
    <row r="2881" spans="1:19">
      <c r="A2881" s="124" t="s">
        <v>4866</v>
      </c>
      <c r="B2881" s="149" t="str">
        <f>IFERROR(VLOOKUP(Proc[[#This Row],[App]],Table2[],3,0),"open")</f>
        <v>ok</v>
      </c>
      <c r="C2881" s="124" t="s">
        <v>369</v>
      </c>
      <c r="D2881" t="s">
        <v>4876</v>
      </c>
      <c r="E2881" s="124" t="s">
        <v>4899</v>
      </c>
      <c r="F2881" s="125" t="s">
        <v>4899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44" t="str">
        <f>IF(Proc[[#This Row],[Author]]="Marcela Urrego",VLOOKUP(LEFT(Proc[[#This Row],[Requested]],1),Table3[#All],2,0),VLOOKUP(Proc[[#This Row],[Author]],Table4[],2,0))</f>
        <v>MGF</v>
      </c>
      <c r="L2881" s="125" t="s">
        <v>4894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102</v>
      </c>
      <c r="R2881" s="115" t="s">
        <v>515</v>
      </c>
      <c r="S2881" s="125"/>
    </row>
    <row r="2882" spans="1:19">
      <c r="A2882" s="124" t="s">
        <v>4866</v>
      </c>
      <c r="B2882" s="149" t="str">
        <f>IFERROR(VLOOKUP(Proc[[#This Row],[App]],Table2[],3,0),"open")</f>
        <v>ok</v>
      </c>
      <c r="C2882" s="124" t="s">
        <v>369</v>
      </c>
      <c r="D2882" t="s">
        <v>4877</v>
      </c>
      <c r="E2882" s="124" t="s">
        <v>4899</v>
      </c>
      <c r="F2882" s="125" t="s">
        <v>4899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44" t="str">
        <f>IF(Proc[[#This Row],[Author]]="Marcela Urrego",VLOOKUP(LEFT(Proc[[#This Row],[Requested]],1),Table3[#All],2,0),VLOOKUP(Proc[[#This Row],[Author]],Table4[],2,0))</f>
        <v>MGF</v>
      </c>
      <c r="L2882" s="125" t="s">
        <v>4894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102</v>
      </c>
      <c r="R2882" s="115" t="s">
        <v>515</v>
      </c>
      <c r="S2882" s="125"/>
    </row>
    <row r="2883" spans="1:19">
      <c r="A2883" s="124" t="s">
        <v>4866</v>
      </c>
      <c r="B2883" s="149" t="str">
        <f>IFERROR(VLOOKUP(Proc[[#This Row],[App]],Table2[],3,0),"open")</f>
        <v>ok</v>
      </c>
      <c r="C2883" s="124" t="s">
        <v>369</v>
      </c>
      <c r="D2883" t="s">
        <v>4878</v>
      </c>
      <c r="E2883" s="124" t="s">
        <v>4899</v>
      </c>
      <c r="F2883" s="125" t="s">
        <v>4899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44" t="str">
        <f>IF(Proc[[#This Row],[Author]]="Marcela Urrego",VLOOKUP(LEFT(Proc[[#This Row],[Requested]],1),Table3[#All],2,0),VLOOKUP(Proc[[#This Row],[Author]],Table4[],2,0))</f>
        <v>MGF</v>
      </c>
      <c r="L2883" s="125" t="s">
        <v>4894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102</v>
      </c>
      <c r="R2883" s="115" t="s">
        <v>515</v>
      </c>
      <c r="S2883" s="125"/>
    </row>
    <row r="2884" spans="1:19">
      <c r="A2884" s="124" t="s">
        <v>4866</v>
      </c>
      <c r="B2884" s="149" t="str">
        <f>IFERROR(VLOOKUP(Proc[[#This Row],[App]],Table2[],3,0),"open")</f>
        <v>ok</v>
      </c>
      <c r="C2884" s="124" t="s">
        <v>369</v>
      </c>
      <c r="D2884" t="s">
        <v>4879</v>
      </c>
      <c r="E2884" s="124" t="s">
        <v>4899</v>
      </c>
      <c r="F2884" s="125" t="s">
        <v>4899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44" t="str">
        <f>IF(Proc[[#This Row],[Author]]="Marcela Urrego",VLOOKUP(LEFT(Proc[[#This Row],[Requested]],1),Table3[#All],2,0),VLOOKUP(Proc[[#This Row],[Author]],Table4[],2,0))</f>
        <v>MGF</v>
      </c>
      <c r="L2884" s="125" t="s">
        <v>4894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102</v>
      </c>
      <c r="R2884" s="115" t="s">
        <v>515</v>
      </c>
      <c r="S2884" s="125"/>
    </row>
    <row r="2885" spans="1:19">
      <c r="A2885" s="124" t="s">
        <v>4866</v>
      </c>
      <c r="B2885" s="149" t="str">
        <f>IFERROR(VLOOKUP(Proc[[#This Row],[App]],Table2[],3,0),"open")</f>
        <v>ok</v>
      </c>
      <c r="C2885" s="124" t="s">
        <v>369</v>
      </c>
      <c r="D2885" t="s">
        <v>4880</v>
      </c>
      <c r="E2885" s="124" t="s">
        <v>4899</v>
      </c>
      <c r="F2885" s="125" t="s">
        <v>4899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44" t="str">
        <f>IF(Proc[[#This Row],[Author]]="Marcela Urrego",VLOOKUP(LEFT(Proc[[#This Row],[Requested]],1),Table3[#All],2,0),VLOOKUP(Proc[[#This Row],[Author]],Table4[],2,0))</f>
        <v>MGF</v>
      </c>
      <c r="L2885" s="125" t="s">
        <v>4894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102</v>
      </c>
      <c r="R2885" s="115" t="s">
        <v>515</v>
      </c>
      <c r="S2885" s="125"/>
    </row>
    <row r="2886" spans="1:19">
      <c r="A2886" s="124" t="s">
        <v>4866</v>
      </c>
      <c r="B2886" s="149" t="str">
        <f>IFERROR(VLOOKUP(Proc[[#This Row],[App]],Table2[],3,0),"open")</f>
        <v>ok</v>
      </c>
      <c r="C2886" s="124" t="s">
        <v>369</v>
      </c>
      <c r="D2886" t="s">
        <v>4881</v>
      </c>
      <c r="E2886" s="124" t="s">
        <v>4899</v>
      </c>
      <c r="F2886" s="125" t="s">
        <v>4899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44" t="str">
        <f>IF(Proc[[#This Row],[Author]]="Marcela Urrego",VLOOKUP(LEFT(Proc[[#This Row],[Requested]],1),Table3[#All],2,0),VLOOKUP(Proc[[#This Row],[Author]],Table4[],2,0))</f>
        <v>MGF</v>
      </c>
      <c r="L2886" s="125" t="s">
        <v>4894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102</v>
      </c>
      <c r="R2886" s="115" t="s">
        <v>515</v>
      </c>
      <c r="S2886" s="125"/>
    </row>
    <row r="2887" spans="1:19">
      <c r="A2887" s="124" t="s">
        <v>4866</v>
      </c>
      <c r="B2887" s="149" t="str">
        <f>IFERROR(VLOOKUP(Proc[[#This Row],[App]],Table2[],3,0),"open")</f>
        <v>ok</v>
      </c>
      <c r="C2887" s="124" t="s">
        <v>369</v>
      </c>
      <c r="D2887" t="s">
        <v>4882</v>
      </c>
      <c r="E2887" s="124" t="s">
        <v>4899</v>
      </c>
      <c r="F2887" s="125" t="s">
        <v>4899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44" t="str">
        <f>IF(Proc[[#This Row],[Author]]="Marcela Urrego",VLOOKUP(LEFT(Proc[[#This Row],[Requested]],1),Table3[#All],2,0),VLOOKUP(Proc[[#This Row],[Author]],Table4[],2,0))</f>
        <v>MGF</v>
      </c>
      <c r="L2887" s="125" t="s">
        <v>4894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102</v>
      </c>
      <c r="R2887" s="115" t="s">
        <v>515</v>
      </c>
      <c r="S2887" s="125"/>
    </row>
    <row r="2888" spans="1:19">
      <c r="A2888" s="124" t="s">
        <v>4866</v>
      </c>
      <c r="B2888" s="149" t="str">
        <f>IFERROR(VLOOKUP(Proc[[#This Row],[App]],Table2[],3,0),"open")</f>
        <v>ok</v>
      </c>
      <c r="C2888" s="124" t="s">
        <v>369</v>
      </c>
      <c r="D2888" t="s">
        <v>4883</v>
      </c>
      <c r="E2888" t="s">
        <v>4899</v>
      </c>
      <c r="F2888" s="125" t="s">
        <v>4899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44" t="str">
        <f>IF(Proc[[#This Row],[Author]]="Marcela Urrego",VLOOKUP(LEFT(Proc[[#This Row],[Requested]],1),Table3[#All],2,0),VLOOKUP(Proc[[#This Row],[Author]],Table4[],2,0))</f>
        <v>MGF</v>
      </c>
      <c r="L2888" s="125" t="s">
        <v>4894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102</v>
      </c>
      <c r="R2888" s="115" t="s">
        <v>515</v>
      </c>
      <c r="S2888" s="125"/>
    </row>
    <row r="2889" spans="1:19">
      <c r="A2889" s="124" t="s">
        <v>4866</v>
      </c>
      <c r="B2889" s="149" t="str">
        <f>IFERROR(VLOOKUP(Proc[[#This Row],[App]],Table2[],3,0),"open")</f>
        <v>ok</v>
      </c>
      <c r="C2889" s="124" t="s">
        <v>369</v>
      </c>
      <c r="D2889" t="s">
        <v>4884</v>
      </c>
      <c r="E2889" s="124" t="s">
        <v>4899</v>
      </c>
      <c r="F2889" s="125" t="s">
        <v>4899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44" t="str">
        <f>IF(Proc[[#This Row],[Author]]="Marcela Urrego",VLOOKUP(LEFT(Proc[[#This Row],[Requested]],1),Table3[#All],2,0),VLOOKUP(Proc[[#This Row],[Author]],Table4[],2,0))</f>
        <v>MGF</v>
      </c>
      <c r="L2889" s="125" t="s">
        <v>4894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102</v>
      </c>
      <c r="R2889" s="115" t="s">
        <v>515</v>
      </c>
      <c r="S2889" s="125"/>
    </row>
    <row r="2890" spans="1:19">
      <c r="A2890" t="s">
        <v>4892</v>
      </c>
      <c r="B2890" s="149" t="str">
        <f>IFERROR(VLOOKUP(Proc[[#This Row],[App]],Table2[],3,0),"open")</f>
        <v>ok</v>
      </c>
      <c r="C2890" s="124" t="s">
        <v>369</v>
      </c>
      <c r="D2890" t="s">
        <v>4885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44" t="str">
        <f>IF(Proc[[#This Row],[Author]]="Marcela Urrego",VLOOKUP(LEFT(Proc[[#This Row],[Requested]],1),Table3[#All],2,0),VLOOKUP(Proc[[#This Row],[Author]],Table4[],2,0))</f>
        <v>LS</v>
      </c>
      <c r="L2890" s="125" t="s">
        <v>4894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102</v>
      </c>
      <c r="R2890" s="115" t="s">
        <v>489</v>
      </c>
      <c r="S2890" s="125"/>
    </row>
    <row r="2891" spans="1:19">
      <c r="A2891" s="124" t="s">
        <v>4892</v>
      </c>
      <c r="B2891" s="149" t="str">
        <f>IFERROR(VLOOKUP(Proc[[#This Row],[App]],Table2[],3,0),"open")</f>
        <v>ok</v>
      </c>
      <c r="C2891" s="124" t="s">
        <v>369</v>
      </c>
      <c r="D2891" t="s">
        <v>4893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44" t="str">
        <f>IF(Proc[[#This Row],[Author]]="Marcela Urrego",VLOOKUP(LEFT(Proc[[#This Row],[Requested]],1),Table3[#All],2,0),VLOOKUP(Proc[[#This Row],[Author]],Table4[],2,0))</f>
        <v>LS</v>
      </c>
      <c r="L2891" s="125" t="s">
        <v>4894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102</v>
      </c>
      <c r="R2891" s="115" t="s">
        <v>489</v>
      </c>
      <c r="S2891" s="125"/>
    </row>
    <row r="2892" spans="1:19">
      <c r="A2892" s="124" t="s">
        <v>4892</v>
      </c>
      <c r="B2892" s="149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4890</v>
      </c>
      <c r="F2892" s="125" t="s">
        <v>4890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44" t="str">
        <f>IF(Proc[[#This Row],[Author]]="Marcela Urrego",VLOOKUP(LEFT(Proc[[#This Row],[Requested]],1),Table3[#All],2,0),VLOOKUP(Proc[[#This Row],[Author]],Table4[],2,0))</f>
        <v>LS</v>
      </c>
      <c r="L2892" s="125" t="s">
        <v>4894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102</v>
      </c>
      <c r="R2892" s="115" t="s">
        <v>489</v>
      </c>
      <c r="S2892" s="125"/>
    </row>
    <row r="2893" spans="1:19">
      <c r="A2893" s="124" t="s">
        <v>4892</v>
      </c>
      <c r="B2893" s="149" t="str">
        <f>IFERROR(VLOOKUP(Proc[[#This Row],[App]],Table2[],3,0),"open")</f>
        <v>ok</v>
      </c>
      <c r="C2893" s="124" t="s">
        <v>369</v>
      </c>
      <c r="D2893" t="s">
        <v>4886</v>
      </c>
      <c r="E2893" s="124" t="s">
        <v>4389</v>
      </c>
      <c r="F2893" s="125" t="s">
        <v>4389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44" t="str">
        <f>IF(Proc[[#This Row],[Author]]="Marcela Urrego",VLOOKUP(LEFT(Proc[[#This Row],[Requested]],1),Table3[#All],2,0),VLOOKUP(Proc[[#This Row],[Author]],Table4[],2,0))</f>
        <v>LS</v>
      </c>
      <c r="L2893" s="125" t="s">
        <v>4894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102</v>
      </c>
      <c r="R2893" s="115" t="s">
        <v>489</v>
      </c>
      <c r="S2893" s="125"/>
    </row>
    <row r="2894" spans="1:19">
      <c r="A2894" s="124" t="s">
        <v>4892</v>
      </c>
      <c r="B2894" s="149" t="str">
        <f>IFERROR(VLOOKUP(Proc[[#This Row],[App]],Table2[],3,0),"open")</f>
        <v>ok</v>
      </c>
      <c r="C2894" s="124" t="s">
        <v>369</v>
      </c>
      <c r="D2894" t="s">
        <v>4887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44" t="str">
        <f>IF(Proc[[#This Row],[Author]]="Marcela Urrego",VLOOKUP(LEFT(Proc[[#This Row],[Requested]],1),Table3[#All],2,0),VLOOKUP(Proc[[#This Row],[Author]],Table4[],2,0))</f>
        <v>LS</v>
      </c>
      <c r="L2894" s="125" t="s">
        <v>4894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102</v>
      </c>
      <c r="R2894" s="115" t="s">
        <v>489</v>
      </c>
      <c r="S2894" s="125"/>
    </row>
    <row r="2895" spans="1:19">
      <c r="A2895" s="124" t="s">
        <v>4892</v>
      </c>
      <c r="B2895" s="149" t="str">
        <f>IFERROR(VLOOKUP(Proc[[#This Row],[App]],Table2[],3,0),"open")</f>
        <v>ok</v>
      </c>
      <c r="C2895" s="124" t="s">
        <v>369</v>
      </c>
      <c r="D2895" t="s">
        <v>4888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44" t="str">
        <f>IF(Proc[[#This Row],[Author]]="Marcela Urrego",VLOOKUP(LEFT(Proc[[#This Row],[Requested]],1),Table3[#All],2,0),VLOOKUP(Proc[[#This Row],[Author]],Table4[],2,0))</f>
        <v>LS</v>
      </c>
      <c r="L2895" s="125" t="s">
        <v>4894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102</v>
      </c>
      <c r="R2895" s="115" t="s">
        <v>489</v>
      </c>
      <c r="S2895" s="125"/>
    </row>
    <row r="2896" spans="1:19">
      <c r="A2896" s="124" t="s">
        <v>4892</v>
      </c>
      <c r="B2896" s="149" t="str">
        <f>IFERROR(VLOOKUP(Proc[[#This Row],[App]],Table2[],3,0),"open")</f>
        <v>ok</v>
      </c>
      <c r="C2896" s="124" t="s">
        <v>369</v>
      </c>
      <c r="D2896" t="s">
        <v>4889</v>
      </c>
      <c r="E2896" s="124" t="s">
        <v>4891</v>
      </c>
      <c r="F2896" s="125" t="s">
        <v>4891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44" t="str">
        <f>IF(Proc[[#This Row],[Author]]="Marcela Urrego",VLOOKUP(LEFT(Proc[[#This Row],[Requested]],1),Table3[#All],2,0),VLOOKUP(Proc[[#This Row],[Author]],Table4[],2,0))</f>
        <v>LS</v>
      </c>
      <c r="L2896" s="125" t="s">
        <v>4894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102</v>
      </c>
      <c r="R2896" s="115" t="s">
        <v>489</v>
      </c>
      <c r="S2896" s="125"/>
    </row>
    <row r="2897" spans="1:19">
      <c r="A2897" t="s">
        <v>4895</v>
      </c>
      <c r="B2897" s="149" t="str">
        <f>IFERROR(VLOOKUP(Proc[[#This Row],[App]],Table2[],3,0),"open")</f>
        <v>ok</v>
      </c>
      <c r="C2897" s="124" t="s">
        <v>369</v>
      </c>
      <c r="D2897" t="s">
        <v>4897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44" t="str">
        <f>IF(Proc[[#This Row],[Author]]="Marcela Urrego",VLOOKUP(LEFT(Proc[[#This Row],[Requested]],1),Table3[#All],2,0),VLOOKUP(Proc[[#This Row],[Author]],Table4[],2,0))</f>
        <v>LS</v>
      </c>
      <c r="L2897" s="125" t="s">
        <v>4894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102</v>
      </c>
      <c r="R2897" s="115" t="s">
        <v>972</v>
      </c>
      <c r="S2897" s="125"/>
    </row>
    <row r="2898" spans="1:19">
      <c r="A2898" s="124" t="s">
        <v>4895</v>
      </c>
      <c r="B2898" s="149" t="str">
        <f>IFERROR(VLOOKUP(Proc[[#This Row],[App]],Table2[],3,0),"open")</f>
        <v>ok</v>
      </c>
      <c r="C2898" s="124" t="s">
        <v>369</v>
      </c>
      <c r="D2898" t="s">
        <v>4898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44" t="str">
        <f>IF(Proc[[#This Row],[Author]]="Marcela Urrego",VLOOKUP(LEFT(Proc[[#This Row],[Requested]],1),Table3[#All],2,0),VLOOKUP(Proc[[#This Row],[Author]],Table4[],2,0))</f>
        <v>LS</v>
      </c>
      <c r="L2898" s="125" t="s">
        <v>4894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102</v>
      </c>
      <c r="R2898" s="115" t="s">
        <v>972</v>
      </c>
      <c r="S2898" s="125"/>
    </row>
    <row r="2899" spans="1:19">
      <c r="A2899" s="124" t="s">
        <v>4895</v>
      </c>
      <c r="B2899" s="149" t="str">
        <f>IFERROR(VLOOKUP(Proc[[#This Row],[App]],Table2[],3,0),"open")</f>
        <v>ok</v>
      </c>
      <c r="C2899" s="124" t="s">
        <v>369</v>
      </c>
      <c r="D2899" t="s">
        <v>4896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44" t="str">
        <f>IF(Proc[[#This Row],[Author]]="Marcela Urrego",VLOOKUP(LEFT(Proc[[#This Row],[Requested]],1),Table3[#All],2,0),VLOOKUP(Proc[[#This Row],[Author]],Table4[],2,0))</f>
        <v>LS</v>
      </c>
      <c r="L2899" s="125" t="s">
        <v>4894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102</v>
      </c>
      <c r="R2899" s="115" t="s">
        <v>972</v>
      </c>
      <c r="S2899" s="125"/>
    </row>
    <row r="2900" spans="1:19">
      <c r="A2900" t="s">
        <v>4902</v>
      </c>
      <c r="B2900" s="149" t="str">
        <f>IFERROR(VLOOKUP(Proc[[#This Row],[App]],Table2[],3,0),"open")</f>
        <v>ok</v>
      </c>
      <c r="C2900" t="s">
        <v>369</v>
      </c>
      <c r="D2900" t="s">
        <v>4900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4910</v>
      </c>
      <c r="J2900" s="125" t="b">
        <f>Proc[[#This Row],[Requested]]=Proc[[#This Row],[CurrentParent]]</f>
        <v>1</v>
      </c>
      <c r="K2900" s="144" t="str">
        <f>IF(Proc[[#This Row],[Author]]="Marcela Urrego",VLOOKUP(LEFT(Proc[[#This Row],[Requested]],1),Table3[#All],2,0),VLOOKUP(Proc[[#This Row],[Author]],Table4[],2,0))</f>
        <v>MGF</v>
      </c>
      <c r="L2900" s="125" t="s">
        <v>4894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101</v>
      </c>
      <c r="R2900" s="115" t="s">
        <v>515</v>
      </c>
      <c r="S2900" s="125"/>
    </row>
    <row r="2901" spans="1:19">
      <c r="A2901" t="s">
        <v>4902</v>
      </c>
      <c r="B2901" s="149" t="str">
        <f>IFERROR(VLOOKUP(Proc[[#This Row],[App]],Table2[],3,0),"open")</f>
        <v>ok</v>
      </c>
      <c r="C2901" s="124" t="s">
        <v>369</v>
      </c>
      <c r="D2901" t="s">
        <v>4901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4910</v>
      </c>
      <c r="J2901" s="125" t="b">
        <f>Proc[[#This Row],[Requested]]=Proc[[#This Row],[CurrentParent]]</f>
        <v>1</v>
      </c>
      <c r="K2901" s="144" t="str">
        <f>IF(Proc[[#This Row],[Author]]="Marcela Urrego",VLOOKUP(LEFT(Proc[[#This Row],[Requested]],1),Table3[#All],2,0),VLOOKUP(Proc[[#This Row],[Author]],Table4[],2,0))</f>
        <v>MGF</v>
      </c>
      <c r="L2901" s="125" t="s">
        <v>4894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101</v>
      </c>
      <c r="R2901" s="115" t="s">
        <v>515</v>
      </c>
      <c r="S2901" s="125"/>
    </row>
    <row r="2902" spans="1:19">
      <c r="A2902" t="s">
        <v>4903</v>
      </c>
      <c r="B2902" s="149" t="str">
        <f>IFERROR(VLOOKUP(Proc[[#This Row],[App]],Table2[],3,0),"open")</f>
        <v>ok</v>
      </c>
      <c r="C2902" s="124" t="s">
        <v>369</v>
      </c>
      <c r="D2902" t="s">
        <v>4900</v>
      </c>
      <c r="E2902" t="s">
        <v>4905</v>
      </c>
      <c r="F2902" s="125" t="s">
        <v>4905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44" t="str">
        <f>IF(Proc[[#This Row],[Author]]="Marcela Urrego",VLOOKUP(LEFT(Proc[[#This Row],[Requested]],1),Table3[#All],2,0),VLOOKUP(Proc[[#This Row],[Author]],Table4[],2,0))</f>
        <v>MGF</v>
      </c>
      <c r="L2902" s="125" t="s">
        <v>4894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99</v>
      </c>
      <c r="R2902" s="115" t="s">
        <v>515</v>
      </c>
      <c r="S2902" s="125"/>
    </row>
    <row r="2903" spans="1:19">
      <c r="A2903" s="124" t="s">
        <v>4903</v>
      </c>
      <c r="B2903" s="149" t="str">
        <f>IFERROR(VLOOKUP(Proc[[#This Row],[App]],Table2[],3,0),"open")</f>
        <v>ok</v>
      </c>
      <c r="C2903" s="124" t="s">
        <v>369</v>
      </c>
      <c r="D2903" t="s">
        <v>4901</v>
      </c>
      <c r="E2903" t="s">
        <v>4905</v>
      </c>
      <c r="F2903" s="125" t="s">
        <v>4905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44" t="str">
        <f>IF(Proc[[#This Row],[Author]]="Marcela Urrego",VLOOKUP(LEFT(Proc[[#This Row],[Requested]],1),Table3[#All],2,0),VLOOKUP(Proc[[#This Row],[Author]],Table4[],2,0))</f>
        <v>MGF</v>
      </c>
      <c r="L2903" s="125" t="s">
        <v>4894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99</v>
      </c>
      <c r="R2903" s="115" t="s">
        <v>515</v>
      </c>
      <c r="S2903" s="125"/>
    </row>
    <row r="2904" spans="1:19">
      <c r="A2904" s="124" t="s">
        <v>4903</v>
      </c>
      <c r="B2904" s="149" t="str">
        <f>IFERROR(VLOOKUP(Proc[[#This Row],[App]],Table2[],3,0),"open")</f>
        <v>ok</v>
      </c>
      <c r="C2904" s="124" t="s">
        <v>369</v>
      </c>
      <c r="D2904" t="s">
        <v>4904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44" t="str">
        <f>IF(Proc[[#This Row],[Author]]="Marcela Urrego",VLOOKUP(LEFT(Proc[[#This Row],[Requested]],1),Table3[#All],2,0),VLOOKUP(Proc[[#This Row],[Author]],Table4[],2,0))</f>
        <v>MGF</v>
      </c>
      <c r="L2904" s="125" t="s">
        <v>4894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99</v>
      </c>
      <c r="R2904" s="115" t="s">
        <v>515</v>
      </c>
      <c r="S2904" s="125"/>
    </row>
    <row r="2905" spans="1:19">
      <c r="A2905" t="s">
        <v>4906</v>
      </c>
      <c r="B2905" s="149" t="str">
        <f>IFERROR(VLOOKUP(Proc[[#This Row],[App]],Table2[],3,0),"open")</f>
        <v>ok</v>
      </c>
      <c r="C2905" s="124" t="s">
        <v>369</v>
      </c>
      <c r="D2905" t="s">
        <v>3129</v>
      </c>
      <c r="E2905" t="s">
        <v>4920</v>
      </c>
      <c r="F2905" s="125" t="s">
        <v>4920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44" t="str">
        <f>IF(Proc[[#This Row],[Author]]="Marcela Urrego",VLOOKUP(LEFT(Proc[[#This Row],[Requested]],1),Table3[#All],2,0),VLOOKUP(Proc[[#This Row],[Author]],Table4[],2,0))</f>
        <v>LS</v>
      </c>
      <c r="L2905" s="125" t="s">
        <v>4894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99</v>
      </c>
      <c r="R2905" s="115" t="s">
        <v>489</v>
      </c>
      <c r="S2905" s="125"/>
    </row>
    <row r="2906" spans="1:19">
      <c r="A2906" s="124" t="s">
        <v>4906</v>
      </c>
      <c r="B2906" s="149" t="str">
        <f>IFERROR(VLOOKUP(Proc[[#This Row],[App]],Table2[],3,0),"open")</f>
        <v>ok</v>
      </c>
      <c r="C2906" s="124" t="s">
        <v>369</v>
      </c>
      <c r="D2906" t="s">
        <v>3159</v>
      </c>
      <c r="E2906" t="s">
        <v>4920</v>
      </c>
      <c r="F2906" s="125" t="s">
        <v>4920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44" t="str">
        <f>IF(Proc[[#This Row],[Author]]="Marcela Urrego",VLOOKUP(LEFT(Proc[[#This Row],[Requested]],1),Table3[#All],2,0),VLOOKUP(Proc[[#This Row],[Author]],Table4[],2,0))</f>
        <v>LS</v>
      </c>
      <c r="L2906" s="125" t="s">
        <v>4894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99</v>
      </c>
      <c r="R2906" s="115" t="s">
        <v>489</v>
      </c>
      <c r="S2906" s="125"/>
    </row>
    <row r="2907" spans="1:19">
      <c r="A2907" t="s">
        <v>4907</v>
      </c>
      <c r="B2907" s="149" t="str">
        <f>IFERROR(VLOOKUP(Proc[[#This Row],[App]],Table2[],3,0),"open")</f>
        <v>ok</v>
      </c>
      <c r="C2907" s="124" t="s">
        <v>369</v>
      </c>
      <c r="D2907" t="s">
        <v>4908</v>
      </c>
      <c r="E2907" t="s">
        <v>4909</v>
      </c>
      <c r="F2907" s="125" t="s">
        <v>4909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44" t="str">
        <f>IF(Proc[[#This Row],[Author]]="Marcela Urrego",VLOOKUP(LEFT(Proc[[#This Row],[Requested]],1),Table3[#All],2,0),VLOOKUP(Proc[[#This Row],[Author]],Table4[],2,0))</f>
        <v>LS</v>
      </c>
      <c r="L2907" s="125" t="s">
        <v>4894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99</v>
      </c>
      <c r="R2907" s="115" t="s">
        <v>972</v>
      </c>
      <c r="S2907" s="125"/>
    </row>
    <row r="2908" spans="1:19">
      <c r="A2908" t="s">
        <v>4917</v>
      </c>
      <c r="B2908" s="149" t="str">
        <f>IFERROR(VLOOKUP(Proc[[#This Row],[App]],Table2[],3,0),"open")</f>
        <v>ok</v>
      </c>
      <c r="C2908" s="124" t="s">
        <v>369</v>
      </c>
      <c r="D2908" t="s">
        <v>4911</v>
      </c>
      <c r="E2908" t="s">
        <v>4914</v>
      </c>
      <c r="F2908" s="124" t="s">
        <v>4914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44" t="str">
        <f>IF(Proc[[#This Row],[Author]]="Marcela Urrego",VLOOKUP(LEFT(Proc[[#This Row],[Requested]],1),Table3[#All],2,0),VLOOKUP(Proc[[#This Row],[Author]],Table4[],2,0))</f>
        <v>HC</v>
      </c>
      <c r="L2908" s="125" t="s">
        <v>4894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99</v>
      </c>
      <c r="R2908" s="115" t="s">
        <v>764</v>
      </c>
      <c r="S2908" s="125"/>
    </row>
    <row r="2909" spans="1:19">
      <c r="A2909" s="124" t="s">
        <v>4917</v>
      </c>
      <c r="B2909" s="149" t="str">
        <f>IFERROR(VLOOKUP(Proc[[#This Row],[App]],Table2[],3,0),"open")</f>
        <v>ok</v>
      </c>
      <c r="C2909" s="124" t="s">
        <v>369</v>
      </c>
      <c r="D2909" t="s">
        <v>4912</v>
      </c>
      <c r="E2909" t="s">
        <v>4915</v>
      </c>
      <c r="F2909" s="124" t="s">
        <v>4915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44" t="str">
        <f>IF(Proc[[#This Row],[Author]]="Marcela Urrego",VLOOKUP(LEFT(Proc[[#This Row],[Requested]],1),Table3[#All],2,0),VLOOKUP(Proc[[#This Row],[Author]],Table4[],2,0))</f>
        <v>HC</v>
      </c>
      <c r="L2909" s="125" t="s">
        <v>4894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99</v>
      </c>
      <c r="R2909" s="115" t="s">
        <v>764</v>
      </c>
      <c r="S2909" s="125"/>
    </row>
    <row r="2910" spans="1:19">
      <c r="A2910" s="124" t="s">
        <v>4917</v>
      </c>
      <c r="B2910" s="149" t="str">
        <f>IFERROR(VLOOKUP(Proc[[#This Row],[App]],Table2[],3,0),"open")</f>
        <v>ok</v>
      </c>
      <c r="C2910" s="124" t="s">
        <v>369</v>
      </c>
      <c r="D2910" t="s">
        <v>4913</v>
      </c>
      <c r="E2910" t="s">
        <v>4916</v>
      </c>
      <c r="F2910" s="124" t="s">
        <v>4916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44" t="str">
        <f>IF(Proc[[#This Row],[Author]]="Marcela Urrego",VLOOKUP(LEFT(Proc[[#This Row],[Requested]],1),Table3[#All],2,0),VLOOKUP(Proc[[#This Row],[Author]],Table4[],2,0))</f>
        <v>HC</v>
      </c>
      <c r="L2910" s="125" t="s">
        <v>4894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99</v>
      </c>
      <c r="R2910" s="115" t="s">
        <v>764</v>
      </c>
      <c r="S2910" s="125"/>
    </row>
    <row r="2911" spans="1:19">
      <c r="A2911" t="s">
        <v>4919</v>
      </c>
      <c r="B2911" s="149" t="str">
        <f>IFERROR(VLOOKUP(Proc[[#This Row],[App]],Table2[],3,0),"open")</f>
        <v>ok</v>
      </c>
      <c r="C2911" s="124" t="s">
        <v>369</v>
      </c>
      <c r="D2911" t="s">
        <v>4918</v>
      </c>
      <c r="E2911" t="s">
        <v>4333</v>
      </c>
      <c r="F2911" s="124" t="s">
        <v>4333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44" t="str">
        <f>IF(Proc[[#This Row],[Author]]="Marcela Urrego",VLOOKUP(LEFT(Proc[[#This Row],[Requested]],1),Table3[#All],2,0),VLOOKUP(Proc[[#This Row],[Author]],Table4[],2,0))</f>
        <v>HC</v>
      </c>
      <c r="L2911" s="125" t="s">
        <v>4894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99</v>
      </c>
      <c r="R2911" s="115" t="s">
        <v>410</v>
      </c>
      <c r="S2911" s="125"/>
    </row>
    <row r="2912" spans="1:19">
      <c r="A2912" t="s">
        <v>4933</v>
      </c>
      <c r="B2912" s="149" t="str">
        <f>IFERROR(VLOOKUP(Proc[[#This Row],[App]],Table2[],3,0),"open")</f>
        <v>ok</v>
      </c>
      <c r="C2912" s="124" t="s">
        <v>369</v>
      </c>
      <c r="D2912" t="s">
        <v>4921</v>
      </c>
      <c r="E2912" t="s">
        <v>4927</v>
      </c>
      <c r="F2912" s="125" t="s">
        <v>4927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44" t="str">
        <f>IF(Proc[[#This Row],[Author]]="Marcela Urrego",VLOOKUP(LEFT(Proc[[#This Row],[Requested]],1),Table3[#All],2,0),VLOOKUP(Proc[[#This Row],[Author]],Table4[],2,0))</f>
        <v>LS</v>
      </c>
      <c r="L2912" s="125" t="s">
        <v>4894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97</v>
      </c>
      <c r="R2912" s="115" t="s">
        <v>972</v>
      </c>
      <c r="S2912" s="125"/>
    </row>
    <row r="2913" spans="1:19">
      <c r="A2913" s="124" t="s">
        <v>4933</v>
      </c>
      <c r="B2913" s="149" t="str">
        <f>IFERROR(VLOOKUP(Proc[[#This Row],[App]],Table2[],3,0),"open")</f>
        <v>ok</v>
      </c>
      <c r="C2913" s="124" t="s">
        <v>369</v>
      </c>
      <c r="D2913" t="s">
        <v>4922</v>
      </c>
      <c r="E2913" t="s">
        <v>4928</v>
      </c>
      <c r="F2913" s="125" t="s">
        <v>4928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44" t="str">
        <f>IF(Proc[[#This Row],[Author]]="Marcela Urrego",VLOOKUP(LEFT(Proc[[#This Row],[Requested]],1),Table3[#All],2,0),VLOOKUP(Proc[[#This Row],[Author]],Table4[],2,0))</f>
        <v>LS</v>
      </c>
      <c r="L2913" s="125" t="s">
        <v>4894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97</v>
      </c>
      <c r="R2913" s="115" t="s">
        <v>972</v>
      </c>
      <c r="S2913" s="125"/>
    </row>
    <row r="2914" spans="1:19">
      <c r="A2914" s="124" t="s">
        <v>4933</v>
      </c>
      <c r="B2914" s="149" t="str">
        <f>IFERROR(VLOOKUP(Proc[[#This Row],[App]],Table2[],3,0),"open")</f>
        <v>ok</v>
      </c>
      <c r="C2914" s="124" t="s">
        <v>369</v>
      </c>
      <c r="D2914" t="s">
        <v>4923</v>
      </c>
      <c r="E2914" t="s">
        <v>4929</v>
      </c>
      <c r="F2914" s="125" t="s">
        <v>4929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44" t="str">
        <f>IF(Proc[[#This Row],[Author]]="Marcela Urrego",VLOOKUP(LEFT(Proc[[#This Row],[Requested]],1),Table3[#All],2,0),VLOOKUP(Proc[[#This Row],[Author]],Table4[],2,0))</f>
        <v>LS</v>
      </c>
      <c r="L2914" s="125" t="s">
        <v>4894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97</v>
      </c>
      <c r="R2914" s="115" t="s">
        <v>972</v>
      </c>
      <c r="S2914" s="125"/>
    </row>
    <row r="2915" spans="1:19">
      <c r="A2915" s="124" t="s">
        <v>4933</v>
      </c>
      <c r="B2915" s="149" t="str">
        <f>IFERROR(VLOOKUP(Proc[[#This Row],[App]],Table2[],3,0),"open")</f>
        <v>ok</v>
      </c>
      <c r="C2915" s="124" t="s">
        <v>369</v>
      </c>
      <c r="D2915" t="s">
        <v>4924</v>
      </c>
      <c r="E2915" t="s">
        <v>4930</v>
      </c>
      <c r="F2915" s="125" t="s">
        <v>4930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44" t="str">
        <f>IF(Proc[[#This Row],[Author]]="Marcela Urrego",VLOOKUP(LEFT(Proc[[#This Row],[Requested]],1),Table3[#All],2,0),VLOOKUP(Proc[[#This Row],[Author]],Table4[],2,0))</f>
        <v>LS</v>
      </c>
      <c r="L2915" s="125" t="s">
        <v>4894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97</v>
      </c>
      <c r="R2915" s="115" t="s">
        <v>972</v>
      </c>
      <c r="S2915" s="125"/>
    </row>
    <row r="2916" spans="1:19">
      <c r="A2916" s="124" t="s">
        <v>4933</v>
      </c>
      <c r="B2916" s="149" t="str">
        <f>IFERROR(VLOOKUP(Proc[[#This Row],[App]],Table2[],3,0),"open")</f>
        <v>ok</v>
      </c>
      <c r="C2916" s="124" t="s">
        <v>369</v>
      </c>
      <c r="D2916" t="s">
        <v>4925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44" t="str">
        <f>IF(Proc[[#This Row],[Author]]="Marcela Urrego",VLOOKUP(LEFT(Proc[[#This Row],[Requested]],1),Table3[#All],2,0),VLOOKUP(Proc[[#This Row],[Author]],Table4[],2,0))</f>
        <v>LS</v>
      </c>
      <c r="L2916" s="125" t="s">
        <v>4894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97</v>
      </c>
      <c r="R2916" s="115" t="s">
        <v>972</v>
      </c>
      <c r="S2916" s="125"/>
    </row>
    <row r="2917" spans="1:19">
      <c r="A2917" s="124" t="s">
        <v>4933</v>
      </c>
      <c r="B2917" s="149" t="str">
        <f>IFERROR(VLOOKUP(Proc[[#This Row],[App]],Table2[],3,0),"open")</f>
        <v>ok</v>
      </c>
      <c r="C2917" s="124" t="s">
        <v>369</v>
      </c>
      <c r="D2917" t="s">
        <v>4926</v>
      </c>
      <c r="E2917" t="s">
        <v>4931</v>
      </c>
      <c r="F2917" s="125" t="s">
        <v>4931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44" t="str">
        <f>IF(Proc[[#This Row],[Author]]="Marcela Urrego",VLOOKUP(LEFT(Proc[[#This Row],[Requested]],1),Table3[#All],2,0),VLOOKUP(Proc[[#This Row],[Author]],Table4[],2,0))</f>
        <v>LS</v>
      </c>
      <c r="L2917" s="125" t="s">
        <v>4894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97</v>
      </c>
      <c r="R2917" s="115" t="s">
        <v>972</v>
      </c>
      <c r="S2917" s="125"/>
    </row>
    <row r="2918" spans="1:19">
      <c r="A2918" s="124" t="s">
        <v>4933</v>
      </c>
      <c r="B2918" s="149" t="str">
        <f>IFERROR(VLOOKUP(Proc[[#This Row],[App]],Table2[],3,0),"open")</f>
        <v>ok</v>
      </c>
      <c r="C2918" s="124" t="s">
        <v>369</v>
      </c>
      <c r="D2918" t="s">
        <v>4932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44" t="str">
        <f>IF(Proc[[#This Row],[Author]]="Marcela Urrego",VLOOKUP(LEFT(Proc[[#This Row],[Requested]],1),Table3[#All],2,0),VLOOKUP(Proc[[#This Row],[Author]],Table4[],2,0))</f>
        <v>LS</v>
      </c>
      <c r="L2918" s="125" t="s">
        <v>4894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97</v>
      </c>
      <c r="R2918" s="115" t="s">
        <v>972</v>
      </c>
      <c r="S2918" s="125"/>
    </row>
    <row r="2919" spans="1:19">
      <c r="A2919" t="s">
        <v>4934</v>
      </c>
      <c r="B2919" s="149" t="str">
        <f>IFERROR(VLOOKUP(Proc[[#This Row],[App]],Table2[],3,0),"open")</f>
        <v>ok</v>
      </c>
      <c r="C2919" s="124" t="s">
        <v>369</v>
      </c>
      <c r="D2919" t="s">
        <v>4955</v>
      </c>
      <c r="E2919" t="s">
        <v>4935</v>
      </c>
      <c r="F2919" s="125" t="s">
        <v>4935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44" t="str">
        <f>IF(Proc[[#This Row],[Author]]="Marcela Urrego",VLOOKUP(LEFT(Proc[[#This Row],[Requested]],1),Table3[#All],2,0),VLOOKUP(Proc[[#This Row],[Author]],Table4[],2,0))</f>
        <v>MGF</v>
      </c>
      <c r="L2919" s="125" t="s">
        <v>4894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97</v>
      </c>
      <c r="R2919" s="115" t="s">
        <v>515</v>
      </c>
      <c r="S2919" s="125"/>
    </row>
    <row r="2920" spans="1:19">
      <c r="A2920" s="124" t="s">
        <v>4934</v>
      </c>
      <c r="B2920" s="149" t="str">
        <f>IFERROR(VLOOKUP(Proc[[#This Row],[App]],Table2[],3,0),"open")</f>
        <v>ok</v>
      </c>
      <c r="C2920" s="124" t="s">
        <v>369</v>
      </c>
      <c r="D2920" t="s">
        <v>4941</v>
      </c>
      <c r="E2920" t="s">
        <v>4936</v>
      </c>
      <c r="F2920" s="125" t="s">
        <v>4936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44" t="str">
        <f>IF(Proc[[#This Row],[Author]]="Marcela Urrego",VLOOKUP(LEFT(Proc[[#This Row],[Requested]],1),Table3[#All],2,0),VLOOKUP(Proc[[#This Row],[Author]],Table4[],2,0))</f>
        <v>HC</v>
      </c>
      <c r="L2920" s="125" t="s">
        <v>4894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96</v>
      </c>
      <c r="R2920" s="115" t="s">
        <v>415</v>
      </c>
      <c r="S2920" s="125"/>
    </row>
    <row r="2921" spans="1:19">
      <c r="A2921" s="124" t="s">
        <v>4934</v>
      </c>
      <c r="B2921" s="149" t="str">
        <f>IFERROR(VLOOKUP(Proc[[#This Row],[App]],Table2[],3,0),"open")</f>
        <v>ok</v>
      </c>
      <c r="C2921" s="124" t="s">
        <v>369</v>
      </c>
      <c r="D2921" t="s">
        <v>4942</v>
      </c>
      <c r="E2921" t="s">
        <v>4936</v>
      </c>
      <c r="F2921" s="125" t="s">
        <v>4936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44" t="str">
        <f>IF(Proc[[#This Row],[Author]]="Marcela Urrego",VLOOKUP(LEFT(Proc[[#This Row],[Requested]],1),Table3[#All],2,0),VLOOKUP(Proc[[#This Row],[Author]],Table4[],2,0))</f>
        <v>HC</v>
      </c>
      <c r="L2921" s="125" t="s">
        <v>4894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96</v>
      </c>
      <c r="R2921" s="115" t="s">
        <v>415</v>
      </c>
      <c r="S2921" s="125"/>
    </row>
    <row r="2922" spans="1:19">
      <c r="A2922" s="124" t="s">
        <v>4934</v>
      </c>
      <c r="B2922" s="149" t="str">
        <f>IFERROR(VLOOKUP(Proc[[#This Row],[App]],Table2[],3,0),"open")</f>
        <v>ok</v>
      </c>
      <c r="C2922" s="124" t="s">
        <v>369</v>
      </c>
      <c r="D2922" t="s">
        <v>4943</v>
      </c>
      <c r="E2922" t="s">
        <v>4937</v>
      </c>
      <c r="F2922" s="125" t="s">
        <v>4937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44" t="str">
        <f>IF(Proc[[#This Row],[Author]]="Marcela Urrego",VLOOKUP(LEFT(Proc[[#This Row],[Requested]],1),Table3[#All],2,0),VLOOKUP(Proc[[#This Row],[Author]],Table4[],2,0))</f>
        <v>HC</v>
      </c>
      <c r="L2922" s="125" t="s">
        <v>4894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96</v>
      </c>
      <c r="R2922" s="115" t="s">
        <v>415</v>
      </c>
      <c r="S2922" s="125"/>
    </row>
    <row r="2923" spans="1:19">
      <c r="A2923" s="124" t="s">
        <v>4934</v>
      </c>
      <c r="B2923" s="149" t="str">
        <f>IFERROR(VLOOKUP(Proc[[#This Row],[App]],Table2[],3,0),"open")</f>
        <v>ok</v>
      </c>
      <c r="C2923" s="124" t="s">
        <v>369</v>
      </c>
      <c r="D2923" t="s">
        <v>4944</v>
      </c>
      <c r="E2923" t="s">
        <v>4937</v>
      </c>
      <c r="F2923" s="125" t="s">
        <v>4937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44" t="str">
        <f>IF(Proc[[#This Row],[Author]]="Marcela Urrego",VLOOKUP(LEFT(Proc[[#This Row],[Requested]],1),Table3[#All],2,0),VLOOKUP(Proc[[#This Row],[Author]],Table4[],2,0))</f>
        <v>HC</v>
      </c>
      <c r="L2923" s="125" t="s">
        <v>4894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96</v>
      </c>
      <c r="R2923" s="115" t="s">
        <v>415</v>
      </c>
      <c r="S2923" s="125"/>
    </row>
    <row r="2924" spans="1:19">
      <c r="A2924" s="124" t="s">
        <v>4934</v>
      </c>
      <c r="B2924" s="149" t="str">
        <f>IFERROR(VLOOKUP(Proc[[#This Row],[App]],Table2[],3,0),"open")</f>
        <v>ok</v>
      </c>
      <c r="C2924" s="124" t="s">
        <v>369</v>
      </c>
      <c r="D2924" t="s">
        <v>4945</v>
      </c>
      <c r="E2924" t="s">
        <v>4937</v>
      </c>
      <c r="F2924" s="125" t="s">
        <v>4937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44" t="str">
        <f>IF(Proc[[#This Row],[Author]]="Marcela Urrego",VLOOKUP(LEFT(Proc[[#This Row],[Requested]],1),Table3[#All],2,0),VLOOKUP(Proc[[#This Row],[Author]],Table4[],2,0))</f>
        <v>HC</v>
      </c>
      <c r="L2924" s="125" t="s">
        <v>4894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96</v>
      </c>
      <c r="R2924" s="115" t="s">
        <v>415</v>
      </c>
      <c r="S2924" s="125"/>
    </row>
    <row r="2925" spans="1:19">
      <c r="A2925" s="124" t="s">
        <v>4934</v>
      </c>
      <c r="B2925" s="149" t="str">
        <f>IFERROR(VLOOKUP(Proc[[#This Row],[App]],Table2[],3,0),"open")</f>
        <v>ok</v>
      </c>
      <c r="C2925" s="124" t="s">
        <v>369</v>
      </c>
      <c r="D2925" t="s">
        <v>4946</v>
      </c>
      <c r="E2925" t="s">
        <v>4937</v>
      </c>
      <c r="F2925" s="125" t="s">
        <v>4937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44" t="str">
        <f>IF(Proc[[#This Row],[Author]]="Marcela Urrego",VLOOKUP(LEFT(Proc[[#This Row],[Requested]],1),Table3[#All],2,0),VLOOKUP(Proc[[#This Row],[Author]],Table4[],2,0))</f>
        <v>HC</v>
      </c>
      <c r="L2925" s="125" t="s">
        <v>4894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96</v>
      </c>
      <c r="R2925" s="115" t="s">
        <v>415</v>
      </c>
      <c r="S2925" s="125"/>
    </row>
    <row r="2926" spans="1:19">
      <c r="A2926" s="124" t="s">
        <v>4934</v>
      </c>
      <c r="B2926" s="149" t="str">
        <f>IFERROR(VLOOKUP(Proc[[#This Row],[App]],Table2[],3,0),"open")</f>
        <v>ok</v>
      </c>
      <c r="C2926" s="124" t="s">
        <v>369</v>
      </c>
      <c r="D2926" t="s">
        <v>4947</v>
      </c>
      <c r="E2926" t="s">
        <v>4937</v>
      </c>
      <c r="F2926" s="125" t="s">
        <v>4937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44" t="str">
        <f>IF(Proc[[#This Row],[Author]]="Marcela Urrego",VLOOKUP(LEFT(Proc[[#This Row],[Requested]],1),Table3[#All],2,0),VLOOKUP(Proc[[#This Row],[Author]],Table4[],2,0))</f>
        <v>HC</v>
      </c>
      <c r="L2926" s="125" t="s">
        <v>4894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96</v>
      </c>
      <c r="R2926" s="115" t="s">
        <v>415</v>
      </c>
      <c r="S2926" s="125"/>
    </row>
    <row r="2927" spans="1:19">
      <c r="A2927" s="124" t="s">
        <v>4934</v>
      </c>
      <c r="B2927" s="149" t="str">
        <f>IFERROR(VLOOKUP(Proc[[#This Row],[App]],Table2[],3,0),"open")</f>
        <v>ok</v>
      </c>
      <c r="C2927" s="124" t="s">
        <v>369</v>
      </c>
      <c r="D2927" t="s">
        <v>4948</v>
      </c>
      <c r="E2927" t="s">
        <v>4937</v>
      </c>
      <c r="F2927" s="125" t="s">
        <v>4937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44" t="str">
        <f>IF(Proc[[#This Row],[Author]]="Marcela Urrego",VLOOKUP(LEFT(Proc[[#This Row],[Requested]],1),Table3[#All],2,0),VLOOKUP(Proc[[#This Row],[Author]],Table4[],2,0))</f>
        <v>HC</v>
      </c>
      <c r="L2927" s="125" t="s">
        <v>4894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96</v>
      </c>
      <c r="R2927" s="115" t="s">
        <v>415</v>
      </c>
      <c r="S2927" s="125"/>
    </row>
    <row r="2928" spans="1:19">
      <c r="A2928" s="124" t="s">
        <v>4934</v>
      </c>
      <c r="B2928" s="149" t="str">
        <f>IFERROR(VLOOKUP(Proc[[#This Row],[App]],Table2[],3,0),"open")</f>
        <v>ok</v>
      </c>
      <c r="C2928" s="124" t="s">
        <v>369</v>
      </c>
      <c r="D2928" t="s">
        <v>4949</v>
      </c>
      <c r="E2928" t="s">
        <v>4937</v>
      </c>
      <c r="F2928" s="125" t="s">
        <v>4937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44" t="str">
        <f>IF(Proc[[#This Row],[Author]]="Marcela Urrego",VLOOKUP(LEFT(Proc[[#This Row],[Requested]],1),Table3[#All],2,0),VLOOKUP(Proc[[#This Row],[Author]],Table4[],2,0))</f>
        <v>HC</v>
      </c>
      <c r="L2928" s="125" t="s">
        <v>4894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96</v>
      </c>
      <c r="R2928" s="115" t="s">
        <v>415</v>
      </c>
      <c r="S2928" s="125"/>
    </row>
    <row r="2929" spans="1:19">
      <c r="A2929" s="124" t="s">
        <v>4934</v>
      </c>
      <c r="B2929" s="149" t="str">
        <f>IFERROR(VLOOKUP(Proc[[#This Row],[App]],Table2[],3,0),"open")</f>
        <v>ok</v>
      </c>
      <c r="C2929" s="124" t="s">
        <v>369</v>
      </c>
      <c r="D2929" t="s">
        <v>2822</v>
      </c>
      <c r="E2929" t="s">
        <v>4938</v>
      </c>
      <c r="F2929" s="125" t="s">
        <v>4938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44" t="str">
        <f>IF(Proc[[#This Row],[Author]]="Marcela Urrego",VLOOKUP(LEFT(Proc[[#This Row],[Requested]],1),Table3[#All],2,0),VLOOKUP(Proc[[#This Row],[Author]],Table4[],2,0))</f>
        <v>HC</v>
      </c>
      <c r="L2929" s="125" t="s">
        <v>4894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96</v>
      </c>
      <c r="R2929" s="115" t="s">
        <v>415</v>
      </c>
      <c r="S2929" s="125"/>
    </row>
    <row r="2930" spans="1:19">
      <c r="A2930" s="124" t="s">
        <v>4934</v>
      </c>
      <c r="B2930" s="149" t="str">
        <f>IFERROR(VLOOKUP(Proc[[#This Row],[App]],Table2[],3,0),"open")</f>
        <v>ok</v>
      </c>
      <c r="C2930" s="124" t="s">
        <v>369</v>
      </c>
      <c r="D2930" t="s">
        <v>2823</v>
      </c>
      <c r="E2930" t="s">
        <v>4938</v>
      </c>
      <c r="F2930" s="125" t="s">
        <v>4938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44" t="str">
        <f>IF(Proc[[#This Row],[Author]]="Marcela Urrego",VLOOKUP(LEFT(Proc[[#This Row],[Requested]],1),Table3[#All],2,0),VLOOKUP(Proc[[#This Row],[Author]],Table4[],2,0))</f>
        <v>HC</v>
      </c>
      <c r="L2930" s="125" t="s">
        <v>4894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96</v>
      </c>
      <c r="R2930" s="115" t="s">
        <v>415</v>
      </c>
      <c r="S2930" s="125"/>
    </row>
    <row r="2931" spans="1:19">
      <c r="A2931" s="124" t="s">
        <v>4934</v>
      </c>
      <c r="B2931" s="149" t="str">
        <f>IFERROR(VLOOKUP(Proc[[#This Row],[App]],Table2[],3,0),"open")</f>
        <v>ok</v>
      </c>
      <c r="C2931" s="124" t="s">
        <v>369</v>
      </c>
      <c r="D2931" t="s">
        <v>2821</v>
      </c>
      <c r="E2931" t="s">
        <v>4938</v>
      </c>
      <c r="F2931" s="125" t="s">
        <v>4938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44" t="str">
        <f>IF(Proc[[#This Row],[Author]]="Marcela Urrego",VLOOKUP(LEFT(Proc[[#This Row],[Requested]],1),Table3[#All],2,0),VLOOKUP(Proc[[#This Row],[Author]],Table4[],2,0))</f>
        <v>HC</v>
      </c>
      <c r="L2931" s="125" t="s">
        <v>4894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96</v>
      </c>
      <c r="R2931" s="115" t="s">
        <v>415</v>
      </c>
      <c r="S2931" s="125"/>
    </row>
    <row r="2932" spans="1:19">
      <c r="A2932" s="124" t="s">
        <v>4934</v>
      </c>
      <c r="B2932" s="149" t="str">
        <f>IFERROR(VLOOKUP(Proc[[#This Row],[App]],Table2[],3,0),"open")</f>
        <v>ok</v>
      </c>
      <c r="C2932" s="124" t="s">
        <v>369</v>
      </c>
      <c r="D2932" t="s">
        <v>4950</v>
      </c>
      <c r="E2932" t="s">
        <v>4939</v>
      </c>
      <c r="F2932" s="125" t="s">
        <v>4939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44" t="str">
        <f>IF(Proc[[#This Row],[Author]]="Marcela Urrego",VLOOKUP(LEFT(Proc[[#This Row],[Requested]],1),Table3[#All],2,0),VLOOKUP(Proc[[#This Row],[Author]],Table4[],2,0))</f>
        <v>HC</v>
      </c>
      <c r="L2932" s="125" t="s">
        <v>4894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96</v>
      </c>
      <c r="R2932" s="115" t="s">
        <v>415</v>
      </c>
      <c r="S2932" s="125"/>
    </row>
    <row r="2933" spans="1:19">
      <c r="A2933" s="124" t="s">
        <v>4934</v>
      </c>
      <c r="B2933" s="149" t="str">
        <f>IFERROR(VLOOKUP(Proc[[#This Row],[App]],Table2[],3,0),"open")</f>
        <v>ok</v>
      </c>
      <c r="C2933" s="124" t="s">
        <v>369</v>
      </c>
      <c r="D2933" t="s">
        <v>4951</v>
      </c>
      <c r="E2933" t="s">
        <v>4939</v>
      </c>
      <c r="F2933" s="125" t="s">
        <v>4939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44" t="str">
        <f>IF(Proc[[#This Row],[Author]]="Marcela Urrego",VLOOKUP(LEFT(Proc[[#This Row],[Requested]],1),Table3[#All],2,0),VLOOKUP(Proc[[#This Row],[Author]],Table4[],2,0))</f>
        <v>HC</v>
      </c>
      <c r="L2933" s="125" t="s">
        <v>4894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96</v>
      </c>
      <c r="R2933" s="115" t="s">
        <v>415</v>
      </c>
      <c r="S2933" s="125"/>
    </row>
    <row r="2934" spans="1:19">
      <c r="A2934" s="124" t="s">
        <v>4934</v>
      </c>
      <c r="B2934" s="149" t="str">
        <f>IFERROR(VLOOKUP(Proc[[#This Row],[App]],Table2[],3,0),"open")</f>
        <v>ok</v>
      </c>
      <c r="C2934" s="124" t="s">
        <v>369</v>
      </c>
      <c r="D2934" t="s">
        <v>4952</v>
      </c>
      <c r="E2934" t="s">
        <v>4937</v>
      </c>
      <c r="F2934" s="125" t="s">
        <v>4937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44" t="str">
        <f>IF(Proc[[#This Row],[Author]]="Marcela Urrego",VLOOKUP(LEFT(Proc[[#This Row],[Requested]],1),Table3[#All],2,0),VLOOKUP(Proc[[#This Row],[Author]],Table4[],2,0))</f>
        <v>HC</v>
      </c>
      <c r="L2934" s="125" t="s">
        <v>4894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96</v>
      </c>
      <c r="R2934" s="115" t="s">
        <v>415</v>
      </c>
      <c r="S2934" s="125"/>
    </row>
    <row r="2935" spans="1:19">
      <c r="A2935" s="124" t="s">
        <v>4934</v>
      </c>
      <c r="B2935" s="149" t="str">
        <f>IFERROR(VLOOKUP(Proc[[#This Row],[App]],Table2[],3,0),"open")</f>
        <v>ok</v>
      </c>
      <c r="C2935" s="124" t="s">
        <v>369</v>
      </c>
      <c r="D2935" t="s">
        <v>4953</v>
      </c>
      <c r="E2935" t="s">
        <v>4940</v>
      </c>
      <c r="F2935" s="125" t="s">
        <v>4940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44" t="str">
        <f>IF(Proc[[#This Row],[Author]]="Marcela Urrego",VLOOKUP(LEFT(Proc[[#This Row],[Requested]],1),Table3[#All],2,0),VLOOKUP(Proc[[#This Row],[Author]],Table4[],2,0))</f>
        <v>HC</v>
      </c>
      <c r="L2935" s="125" t="s">
        <v>4894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96</v>
      </c>
      <c r="R2935" s="115" t="s">
        <v>415</v>
      </c>
      <c r="S2935" s="125"/>
    </row>
    <row r="2936" spans="1:19">
      <c r="A2936" s="124" t="s">
        <v>4934</v>
      </c>
      <c r="B2936" s="149" t="str">
        <f>IFERROR(VLOOKUP(Proc[[#This Row],[App]],Table2[],3,0),"open")</f>
        <v>ok</v>
      </c>
      <c r="C2936" s="124" t="s">
        <v>369</v>
      </c>
      <c r="D2936" t="s">
        <v>4954</v>
      </c>
      <c r="E2936" t="s">
        <v>4940</v>
      </c>
      <c r="F2936" s="125" t="s">
        <v>4940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44" t="str">
        <f>IF(Proc[[#This Row],[Author]]="Marcela Urrego",VLOOKUP(LEFT(Proc[[#This Row],[Requested]],1),Table3[#All],2,0),VLOOKUP(Proc[[#This Row],[Author]],Table4[],2,0))</f>
        <v>HC</v>
      </c>
      <c r="L2936" s="125" t="s">
        <v>4894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96</v>
      </c>
      <c r="R2936" s="115" t="s">
        <v>415</v>
      </c>
      <c r="S2936" s="125"/>
    </row>
    <row r="2937" spans="1:19">
      <c r="A2937" t="s">
        <v>5258</v>
      </c>
      <c r="B2937" s="149" t="str">
        <f>IFERROR(VLOOKUP(Proc[[#This Row],[App]],Table2[],3,0),"open")</f>
        <v>ok</v>
      </c>
      <c r="C2937" s="124" t="s">
        <v>369</v>
      </c>
      <c r="D2937" t="s">
        <v>4956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44" t="str">
        <f>IF(Proc[[#This Row],[Author]]="Marcela Urrego",VLOOKUP(LEFT(Proc[[#This Row],[Requested]],1),Table3[#All],2,0),VLOOKUP(Proc[[#This Row],[Author]],Table4[],2,0))</f>
        <v>HC</v>
      </c>
      <c r="L2937" s="125" t="s">
        <v>4894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94</v>
      </c>
      <c r="R2937" s="115" t="s">
        <v>1013</v>
      </c>
      <c r="S2937" s="125"/>
    </row>
    <row r="2938" spans="1:19">
      <c r="A2938" s="124" t="s">
        <v>5258</v>
      </c>
      <c r="B2938" s="149" t="str">
        <f>IFERROR(VLOOKUP(Proc[[#This Row],[App]],Table2[],3,0),"open")</f>
        <v>ok</v>
      </c>
      <c r="C2938" s="124" t="s">
        <v>369</v>
      </c>
      <c r="D2938" t="s">
        <v>4957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44" t="str">
        <f>IF(Proc[[#This Row],[Author]]="Marcela Urrego",VLOOKUP(LEFT(Proc[[#This Row],[Requested]],1),Table3[#All],2,0),VLOOKUP(Proc[[#This Row],[Author]],Table4[],2,0))</f>
        <v>HC</v>
      </c>
      <c r="L2938" s="125" t="s">
        <v>4894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94</v>
      </c>
      <c r="R2938" s="115" t="s">
        <v>1013</v>
      </c>
      <c r="S2938" s="125"/>
    </row>
    <row r="2939" spans="1:19">
      <c r="A2939" s="124" t="s">
        <v>5258</v>
      </c>
      <c r="B2939" s="149" t="str">
        <f>IFERROR(VLOOKUP(Proc[[#This Row],[App]],Table2[],3,0),"open")</f>
        <v>ok</v>
      </c>
      <c r="C2939" s="124" t="s">
        <v>369</v>
      </c>
      <c r="D2939" t="s">
        <v>4958</v>
      </c>
      <c r="E2939" t="s">
        <v>5251</v>
      </c>
      <c r="F2939" s="125" t="s">
        <v>5251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44" t="str">
        <f>IF(Proc[[#This Row],[Author]]="Marcela Urrego",VLOOKUP(LEFT(Proc[[#This Row],[Requested]],1),Table3[#All],2,0),VLOOKUP(Proc[[#This Row],[Author]],Table4[],2,0))</f>
        <v>HC</v>
      </c>
      <c r="L2939" s="125" t="s">
        <v>4894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94</v>
      </c>
      <c r="R2939" s="115" t="s">
        <v>1013</v>
      </c>
      <c r="S2939" s="125"/>
    </row>
    <row r="2940" spans="1:19">
      <c r="A2940" s="124" t="s">
        <v>5258</v>
      </c>
      <c r="B2940" s="149" t="str">
        <f>IFERROR(VLOOKUP(Proc[[#This Row],[App]],Table2[],3,0),"open")</f>
        <v>ok</v>
      </c>
      <c r="C2940" s="124" t="s">
        <v>369</v>
      </c>
      <c r="D2940" t="s">
        <v>4959</v>
      </c>
      <c r="E2940" t="s">
        <v>5251</v>
      </c>
      <c r="F2940" s="125" t="s">
        <v>5251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44" t="str">
        <f>IF(Proc[[#This Row],[Author]]="Marcela Urrego",VLOOKUP(LEFT(Proc[[#This Row],[Requested]],1),Table3[#All],2,0),VLOOKUP(Proc[[#This Row],[Author]],Table4[],2,0))</f>
        <v>HC</v>
      </c>
      <c r="L2940" s="125" t="s">
        <v>4894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94</v>
      </c>
      <c r="R2940" s="115" t="s">
        <v>1013</v>
      </c>
      <c r="S2940" s="125"/>
    </row>
    <row r="2941" spans="1:19">
      <c r="A2941" s="124" t="s">
        <v>5258</v>
      </c>
      <c r="B2941" s="149" t="str">
        <f>IFERROR(VLOOKUP(Proc[[#This Row],[App]],Table2[],3,0),"open")</f>
        <v>ok</v>
      </c>
      <c r="C2941" s="124" t="s">
        <v>369</v>
      </c>
      <c r="D2941" t="s">
        <v>4960</v>
      </c>
      <c r="E2941" t="s">
        <v>5251</v>
      </c>
      <c r="F2941" s="125" t="s">
        <v>5251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44" t="str">
        <f>IF(Proc[[#This Row],[Author]]="Marcela Urrego",VLOOKUP(LEFT(Proc[[#This Row],[Requested]],1),Table3[#All],2,0),VLOOKUP(Proc[[#This Row],[Author]],Table4[],2,0))</f>
        <v>HC</v>
      </c>
      <c r="L2941" s="125" t="s">
        <v>4894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94</v>
      </c>
      <c r="R2941" s="115" t="s">
        <v>1013</v>
      </c>
      <c r="S2941" s="125"/>
    </row>
    <row r="2942" spans="1:19">
      <c r="A2942" s="124" t="s">
        <v>5258</v>
      </c>
      <c r="B2942" s="149" t="str">
        <f>IFERROR(VLOOKUP(Proc[[#This Row],[App]],Table2[],3,0),"open")</f>
        <v>ok</v>
      </c>
      <c r="C2942" s="124" t="s">
        <v>369</v>
      </c>
      <c r="D2942" t="s">
        <v>4961</v>
      </c>
      <c r="E2942" t="s">
        <v>3002</v>
      </c>
      <c r="F2942" s="125" t="s">
        <v>3002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44" t="str">
        <f>IF(Proc[[#This Row],[Author]]="Marcela Urrego",VLOOKUP(LEFT(Proc[[#This Row],[Requested]],1),Table3[#All],2,0),VLOOKUP(Proc[[#This Row],[Author]],Table4[],2,0))</f>
        <v>HC</v>
      </c>
      <c r="L2942" s="125" t="s">
        <v>4894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94</v>
      </c>
      <c r="R2942" s="115" t="s">
        <v>1013</v>
      </c>
      <c r="S2942" s="125"/>
    </row>
    <row r="2943" spans="1:19">
      <c r="A2943" s="124" t="s">
        <v>5258</v>
      </c>
      <c r="B2943" s="149" t="str">
        <f>IFERROR(VLOOKUP(Proc[[#This Row],[App]],Table2[],3,0),"open")</f>
        <v>ok</v>
      </c>
      <c r="C2943" s="124" t="s">
        <v>369</v>
      </c>
      <c r="D2943" t="s">
        <v>4962</v>
      </c>
      <c r="E2943" t="s">
        <v>3002</v>
      </c>
      <c r="F2943" s="125" t="s">
        <v>3002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44" t="str">
        <f>IF(Proc[[#This Row],[Author]]="Marcela Urrego",VLOOKUP(LEFT(Proc[[#This Row],[Requested]],1),Table3[#All],2,0),VLOOKUP(Proc[[#This Row],[Author]],Table4[],2,0))</f>
        <v>HC</v>
      </c>
      <c r="L2943" s="125" t="s">
        <v>4894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94</v>
      </c>
      <c r="R2943" s="115" t="s">
        <v>1013</v>
      </c>
      <c r="S2943" s="125"/>
    </row>
    <row r="2944" spans="1:19">
      <c r="A2944" s="124" t="s">
        <v>5258</v>
      </c>
      <c r="B2944" s="149" t="str">
        <f>IFERROR(VLOOKUP(Proc[[#This Row],[App]],Table2[],3,0),"open")</f>
        <v>ok</v>
      </c>
      <c r="C2944" s="124" t="s">
        <v>369</v>
      </c>
      <c r="D2944" t="s">
        <v>4963</v>
      </c>
      <c r="E2944" t="s">
        <v>3002</v>
      </c>
      <c r="F2944" s="125" t="s">
        <v>3002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44" t="str">
        <f>IF(Proc[[#This Row],[Author]]="Marcela Urrego",VLOOKUP(LEFT(Proc[[#This Row],[Requested]],1),Table3[#All],2,0),VLOOKUP(Proc[[#This Row],[Author]],Table4[],2,0))</f>
        <v>HC</v>
      </c>
      <c r="L2944" s="125" t="s">
        <v>4894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94</v>
      </c>
      <c r="R2944" s="115" t="s">
        <v>1013</v>
      </c>
      <c r="S2944" s="125"/>
    </row>
    <row r="2945" spans="1:19">
      <c r="A2945" s="124" t="s">
        <v>5258</v>
      </c>
      <c r="B2945" s="149" t="str">
        <f>IFERROR(VLOOKUP(Proc[[#This Row],[App]],Table2[],3,0),"open")</f>
        <v>ok</v>
      </c>
      <c r="C2945" s="124" t="s">
        <v>369</v>
      </c>
      <c r="D2945" t="s">
        <v>4964</v>
      </c>
      <c r="E2945" t="s">
        <v>3007</v>
      </c>
      <c r="F2945" s="125" t="s">
        <v>3007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44" t="str">
        <f>IF(Proc[[#This Row],[Author]]="Marcela Urrego",VLOOKUP(LEFT(Proc[[#This Row],[Requested]],1),Table3[#All],2,0),VLOOKUP(Proc[[#This Row],[Author]],Table4[],2,0))</f>
        <v>HC</v>
      </c>
      <c r="L2945" s="125" t="s">
        <v>4894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94</v>
      </c>
      <c r="R2945" s="115" t="s">
        <v>1013</v>
      </c>
      <c r="S2945" s="125"/>
    </row>
    <row r="2946" spans="1:19">
      <c r="A2946" s="124" t="s">
        <v>5258</v>
      </c>
      <c r="B2946" s="149" t="str">
        <f>IFERROR(VLOOKUP(Proc[[#This Row],[App]],Table2[],3,0),"open")</f>
        <v>ok</v>
      </c>
      <c r="C2946" s="124" t="s">
        <v>369</v>
      </c>
      <c r="D2946" t="s">
        <v>4965</v>
      </c>
      <c r="E2946" t="s">
        <v>3002</v>
      </c>
      <c r="F2946" s="125" t="s">
        <v>3002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44" t="str">
        <f>IF(Proc[[#This Row],[Author]]="Marcela Urrego",VLOOKUP(LEFT(Proc[[#This Row],[Requested]],1),Table3[#All],2,0),VLOOKUP(Proc[[#This Row],[Author]],Table4[],2,0))</f>
        <v>HC</v>
      </c>
      <c r="L2946" s="125" t="s">
        <v>4894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94</v>
      </c>
      <c r="R2946" s="115" t="s">
        <v>1013</v>
      </c>
      <c r="S2946" s="125"/>
    </row>
    <row r="2947" spans="1:19">
      <c r="A2947" s="124" t="s">
        <v>5258</v>
      </c>
      <c r="B2947" s="149" t="str">
        <f>IFERROR(VLOOKUP(Proc[[#This Row],[App]],Table2[],3,0),"open")</f>
        <v>ok</v>
      </c>
      <c r="C2947" s="124" t="s">
        <v>369</v>
      </c>
      <c r="D2947" t="s">
        <v>4966</v>
      </c>
      <c r="E2947" t="s">
        <v>3002</v>
      </c>
      <c r="F2947" s="125" t="s">
        <v>3002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44" t="str">
        <f>IF(Proc[[#This Row],[Author]]="Marcela Urrego",VLOOKUP(LEFT(Proc[[#This Row],[Requested]],1),Table3[#All],2,0),VLOOKUP(Proc[[#This Row],[Author]],Table4[],2,0))</f>
        <v>HC</v>
      </c>
      <c r="L2947" s="125" t="s">
        <v>4894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94</v>
      </c>
      <c r="R2947" s="115" t="s">
        <v>1013</v>
      </c>
      <c r="S2947" s="125"/>
    </row>
    <row r="2948" spans="1:19">
      <c r="A2948" s="124" t="s">
        <v>5258</v>
      </c>
      <c r="B2948" s="149" t="str">
        <f>IFERROR(VLOOKUP(Proc[[#This Row],[App]],Table2[],3,0),"open")</f>
        <v>ok</v>
      </c>
      <c r="C2948" s="124" t="s">
        <v>369</v>
      </c>
      <c r="D2948" t="s">
        <v>4967</v>
      </c>
      <c r="E2948" t="s">
        <v>3002</v>
      </c>
      <c r="F2948" s="125" t="s">
        <v>3002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44" t="str">
        <f>IF(Proc[[#This Row],[Author]]="Marcela Urrego",VLOOKUP(LEFT(Proc[[#This Row],[Requested]],1),Table3[#All],2,0),VLOOKUP(Proc[[#This Row],[Author]],Table4[],2,0))</f>
        <v>HC</v>
      </c>
      <c r="L2948" s="125" t="s">
        <v>4894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94</v>
      </c>
      <c r="R2948" s="115" t="s">
        <v>1013</v>
      </c>
      <c r="S2948" s="125"/>
    </row>
    <row r="2949" spans="1:19">
      <c r="A2949" s="124" t="s">
        <v>5258</v>
      </c>
      <c r="B2949" s="149" t="str">
        <f>IFERROR(VLOOKUP(Proc[[#This Row],[App]],Table2[],3,0),"open")</f>
        <v>ok</v>
      </c>
      <c r="C2949" s="124" t="s">
        <v>369</v>
      </c>
      <c r="D2949" t="s">
        <v>4968</v>
      </c>
      <c r="E2949" t="s">
        <v>3002</v>
      </c>
      <c r="F2949" s="125" t="s">
        <v>3002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44" t="str">
        <f>IF(Proc[[#This Row],[Author]]="Marcela Urrego",VLOOKUP(LEFT(Proc[[#This Row],[Requested]],1),Table3[#All],2,0),VLOOKUP(Proc[[#This Row],[Author]],Table4[],2,0))</f>
        <v>HC</v>
      </c>
      <c r="L2949" s="125" t="s">
        <v>4894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94</v>
      </c>
      <c r="R2949" s="115" t="s">
        <v>1013</v>
      </c>
      <c r="S2949" s="125"/>
    </row>
    <row r="2950" spans="1:19">
      <c r="A2950" s="124" t="s">
        <v>5258</v>
      </c>
      <c r="B2950" s="149" t="str">
        <f>IFERROR(VLOOKUP(Proc[[#This Row],[App]],Table2[],3,0),"open")</f>
        <v>ok</v>
      </c>
      <c r="C2950" s="124" t="s">
        <v>369</v>
      </c>
      <c r="D2950" t="s">
        <v>4969</v>
      </c>
      <c r="E2950" t="s">
        <v>3002</v>
      </c>
      <c r="F2950" s="125" t="s">
        <v>3002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44" t="str">
        <f>IF(Proc[[#This Row],[Author]]="Marcela Urrego",VLOOKUP(LEFT(Proc[[#This Row],[Requested]],1),Table3[#All],2,0),VLOOKUP(Proc[[#This Row],[Author]],Table4[],2,0))</f>
        <v>HC</v>
      </c>
      <c r="L2950" s="125" t="s">
        <v>4894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94</v>
      </c>
      <c r="R2950" s="115" t="s">
        <v>1013</v>
      </c>
      <c r="S2950" s="125"/>
    </row>
    <row r="2951" spans="1:19">
      <c r="A2951" s="124" t="s">
        <v>5258</v>
      </c>
      <c r="B2951" s="149" t="str">
        <f>IFERROR(VLOOKUP(Proc[[#This Row],[App]],Table2[],3,0),"open")</f>
        <v>ok</v>
      </c>
      <c r="C2951" s="124" t="s">
        <v>369</v>
      </c>
      <c r="D2951" t="s">
        <v>4970</v>
      </c>
      <c r="E2951" t="s">
        <v>5251</v>
      </c>
      <c r="F2951" s="125" t="s">
        <v>5251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44" t="str">
        <f>IF(Proc[[#This Row],[Author]]="Marcela Urrego",VLOOKUP(LEFT(Proc[[#This Row],[Requested]],1),Table3[#All],2,0),VLOOKUP(Proc[[#This Row],[Author]],Table4[],2,0))</f>
        <v>HC</v>
      </c>
      <c r="L2951" s="125" t="s">
        <v>4894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94</v>
      </c>
      <c r="R2951" s="115" t="s">
        <v>1013</v>
      </c>
      <c r="S2951" s="125"/>
    </row>
    <row r="2952" spans="1:19">
      <c r="A2952" s="124" t="s">
        <v>5258</v>
      </c>
      <c r="B2952" s="149" t="str">
        <f>IFERROR(VLOOKUP(Proc[[#This Row],[App]],Table2[],3,0),"open")</f>
        <v>ok</v>
      </c>
      <c r="C2952" s="124" t="s">
        <v>369</v>
      </c>
      <c r="D2952" t="s">
        <v>4971</v>
      </c>
      <c r="E2952" t="s">
        <v>3006</v>
      </c>
      <c r="F2952" s="125" t="s">
        <v>3006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44" t="str">
        <f>IF(Proc[[#This Row],[Author]]="Marcela Urrego",VLOOKUP(LEFT(Proc[[#This Row],[Requested]],1),Table3[#All],2,0),VLOOKUP(Proc[[#This Row],[Author]],Table4[],2,0))</f>
        <v>HC</v>
      </c>
      <c r="L2952" s="125" t="s">
        <v>4894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94</v>
      </c>
      <c r="R2952" s="115" t="s">
        <v>1013</v>
      </c>
      <c r="S2952" s="125"/>
    </row>
    <row r="2953" spans="1:19">
      <c r="A2953" s="124" t="s">
        <v>5258</v>
      </c>
      <c r="B2953" s="149" t="str">
        <f>IFERROR(VLOOKUP(Proc[[#This Row],[App]],Table2[],3,0),"open")</f>
        <v>ok</v>
      </c>
      <c r="C2953" s="124" t="s">
        <v>369</v>
      </c>
      <c r="D2953" t="s">
        <v>4972</v>
      </c>
      <c r="E2953" t="s">
        <v>3008</v>
      </c>
      <c r="F2953" s="125" t="s">
        <v>3008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44" t="str">
        <f>IF(Proc[[#This Row],[Author]]="Marcela Urrego",VLOOKUP(LEFT(Proc[[#This Row],[Requested]],1),Table3[#All],2,0),VLOOKUP(Proc[[#This Row],[Author]],Table4[],2,0))</f>
        <v>HC</v>
      </c>
      <c r="L2953" s="125" t="s">
        <v>4894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94</v>
      </c>
      <c r="R2953" s="115" t="s">
        <v>1013</v>
      </c>
      <c r="S2953" s="125"/>
    </row>
    <row r="2954" spans="1:19">
      <c r="A2954" s="124" t="s">
        <v>5258</v>
      </c>
      <c r="B2954" s="149" t="str">
        <f>IFERROR(VLOOKUP(Proc[[#This Row],[App]],Table2[],3,0),"open")</f>
        <v>ok</v>
      </c>
      <c r="C2954" s="124" t="s">
        <v>369</v>
      </c>
      <c r="D2954" t="s">
        <v>4973</v>
      </c>
      <c r="E2954" t="s">
        <v>3002</v>
      </c>
      <c r="F2954" s="125" t="s">
        <v>3002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44" t="str">
        <f>IF(Proc[[#This Row],[Author]]="Marcela Urrego",VLOOKUP(LEFT(Proc[[#This Row],[Requested]],1),Table3[#All],2,0),VLOOKUP(Proc[[#This Row],[Author]],Table4[],2,0))</f>
        <v>HC</v>
      </c>
      <c r="L2954" s="125" t="s">
        <v>4894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94</v>
      </c>
      <c r="R2954" s="115" t="s">
        <v>1013</v>
      </c>
      <c r="S2954" s="125"/>
    </row>
    <row r="2955" spans="1:19">
      <c r="A2955" s="124" t="s">
        <v>5258</v>
      </c>
      <c r="B2955" s="149" t="str">
        <f>IFERROR(VLOOKUP(Proc[[#This Row],[App]],Table2[],3,0),"open")</f>
        <v>ok</v>
      </c>
      <c r="C2955" s="124" t="s">
        <v>369</v>
      </c>
      <c r="D2955" t="s">
        <v>4974</v>
      </c>
      <c r="E2955" t="s">
        <v>3002</v>
      </c>
      <c r="F2955" s="125" t="s">
        <v>3002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44" t="str">
        <f>IF(Proc[[#This Row],[Author]]="Marcela Urrego",VLOOKUP(LEFT(Proc[[#This Row],[Requested]],1),Table3[#All],2,0),VLOOKUP(Proc[[#This Row],[Author]],Table4[],2,0))</f>
        <v>HC</v>
      </c>
      <c r="L2955" s="125" t="s">
        <v>4894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94</v>
      </c>
      <c r="R2955" s="115" t="s">
        <v>1013</v>
      </c>
      <c r="S2955" s="125"/>
    </row>
    <row r="2956" spans="1:19">
      <c r="A2956" s="124" t="s">
        <v>5258</v>
      </c>
      <c r="B2956" s="149" t="str">
        <f>IFERROR(VLOOKUP(Proc[[#This Row],[App]],Table2[],3,0),"open")</f>
        <v>ok</v>
      </c>
      <c r="C2956" s="124" t="s">
        <v>369</v>
      </c>
      <c r="D2956" t="s">
        <v>4975</v>
      </c>
      <c r="E2956" t="s">
        <v>3002</v>
      </c>
      <c r="F2956" s="125" t="s">
        <v>3002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44" t="str">
        <f>IF(Proc[[#This Row],[Author]]="Marcela Urrego",VLOOKUP(LEFT(Proc[[#This Row],[Requested]],1),Table3[#All],2,0),VLOOKUP(Proc[[#This Row],[Author]],Table4[],2,0))</f>
        <v>HC</v>
      </c>
      <c r="L2956" s="125" t="s">
        <v>4894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94</v>
      </c>
      <c r="R2956" s="115" t="s">
        <v>1013</v>
      </c>
      <c r="S2956" s="125"/>
    </row>
    <row r="2957" spans="1:19">
      <c r="A2957" s="124" t="s">
        <v>5258</v>
      </c>
      <c r="B2957" s="149" t="str">
        <f>IFERROR(VLOOKUP(Proc[[#This Row],[App]],Table2[],3,0),"open")</f>
        <v>ok</v>
      </c>
      <c r="C2957" s="124" t="s">
        <v>369</v>
      </c>
      <c r="D2957" t="s">
        <v>4976</v>
      </c>
      <c r="E2957" t="s">
        <v>3008</v>
      </c>
      <c r="F2957" s="125" t="s">
        <v>3008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44" t="str">
        <f>IF(Proc[[#This Row],[Author]]="Marcela Urrego",VLOOKUP(LEFT(Proc[[#This Row],[Requested]],1),Table3[#All],2,0),VLOOKUP(Proc[[#This Row],[Author]],Table4[],2,0))</f>
        <v>HC</v>
      </c>
      <c r="L2957" s="125" t="s">
        <v>4894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94</v>
      </c>
      <c r="R2957" s="115" t="s">
        <v>1013</v>
      </c>
      <c r="S2957" s="125"/>
    </row>
    <row r="2958" spans="1:19">
      <c r="A2958" s="124" t="s">
        <v>5258</v>
      </c>
      <c r="B2958" s="149" t="str">
        <f>IFERROR(VLOOKUP(Proc[[#This Row],[App]],Table2[],3,0),"open")</f>
        <v>ok</v>
      </c>
      <c r="C2958" s="124" t="s">
        <v>369</v>
      </c>
      <c r="D2958" t="s">
        <v>4977</v>
      </c>
      <c r="E2958" t="s">
        <v>3002</v>
      </c>
      <c r="F2958" s="125" t="s">
        <v>3002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44" t="str">
        <f>IF(Proc[[#This Row],[Author]]="Marcela Urrego",VLOOKUP(LEFT(Proc[[#This Row],[Requested]],1),Table3[#All],2,0),VLOOKUP(Proc[[#This Row],[Author]],Table4[],2,0))</f>
        <v>HC</v>
      </c>
      <c r="L2958" s="125" t="s">
        <v>4894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94</v>
      </c>
      <c r="R2958" s="115" t="s">
        <v>1013</v>
      </c>
      <c r="S2958" s="125"/>
    </row>
    <row r="2959" spans="1:19">
      <c r="A2959" s="124" t="s">
        <v>5258</v>
      </c>
      <c r="B2959" s="149" t="str">
        <f>IFERROR(VLOOKUP(Proc[[#This Row],[App]],Table2[],3,0),"open")</f>
        <v>ok</v>
      </c>
      <c r="C2959" s="124" t="s">
        <v>369</v>
      </c>
      <c r="D2959" t="s">
        <v>4978</v>
      </c>
      <c r="E2959" t="s">
        <v>3002</v>
      </c>
      <c r="F2959" s="125" t="s">
        <v>3002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44" t="str">
        <f>IF(Proc[[#This Row],[Author]]="Marcela Urrego",VLOOKUP(LEFT(Proc[[#This Row],[Requested]],1),Table3[#All],2,0),VLOOKUP(Proc[[#This Row],[Author]],Table4[],2,0))</f>
        <v>HC</v>
      </c>
      <c r="L2959" s="125" t="s">
        <v>4894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94</v>
      </c>
      <c r="R2959" s="115" t="s">
        <v>1013</v>
      </c>
      <c r="S2959" s="125"/>
    </row>
    <row r="2960" spans="1:19">
      <c r="A2960" s="124" t="s">
        <v>5258</v>
      </c>
      <c r="B2960" s="149" t="str">
        <f>IFERROR(VLOOKUP(Proc[[#This Row],[App]],Table2[],3,0),"open")</f>
        <v>ok</v>
      </c>
      <c r="C2960" s="124" t="s">
        <v>369</v>
      </c>
      <c r="D2960" t="s">
        <v>4979</v>
      </c>
      <c r="E2960" t="s">
        <v>3008</v>
      </c>
      <c r="F2960" s="125" t="s">
        <v>3008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44" t="str">
        <f>IF(Proc[[#This Row],[Author]]="Marcela Urrego",VLOOKUP(LEFT(Proc[[#This Row],[Requested]],1),Table3[#All],2,0),VLOOKUP(Proc[[#This Row],[Author]],Table4[],2,0))</f>
        <v>HC</v>
      </c>
      <c r="L2960" s="125" t="s">
        <v>4894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94</v>
      </c>
      <c r="R2960" s="115" t="s">
        <v>1013</v>
      </c>
      <c r="S2960" s="125"/>
    </row>
    <row r="2961" spans="1:19">
      <c r="A2961" s="124" t="s">
        <v>5258</v>
      </c>
      <c r="B2961" s="149" t="str">
        <f>IFERROR(VLOOKUP(Proc[[#This Row],[App]],Table2[],3,0),"open")</f>
        <v>ok</v>
      </c>
      <c r="C2961" s="124" t="s">
        <v>369</v>
      </c>
      <c r="D2961" t="s">
        <v>4980</v>
      </c>
      <c r="E2961" t="s">
        <v>3002</v>
      </c>
      <c r="F2961" s="125" t="s">
        <v>3002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44" t="str">
        <f>IF(Proc[[#This Row],[Author]]="Marcela Urrego",VLOOKUP(LEFT(Proc[[#This Row],[Requested]],1),Table3[#All],2,0),VLOOKUP(Proc[[#This Row],[Author]],Table4[],2,0))</f>
        <v>HC</v>
      </c>
      <c r="L2961" s="125" t="s">
        <v>4894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94</v>
      </c>
      <c r="R2961" s="115" t="s">
        <v>1013</v>
      </c>
      <c r="S2961" s="125"/>
    </row>
    <row r="2962" spans="1:19">
      <c r="A2962" s="124" t="s">
        <v>5258</v>
      </c>
      <c r="B2962" s="149" t="str">
        <f>IFERROR(VLOOKUP(Proc[[#This Row],[App]],Table2[],3,0),"open")</f>
        <v>ok</v>
      </c>
      <c r="C2962" s="124" t="s">
        <v>369</v>
      </c>
      <c r="D2962" t="s">
        <v>4981</v>
      </c>
      <c r="E2962" t="s">
        <v>3002</v>
      </c>
      <c r="F2962" s="125" t="s">
        <v>3002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44" t="str">
        <f>IF(Proc[[#This Row],[Author]]="Marcela Urrego",VLOOKUP(LEFT(Proc[[#This Row],[Requested]],1),Table3[#All],2,0),VLOOKUP(Proc[[#This Row],[Author]],Table4[],2,0))</f>
        <v>HC</v>
      </c>
      <c r="L2962" s="125" t="s">
        <v>4894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94</v>
      </c>
      <c r="R2962" s="115" t="s">
        <v>1013</v>
      </c>
      <c r="S2962" s="125"/>
    </row>
    <row r="2963" spans="1:19">
      <c r="A2963" s="124" t="s">
        <v>5258</v>
      </c>
      <c r="B2963" s="149" t="str">
        <f>IFERROR(VLOOKUP(Proc[[#This Row],[App]],Table2[],3,0),"open")</f>
        <v>ok</v>
      </c>
      <c r="C2963" s="124" t="s">
        <v>369</v>
      </c>
      <c r="D2963" t="s">
        <v>4982</v>
      </c>
      <c r="E2963" t="s">
        <v>3003</v>
      </c>
      <c r="F2963" s="125" t="s">
        <v>3003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44" t="str">
        <f>IF(Proc[[#This Row],[Author]]="Marcela Urrego",VLOOKUP(LEFT(Proc[[#This Row],[Requested]],1),Table3[#All],2,0),VLOOKUP(Proc[[#This Row],[Author]],Table4[],2,0))</f>
        <v>HC</v>
      </c>
      <c r="L2963" s="125" t="s">
        <v>4894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94</v>
      </c>
      <c r="R2963" s="115" t="s">
        <v>1013</v>
      </c>
      <c r="S2963" s="125"/>
    </row>
    <row r="2964" spans="1:19">
      <c r="A2964" s="124" t="s">
        <v>5258</v>
      </c>
      <c r="B2964" s="149" t="str">
        <f>IFERROR(VLOOKUP(Proc[[#This Row],[App]],Table2[],3,0),"open")</f>
        <v>ok</v>
      </c>
      <c r="C2964" s="124" t="s">
        <v>369</v>
      </c>
      <c r="D2964" t="s">
        <v>4983</v>
      </c>
      <c r="E2964" t="s">
        <v>3002</v>
      </c>
      <c r="F2964" s="125" t="s">
        <v>3002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44" t="str">
        <f>IF(Proc[[#This Row],[Author]]="Marcela Urrego",VLOOKUP(LEFT(Proc[[#This Row],[Requested]],1),Table3[#All],2,0),VLOOKUP(Proc[[#This Row],[Author]],Table4[],2,0))</f>
        <v>HC</v>
      </c>
      <c r="L2964" s="125" t="s">
        <v>4894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94</v>
      </c>
      <c r="R2964" s="115" t="s">
        <v>1013</v>
      </c>
      <c r="S2964" s="125"/>
    </row>
    <row r="2965" spans="1:19">
      <c r="A2965" s="124" t="s">
        <v>5258</v>
      </c>
      <c r="B2965" s="149" t="str">
        <f>IFERROR(VLOOKUP(Proc[[#This Row],[App]],Table2[],3,0),"open")</f>
        <v>ok</v>
      </c>
      <c r="C2965" s="124" t="s">
        <v>369</v>
      </c>
      <c r="D2965" t="s">
        <v>4984</v>
      </c>
      <c r="E2965" t="s">
        <v>3004</v>
      </c>
      <c r="F2965" s="125" t="s">
        <v>3004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44" t="str">
        <f>IF(Proc[[#This Row],[Author]]="Marcela Urrego",VLOOKUP(LEFT(Proc[[#This Row],[Requested]],1),Table3[#All],2,0),VLOOKUP(Proc[[#This Row],[Author]],Table4[],2,0))</f>
        <v>HC</v>
      </c>
      <c r="L2965" s="125" t="s">
        <v>4894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94</v>
      </c>
      <c r="R2965" s="115" t="s">
        <v>1013</v>
      </c>
      <c r="S2965" s="125"/>
    </row>
    <row r="2966" spans="1:19">
      <c r="A2966" s="124" t="s">
        <v>5258</v>
      </c>
      <c r="B2966" s="149" t="str">
        <f>IFERROR(VLOOKUP(Proc[[#This Row],[App]],Table2[],3,0),"open")</f>
        <v>ok</v>
      </c>
      <c r="C2966" s="124" t="s">
        <v>369</v>
      </c>
      <c r="D2966" t="s">
        <v>4985</v>
      </c>
      <c r="E2966" t="s">
        <v>3003</v>
      </c>
      <c r="F2966" s="125" t="s">
        <v>3003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44" t="str">
        <f>IF(Proc[[#This Row],[Author]]="Marcela Urrego",VLOOKUP(LEFT(Proc[[#This Row],[Requested]],1),Table3[#All],2,0),VLOOKUP(Proc[[#This Row],[Author]],Table4[],2,0))</f>
        <v>HC</v>
      </c>
      <c r="L2966" s="125" t="s">
        <v>4894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94</v>
      </c>
      <c r="R2966" s="115" t="s">
        <v>1013</v>
      </c>
      <c r="S2966" s="125"/>
    </row>
    <row r="2967" spans="1:19">
      <c r="A2967" s="124" t="s">
        <v>5258</v>
      </c>
      <c r="B2967" s="149" t="str">
        <f>IFERROR(VLOOKUP(Proc[[#This Row],[App]],Table2[],3,0),"open")</f>
        <v>ok</v>
      </c>
      <c r="C2967" s="124" t="s">
        <v>369</v>
      </c>
      <c r="D2967" t="s">
        <v>4986</v>
      </c>
      <c r="E2967" t="s">
        <v>3003</v>
      </c>
      <c r="F2967" s="125" t="s">
        <v>3003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44" t="str">
        <f>IF(Proc[[#This Row],[Author]]="Marcela Urrego",VLOOKUP(LEFT(Proc[[#This Row],[Requested]],1),Table3[#All],2,0),VLOOKUP(Proc[[#This Row],[Author]],Table4[],2,0))</f>
        <v>HC</v>
      </c>
      <c r="L2967" s="125" t="s">
        <v>4894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94</v>
      </c>
      <c r="R2967" s="115" t="s">
        <v>1013</v>
      </c>
      <c r="S2967" s="125"/>
    </row>
    <row r="2968" spans="1:19">
      <c r="A2968" s="124" t="s">
        <v>5258</v>
      </c>
      <c r="B2968" s="149" t="str">
        <f>IFERROR(VLOOKUP(Proc[[#This Row],[App]],Table2[],3,0),"open")</f>
        <v>ok</v>
      </c>
      <c r="C2968" s="124" t="s">
        <v>369</v>
      </c>
      <c r="D2968" t="s">
        <v>4987</v>
      </c>
      <c r="E2968" t="s">
        <v>3005</v>
      </c>
      <c r="F2968" s="125" t="s">
        <v>3005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44" t="str">
        <f>IF(Proc[[#This Row],[Author]]="Marcela Urrego",VLOOKUP(LEFT(Proc[[#This Row],[Requested]],1),Table3[#All],2,0),VLOOKUP(Proc[[#This Row],[Author]],Table4[],2,0))</f>
        <v>HC</v>
      </c>
      <c r="L2968" s="125" t="s">
        <v>4894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94</v>
      </c>
      <c r="R2968" s="115" t="s">
        <v>1013</v>
      </c>
      <c r="S2968" s="125"/>
    </row>
    <row r="2969" spans="1:19">
      <c r="A2969" s="124" t="s">
        <v>5258</v>
      </c>
      <c r="B2969" s="149" t="str">
        <f>IFERROR(VLOOKUP(Proc[[#This Row],[App]],Table2[],3,0),"open")</f>
        <v>ok</v>
      </c>
      <c r="C2969" s="124" t="s">
        <v>369</v>
      </c>
      <c r="D2969" t="s">
        <v>4988</v>
      </c>
      <c r="E2969" t="s">
        <v>3003</v>
      </c>
      <c r="F2969" s="125" t="s">
        <v>3003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44" t="str">
        <f>IF(Proc[[#This Row],[Author]]="Marcela Urrego",VLOOKUP(LEFT(Proc[[#This Row],[Requested]],1),Table3[#All],2,0),VLOOKUP(Proc[[#This Row],[Author]],Table4[],2,0))</f>
        <v>HC</v>
      </c>
      <c r="L2969" s="125" t="s">
        <v>4894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94</v>
      </c>
      <c r="R2969" s="115" t="s">
        <v>1013</v>
      </c>
      <c r="S2969" s="125"/>
    </row>
    <row r="2970" spans="1:19">
      <c r="A2970" s="124" t="s">
        <v>5258</v>
      </c>
      <c r="B2970" s="149" t="str">
        <f>IFERROR(VLOOKUP(Proc[[#This Row],[App]],Table2[],3,0),"open")</f>
        <v>ok</v>
      </c>
      <c r="C2970" s="124" t="s">
        <v>369</v>
      </c>
      <c r="D2970" t="s">
        <v>4989</v>
      </c>
      <c r="E2970" t="s">
        <v>3003</v>
      </c>
      <c r="F2970" s="125" t="s">
        <v>3003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44" t="str">
        <f>IF(Proc[[#This Row],[Author]]="Marcela Urrego",VLOOKUP(LEFT(Proc[[#This Row],[Requested]],1),Table3[#All],2,0),VLOOKUP(Proc[[#This Row],[Author]],Table4[],2,0))</f>
        <v>HC</v>
      </c>
      <c r="L2970" s="125" t="s">
        <v>4894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94</v>
      </c>
      <c r="R2970" s="115" t="s">
        <v>1013</v>
      </c>
      <c r="S2970" s="125"/>
    </row>
    <row r="2971" spans="1:19">
      <c r="A2971" s="124" t="s">
        <v>5258</v>
      </c>
      <c r="B2971" s="149" t="str">
        <f>IFERROR(VLOOKUP(Proc[[#This Row],[App]],Table2[],3,0),"open")</f>
        <v>ok</v>
      </c>
      <c r="C2971" s="124" t="s">
        <v>369</v>
      </c>
      <c r="D2971" t="s">
        <v>4990</v>
      </c>
      <c r="E2971" t="s">
        <v>5251</v>
      </c>
      <c r="F2971" s="125" t="s">
        <v>5251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44" t="str">
        <f>IF(Proc[[#This Row],[Author]]="Marcela Urrego",VLOOKUP(LEFT(Proc[[#This Row],[Requested]],1),Table3[#All],2,0),VLOOKUP(Proc[[#This Row],[Author]],Table4[],2,0))</f>
        <v>HC</v>
      </c>
      <c r="L2971" s="125" t="s">
        <v>4894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94</v>
      </c>
      <c r="R2971" s="115" t="s">
        <v>1013</v>
      </c>
      <c r="S2971" s="125"/>
    </row>
    <row r="2972" spans="1:19">
      <c r="A2972" s="124" t="s">
        <v>5258</v>
      </c>
      <c r="B2972" s="149" t="str">
        <f>IFERROR(VLOOKUP(Proc[[#This Row],[App]],Table2[],3,0),"open")</f>
        <v>ok</v>
      </c>
      <c r="C2972" s="124" t="s">
        <v>369</v>
      </c>
      <c r="D2972" t="s">
        <v>4991</v>
      </c>
      <c r="E2972" t="s">
        <v>5252</v>
      </c>
      <c r="F2972" s="125" t="s">
        <v>5252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44" t="str">
        <f>IF(Proc[[#This Row],[Author]]="Marcela Urrego",VLOOKUP(LEFT(Proc[[#This Row],[Requested]],1),Table3[#All],2,0),VLOOKUP(Proc[[#This Row],[Author]],Table4[],2,0))</f>
        <v>HC</v>
      </c>
      <c r="L2972" s="125" t="s">
        <v>4894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94</v>
      </c>
      <c r="R2972" s="115" t="s">
        <v>1013</v>
      </c>
      <c r="S2972" s="125"/>
    </row>
    <row r="2973" spans="1:19">
      <c r="A2973" s="124" t="s">
        <v>5258</v>
      </c>
      <c r="B2973" s="149" t="str">
        <f>IFERROR(VLOOKUP(Proc[[#This Row],[App]],Table2[],3,0),"open")</f>
        <v>ok</v>
      </c>
      <c r="C2973" s="124" t="s">
        <v>369</v>
      </c>
      <c r="D2973" t="s">
        <v>4992</v>
      </c>
      <c r="E2973" t="s">
        <v>3007</v>
      </c>
      <c r="F2973" s="125" t="s">
        <v>3007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44" t="str">
        <f>IF(Proc[[#This Row],[Author]]="Marcela Urrego",VLOOKUP(LEFT(Proc[[#This Row],[Requested]],1),Table3[#All],2,0),VLOOKUP(Proc[[#This Row],[Author]],Table4[],2,0))</f>
        <v>HC</v>
      </c>
      <c r="L2973" s="125" t="s">
        <v>4894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94</v>
      </c>
      <c r="R2973" s="115" t="s">
        <v>1013</v>
      </c>
      <c r="S2973" s="125"/>
    </row>
    <row r="2974" spans="1:19">
      <c r="A2974" s="124" t="s">
        <v>5258</v>
      </c>
      <c r="B2974" s="149" t="str">
        <f>IFERROR(VLOOKUP(Proc[[#This Row],[App]],Table2[],3,0),"open")</f>
        <v>ok</v>
      </c>
      <c r="C2974" s="124" t="s">
        <v>369</v>
      </c>
      <c r="D2974" t="s">
        <v>4993</v>
      </c>
      <c r="E2974" t="s">
        <v>3007</v>
      </c>
      <c r="F2974" s="125" t="s">
        <v>3007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44" t="str">
        <f>IF(Proc[[#This Row],[Author]]="Marcela Urrego",VLOOKUP(LEFT(Proc[[#This Row],[Requested]],1),Table3[#All],2,0),VLOOKUP(Proc[[#This Row],[Author]],Table4[],2,0))</f>
        <v>HC</v>
      </c>
      <c r="L2974" s="125" t="s">
        <v>4894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94</v>
      </c>
      <c r="R2974" s="115" t="s">
        <v>1013</v>
      </c>
      <c r="S2974" s="125"/>
    </row>
    <row r="2975" spans="1:19">
      <c r="A2975" s="124" t="s">
        <v>5258</v>
      </c>
      <c r="B2975" s="149" t="str">
        <f>IFERROR(VLOOKUP(Proc[[#This Row],[App]],Table2[],3,0),"open")</f>
        <v>ok</v>
      </c>
      <c r="C2975" s="124" t="s">
        <v>369</v>
      </c>
      <c r="D2975" t="s">
        <v>4994</v>
      </c>
      <c r="E2975" t="s">
        <v>3006</v>
      </c>
      <c r="F2975" s="125" t="s">
        <v>3006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44" t="str">
        <f>IF(Proc[[#This Row],[Author]]="Marcela Urrego",VLOOKUP(LEFT(Proc[[#This Row],[Requested]],1),Table3[#All],2,0),VLOOKUP(Proc[[#This Row],[Author]],Table4[],2,0))</f>
        <v>HC</v>
      </c>
      <c r="L2975" s="125" t="s">
        <v>4894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94</v>
      </c>
      <c r="R2975" s="115" t="s">
        <v>1013</v>
      </c>
      <c r="S2975" s="125"/>
    </row>
    <row r="2976" spans="1:19">
      <c r="A2976" s="124" t="s">
        <v>5258</v>
      </c>
      <c r="B2976" s="149" t="str">
        <f>IFERROR(VLOOKUP(Proc[[#This Row],[App]],Table2[],3,0),"open")</f>
        <v>ok</v>
      </c>
      <c r="C2976" s="124" t="s">
        <v>369</v>
      </c>
      <c r="D2976" t="s">
        <v>4995</v>
      </c>
      <c r="E2976" t="s">
        <v>3007</v>
      </c>
      <c r="F2976" s="125" t="s">
        <v>3007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44" t="str">
        <f>IF(Proc[[#This Row],[Author]]="Marcela Urrego",VLOOKUP(LEFT(Proc[[#This Row],[Requested]],1),Table3[#All],2,0),VLOOKUP(Proc[[#This Row],[Author]],Table4[],2,0))</f>
        <v>HC</v>
      </c>
      <c r="L2976" s="125" t="s">
        <v>4894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94</v>
      </c>
      <c r="R2976" s="115" t="s">
        <v>1013</v>
      </c>
      <c r="S2976" s="125"/>
    </row>
    <row r="2977" spans="1:19">
      <c r="A2977" s="124" t="s">
        <v>5258</v>
      </c>
      <c r="B2977" s="149" t="str">
        <f>IFERROR(VLOOKUP(Proc[[#This Row],[App]],Table2[],3,0),"open")</f>
        <v>ok</v>
      </c>
      <c r="C2977" s="124" t="s">
        <v>369</v>
      </c>
      <c r="D2977" t="s">
        <v>4996</v>
      </c>
      <c r="E2977" t="s">
        <v>3002</v>
      </c>
      <c r="F2977" s="125" t="s">
        <v>3002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44" t="str">
        <f>IF(Proc[[#This Row],[Author]]="Marcela Urrego",VLOOKUP(LEFT(Proc[[#This Row],[Requested]],1),Table3[#All],2,0),VLOOKUP(Proc[[#This Row],[Author]],Table4[],2,0))</f>
        <v>HC</v>
      </c>
      <c r="L2977" s="125" t="s">
        <v>4894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94</v>
      </c>
      <c r="R2977" s="115" t="s">
        <v>1013</v>
      </c>
      <c r="S2977" s="125"/>
    </row>
    <row r="2978" spans="1:19">
      <c r="A2978" s="124" t="s">
        <v>5258</v>
      </c>
      <c r="B2978" s="149" t="str">
        <f>IFERROR(VLOOKUP(Proc[[#This Row],[App]],Table2[],3,0),"open")</f>
        <v>ok</v>
      </c>
      <c r="C2978" s="124" t="s">
        <v>369</v>
      </c>
      <c r="D2978" t="s">
        <v>4997</v>
      </c>
      <c r="E2978" t="s">
        <v>3004</v>
      </c>
      <c r="F2978" s="125" t="s">
        <v>3004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44" t="str">
        <f>IF(Proc[[#This Row],[Author]]="Marcela Urrego",VLOOKUP(LEFT(Proc[[#This Row],[Requested]],1),Table3[#All],2,0),VLOOKUP(Proc[[#This Row],[Author]],Table4[],2,0))</f>
        <v>HC</v>
      </c>
      <c r="L2978" s="125" t="s">
        <v>4894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94</v>
      </c>
      <c r="R2978" s="115" t="s">
        <v>1013</v>
      </c>
      <c r="S2978" s="125"/>
    </row>
    <row r="2979" spans="1:19">
      <c r="A2979" s="124" t="s">
        <v>5258</v>
      </c>
      <c r="B2979" s="149" t="str">
        <f>IFERROR(VLOOKUP(Proc[[#This Row],[App]],Table2[],3,0),"open")</f>
        <v>ok</v>
      </c>
      <c r="C2979" s="124" t="s">
        <v>369</v>
      </c>
      <c r="D2979" t="s">
        <v>4998</v>
      </c>
      <c r="E2979" t="s">
        <v>5251</v>
      </c>
      <c r="F2979" s="125" t="s">
        <v>5251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44" t="str">
        <f>IF(Proc[[#This Row],[Author]]="Marcela Urrego",VLOOKUP(LEFT(Proc[[#This Row],[Requested]],1),Table3[#All],2,0),VLOOKUP(Proc[[#This Row],[Author]],Table4[],2,0))</f>
        <v>HC</v>
      </c>
      <c r="L2979" s="125" t="s">
        <v>4894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94</v>
      </c>
      <c r="R2979" s="115" t="s">
        <v>1013</v>
      </c>
      <c r="S2979" s="125"/>
    </row>
    <row r="2980" spans="1:19">
      <c r="A2980" s="124" t="s">
        <v>5258</v>
      </c>
      <c r="B2980" s="149" t="str">
        <f>IFERROR(VLOOKUP(Proc[[#This Row],[App]],Table2[],3,0),"open")</f>
        <v>ok</v>
      </c>
      <c r="C2980" s="124" t="s">
        <v>369</v>
      </c>
      <c r="D2980" t="s">
        <v>4999</v>
      </c>
      <c r="E2980" t="s">
        <v>3006</v>
      </c>
      <c r="F2980" s="125" t="s">
        <v>3006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44" t="str">
        <f>IF(Proc[[#This Row],[Author]]="Marcela Urrego",VLOOKUP(LEFT(Proc[[#This Row],[Requested]],1),Table3[#All],2,0),VLOOKUP(Proc[[#This Row],[Author]],Table4[],2,0))</f>
        <v>HC</v>
      </c>
      <c r="L2980" s="125" t="s">
        <v>4894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94</v>
      </c>
      <c r="R2980" s="115" t="s">
        <v>1013</v>
      </c>
      <c r="S2980" s="125"/>
    </row>
    <row r="2981" spans="1:19">
      <c r="A2981" s="124" t="s">
        <v>5258</v>
      </c>
      <c r="B2981" s="149" t="str">
        <f>IFERROR(VLOOKUP(Proc[[#This Row],[App]],Table2[],3,0),"open")</f>
        <v>ok</v>
      </c>
      <c r="C2981" s="124" t="s">
        <v>369</v>
      </c>
      <c r="D2981" t="s">
        <v>5000</v>
      </c>
      <c r="E2981" t="s">
        <v>3003</v>
      </c>
      <c r="F2981" s="125" t="s">
        <v>3003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44" t="str">
        <f>IF(Proc[[#This Row],[Author]]="Marcela Urrego",VLOOKUP(LEFT(Proc[[#This Row],[Requested]],1),Table3[#All],2,0),VLOOKUP(Proc[[#This Row],[Author]],Table4[],2,0))</f>
        <v>HC</v>
      </c>
      <c r="L2981" s="125" t="s">
        <v>4894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94</v>
      </c>
      <c r="R2981" s="115" t="s">
        <v>1013</v>
      </c>
      <c r="S2981" s="125"/>
    </row>
    <row r="2982" spans="1:19">
      <c r="A2982" s="124" t="s">
        <v>5258</v>
      </c>
      <c r="B2982" s="149" t="str">
        <f>IFERROR(VLOOKUP(Proc[[#This Row],[App]],Table2[],3,0),"open")</f>
        <v>ok</v>
      </c>
      <c r="C2982" s="124" t="s">
        <v>369</v>
      </c>
      <c r="D2982" t="s">
        <v>5001</v>
      </c>
      <c r="E2982" t="s">
        <v>4068</v>
      </c>
      <c r="F2982" s="125" t="s">
        <v>4068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44" t="str">
        <f>IF(Proc[[#This Row],[Author]]="Marcela Urrego",VLOOKUP(LEFT(Proc[[#This Row],[Requested]],1),Table3[#All],2,0),VLOOKUP(Proc[[#This Row],[Author]],Table4[],2,0))</f>
        <v>HC</v>
      </c>
      <c r="L2982" s="125" t="s">
        <v>4894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94</v>
      </c>
      <c r="R2982" s="115" t="s">
        <v>1013</v>
      </c>
      <c r="S2982" s="125"/>
    </row>
    <row r="2983" spans="1:19">
      <c r="A2983" s="124" t="s">
        <v>5258</v>
      </c>
      <c r="B2983" s="149" t="str">
        <f>IFERROR(VLOOKUP(Proc[[#This Row],[App]],Table2[],3,0),"open")</f>
        <v>ok</v>
      </c>
      <c r="C2983" s="124" t="s">
        <v>369</v>
      </c>
      <c r="D2983" t="s">
        <v>5002</v>
      </c>
      <c r="E2983" t="s">
        <v>4068</v>
      </c>
      <c r="F2983" s="125" t="s">
        <v>4068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44" t="str">
        <f>IF(Proc[[#This Row],[Author]]="Marcela Urrego",VLOOKUP(LEFT(Proc[[#This Row],[Requested]],1),Table3[#All],2,0),VLOOKUP(Proc[[#This Row],[Author]],Table4[],2,0))</f>
        <v>HC</v>
      </c>
      <c r="L2983" s="125" t="s">
        <v>4894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94</v>
      </c>
      <c r="R2983" s="115" t="s">
        <v>1013</v>
      </c>
      <c r="S2983" s="125"/>
    </row>
    <row r="2984" spans="1:19">
      <c r="A2984" s="124" t="s">
        <v>5258</v>
      </c>
      <c r="B2984" s="149" t="str">
        <f>IFERROR(VLOOKUP(Proc[[#This Row],[App]],Table2[],3,0),"open")</f>
        <v>ok</v>
      </c>
      <c r="C2984" s="124" t="s">
        <v>369</v>
      </c>
      <c r="D2984" t="s">
        <v>5003</v>
      </c>
      <c r="E2984" t="s">
        <v>4068</v>
      </c>
      <c r="F2984" s="125" t="s">
        <v>4068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44" t="str">
        <f>IF(Proc[[#This Row],[Author]]="Marcela Urrego",VLOOKUP(LEFT(Proc[[#This Row],[Requested]],1),Table3[#All],2,0),VLOOKUP(Proc[[#This Row],[Author]],Table4[],2,0))</f>
        <v>HC</v>
      </c>
      <c r="L2984" s="125" t="s">
        <v>4894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94</v>
      </c>
      <c r="R2984" s="115" t="s">
        <v>1013</v>
      </c>
      <c r="S2984" s="125"/>
    </row>
    <row r="2985" spans="1:19">
      <c r="A2985" s="124" t="s">
        <v>5258</v>
      </c>
      <c r="B2985" s="149" t="str">
        <f>IFERROR(VLOOKUP(Proc[[#This Row],[App]],Table2[],3,0),"open")</f>
        <v>ok</v>
      </c>
      <c r="C2985" s="124" t="s">
        <v>369</v>
      </c>
      <c r="D2985" t="s">
        <v>5004</v>
      </c>
      <c r="E2985" t="s">
        <v>4068</v>
      </c>
      <c r="F2985" s="125" t="s">
        <v>4068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44" t="str">
        <f>IF(Proc[[#This Row],[Author]]="Marcela Urrego",VLOOKUP(LEFT(Proc[[#This Row],[Requested]],1),Table3[#All],2,0),VLOOKUP(Proc[[#This Row],[Author]],Table4[],2,0))</f>
        <v>HC</v>
      </c>
      <c r="L2985" s="125" t="s">
        <v>4894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94</v>
      </c>
      <c r="R2985" s="115" t="s">
        <v>1013</v>
      </c>
      <c r="S2985" s="125"/>
    </row>
    <row r="2986" spans="1:19">
      <c r="A2986" s="124" t="s">
        <v>5258</v>
      </c>
      <c r="B2986" s="149" t="str">
        <f>IFERROR(VLOOKUP(Proc[[#This Row],[App]],Table2[],3,0),"open")</f>
        <v>ok</v>
      </c>
      <c r="C2986" s="124" t="s">
        <v>369</v>
      </c>
      <c r="D2986" t="s">
        <v>5005</v>
      </c>
      <c r="E2986" t="s">
        <v>4068</v>
      </c>
      <c r="F2986" s="125" t="s">
        <v>4068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44" t="str">
        <f>IF(Proc[[#This Row],[Author]]="Marcela Urrego",VLOOKUP(LEFT(Proc[[#This Row],[Requested]],1),Table3[#All],2,0),VLOOKUP(Proc[[#This Row],[Author]],Table4[],2,0))</f>
        <v>HC</v>
      </c>
      <c r="L2986" s="125" t="s">
        <v>4894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94</v>
      </c>
      <c r="R2986" s="115" t="s">
        <v>1013</v>
      </c>
      <c r="S2986" s="125"/>
    </row>
    <row r="2987" spans="1:19">
      <c r="A2987" s="124" t="s">
        <v>5258</v>
      </c>
      <c r="B2987" s="149" t="str">
        <f>IFERROR(VLOOKUP(Proc[[#This Row],[App]],Table2[],3,0),"open")</f>
        <v>ok</v>
      </c>
      <c r="C2987" s="124" t="s">
        <v>369</v>
      </c>
      <c r="D2987" t="s">
        <v>5006</v>
      </c>
      <c r="E2987" t="s">
        <v>4068</v>
      </c>
      <c r="F2987" s="125" t="s">
        <v>4068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44" t="str">
        <f>IF(Proc[[#This Row],[Author]]="Marcela Urrego",VLOOKUP(LEFT(Proc[[#This Row],[Requested]],1),Table3[#All],2,0),VLOOKUP(Proc[[#This Row],[Author]],Table4[],2,0))</f>
        <v>HC</v>
      </c>
      <c r="L2987" s="125" t="s">
        <v>4894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94</v>
      </c>
      <c r="R2987" s="115" t="s">
        <v>1013</v>
      </c>
      <c r="S2987" s="125"/>
    </row>
    <row r="2988" spans="1:19">
      <c r="A2988" s="124" t="s">
        <v>5258</v>
      </c>
      <c r="B2988" s="149" t="str">
        <f>IFERROR(VLOOKUP(Proc[[#This Row],[App]],Table2[],3,0),"open")</f>
        <v>ok</v>
      </c>
      <c r="C2988" s="124" t="s">
        <v>369</v>
      </c>
      <c r="D2988" t="s">
        <v>5007</v>
      </c>
      <c r="E2988" t="s">
        <v>4068</v>
      </c>
      <c r="F2988" s="125" t="s">
        <v>4068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44" t="str">
        <f>IF(Proc[[#This Row],[Author]]="Marcela Urrego",VLOOKUP(LEFT(Proc[[#This Row],[Requested]],1),Table3[#All],2,0),VLOOKUP(Proc[[#This Row],[Author]],Table4[],2,0))</f>
        <v>HC</v>
      </c>
      <c r="L2988" s="125" t="s">
        <v>4894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94</v>
      </c>
      <c r="R2988" s="115" t="s">
        <v>1013</v>
      </c>
      <c r="S2988" s="125"/>
    </row>
    <row r="2989" spans="1:19">
      <c r="A2989" s="124" t="s">
        <v>5258</v>
      </c>
      <c r="B2989" s="149" t="str">
        <f>IFERROR(VLOOKUP(Proc[[#This Row],[App]],Table2[],3,0),"open")</f>
        <v>ok</v>
      </c>
      <c r="C2989" s="124" t="s">
        <v>369</v>
      </c>
      <c r="D2989" t="s">
        <v>5008</v>
      </c>
      <c r="E2989" t="s">
        <v>4068</v>
      </c>
      <c r="F2989" s="125" t="s">
        <v>4068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44" t="str">
        <f>IF(Proc[[#This Row],[Author]]="Marcela Urrego",VLOOKUP(LEFT(Proc[[#This Row],[Requested]],1),Table3[#All],2,0),VLOOKUP(Proc[[#This Row],[Author]],Table4[],2,0))</f>
        <v>HC</v>
      </c>
      <c r="L2989" s="125" t="s">
        <v>4894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94</v>
      </c>
      <c r="R2989" s="115" t="s">
        <v>1013</v>
      </c>
      <c r="S2989" s="125"/>
    </row>
    <row r="2990" spans="1:19">
      <c r="A2990" s="124" t="s">
        <v>5258</v>
      </c>
      <c r="B2990" s="149" t="str">
        <f>IFERROR(VLOOKUP(Proc[[#This Row],[App]],Table2[],3,0),"open")</f>
        <v>ok</v>
      </c>
      <c r="C2990" s="124" t="s">
        <v>369</v>
      </c>
      <c r="D2990" t="s">
        <v>5009</v>
      </c>
      <c r="E2990" t="s">
        <v>4068</v>
      </c>
      <c r="F2990" s="125" t="s">
        <v>4068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44" t="str">
        <f>IF(Proc[[#This Row],[Author]]="Marcela Urrego",VLOOKUP(LEFT(Proc[[#This Row],[Requested]],1),Table3[#All],2,0),VLOOKUP(Proc[[#This Row],[Author]],Table4[],2,0))</f>
        <v>HC</v>
      </c>
      <c r="L2990" s="125" t="s">
        <v>4894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94</v>
      </c>
      <c r="R2990" s="115" t="s">
        <v>1013</v>
      </c>
      <c r="S2990" s="125"/>
    </row>
    <row r="2991" spans="1:19">
      <c r="A2991" s="124" t="s">
        <v>5258</v>
      </c>
      <c r="B2991" s="149" t="str">
        <f>IFERROR(VLOOKUP(Proc[[#This Row],[App]],Table2[],3,0),"open")</f>
        <v>ok</v>
      </c>
      <c r="C2991" s="124" t="s">
        <v>369</v>
      </c>
      <c r="D2991" t="s">
        <v>5010</v>
      </c>
      <c r="E2991" t="s">
        <v>4068</v>
      </c>
      <c r="F2991" s="125" t="s">
        <v>4068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44" t="str">
        <f>IF(Proc[[#This Row],[Author]]="Marcela Urrego",VLOOKUP(LEFT(Proc[[#This Row],[Requested]],1),Table3[#All],2,0),VLOOKUP(Proc[[#This Row],[Author]],Table4[],2,0))</f>
        <v>HC</v>
      </c>
      <c r="L2991" s="125" t="s">
        <v>4894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94</v>
      </c>
      <c r="R2991" s="115" t="s">
        <v>1013</v>
      </c>
      <c r="S2991" s="125"/>
    </row>
    <row r="2992" spans="1:19">
      <c r="A2992" s="124" t="s">
        <v>5258</v>
      </c>
      <c r="B2992" s="149" t="str">
        <f>IFERROR(VLOOKUP(Proc[[#This Row],[App]],Table2[],3,0),"open")</f>
        <v>ok</v>
      </c>
      <c r="C2992" s="124" t="s">
        <v>369</v>
      </c>
      <c r="D2992" t="s">
        <v>5011</v>
      </c>
      <c r="E2992" t="s">
        <v>4068</v>
      </c>
      <c r="F2992" s="125" t="s">
        <v>4068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44" t="str">
        <f>IF(Proc[[#This Row],[Author]]="Marcela Urrego",VLOOKUP(LEFT(Proc[[#This Row],[Requested]],1),Table3[#All],2,0),VLOOKUP(Proc[[#This Row],[Author]],Table4[],2,0))</f>
        <v>HC</v>
      </c>
      <c r="L2992" s="125" t="s">
        <v>4894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94</v>
      </c>
      <c r="R2992" s="115" t="s">
        <v>1013</v>
      </c>
      <c r="S2992" s="125"/>
    </row>
    <row r="2993" spans="1:19">
      <c r="A2993" s="124" t="s">
        <v>5258</v>
      </c>
      <c r="B2993" s="149" t="str">
        <f>IFERROR(VLOOKUP(Proc[[#This Row],[App]],Table2[],3,0),"open")</f>
        <v>ok</v>
      </c>
      <c r="C2993" s="124" t="s">
        <v>369</v>
      </c>
      <c r="D2993" t="s">
        <v>5012</v>
      </c>
      <c r="E2993" t="s">
        <v>4068</v>
      </c>
      <c r="F2993" s="125" t="s">
        <v>4068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44" t="str">
        <f>IF(Proc[[#This Row],[Author]]="Marcela Urrego",VLOOKUP(LEFT(Proc[[#This Row],[Requested]],1),Table3[#All],2,0),VLOOKUP(Proc[[#This Row],[Author]],Table4[],2,0))</f>
        <v>HC</v>
      </c>
      <c r="L2993" s="125" t="s">
        <v>4894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94</v>
      </c>
      <c r="R2993" s="115" t="s">
        <v>1013</v>
      </c>
      <c r="S2993" s="125"/>
    </row>
    <row r="2994" spans="1:19">
      <c r="A2994" s="124" t="s">
        <v>5258</v>
      </c>
      <c r="B2994" s="149" t="str">
        <f>IFERROR(VLOOKUP(Proc[[#This Row],[App]],Table2[],3,0),"open")</f>
        <v>ok</v>
      </c>
      <c r="C2994" s="124" t="s">
        <v>369</v>
      </c>
      <c r="D2994" t="s">
        <v>5013</v>
      </c>
      <c r="E2994" t="s">
        <v>4068</v>
      </c>
      <c r="F2994" s="125" t="s">
        <v>4068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44" t="str">
        <f>IF(Proc[[#This Row],[Author]]="Marcela Urrego",VLOOKUP(LEFT(Proc[[#This Row],[Requested]],1),Table3[#All],2,0),VLOOKUP(Proc[[#This Row],[Author]],Table4[],2,0))</f>
        <v>HC</v>
      </c>
      <c r="L2994" s="125" t="s">
        <v>4894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94</v>
      </c>
      <c r="R2994" s="115" t="s">
        <v>1013</v>
      </c>
      <c r="S2994" s="125"/>
    </row>
    <row r="2995" spans="1:19">
      <c r="A2995" s="124" t="s">
        <v>5258</v>
      </c>
      <c r="B2995" s="149" t="str">
        <f>IFERROR(VLOOKUP(Proc[[#This Row],[App]],Table2[],3,0),"open")</f>
        <v>ok</v>
      </c>
      <c r="C2995" s="124" t="s">
        <v>369</v>
      </c>
      <c r="D2995" t="s">
        <v>5014</v>
      </c>
      <c r="E2995" t="s">
        <v>4068</v>
      </c>
      <c r="F2995" s="125" t="s">
        <v>4068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44" t="str">
        <f>IF(Proc[[#This Row],[Author]]="Marcela Urrego",VLOOKUP(LEFT(Proc[[#This Row],[Requested]],1),Table3[#All],2,0),VLOOKUP(Proc[[#This Row],[Author]],Table4[],2,0))</f>
        <v>HC</v>
      </c>
      <c r="L2995" s="125" t="s">
        <v>4894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94</v>
      </c>
      <c r="R2995" s="115" t="s">
        <v>1013</v>
      </c>
      <c r="S2995" s="125"/>
    </row>
    <row r="2996" spans="1:19">
      <c r="A2996" s="124" t="s">
        <v>5258</v>
      </c>
      <c r="B2996" s="149" t="str">
        <f>IFERROR(VLOOKUP(Proc[[#This Row],[App]],Table2[],3,0),"open")</f>
        <v>ok</v>
      </c>
      <c r="C2996" s="124" t="s">
        <v>369</v>
      </c>
      <c r="D2996" t="s">
        <v>5015</v>
      </c>
      <c r="E2996" t="s">
        <v>4068</v>
      </c>
      <c r="F2996" s="125" t="s">
        <v>4068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44" t="str">
        <f>IF(Proc[[#This Row],[Author]]="Marcela Urrego",VLOOKUP(LEFT(Proc[[#This Row],[Requested]],1),Table3[#All],2,0),VLOOKUP(Proc[[#This Row],[Author]],Table4[],2,0))</f>
        <v>HC</v>
      </c>
      <c r="L2996" s="125" t="s">
        <v>4894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94</v>
      </c>
      <c r="R2996" s="115" t="s">
        <v>1013</v>
      </c>
      <c r="S2996" s="125"/>
    </row>
    <row r="2997" spans="1:19">
      <c r="A2997" s="124" t="s">
        <v>5258</v>
      </c>
      <c r="B2997" s="149" t="str">
        <f>IFERROR(VLOOKUP(Proc[[#This Row],[App]],Table2[],3,0),"open")</f>
        <v>ok</v>
      </c>
      <c r="C2997" s="124" t="s">
        <v>369</v>
      </c>
      <c r="D2997" t="s">
        <v>5016</v>
      </c>
      <c r="E2997" t="s">
        <v>4068</v>
      </c>
      <c r="F2997" s="125" t="s">
        <v>4068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44" t="str">
        <f>IF(Proc[[#This Row],[Author]]="Marcela Urrego",VLOOKUP(LEFT(Proc[[#This Row],[Requested]],1),Table3[#All],2,0),VLOOKUP(Proc[[#This Row],[Author]],Table4[],2,0))</f>
        <v>HC</v>
      </c>
      <c r="L2997" s="125" t="s">
        <v>4894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94</v>
      </c>
      <c r="R2997" s="115" t="s">
        <v>1013</v>
      </c>
      <c r="S2997" s="125"/>
    </row>
    <row r="2998" spans="1:19">
      <c r="A2998" s="124" t="s">
        <v>5258</v>
      </c>
      <c r="B2998" s="149" t="str">
        <f>IFERROR(VLOOKUP(Proc[[#This Row],[App]],Table2[],3,0),"open")</f>
        <v>ok</v>
      </c>
      <c r="C2998" s="124" t="s">
        <v>369</v>
      </c>
      <c r="D2998" t="s">
        <v>5017</v>
      </c>
      <c r="E2998" t="s">
        <v>4068</v>
      </c>
      <c r="F2998" s="125" t="s">
        <v>4068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44" t="str">
        <f>IF(Proc[[#This Row],[Author]]="Marcela Urrego",VLOOKUP(LEFT(Proc[[#This Row],[Requested]],1),Table3[#All],2,0),VLOOKUP(Proc[[#This Row],[Author]],Table4[],2,0))</f>
        <v>HC</v>
      </c>
      <c r="L2998" s="125" t="s">
        <v>4894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94</v>
      </c>
      <c r="R2998" s="115" t="s">
        <v>1013</v>
      </c>
      <c r="S2998" s="125"/>
    </row>
    <row r="2999" spans="1:19">
      <c r="A2999" s="124" t="s">
        <v>5258</v>
      </c>
      <c r="B2999" s="149" t="str">
        <f>IFERROR(VLOOKUP(Proc[[#This Row],[App]],Table2[],3,0),"open")</f>
        <v>ok</v>
      </c>
      <c r="C2999" s="124" t="s">
        <v>369</v>
      </c>
      <c r="D2999" t="s">
        <v>5018</v>
      </c>
      <c r="E2999" t="s">
        <v>4068</v>
      </c>
      <c r="F2999" s="125" t="s">
        <v>4068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44" t="str">
        <f>IF(Proc[[#This Row],[Author]]="Marcela Urrego",VLOOKUP(LEFT(Proc[[#This Row],[Requested]],1),Table3[#All],2,0),VLOOKUP(Proc[[#This Row],[Author]],Table4[],2,0))</f>
        <v>HC</v>
      </c>
      <c r="L2999" s="125" t="s">
        <v>4894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94</v>
      </c>
      <c r="R2999" s="115" t="s">
        <v>1013</v>
      </c>
      <c r="S2999" s="125"/>
    </row>
    <row r="3000" spans="1:19">
      <c r="A3000" s="124" t="s">
        <v>5258</v>
      </c>
      <c r="B3000" s="149" t="str">
        <f>IFERROR(VLOOKUP(Proc[[#This Row],[App]],Table2[],3,0),"open")</f>
        <v>ok</v>
      </c>
      <c r="C3000" s="124" t="s">
        <v>369</v>
      </c>
      <c r="D3000" t="s">
        <v>5019</v>
      </c>
      <c r="E3000" t="s">
        <v>4068</v>
      </c>
      <c r="F3000" s="125" t="s">
        <v>4068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44" t="str">
        <f>IF(Proc[[#This Row],[Author]]="Marcela Urrego",VLOOKUP(LEFT(Proc[[#This Row],[Requested]],1),Table3[#All],2,0),VLOOKUP(Proc[[#This Row],[Author]],Table4[],2,0))</f>
        <v>HC</v>
      </c>
      <c r="L3000" s="125" t="s">
        <v>4894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94</v>
      </c>
      <c r="R3000" s="115" t="s">
        <v>1013</v>
      </c>
      <c r="S3000" s="125"/>
    </row>
    <row r="3001" spans="1:19">
      <c r="A3001" s="124" t="s">
        <v>5258</v>
      </c>
      <c r="B3001" s="149" t="str">
        <f>IFERROR(VLOOKUP(Proc[[#This Row],[App]],Table2[],3,0),"open")</f>
        <v>ok</v>
      </c>
      <c r="C3001" s="124" t="s">
        <v>369</v>
      </c>
      <c r="D3001" t="s">
        <v>5020</v>
      </c>
      <c r="E3001" t="s">
        <v>4068</v>
      </c>
      <c r="F3001" s="125" t="s">
        <v>4068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44" t="str">
        <f>IF(Proc[[#This Row],[Author]]="Marcela Urrego",VLOOKUP(LEFT(Proc[[#This Row],[Requested]],1),Table3[#All],2,0),VLOOKUP(Proc[[#This Row],[Author]],Table4[],2,0))</f>
        <v>HC</v>
      </c>
      <c r="L3001" s="125" t="s">
        <v>4894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94</v>
      </c>
      <c r="R3001" s="115" t="s">
        <v>1013</v>
      </c>
      <c r="S3001" s="125"/>
    </row>
    <row r="3002" spans="1:19">
      <c r="A3002" s="124" t="s">
        <v>5258</v>
      </c>
      <c r="B3002" s="149" t="str">
        <f>IFERROR(VLOOKUP(Proc[[#This Row],[App]],Table2[],3,0),"open")</f>
        <v>ok</v>
      </c>
      <c r="C3002" s="124" t="s">
        <v>369</v>
      </c>
      <c r="D3002" t="s">
        <v>5021</v>
      </c>
      <c r="E3002" t="s">
        <v>4068</v>
      </c>
      <c r="F3002" s="125" t="s">
        <v>4068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44" t="str">
        <f>IF(Proc[[#This Row],[Author]]="Marcela Urrego",VLOOKUP(LEFT(Proc[[#This Row],[Requested]],1),Table3[#All],2,0),VLOOKUP(Proc[[#This Row],[Author]],Table4[],2,0))</f>
        <v>HC</v>
      </c>
      <c r="L3002" s="125" t="s">
        <v>4894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94</v>
      </c>
      <c r="R3002" s="115" t="s">
        <v>1013</v>
      </c>
      <c r="S3002" s="125"/>
    </row>
    <row r="3003" spans="1:19">
      <c r="A3003" s="124" t="s">
        <v>5258</v>
      </c>
      <c r="B3003" s="149" t="str">
        <f>IFERROR(VLOOKUP(Proc[[#This Row],[App]],Table2[],3,0),"open")</f>
        <v>ok</v>
      </c>
      <c r="C3003" s="124" t="s">
        <v>369</v>
      </c>
      <c r="D3003" t="s">
        <v>5022</v>
      </c>
      <c r="E3003" t="s">
        <v>4068</v>
      </c>
      <c r="F3003" s="125" t="s">
        <v>4068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44" t="str">
        <f>IF(Proc[[#This Row],[Author]]="Marcela Urrego",VLOOKUP(LEFT(Proc[[#This Row],[Requested]],1),Table3[#All],2,0),VLOOKUP(Proc[[#This Row],[Author]],Table4[],2,0))</f>
        <v>HC</v>
      </c>
      <c r="L3003" s="125" t="s">
        <v>4894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94</v>
      </c>
      <c r="R3003" s="115" t="s">
        <v>1013</v>
      </c>
      <c r="S3003" s="125"/>
    </row>
    <row r="3004" spans="1:19">
      <c r="A3004" s="124" t="s">
        <v>5258</v>
      </c>
      <c r="B3004" s="149" t="str">
        <f>IFERROR(VLOOKUP(Proc[[#This Row],[App]],Table2[],3,0),"open")</f>
        <v>ok</v>
      </c>
      <c r="C3004" s="124" t="s">
        <v>369</v>
      </c>
      <c r="D3004" t="s">
        <v>5023</v>
      </c>
      <c r="E3004" t="s">
        <v>4068</v>
      </c>
      <c r="F3004" s="125" t="s">
        <v>4068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44" t="str">
        <f>IF(Proc[[#This Row],[Author]]="Marcela Urrego",VLOOKUP(LEFT(Proc[[#This Row],[Requested]],1),Table3[#All],2,0),VLOOKUP(Proc[[#This Row],[Author]],Table4[],2,0))</f>
        <v>HC</v>
      </c>
      <c r="L3004" s="125" t="s">
        <v>4894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94</v>
      </c>
      <c r="R3004" s="115" t="s">
        <v>1013</v>
      </c>
      <c r="S3004" s="125"/>
    </row>
    <row r="3005" spans="1:19">
      <c r="A3005" s="124" t="s">
        <v>5258</v>
      </c>
      <c r="B3005" s="149" t="str">
        <f>IFERROR(VLOOKUP(Proc[[#This Row],[App]],Table2[],3,0),"open")</f>
        <v>ok</v>
      </c>
      <c r="C3005" s="124" t="s">
        <v>369</v>
      </c>
      <c r="D3005" t="s">
        <v>5024</v>
      </c>
      <c r="E3005" t="s">
        <v>4068</v>
      </c>
      <c r="F3005" s="125" t="s">
        <v>4068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44" t="str">
        <f>IF(Proc[[#This Row],[Author]]="Marcela Urrego",VLOOKUP(LEFT(Proc[[#This Row],[Requested]],1),Table3[#All],2,0),VLOOKUP(Proc[[#This Row],[Author]],Table4[],2,0))</f>
        <v>HC</v>
      </c>
      <c r="L3005" s="125" t="s">
        <v>4894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94</v>
      </c>
      <c r="R3005" s="115" t="s">
        <v>1013</v>
      </c>
      <c r="S3005" s="125"/>
    </row>
    <row r="3006" spans="1:19">
      <c r="A3006" s="124" t="s">
        <v>5258</v>
      </c>
      <c r="B3006" s="149" t="str">
        <f>IFERROR(VLOOKUP(Proc[[#This Row],[App]],Table2[],3,0),"open")</f>
        <v>ok</v>
      </c>
      <c r="C3006" s="124" t="s">
        <v>369</v>
      </c>
      <c r="D3006" t="s">
        <v>5025</v>
      </c>
      <c r="E3006" t="s">
        <v>4068</v>
      </c>
      <c r="F3006" s="125" t="s">
        <v>4068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44" t="str">
        <f>IF(Proc[[#This Row],[Author]]="Marcela Urrego",VLOOKUP(LEFT(Proc[[#This Row],[Requested]],1),Table3[#All],2,0),VLOOKUP(Proc[[#This Row],[Author]],Table4[],2,0))</f>
        <v>HC</v>
      </c>
      <c r="L3006" s="125" t="s">
        <v>4894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94</v>
      </c>
      <c r="R3006" s="115" t="s">
        <v>1013</v>
      </c>
      <c r="S3006" s="125"/>
    </row>
    <row r="3007" spans="1:19">
      <c r="A3007" s="124" t="s">
        <v>5258</v>
      </c>
      <c r="B3007" s="149" t="str">
        <f>IFERROR(VLOOKUP(Proc[[#This Row],[App]],Table2[],3,0),"open")</f>
        <v>ok</v>
      </c>
      <c r="C3007" s="124" t="s">
        <v>369</v>
      </c>
      <c r="D3007" t="s">
        <v>5026</v>
      </c>
      <c r="E3007" t="s">
        <v>4068</v>
      </c>
      <c r="F3007" s="125" t="s">
        <v>4068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44" t="str">
        <f>IF(Proc[[#This Row],[Author]]="Marcela Urrego",VLOOKUP(LEFT(Proc[[#This Row],[Requested]],1),Table3[#All],2,0),VLOOKUP(Proc[[#This Row],[Author]],Table4[],2,0))</f>
        <v>HC</v>
      </c>
      <c r="L3007" s="125" t="s">
        <v>4894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94</v>
      </c>
      <c r="R3007" s="115" t="s">
        <v>1013</v>
      </c>
      <c r="S3007" s="125"/>
    </row>
    <row r="3008" spans="1:19">
      <c r="A3008" s="124" t="s">
        <v>5258</v>
      </c>
      <c r="B3008" s="149" t="str">
        <f>IFERROR(VLOOKUP(Proc[[#This Row],[App]],Table2[],3,0),"open")</f>
        <v>ok</v>
      </c>
      <c r="C3008" s="124" t="s">
        <v>369</v>
      </c>
      <c r="D3008" t="s">
        <v>5027</v>
      </c>
      <c r="E3008" t="s">
        <v>4068</v>
      </c>
      <c r="F3008" s="125" t="s">
        <v>4068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44" t="str">
        <f>IF(Proc[[#This Row],[Author]]="Marcela Urrego",VLOOKUP(LEFT(Proc[[#This Row],[Requested]],1),Table3[#All],2,0),VLOOKUP(Proc[[#This Row],[Author]],Table4[],2,0))</f>
        <v>HC</v>
      </c>
      <c r="L3008" s="125" t="s">
        <v>4894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94</v>
      </c>
      <c r="R3008" s="115" t="s">
        <v>1013</v>
      </c>
      <c r="S3008" s="125"/>
    </row>
    <row r="3009" spans="1:19">
      <c r="A3009" s="124" t="s">
        <v>5258</v>
      </c>
      <c r="B3009" s="149" t="str">
        <f>IFERROR(VLOOKUP(Proc[[#This Row],[App]],Table2[],3,0),"open")</f>
        <v>ok</v>
      </c>
      <c r="C3009" s="124" t="s">
        <v>369</v>
      </c>
      <c r="D3009" t="s">
        <v>5028</v>
      </c>
      <c r="E3009" t="s">
        <v>4068</v>
      </c>
      <c r="F3009" s="125" t="s">
        <v>4068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44" t="str">
        <f>IF(Proc[[#This Row],[Author]]="Marcela Urrego",VLOOKUP(LEFT(Proc[[#This Row],[Requested]],1),Table3[#All],2,0),VLOOKUP(Proc[[#This Row],[Author]],Table4[],2,0))</f>
        <v>HC</v>
      </c>
      <c r="L3009" s="125" t="s">
        <v>4894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94</v>
      </c>
      <c r="R3009" s="115" t="s">
        <v>1013</v>
      </c>
      <c r="S3009" s="125"/>
    </row>
    <row r="3010" spans="1:19">
      <c r="A3010" s="124" t="s">
        <v>5258</v>
      </c>
      <c r="B3010" s="149" t="str">
        <f>IFERROR(VLOOKUP(Proc[[#This Row],[App]],Table2[],3,0),"open")</f>
        <v>ok</v>
      </c>
      <c r="C3010" s="124" t="s">
        <v>369</v>
      </c>
      <c r="D3010" t="s">
        <v>5029</v>
      </c>
      <c r="E3010" t="s">
        <v>4068</v>
      </c>
      <c r="F3010" s="125" t="s">
        <v>4068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44" t="str">
        <f>IF(Proc[[#This Row],[Author]]="Marcela Urrego",VLOOKUP(LEFT(Proc[[#This Row],[Requested]],1),Table3[#All],2,0),VLOOKUP(Proc[[#This Row],[Author]],Table4[],2,0))</f>
        <v>HC</v>
      </c>
      <c r="L3010" s="125" t="s">
        <v>4894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94</v>
      </c>
      <c r="R3010" s="115" t="s">
        <v>1013</v>
      </c>
      <c r="S3010" s="125"/>
    </row>
    <row r="3011" spans="1:19">
      <c r="A3011" s="124" t="s">
        <v>5258</v>
      </c>
      <c r="B3011" s="149" t="str">
        <f>IFERROR(VLOOKUP(Proc[[#This Row],[App]],Table2[],3,0),"open")</f>
        <v>ok</v>
      </c>
      <c r="C3011" s="124" t="s">
        <v>369</v>
      </c>
      <c r="D3011" t="s">
        <v>5030</v>
      </c>
      <c r="E3011" t="s">
        <v>4068</v>
      </c>
      <c r="F3011" s="125" t="s">
        <v>4068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44" t="str">
        <f>IF(Proc[[#This Row],[Author]]="Marcela Urrego",VLOOKUP(LEFT(Proc[[#This Row],[Requested]],1),Table3[#All],2,0),VLOOKUP(Proc[[#This Row],[Author]],Table4[],2,0))</f>
        <v>HC</v>
      </c>
      <c r="L3011" s="125" t="s">
        <v>4894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94</v>
      </c>
      <c r="R3011" s="115" t="s">
        <v>1013</v>
      </c>
      <c r="S3011" s="125"/>
    </row>
    <row r="3012" spans="1:19">
      <c r="A3012" s="124" t="s">
        <v>5258</v>
      </c>
      <c r="B3012" s="149" t="str">
        <f>IFERROR(VLOOKUP(Proc[[#This Row],[App]],Table2[],3,0),"open")</f>
        <v>ok</v>
      </c>
      <c r="C3012" s="124" t="s">
        <v>369</v>
      </c>
      <c r="D3012" t="s">
        <v>5031</v>
      </c>
      <c r="E3012" t="s">
        <v>4068</v>
      </c>
      <c r="F3012" s="125" t="s">
        <v>4068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44" t="str">
        <f>IF(Proc[[#This Row],[Author]]="Marcela Urrego",VLOOKUP(LEFT(Proc[[#This Row],[Requested]],1),Table3[#All],2,0),VLOOKUP(Proc[[#This Row],[Author]],Table4[],2,0))</f>
        <v>HC</v>
      </c>
      <c r="L3012" s="125" t="s">
        <v>4894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94</v>
      </c>
      <c r="R3012" s="115" t="s">
        <v>1013</v>
      </c>
      <c r="S3012" s="125"/>
    </row>
    <row r="3013" spans="1:19">
      <c r="A3013" s="124" t="s">
        <v>5258</v>
      </c>
      <c r="B3013" s="149" t="str">
        <f>IFERROR(VLOOKUP(Proc[[#This Row],[App]],Table2[],3,0),"open")</f>
        <v>ok</v>
      </c>
      <c r="C3013" s="124" t="s">
        <v>369</v>
      </c>
      <c r="D3013" t="s">
        <v>5032</v>
      </c>
      <c r="E3013" t="s">
        <v>4068</v>
      </c>
      <c r="F3013" s="125" t="s">
        <v>4068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44" t="str">
        <f>IF(Proc[[#This Row],[Author]]="Marcela Urrego",VLOOKUP(LEFT(Proc[[#This Row],[Requested]],1),Table3[#All],2,0),VLOOKUP(Proc[[#This Row],[Author]],Table4[],2,0))</f>
        <v>HC</v>
      </c>
      <c r="L3013" s="125" t="s">
        <v>4894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94</v>
      </c>
      <c r="R3013" s="115" t="s">
        <v>1013</v>
      </c>
      <c r="S3013" s="125"/>
    </row>
    <row r="3014" spans="1:19">
      <c r="A3014" s="124" t="s">
        <v>5258</v>
      </c>
      <c r="B3014" s="149" t="str">
        <f>IFERROR(VLOOKUP(Proc[[#This Row],[App]],Table2[],3,0),"open")</f>
        <v>ok</v>
      </c>
      <c r="C3014" s="124" t="s">
        <v>369</v>
      </c>
      <c r="D3014" t="s">
        <v>5033</v>
      </c>
      <c r="E3014" t="s">
        <v>4068</v>
      </c>
      <c r="F3014" s="125" t="s">
        <v>4068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44" t="str">
        <f>IF(Proc[[#This Row],[Author]]="Marcela Urrego",VLOOKUP(LEFT(Proc[[#This Row],[Requested]],1),Table3[#All],2,0),VLOOKUP(Proc[[#This Row],[Author]],Table4[],2,0))</f>
        <v>HC</v>
      </c>
      <c r="L3014" s="125" t="s">
        <v>4894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94</v>
      </c>
      <c r="R3014" s="115" t="s">
        <v>1013</v>
      </c>
      <c r="S3014" s="125"/>
    </row>
    <row r="3015" spans="1:19">
      <c r="A3015" s="124" t="s">
        <v>5258</v>
      </c>
      <c r="B3015" s="149" t="str">
        <f>IFERROR(VLOOKUP(Proc[[#This Row],[App]],Table2[],3,0),"open")</f>
        <v>ok</v>
      </c>
      <c r="C3015" s="124" t="s">
        <v>369</v>
      </c>
      <c r="D3015" t="s">
        <v>5034</v>
      </c>
      <c r="E3015" t="s">
        <v>4068</v>
      </c>
      <c r="F3015" s="125" t="s">
        <v>4068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44" t="str">
        <f>IF(Proc[[#This Row],[Author]]="Marcela Urrego",VLOOKUP(LEFT(Proc[[#This Row],[Requested]],1),Table3[#All],2,0),VLOOKUP(Proc[[#This Row],[Author]],Table4[],2,0))</f>
        <v>HC</v>
      </c>
      <c r="L3015" s="125" t="s">
        <v>4894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94</v>
      </c>
      <c r="R3015" s="115" t="s">
        <v>1013</v>
      </c>
      <c r="S3015" s="125"/>
    </row>
    <row r="3016" spans="1:19">
      <c r="A3016" s="124" t="s">
        <v>5258</v>
      </c>
      <c r="B3016" s="149" t="str">
        <f>IFERROR(VLOOKUP(Proc[[#This Row],[App]],Table2[],3,0),"open")</f>
        <v>ok</v>
      </c>
      <c r="C3016" s="124" t="s">
        <v>369</v>
      </c>
      <c r="D3016" t="s">
        <v>5035</v>
      </c>
      <c r="E3016" t="s">
        <v>4068</v>
      </c>
      <c r="F3016" s="125" t="s">
        <v>4068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44" t="str">
        <f>IF(Proc[[#This Row],[Author]]="Marcela Urrego",VLOOKUP(LEFT(Proc[[#This Row],[Requested]],1),Table3[#All],2,0),VLOOKUP(Proc[[#This Row],[Author]],Table4[],2,0))</f>
        <v>HC</v>
      </c>
      <c r="L3016" s="125" t="s">
        <v>4894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94</v>
      </c>
      <c r="R3016" s="115" t="s">
        <v>1013</v>
      </c>
      <c r="S3016" s="125"/>
    </row>
    <row r="3017" spans="1:19">
      <c r="A3017" s="124" t="s">
        <v>5258</v>
      </c>
      <c r="B3017" s="149" t="str">
        <f>IFERROR(VLOOKUP(Proc[[#This Row],[App]],Table2[],3,0),"open")</f>
        <v>ok</v>
      </c>
      <c r="C3017" s="124" t="s">
        <v>369</v>
      </c>
      <c r="D3017" t="s">
        <v>5036</v>
      </c>
      <c r="E3017" t="s">
        <v>4068</v>
      </c>
      <c r="F3017" s="125" t="s">
        <v>4068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44" t="str">
        <f>IF(Proc[[#This Row],[Author]]="Marcela Urrego",VLOOKUP(LEFT(Proc[[#This Row],[Requested]],1),Table3[#All],2,0),VLOOKUP(Proc[[#This Row],[Author]],Table4[],2,0))</f>
        <v>HC</v>
      </c>
      <c r="L3017" s="125" t="s">
        <v>4894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94</v>
      </c>
      <c r="R3017" s="115" t="s">
        <v>1013</v>
      </c>
      <c r="S3017" s="125"/>
    </row>
    <row r="3018" spans="1:19">
      <c r="A3018" s="124" t="s">
        <v>5258</v>
      </c>
      <c r="B3018" s="149" t="str">
        <f>IFERROR(VLOOKUP(Proc[[#This Row],[App]],Table2[],3,0),"open")</f>
        <v>ok</v>
      </c>
      <c r="C3018" s="124" t="s">
        <v>369</v>
      </c>
      <c r="D3018" t="s">
        <v>5037</v>
      </c>
      <c r="E3018" t="s">
        <v>4068</v>
      </c>
      <c r="F3018" s="125" t="s">
        <v>4068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44" t="str">
        <f>IF(Proc[[#This Row],[Author]]="Marcela Urrego",VLOOKUP(LEFT(Proc[[#This Row],[Requested]],1),Table3[#All],2,0),VLOOKUP(Proc[[#This Row],[Author]],Table4[],2,0))</f>
        <v>HC</v>
      </c>
      <c r="L3018" s="125" t="s">
        <v>4894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94</v>
      </c>
      <c r="R3018" s="115" t="s">
        <v>1013</v>
      </c>
      <c r="S3018" s="125"/>
    </row>
    <row r="3019" spans="1:19">
      <c r="A3019" s="124" t="s">
        <v>5258</v>
      </c>
      <c r="B3019" s="149" t="str">
        <f>IFERROR(VLOOKUP(Proc[[#This Row],[App]],Table2[],3,0),"open")</f>
        <v>ok</v>
      </c>
      <c r="C3019" s="124" t="s">
        <v>369</v>
      </c>
      <c r="D3019" t="s">
        <v>5038</v>
      </c>
      <c r="E3019" t="s">
        <v>4068</v>
      </c>
      <c r="F3019" s="125" t="s">
        <v>4068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44" t="str">
        <f>IF(Proc[[#This Row],[Author]]="Marcela Urrego",VLOOKUP(LEFT(Proc[[#This Row],[Requested]],1),Table3[#All],2,0),VLOOKUP(Proc[[#This Row],[Author]],Table4[],2,0))</f>
        <v>HC</v>
      </c>
      <c r="L3019" s="125" t="s">
        <v>4894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94</v>
      </c>
      <c r="R3019" s="115" t="s">
        <v>1013</v>
      </c>
      <c r="S3019" s="125"/>
    </row>
    <row r="3020" spans="1:19">
      <c r="A3020" s="124" t="s">
        <v>5258</v>
      </c>
      <c r="B3020" s="149" t="str">
        <f>IFERROR(VLOOKUP(Proc[[#This Row],[App]],Table2[],3,0),"open")</f>
        <v>ok</v>
      </c>
      <c r="C3020" s="124" t="s">
        <v>369</v>
      </c>
      <c r="D3020" t="s">
        <v>5039</v>
      </c>
      <c r="E3020" t="s">
        <v>4068</v>
      </c>
      <c r="F3020" s="125" t="s">
        <v>4068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44" t="str">
        <f>IF(Proc[[#This Row],[Author]]="Marcela Urrego",VLOOKUP(LEFT(Proc[[#This Row],[Requested]],1),Table3[#All],2,0),VLOOKUP(Proc[[#This Row],[Author]],Table4[],2,0))</f>
        <v>HC</v>
      </c>
      <c r="L3020" s="125" t="s">
        <v>4894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94</v>
      </c>
      <c r="R3020" s="115" t="s">
        <v>1013</v>
      </c>
      <c r="S3020" s="125"/>
    </row>
    <row r="3021" spans="1:19">
      <c r="A3021" s="124" t="s">
        <v>5258</v>
      </c>
      <c r="B3021" s="149" t="str">
        <f>IFERROR(VLOOKUP(Proc[[#This Row],[App]],Table2[],3,0),"open")</f>
        <v>ok</v>
      </c>
      <c r="C3021" s="124" t="s">
        <v>369</v>
      </c>
      <c r="D3021" t="s">
        <v>5040</v>
      </c>
      <c r="E3021" t="s">
        <v>4068</v>
      </c>
      <c r="F3021" s="125" t="s">
        <v>4068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44" t="str">
        <f>IF(Proc[[#This Row],[Author]]="Marcela Urrego",VLOOKUP(LEFT(Proc[[#This Row],[Requested]],1),Table3[#All],2,0),VLOOKUP(Proc[[#This Row],[Author]],Table4[],2,0))</f>
        <v>HC</v>
      </c>
      <c r="L3021" s="125" t="s">
        <v>4894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94</v>
      </c>
      <c r="R3021" s="115" t="s">
        <v>1013</v>
      </c>
      <c r="S3021" s="125"/>
    </row>
    <row r="3022" spans="1:19">
      <c r="A3022" s="124" t="s">
        <v>5258</v>
      </c>
      <c r="B3022" s="149" t="str">
        <f>IFERROR(VLOOKUP(Proc[[#This Row],[App]],Table2[],3,0),"open")</f>
        <v>ok</v>
      </c>
      <c r="C3022" s="124" t="s">
        <v>369</v>
      </c>
      <c r="D3022" t="s">
        <v>5041</v>
      </c>
      <c r="E3022" t="s">
        <v>4068</v>
      </c>
      <c r="F3022" s="125" t="s">
        <v>4068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44" t="str">
        <f>IF(Proc[[#This Row],[Author]]="Marcela Urrego",VLOOKUP(LEFT(Proc[[#This Row],[Requested]],1),Table3[#All],2,0),VLOOKUP(Proc[[#This Row],[Author]],Table4[],2,0))</f>
        <v>HC</v>
      </c>
      <c r="L3022" s="125" t="s">
        <v>4894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94</v>
      </c>
      <c r="R3022" s="115" t="s">
        <v>1013</v>
      </c>
      <c r="S3022" s="125"/>
    </row>
    <row r="3023" spans="1:19">
      <c r="A3023" s="124" t="s">
        <v>5258</v>
      </c>
      <c r="B3023" s="149" t="str">
        <f>IFERROR(VLOOKUP(Proc[[#This Row],[App]],Table2[],3,0),"open")</f>
        <v>ok</v>
      </c>
      <c r="C3023" s="124" t="s">
        <v>369</v>
      </c>
      <c r="D3023" t="s">
        <v>5042</v>
      </c>
      <c r="E3023" t="s">
        <v>4068</v>
      </c>
      <c r="F3023" s="125" t="s">
        <v>4068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44" t="str">
        <f>IF(Proc[[#This Row],[Author]]="Marcela Urrego",VLOOKUP(LEFT(Proc[[#This Row],[Requested]],1),Table3[#All],2,0),VLOOKUP(Proc[[#This Row],[Author]],Table4[],2,0))</f>
        <v>HC</v>
      </c>
      <c r="L3023" s="125" t="s">
        <v>4894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94</v>
      </c>
      <c r="R3023" s="115" t="s">
        <v>1013</v>
      </c>
      <c r="S3023" s="125"/>
    </row>
    <row r="3024" spans="1:19">
      <c r="A3024" s="124" t="s">
        <v>5258</v>
      </c>
      <c r="B3024" s="149" t="str">
        <f>IFERROR(VLOOKUP(Proc[[#This Row],[App]],Table2[],3,0),"open")</f>
        <v>ok</v>
      </c>
      <c r="C3024" s="124" t="s">
        <v>369</v>
      </c>
      <c r="D3024" t="s">
        <v>5043</v>
      </c>
      <c r="E3024" t="s">
        <v>4068</v>
      </c>
      <c r="F3024" s="125" t="s">
        <v>4068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44" t="str">
        <f>IF(Proc[[#This Row],[Author]]="Marcela Urrego",VLOOKUP(LEFT(Proc[[#This Row],[Requested]],1),Table3[#All],2,0),VLOOKUP(Proc[[#This Row],[Author]],Table4[],2,0))</f>
        <v>HC</v>
      </c>
      <c r="L3024" s="125" t="s">
        <v>4894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94</v>
      </c>
      <c r="R3024" s="115" t="s">
        <v>1013</v>
      </c>
      <c r="S3024" s="125"/>
    </row>
    <row r="3025" spans="1:19">
      <c r="A3025" s="124" t="s">
        <v>5258</v>
      </c>
      <c r="B3025" s="149" t="str">
        <f>IFERROR(VLOOKUP(Proc[[#This Row],[App]],Table2[],3,0),"open")</f>
        <v>ok</v>
      </c>
      <c r="C3025" s="124" t="s">
        <v>369</v>
      </c>
      <c r="D3025" t="s">
        <v>5044</v>
      </c>
      <c r="E3025" t="s">
        <v>4068</v>
      </c>
      <c r="F3025" s="125" t="s">
        <v>4068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44" t="str">
        <f>IF(Proc[[#This Row],[Author]]="Marcela Urrego",VLOOKUP(LEFT(Proc[[#This Row],[Requested]],1),Table3[#All],2,0),VLOOKUP(Proc[[#This Row],[Author]],Table4[],2,0))</f>
        <v>HC</v>
      </c>
      <c r="L3025" s="125" t="s">
        <v>4894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94</v>
      </c>
      <c r="R3025" s="115" t="s">
        <v>1013</v>
      </c>
      <c r="S3025" s="125"/>
    </row>
    <row r="3026" spans="1:19">
      <c r="A3026" s="124" t="s">
        <v>5258</v>
      </c>
      <c r="B3026" s="149" t="str">
        <f>IFERROR(VLOOKUP(Proc[[#This Row],[App]],Table2[],3,0),"open")</f>
        <v>ok</v>
      </c>
      <c r="C3026" s="124" t="s">
        <v>369</v>
      </c>
      <c r="D3026" t="s">
        <v>5045</v>
      </c>
      <c r="E3026" t="s">
        <v>4068</v>
      </c>
      <c r="F3026" s="125" t="s">
        <v>4068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44" t="str">
        <f>IF(Proc[[#This Row],[Author]]="Marcela Urrego",VLOOKUP(LEFT(Proc[[#This Row],[Requested]],1),Table3[#All],2,0),VLOOKUP(Proc[[#This Row],[Author]],Table4[],2,0))</f>
        <v>HC</v>
      </c>
      <c r="L3026" s="125" t="s">
        <v>4894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94</v>
      </c>
      <c r="R3026" s="115" t="s">
        <v>1013</v>
      </c>
      <c r="S3026" s="125"/>
    </row>
    <row r="3027" spans="1:19">
      <c r="A3027" s="124" t="s">
        <v>5258</v>
      </c>
      <c r="B3027" s="149" t="str">
        <f>IFERROR(VLOOKUP(Proc[[#This Row],[App]],Table2[],3,0),"open")</f>
        <v>ok</v>
      </c>
      <c r="C3027" s="124" t="s">
        <v>369</v>
      </c>
      <c r="D3027" t="s">
        <v>5046</v>
      </c>
      <c r="E3027" t="s">
        <v>4068</v>
      </c>
      <c r="F3027" s="125" t="s">
        <v>4068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44" t="str">
        <f>IF(Proc[[#This Row],[Author]]="Marcela Urrego",VLOOKUP(LEFT(Proc[[#This Row],[Requested]],1),Table3[#All],2,0),VLOOKUP(Proc[[#This Row],[Author]],Table4[],2,0))</f>
        <v>HC</v>
      </c>
      <c r="L3027" s="125" t="s">
        <v>4894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94</v>
      </c>
      <c r="R3027" s="115" t="s">
        <v>1013</v>
      </c>
      <c r="S3027" s="125"/>
    </row>
    <row r="3028" spans="1:19">
      <c r="A3028" s="124" t="s">
        <v>5258</v>
      </c>
      <c r="B3028" s="149" t="str">
        <f>IFERROR(VLOOKUP(Proc[[#This Row],[App]],Table2[],3,0),"open")</f>
        <v>ok</v>
      </c>
      <c r="C3028" s="124" t="s">
        <v>369</v>
      </c>
      <c r="D3028" t="s">
        <v>5047</v>
      </c>
      <c r="E3028" t="s">
        <v>4068</v>
      </c>
      <c r="F3028" s="125" t="s">
        <v>4068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44" t="str">
        <f>IF(Proc[[#This Row],[Author]]="Marcela Urrego",VLOOKUP(LEFT(Proc[[#This Row],[Requested]],1),Table3[#All],2,0),VLOOKUP(Proc[[#This Row],[Author]],Table4[],2,0))</f>
        <v>HC</v>
      </c>
      <c r="L3028" s="125" t="s">
        <v>4894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94</v>
      </c>
      <c r="R3028" s="115" t="s">
        <v>1013</v>
      </c>
      <c r="S3028" s="125"/>
    </row>
    <row r="3029" spans="1:19">
      <c r="A3029" s="124" t="s">
        <v>5258</v>
      </c>
      <c r="B3029" s="149" t="str">
        <f>IFERROR(VLOOKUP(Proc[[#This Row],[App]],Table2[],3,0),"open")</f>
        <v>ok</v>
      </c>
      <c r="C3029" s="124" t="s">
        <v>369</v>
      </c>
      <c r="D3029" t="s">
        <v>5048</v>
      </c>
      <c r="E3029" t="s">
        <v>4068</v>
      </c>
      <c r="F3029" s="125" t="s">
        <v>4068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44" t="str">
        <f>IF(Proc[[#This Row],[Author]]="Marcela Urrego",VLOOKUP(LEFT(Proc[[#This Row],[Requested]],1),Table3[#All],2,0),VLOOKUP(Proc[[#This Row],[Author]],Table4[],2,0))</f>
        <v>HC</v>
      </c>
      <c r="L3029" s="125" t="s">
        <v>4894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94</v>
      </c>
      <c r="R3029" s="115" t="s">
        <v>1013</v>
      </c>
      <c r="S3029" s="125"/>
    </row>
    <row r="3030" spans="1:19">
      <c r="A3030" s="124" t="s">
        <v>5258</v>
      </c>
      <c r="B3030" s="149" t="str">
        <f>IFERROR(VLOOKUP(Proc[[#This Row],[App]],Table2[],3,0),"open")</f>
        <v>ok</v>
      </c>
      <c r="C3030" s="124" t="s">
        <v>369</v>
      </c>
      <c r="D3030" t="s">
        <v>5049</v>
      </c>
      <c r="E3030" t="s">
        <v>4068</v>
      </c>
      <c r="F3030" s="125" t="s">
        <v>4068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44" t="str">
        <f>IF(Proc[[#This Row],[Author]]="Marcela Urrego",VLOOKUP(LEFT(Proc[[#This Row],[Requested]],1),Table3[#All],2,0),VLOOKUP(Proc[[#This Row],[Author]],Table4[],2,0))</f>
        <v>HC</v>
      </c>
      <c r="L3030" s="125" t="s">
        <v>4894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94</v>
      </c>
      <c r="R3030" s="115" t="s">
        <v>1013</v>
      </c>
      <c r="S3030" s="125"/>
    </row>
    <row r="3031" spans="1:19">
      <c r="A3031" s="124" t="s">
        <v>5258</v>
      </c>
      <c r="B3031" s="149" t="str">
        <f>IFERROR(VLOOKUP(Proc[[#This Row],[App]],Table2[],3,0),"open")</f>
        <v>ok</v>
      </c>
      <c r="C3031" s="124" t="s">
        <v>369</v>
      </c>
      <c r="D3031" t="s">
        <v>5050</v>
      </c>
      <c r="E3031" t="s">
        <v>4068</v>
      </c>
      <c r="F3031" s="125" t="s">
        <v>4068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44" t="str">
        <f>IF(Proc[[#This Row],[Author]]="Marcela Urrego",VLOOKUP(LEFT(Proc[[#This Row],[Requested]],1),Table3[#All],2,0),VLOOKUP(Proc[[#This Row],[Author]],Table4[],2,0))</f>
        <v>HC</v>
      </c>
      <c r="L3031" s="125" t="s">
        <v>4894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94</v>
      </c>
      <c r="R3031" s="115" t="s">
        <v>1013</v>
      </c>
      <c r="S3031" s="125"/>
    </row>
    <row r="3032" spans="1:19">
      <c r="A3032" s="124" t="s">
        <v>5258</v>
      </c>
      <c r="B3032" s="149" t="str">
        <f>IFERROR(VLOOKUP(Proc[[#This Row],[App]],Table2[],3,0),"open")</f>
        <v>ok</v>
      </c>
      <c r="C3032" s="124" t="s">
        <v>369</v>
      </c>
      <c r="D3032" t="s">
        <v>5051</v>
      </c>
      <c r="E3032" t="s">
        <v>4068</v>
      </c>
      <c r="F3032" s="125" t="s">
        <v>4068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44" t="str">
        <f>IF(Proc[[#This Row],[Author]]="Marcela Urrego",VLOOKUP(LEFT(Proc[[#This Row],[Requested]],1),Table3[#All],2,0),VLOOKUP(Proc[[#This Row],[Author]],Table4[],2,0))</f>
        <v>HC</v>
      </c>
      <c r="L3032" s="125" t="s">
        <v>4894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94</v>
      </c>
      <c r="R3032" s="115" t="s">
        <v>1013</v>
      </c>
      <c r="S3032" s="125"/>
    </row>
    <row r="3033" spans="1:19">
      <c r="A3033" s="124" t="s">
        <v>5258</v>
      </c>
      <c r="B3033" s="149" t="str">
        <f>IFERROR(VLOOKUP(Proc[[#This Row],[App]],Table2[],3,0),"open")</f>
        <v>ok</v>
      </c>
      <c r="C3033" s="124" t="s">
        <v>369</v>
      </c>
      <c r="D3033" t="s">
        <v>5052</v>
      </c>
      <c r="E3033" t="s">
        <v>4068</v>
      </c>
      <c r="F3033" s="125" t="s">
        <v>4068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44" t="str">
        <f>IF(Proc[[#This Row],[Author]]="Marcela Urrego",VLOOKUP(LEFT(Proc[[#This Row],[Requested]],1),Table3[#All],2,0),VLOOKUP(Proc[[#This Row],[Author]],Table4[],2,0))</f>
        <v>HC</v>
      </c>
      <c r="L3033" s="125" t="s">
        <v>4894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94</v>
      </c>
      <c r="R3033" s="115" t="s">
        <v>1013</v>
      </c>
      <c r="S3033" s="125"/>
    </row>
    <row r="3034" spans="1:19">
      <c r="A3034" s="124" t="s">
        <v>5258</v>
      </c>
      <c r="B3034" s="149" t="str">
        <f>IFERROR(VLOOKUP(Proc[[#This Row],[App]],Table2[],3,0),"open")</f>
        <v>ok</v>
      </c>
      <c r="C3034" s="124" t="s">
        <v>369</v>
      </c>
      <c r="D3034" t="s">
        <v>5053</v>
      </c>
      <c r="E3034" t="s">
        <v>4068</v>
      </c>
      <c r="F3034" s="125" t="s">
        <v>4068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44" t="str">
        <f>IF(Proc[[#This Row],[Author]]="Marcela Urrego",VLOOKUP(LEFT(Proc[[#This Row],[Requested]],1),Table3[#All],2,0),VLOOKUP(Proc[[#This Row],[Author]],Table4[],2,0))</f>
        <v>HC</v>
      </c>
      <c r="L3034" s="125" t="s">
        <v>4894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94</v>
      </c>
      <c r="R3034" s="115" t="s">
        <v>1013</v>
      </c>
      <c r="S3034" s="125"/>
    </row>
    <row r="3035" spans="1:19">
      <c r="A3035" s="124" t="s">
        <v>5258</v>
      </c>
      <c r="B3035" s="149" t="str">
        <f>IFERROR(VLOOKUP(Proc[[#This Row],[App]],Table2[],3,0),"open")</f>
        <v>ok</v>
      </c>
      <c r="C3035" s="124" t="s">
        <v>369</v>
      </c>
      <c r="D3035" t="s">
        <v>5054</v>
      </c>
      <c r="E3035" t="s">
        <v>4068</v>
      </c>
      <c r="F3035" s="125" t="s">
        <v>4068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44" t="str">
        <f>IF(Proc[[#This Row],[Author]]="Marcela Urrego",VLOOKUP(LEFT(Proc[[#This Row],[Requested]],1),Table3[#All],2,0),VLOOKUP(Proc[[#This Row],[Author]],Table4[],2,0))</f>
        <v>HC</v>
      </c>
      <c r="L3035" s="125" t="s">
        <v>4894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94</v>
      </c>
      <c r="R3035" s="115" t="s">
        <v>1013</v>
      </c>
      <c r="S3035" s="125"/>
    </row>
    <row r="3036" spans="1:19">
      <c r="A3036" s="124" t="s">
        <v>5258</v>
      </c>
      <c r="B3036" s="149" t="str">
        <f>IFERROR(VLOOKUP(Proc[[#This Row],[App]],Table2[],3,0),"open")</f>
        <v>ok</v>
      </c>
      <c r="C3036" s="124" t="s">
        <v>369</v>
      </c>
      <c r="D3036" t="s">
        <v>5055</v>
      </c>
      <c r="E3036" t="s">
        <v>4068</v>
      </c>
      <c r="F3036" s="125" t="s">
        <v>4068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44" t="str">
        <f>IF(Proc[[#This Row],[Author]]="Marcela Urrego",VLOOKUP(LEFT(Proc[[#This Row],[Requested]],1),Table3[#All],2,0),VLOOKUP(Proc[[#This Row],[Author]],Table4[],2,0))</f>
        <v>HC</v>
      </c>
      <c r="L3036" s="125" t="s">
        <v>4894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94</v>
      </c>
      <c r="R3036" s="115" t="s">
        <v>1013</v>
      </c>
      <c r="S3036" s="125"/>
    </row>
    <row r="3037" spans="1:19">
      <c r="A3037" s="124" t="s">
        <v>5258</v>
      </c>
      <c r="B3037" s="149" t="str">
        <f>IFERROR(VLOOKUP(Proc[[#This Row],[App]],Table2[],3,0),"open")</f>
        <v>ok</v>
      </c>
      <c r="C3037" s="124" t="s">
        <v>369</v>
      </c>
      <c r="D3037" t="s">
        <v>5056</v>
      </c>
      <c r="E3037" t="s">
        <v>4068</v>
      </c>
      <c r="F3037" s="125" t="s">
        <v>4068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44" t="str">
        <f>IF(Proc[[#This Row],[Author]]="Marcela Urrego",VLOOKUP(LEFT(Proc[[#This Row],[Requested]],1),Table3[#All],2,0),VLOOKUP(Proc[[#This Row],[Author]],Table4[],2,0))</f>
        <v>HC</v>
      </c>
      <c r="L3037" s="125" t="s">
        <v>4894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94</v>
      </c>
      <c r="R3037" s="115" t="s">
        <v>1013</v>
      </c>
      <c r="S3037" s="125"/>
    </row>
    <row r="3038" spans="1:19">
      <c r="A3038" s="124" t="s">
        <v>5258</v>
      </c>
      <c r="B3038" s="149" t="str">
        <f>IFERROR(VLOOKUP(Proc[[#This Row],[App]],Table2[],3,0),"open")</f>
        <v>ok</v>
      </c>
      <c r="C3038" s="124" t="s">
        <v>369</v>
      </c>
      <c r="D3038" t="s">
        <v>5057</v>
      </c>
      <c r="E3038" t="s">
        <v>4068</v>
      </c>
      <c r="F3038" s="125" t="s">
        <v>4068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44" t="str">
        <f>IF(Proc[[#This Row],[Author]]="Marcela Urrego",VLOOKUP(LEFT(Proc[[#This Row],[Requested]],1),Table3[#All],2,0),VLOOKUP(Proc[[#This Row],[Author]],Table4[],2,0))</f>
        <v>HC</v>
      </c>
      <c r="L3038" s="125" t="s">
        <v>4894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94</v>
      </c>
      <c r="R3038" s="115" t="s">
        <v>1013</v>
      </c>
      <c r="S3038" s="125"/>
    </row>
    <row r="3039" spans="1:19">
      <c r="A3039" s="124" t="s">
        <v>5258</v>
      </c>
      <c r="B3039" s="149" t="str">
        <f>IFERROR(VLOOKUP(Proc[[#This Row],[App]],Table2[],3,0),"open")</f>
        <v>ok</v>
      </c>
      <c r="C3039" s="124" t="s">
        <v>369</v>
      </c>
      <c r="D3039" t="s">
        <v>5058</v>
      </c>
      <c r="E3039" t="s">
        <v>4068</v>
      </c>
      <c r="F3039" s="125" t="s">
        <v>4068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44" t="str">
        <f>IF(Proc[[#This Row],[Author]]="Marcela Urrego",VLOOKUP(LEFT(Proc[[#This Row],[Requested]],1),Table3[#All],2,0),VLOOKUP(Proc[[#This Row],[Author]],Table4[],2,0))</f>
        <v>HC</v>
      </c>
      <c r="L3039" s="125" t="s">
        <v>4894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94</v>
      </c>
      <c r="R3039" s="115" t="s">
        <v>1013</v>
      </c>
      <c r="S3039" s="125"/>
    </row>
    <row r="3040" spans="1:19">
      <c r="A3040" s="124" t="s">
        <v>5258</v>
      </c>
      <c r="B3040" s="149" t="str">
        <f>IFERROR(VLOOKUP(Proc[[#This Row],[App]],Table2[],3,0),"open")</f>
        <v>ok</v>
      </c>
      <c r="C3040" s="124" t="s">
        <v>369</v>
      </c>
      <c r="D3040" t="s">
        <v>5059</v>
      </c>
      <c r="E3040" t="s">
        <v>4068</v>
      </c>
      <c r="F3040" s="125" t="s">
        <v>4068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44" t="str">
        <f>IF(Proc[[#This Row],[Author]]="Marcela Urrego",VLOOKUP(LEFT(Proc[[#This Row],[Requested]],1),Table3[#All],2,0),VLOOKUP(Proc[[#This Row],[Author]],Table4[],2,0))</f>
        <v>HC</v>
      </c>
      <c r="L3040" s="125" t="s">
        <v>4894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94</v>
      </c>
      <c r="R3040" s="115" t="s">
        <v>1013</v>
      </c>
      <c r="S3040" s="125"/>
    </row>
    <row r="3041" spans="1:19">
      <c r="A3041" s="124" t="s">
        <v>5258</v>
      </c>
      <c r="B3041" s="149" t="str">
        <f>IFERROR(VLOOKUP(Proc[[#This Row],[App]],Table2[],3,0),"open")</f>
        <v>ok</v>
      </c>
      <c r="C3041" s="124" t="s">
        <v>369</v>
      </c>
      <c r="D3041" t="s">
        <v>5060</v>
      </c>
      <c r="E3041" t="s">
        <v>4068</v>
      </c>
      <c r="F3041" s="125" t="s">
        <v>4068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44" t="str">
        <f>IF(Proc[[#This Row],[Author]]="Marcela Urrego",VLOOKUP(LEFT(Proc[[#This Row],[Requested]],1),Table3[#All],2,0),VLOOKUP(Proc[[#This Row],[Author]],Table4[],2,0))</f>
        <v>HC</v>
      </c>
      <c r="L3041" s="125" t="s">
        <v>4894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94</v>
      </c>
      <c r="R3041" s="115" t="s">
        <v>1013</v>
      </c>
      <c r="S3041" s="125"/>
    </row>
    <row r="3042" spans="1:19">
      <c r="A3042" s="124" t="s">
        <v>5258</v>
      </c>
      <c r="B3042" s="149" t="str">
        <f>IFERROR(VLOOKUP(Proc[[#This Row],[App]],Table2[],3,0),"open")</f>
        <v>ok</v>
      </c>
      <c r="C3042" s="124" t="s">
        <v>369</v>
      </c>
      <c r="D3042" t="s">
        <v>5061</v>
      </c>
      <c r="E3042" t="s">
        <v>4068</v>
      </c>
      <c r="F3042" s="125" t="s">
        <v>4068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44" t="str">
        <f>IF(Proc[[#This Row],[Author]]="Marcela Urrego",VLOOKUP(LEFT(Proc[[#This Row],[Requested]],1),Table3[#All],2,0),VLOOKUP(Proc[[#This Row],[Author]],Table4[],2,0))</f>
        <v>HC</v>
      </c>
      <c r="L3042" s="125" t="s">
        <v>4894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94</v>
      </c>
      <c r="R3042" s="115" t="s">
        <v>1013</v>
      </c>
      <c r="S3042" s="125"/>
    </row>
    <row r="3043" spans="1:19">
      <c r="A3043" s="124" t="s">
        <v>5258</v>
      </c>
      <c r="B3043" s="149" t="str">
        <f>IFERROR(VLOOKUP(Proc[[#This Row],[App]],Table2[],3,0),"open")</f>
        <v>ok</v>
      </c>
      <c r="C3043" s="124" t="s">
        <v>369</v>
      </c>
      <c r="D3043" t="s">
        <v>5062</v>
      </c>
      <c r="E3043" t="s">
        <v>4068</v>
      </c>
      <c r="F3043" s="125" t="s">
        <v>4068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44" t="str">
        <f>IF(Proc[[#This Row],[Author]]="Marcela Urrego",VLOOKUP(LEFT(Proc[[#This Row],[Requested]],1),Table3[#All],2,0),VLOOKUP(Proc[[#This Row],[Author]],Table4[],2,0))</f>
        <v>HC</v>
      </c>
      <c r="L3043" s="125" t="s">
        <v>4894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94</v>
      </c>
      <c r="R3043" s="115" t="s">
        <v>1013</v>
      </c>
      <c r="S3043" s="125"/>
    </row>
    <row r="3044" spans="1:19">
      <c r="A3044" s="124" t="s">
        <v>5258</v>
      </c>
      <c r="B3044" s="149" t="str">
        <f>IFERROR(VLOOKUP(Proc[[#This Row],[App]],Table2[],3,0),"open")</f>
        <v>ok</v>
      </c>
      <c r="C3044" s="124" t="s">
        <v>369</v>
      </c>
      <c r="D3044" t="s">
        <v>5063</v>
      </c>
      <c r="E3044" t="s">
        <v>4068</v>
      </c>
      <c r="F3044" s="125" t="s">
        <v>4068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44" t="str">
        <f>IF(Proc[[#This Row],[Author]]="Marcela Urrego",VLOOKUP(LEFT(Proc[[#This Row],[Requested]],1),Table3[#All],2,0),VLOOKUP(Proc[[#This Row],[Author]],Table4[],2,0))</f>
        <v>HC</v>
      </c>
      <c r="L3044" s="125" t="s">
        <v>4894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94</v>
      </c>
      <c r="R3044" s="115" t="s">
        <v>1013</v>
      </c>
      <c r="S3044" s="125"/>
    </row>
    <row r="3045" spans="1:19">
      <c r="A3045" s="124" t="s">
        <v>5258</v>
      </c>
      <c r="B3045" s="149" t="str">
        <f>IFERROR(VLOOKUP(Proc[[#This Row],[App]],Table2[],3,0),"open")</f>
        <v>ok</v>
      </c>
      <c r="C3045" s="124" t="s">
        <v>369</v>
      </c>
      <c r="D3045" t="s">
        <v>5064</v>
      </c>
      <c r="E3045" t="s">
        <v>4068</v>
      </c>
      <c r="F3045" s="125" t="s">
        <v>4068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44" t="str">
        <f>IF(Proc[[#This Row],[Author]]="Marcela Urrego",VLOOKUP(LEFT(Proc[[#This Row],[Requested]],1),Table3[#All],2,0),VLOOKUP(Proc[[#This Row],[Author]],Table4[],2,0))</f>
        <v>HC</v>
      </c>
      <c r="L3045" s="125" t="s">
        <v>4894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94</v>
      </c>
      <c r="R3045" s="115" t="s">
        <v>1013</v>
      </c>
      <c r="S3045" s="125"/>
    </row>
    <row r="3046" spans="1:19">
      <c r="A3046" s="124" t="s">
        <v>5258</v>
      </c>
      <c r="B3046" s="149" t="str">
        <f>IFERROR(VLOOKUP(Proc[[#This Row],[App]],Table2[],3,0),"open")</f>
        <v>ok</v>
      </c>
      <c r="C3046" s="124" t="s">
        <v>369</v>
      </c>
      <c r="D3046" t="s">
        <v>5065</v>
      </c>
      <c r="E3046" t="s">
        <v>4068</v>
      </c>
      <c r="F3046" s="125" t="s">
        <v>4068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44" t="str">
        <f>IF(Proc[[#This Row],[Author]]="Marcela Urrego",VLOOKUP(LEFT(Proc[[#This Row],[Requested]],1),Table3[#All],2,0),VLOOKUP(Proc[[#This Row],[Author]],Table4[],2,0))</f>
        <v>HC</v>
      </c>
      <c r="L3046" s="125" t="s">
        <v>4894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94</v>
      </c>
      <c r="R3046" s="115" t="s">
        <v>1013</v>
      </c>
      <c r="S3046" s="125"/>
    </row>
    <row r="3047" spans="1:19">
      <c r="A3047" s="124" t="s">
        <v>5258</v>
      </c>
      <c r="B3047" s="149" t="str">
        <f>IFERROR(VLOOKUP(Proc[[#This Row],[App]],Table2[],3,0),"open")</f>
        <v>ok</v>
      </c>
      <c r="C3047" s="124" t="s">
        <v>369</v>
      </c>
      <c r="D3047" t="s">
        <v>5066</v>
      </c>
      <c r="E3047" t="s">
        <v>4068</v>
      </c>
      <c r="F3047" s="125" t="s">
        <v>4068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44" t="str">
        <f>IF(Proc[[#This Row],[Author]]="Marcela Urrego",VLOOKUP(LEFT(Proc[[#This Row],[Requested]],1),Table3[#All],2,0),VLOOKUP(Proc[[#This Row],[Author]],Table4[],2,0))</f>
        <v>HC</v>
      </c>
      <c r="L3047" s="125" t="s">
        <v>4894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94</v>
      </c>
      <c r="R3047" s="115" t="s">
        <v>1013</v>
      </c>
      <c r="S3047" s="125"/>
    </row>
    <row r="3048" spans="1:19">
      <c r="A3048" s="124" t="s">
        <v>5258</v>
      </c>
      <c r="B3048" s="149" t="str">
        <f>IFERROR(VLOOKUP(Proc[[#This Row],[App]],Table2[],3,0),"open")</f>
        <v>ok</v>
      </c>
      <c r="C3048" s="124" t="s">
        <v>369</v>
      </c>
      <c r="D3048" t="s">
        <v>5067</v>
      </c>
      <c r="E3048" t="s">
        <v>4068</v>
      </c>
      <c r="F3048" s="125" t="s">
        <v>4068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44" t="str">
        <f>IF(Proc[[#This Row],[Author]]="Marcela Urrego",VLOOKUP(LEFT(Proc[[#This Row],[Requested]],1),Table3[#All],2,0),VLOOKUP(Proc[[#This Row],[Author]],Table4[],2,0))</f>
        <v>HC</v>
      </c>
      <c r="L3048" s="125" t="s">
        <v>4894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94</v>
      </c>
      <c r="R3048" s="115" t="s">
        <v>1013</v>
      </c>
      <c r="S3048" s="125"/>
    </row>
    <row r="3049" spans="1:19">
      <c r="A3049" s="124" t="s">
        <v>5258</v>
      </c>
      <c r="B3049" s="149" t="str">
        <f>IFERROR(VLOOKUP(Proc[[#This Row],[App]],Table2[],3,0),"open")</f>
        <v>ok</v>
      </c>
      <c r="C3049" s="124" t="s">
        <v>369</v>
      </c>
      <c r="D3049" t="s">
        <v>5068</v>
      </c>
      <c r="E3049" t="s">
        <v>4068</v>
      </c>
      <c r="F3049" s="125" t="s">
        <v>4068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44" t="str">
        <f>IF(Proc[[#This Row],[Author]]="Marcela Urrego",VLOOKUP(LEFT(Proc[[#This Row],[Requested]],1),Table3[#All],2,0),VLOOKUP(Proc[[#This Row],[Author]],Table4[],2,0))</f>
        <v>HC</v>
      </c>
      <c r="L3049" s="125" t="s">
        <v>4894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94</v>
      </c>
      <c r="R3049" s="115" t="s">
        <v>1013</v>
      </c>
      <c r="S3049" s="125"/>
    </row>
    <row r="3050" spans="1:19">
      <c r="A3050" s="124" t="s">
        <v>5258</v>
      </c>
      <c r="B3050" s="149" t="str">
        <f>IFERROR(VLOOKUP(Proc[[#This Row],[App]],Table2[],3,0),"open")</f>
        <v>ok</v>
      </c>
      <c r="C3050" s="124" t="s">
        <v>369</v>
      </c>
      <c r="D3050" t="s">
        <v>5069</v>
      </c>
      <c r="E3050" t="s">
        <v>4068</v>
      </c>
      <c r="F3050" s="125" t="s">
        <v>4068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44" t="str">
        <f>IF(Proc[[#This Row],[Author]]="Marcela Urrego",VLOOKUP(LEFT(Proc[[#This Row],[Requested]],1),Table3[#All],2,0),VLOOKUP(Proc[[#This Row],[Author]],Table4[],2,0))</f>
        <v>HC</v>
      </c>
      <c r="L3050" s="125" t="s">
        <v>4894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94</v>
      </c>
      <c r="R3050" s="115" t="s">
        <v>1013</v>
      </c>
      <c r="S3050" s="125"/>
    </row>
    <row r="3051" spans="1:19">
      <c r="A3051" s="124" t="s">
        <v>5258</v>
      </c>
      <c r="B3051" s="149" t="str">
        <f>IFERROR(VLOOKUP(Proc[[#This Row],[App]],Table2[],3,0),"open")</f>
        <v>ok</v>
      </c>
      <c r="C3051" s="124" t="s">
        <v>369</v>
      </c>
      <c r="D3051" t="s">
        <v>5070</v>
      </c>
      <c r="E3051" t="s">
        <v>4068</v>
      </c>
      <c r="F3051" s="125" t="s">
        <v>4068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44" t="str">
        <f>IF(Proc[[#This Row],[Author]]="Marcela Urrego",VLOOKUP(LEFT(Proc[[#This Row],[Requested]],1),Table3[#All],2,0),VLOOKUP(Proc[[#This Row],[Author]],Table4[],2,0))</f>
        <v>HC</v>
      </c>
      <c r="L3051" s="125" t="s">
        <v>4894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94</v>
      </c>
      <c r="R3051" s="115" t="s">
        <v>1013</v>
      </c>
      <c r="S3051" s="125"/>
    </row>
    <row r="3052" spans="1:19">
      <c r="A3052" s="124" t="s">
        <v>5258</v>
      </c>
      <c r="B3052" s="149" t="str">
        <f>IFERROR(VLOOKUP(Proc[[#This Row],[App]],Table2[],3,0),"open")</f>
        <v>ok</v>
      </c>
      <c r="C3052" s="124" t="s">
        <v>369</v>
      </c>
      <c r="D3052" t="s">
        <v>5071</v>
      </c>
      <c r="E3052" t="s">
        <v>4068</v>
      </c>
      <c r="F3052" s="125" t="s">
        <v>4068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44" t="str">
        <f>IF(Proc[[#This Row],[Author]]="Marcela Urrego",VLOOKUP(LEFT(Proc[[#This Row],[Requested]],1),Table3[#All],2,0),VLOOKUP(Proc[[#This Row],[Author]],Table4[],2,0))</f>
        <v>HC</v>
      </c>
      <c r="L3052" s="125" t="s">
        <v>4894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94</v>
      </c>
      <c r="R3052" s="115" t="s">
        <v>1013</v>
      </c>
      <c r="S3052" s="125"/>
    </row>
    <row r="3053" spans="1:19">
      <c r="A3053" s="124" t="s">
        <v>5258</v>
      </c>
      <c r="B3053" s="149" t="str">
        <f>IFERROR(VLOOKUP(Proc[[#This Row],[App]],Table2[],3,0),"open")</f>
        <v>ok</v>
      </c>
      <c r="C3053" s="124" t="s">
        <v>369</v>
      </c>
      <c r="D3053" t="s">
        <v>5072</v>
      </c>
      <c r="E3053" t="s">
        <v>4068</v>
      </c>
      <c r="F3053" s="125" t="s">
        <v>4068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44" t="str">
        <f>IF(Proc[[#This Row],[Author]]="Marcela Urrego",VLOOKUP(LEFT(Proc[[#This Row],[Requested]],1),Table3[#All],2,0),VLOOKUP(Proc[[#This Row],[Author]],Table4[],2,0))</f>
        <v>HC</v>
      </c>
      <c r="L3053" s="125" t="s">
        <v>4894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94</v>
      </c>
      <c r="R3053" s="115" t="s">
        <v>1013</v>
      </c>
      <c r="S3053" s="125"/>
    </row>
    <row r="3054" spans="1:19">
      <c r="A3054" s="124" t="s">
        <v>5258</v>
      </c>
      <c r="B3054" s="149" t="str">
        <f>IFERROR(VLOOKUP(Proc[[#This Row],[App]],Table2[],3,0),"open")</f>
        <v>ok</v>
      </c>
      <c r="C3054" s="124" t="s">
        <v>369</v>
      </c>
      <c r="D3054" t="s">
        <v>5073</v>
      </c>
      <c r="E3054" t="s">
        <v>4068</v>
      </c>
      <c r="F3054" s="125" t="s">
        <v>4068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44" t="str">
        <f>IF(Proc[[#This Row],[Author]]="Marcela Urrego",VLOOKUP(LEFT(Proc[[#This Row],[Requested]],1),Table3[#All],2,0),VLOOKUP(Proc[[#This Row],[Author]],Table4[],2,0))</f>
        <v>HC</v>
      </c>
      <c r="L3054" s="125" t="s">
        <v>4894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94</v>
      </c>
      <c r="R3054" s="115" t="s">
        <v>1013</v>
      </c>
      <c r="S3054" s="125"/>
    </row>
    <row r="3055" spans="1:19">
      <c r="A3055" s="124" t="s">
        <v>5258</v>
      </c>
      <c r="B3055" s="149" t="str">
        <f>IFERROR(VLOOKUP(Proc[[#This Row],[App]],Table2[],3,0),"open")</f>
        <v>ok</v>
      </c>
      <c r="C3055" s="124" t="s">
        <v>369</v>
      </c>
      <c r="D3055" t="s">
        <v>5074</v>
      </c>
      <c r="E3055" t="s">
        <v>4068</v>
      </c>
      <c r="F3055" s="125" t="s">
        <v>4068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44" t="str">
        <f>IF(Proc[[#This Row],[Author]]="Marcela Urrego",VLOOKUP(LEFT(Proc[[#This Row],[Requested]],1),Table3[#All],2,0),VLOOKUP(Proc[[#This Row],[Author]],Table4[],2,0))</f>
        <v>HC</v>
      </c>
      <c r="L3055" s="125" t="s">
        <v>4894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94</v>
      </c>
      <c r="R3055" s="115" t="s">
        <v>1013</v>
      </c>
      <c r="S3055" s="125"/>
    </row>
    <row r="3056" spans="1:19">
      <c r="A3056" s="124" t="s">
        <v>5258</v>
      </c>
      <c r="B3056" s="149" t="str">
        <f>IFERROR(VLOOKUP(Proc[[#This Row],[App]],Table2[],3,0),"open")</f>
        <v>ok</v>
      </c>
      <c r="C3056" s="124" t="s">
        <v>369</v>
      </c>
      <c r="D3056" t="s">
        <v>5075</v>
      </c>
      <c r="E3056" t="s">
        <v>4068</v>
      </c>
      <c r="F3056" s="125" t="s">
        <v>4068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44" t="str">
        <f>IF(Proc[[#This Row],[Author]]="Marcela Urrego",VLOOKUP(LEFT(Proc[[#This Row],[Requested]],1),Table3[#All],2,0),VLOOKUP(Proc[[#This Row],[Author]],Table4[],2,0))</f>
        <v>HC</v>
      </c>
      <c r="L3056" s="125" t="s">
        <v>4894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94</v>
      </c>
      <c r="R3056" s="115" t="s">
        <v>1013</v>
      </c>
      <c r="S3056" s="125"/>
    </row>
    <row r="3057" spans="1:19">
      <c r="A3057" s="124" t="s">
        <v>5258</v>
      </c>
      <c r="B3057" s="149" t="str">
        <f>IFERROR(VLOOKUP(Proc[[#This Row],[App]],Table2[],3,0),"open")</f>
        <v>ok</v>
      </c>
      <c r="C3057" s="124" t="s">
        <v>369</v>
      </c>
      <c r="D3057" t="s">
        <v>5076</v>
      </c>
      <c r="E3057" t="s">
        <v>4068</v>
      </c>
      <c r="F3057" s="125" t="s">
        <v>4068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44" t="str">
        <f>IF(Proc[[#This Row],[Author]]="Marcela Urrego",VLOOKUP(LEFT(Proc[[#This Row],[Requested]],1),Table3[#All],2,0),VLOOKUP(Proc[[#This Row],[Author]],Table4[],2,0))</f>
        <v>HC</v>
      </c>
      <c r="L3057" s="125" t="s">
        <v>4894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94</v>
      </c>
      <c r="R3057" s="115" t="s">
        <v>1013</v>
      </c>
      <c r="S3057" s="125"/>
    </row>
    <row r="3058" spans="1:19">
      <c r="A3058" s="124" t="s">
        <v>5258</v>
      </c>
      <c r="B3058" s="149" t="str">
        <f>IFERROR(VLOOKUP(Proc[[#This Row],[App]],Table2[],3,0),"open")</f>
        <v>ok</v>
      </c>
      <c r="C3058" s="124" t="s">
        <v>369</v>
      </c>
      <c r="D3058" t="s">
        <v>5077</v>
      </c>
      <c r="E3058" t="s">
        <v>4068</v>
      </c>
      <c r="F3058" s="125" t="s">
        <v>4068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44" t="str">
        <f>IF(Proc[[#This Row],[Author]]="Marcela Urrego",VLOOKUP(LEFT(Proc[[#This Row],[Requested]],1),Table3[#All],2,0),VLOOKUP(Proc[[#This Row],[Author]],Table4[],2,0))</f>
        <v>HC</v>
      </c>
      <c r="L3058" s="125" t="s">
        <v>4894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94</v>
      </c>
      <c r="R3058" s="115" t="s">
        <v>1013</v>
      </c>
      <c r="S3058" s="125"/>
    </row>
    <row r="3059" spans="1:19">
      <c r="A3059" s="124" t="s">
        <v>5258</v>
      </c>
      <c r="B3059" s="149" t="str">
        <f>IFERROR(VLOOKUP(Proc[[#This Row],[App]],Table2[],3,0),"open")</f>
        <v>ok</v>
      </c>
      <c r="C3059" s="124" t="s">
        <v>369</v>
      </c>
      <c r="D3059" t="s">
        <v>5078</v>
      </c>
      <c r="E3059" t="s">
        <v>4068</v>
      </c>
      <c r="F3059" s="125" t="s">
        <v>4068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44" t="str">
        <f>IF(Proc[[#This Row],[Author]]="Marcela Urrego",VLOOKUP(LEFT(Proc[[#This Row],[Requested]],1),Table3[#All],2,0),VLOOKUP(Proc[[#This Row],[Author]],Table4[],2,0))</f>
        <v>HC</v>
      </c>
      <c r="L3059" s="125" t="s">
        <v>4894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94</v>
      </c>
      <c r="R3059" s="115" t="s">
        <v>1013</v>
      </c>
      <c r="S3059" s="125"/>
    </row>
    <row r="3060" spans="1:19">
      <c r="A3060" s="124" t="s">
        <v>5258</v>
      </c>
      <c r="B3060" s="149" t="str">
        <f>IFERROR(VLOOKUP(Proc[[#This Row],[App]],Table2[],3,0),"open")</f>
        <v>ok</v>
      </c>
      <c r="C3060" s="124" t="s">
        <v>369</v>
      </c>
      <c r="D3060" t="s">
        <v>5079</v>
      </c>
      <c r="E3060" t="s">
        <v>4068</v>
      </c>
      <c r="F3060" s="125" t="s">
        <v>4068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44" t="str">
        <f>IF(Proc[[#This Row],[Author]]="Marcela Urrego",VLOOKUP(LEFT(Proc[[#This Row],[Requested]],1),Table3[#All],2,0),VLOOKUP(Proc[[#This Row],[Author]],Table4[],2,0))</f>
        <v>HC</v>
      </c>
      <c r="L3060" s="125" t="s">
        <v>4894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94</v>
      </c>
      <c r="R3060" s="115" t="s">
        <v>1013</v>
      </c>
      <c r="S3060" s="125"/>
    </row>
    <row r="3061" spans="1:19">
      <c r="A3061" s="124" t="s">
        <v>5258</v>
      </c>
      <c r="B3061" s="149" t="str">
        <f>IFERROR(VLOOKUP(Proc[[#This Row],[App]],Table2[],3,0),"open")</f>
        <v>ok</v>
      </c>
      <c r="C3061" s="124" t="s">
        <v>369</v>
      </c>
      <c r="D3061" t="s">
        <v>5080</v>
      </c>
      <c r="E3061" t="s">
        <v>4068</v>
      </c>
      <c r="F3061" s="125" t="s">
        <v>4068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44" t="str">
        <f>IF(Proc[[#This Row],[Author]]="Marcela Urrego",VLOOKUP(LEFT(Proc[[#This Row],[Requested]],1),Table3[#All],2,0),VLOOKUP(Proc[[#This Row],[Author]],Table4[],2,0))</f>
        <v>HC</v>
      </c>
      <c r="L3061" s="125" t="s">
        <v>4894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94</v>
      </c>
      <c r="R3061" s="115" t="s">
        <v>1013</v>
      </c>
      <c r="S3061" s="125"/>
    </row>
    <row r="3062" spans="1:19">
      <c r="A3062" s="124" t="s">
        <v>5258</v>
      </c>
      <c r="B3062" s="149" t="str">
        <f>IFERROR(VLOOKUP(Proc[[#This Row],[App]],Table2[],3,0),"open")</f>
        <v>ok</v>
      </c>
      <c r="C3062" s="124" t="s">
        <v>369</v>
      </c>
      <c r="D3062" t="s">
        <v>5081</v>
      </c>
      <c r="E3062" t="s">
        <v>4068</v>
      </c>
      <c r="F3062" s="125" t="s">
        <v>4068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44" t="str">
        <f>IF(Proc[[#This Row],[Author]]="Marcela Urrego",VLOOKUP(LEFT(Proc[[#This Row],[Requested]],1),Table3[#All],2,0),VLOOKUP(Proc[[#This Row],[Author]],Table4[],2,0))</f>
        <v>HC</v>
      </c>
      <c r="L3062" s="125" t="s">
        <v>4894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94</v>
      </c>
      <c r="R3062" s="115" t="s">
        <v>1013</v>
      </c>
      <c r="S3062" s="125"/>
    </row>
    <row r="3063" spans="1:19">
      <c r="A3063" s="124" t="s">
        <v>5258</v>
      </c>
      <c r="B3063" s="149" t="str">
        <f>IFERROR(VLOOKUP(Proc[[#This Row],[App]],Table2[],3,0),"open")</f>
        <v>ok</v>
      </c>
      <c r="C3063" s="124" t="s">
        <v>369</v>
      </c>
      <c r="D3063" t="s">
        <v>5082</v>
      </c>
      <c r="E3063" t="s">
        <v>4068</v>
      </c>
      <c r="F3063" s="125" t="s">
        <v>4068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44" t="str">
        <f>IF(Proc[[#This Row],[Author]]="Marcela Urrego",VLOOKUP(LEFT(Proc[[#This Row],[Requested]],1),Table3[#All],2,0),VLOOKUP(Proc[[#This Row],[Author]],Table4[],2,0))</f>
        <v>HC</v>
      </c>
      <c r="L3063" s="125" t="s">
        <v>4894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94</v>
      </c>
      <c r="R3063" s="115" t="s">
        <v>1013</v>
      </c>
      <c r="S3063" s="125"/>
    </row>
    <row r="3064" spans="1:19">
      <c r="A3064" s="124" t="s">
        <v>5258</v>
      </c>
      <c r="B3064" s="149" t="str">
        <f>IFERROR(VLOOKUP(Proc[[#This Row],[App]],Table2[],3,0),"open")</f>
        <v>ok</v>
      </c>
      <c r="C3064" s="124" t="s">
        <v>369</v>
      </c>
      <c r="D3064" t="s">
        <v>5083</v>
      </c>
      <c r="E3064" t="s">
        <v>4068</v>
      </c>
      <c r="F3064" s="125" t="s">
        <v>4068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44" t="str">
        <f>IF(Proc[[#This Row],[Author]]="Marcela Urrego",VLOOKUP(LEFT(Proc[[#This Row],[Requested]],1),Table3[#All],2,0),VLOOKUP(Proc[[#This Row],[Author]],Table4[],2,0))</f>
        <v>HC</v>
      </c>
      <c r="L3064" s="125" t="s">
        <v>4894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94</v>
      </c>
      <c r="R3064" s="115" t="s">
        <v>1013</v>
      </c>
      <c r="S3064" s="125"/>
    </row>
    <row r="3065" spans="1:19">
      <c r="A3065" s="124" t="s">
        <v>5258</v>
      </c>
      <c r="B3065" s="149" t="str">
        <f>IFERROR(VLOOKUP(Proc[[#This Row],[App]],Table2[],3,0),"open")</f>
        <v>ok</v>
      </c>
      <c r="C3065" s="124" t="s">
        <v>369</v>
      </c>
      <c r="D3065" t="s">
        <v>5084</v>
      </c>
      <c r="E3065" t="s">
        <v>4068</v>
      </c>
      <c r="F3065" s="125" t="s">
        <v>4068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44" t="str">
        <f>IF(Proc[[#This Row],[Author]]="Marcela Urrego",VLOOKUP(LEFT(Proc[[#This Row],[Requested]],1),Table3[#All],2,0),VLOOKUP(Proc[[#This Row],[Author]],Table4[],2,0))</f>
        <v>HC</v>
      </c>
      <c r="L3065" s="125" t="s">
        <v>4894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94</v>
      </c>
      <c r="R3065" s="115" t="s">
        <v>1013</v>
      </c>
      <c r="S3065" s="125"/>
    </row>
    <row r="3066" spans="1:19">
      <c r="A3066" s="124" t="s">
        <v>5258</v>
      </c>
      <c r="B3066" s="149" t="str">
        <f>IFERROR(VLOOKUP(Proc[[#This Row],[App]],Table2[],3,0),"open")</f>
        <v>ok</v>
      </c>
      <c r="C3066" s="124" t="s">
        <v>369</v>
      </c>
      <c r="D3066" t="s">
        <v>5085</v>
      </c>
      <c r="E3066" t="s">
        <v>4068</v>
      </c>
      <c r="F3066" s="125" t="s">
        <v>4068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44" t="str">
        <f>IF(Proc[[#This Row],[Author]]="Marcela Urrego",VLOOKUP(LEFT(Proc[[#This Row],[Requested]],1),Table3[#All],2,0),VLOOKUP(Proc[[#This Row],[Author]],Table4[],2,0))</f>
        <v>HC</v>
      </c>
      <c r="L3066" s="125" t="s">
        <v>4894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94</v>
      </c>
      <c r="R3066" s="115" t="s">
        <v>1013</v>
      </c>
      <c r="S3066" s="125"/>
    </row>
    <row r="3067" spans="1:19">
      <c r="A3067" s="124" t="s">
        <v>5258</v>
      </c>
      <c r="B3067" s="149" t="str">
        <f>IFERROR(VLOOKUP(Proc[[#This Row],[App]],Table2[],3,0),"open")</f>
        <v>ok</v>
      </c>
      <c r="C3067" s="124" t="s">
        <v>369</v>
      </c>
      <c r="D3067" t="s">
        <v>5086</v>
      </c>
      <c r="E3067" t="s">
        <v>4068</v>
      </c>
      <c r="F3067" s="125" t="s">
        <v>4068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44" t="str">
        <f>IF(Proc[[#This Row],[Author]]="Marcela Urrego",VLOOKUP(LEFT(Proc[[#This Row],[Requested]],1),Table3[#All],2,0),VLOOKUP(Proc[[#This Row],[Author]],Table4[],2,0))</f>
        <v>HC</v>
      </c>
      <c r="L3067" s="125" t="s">
        <v>4894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94</v>
      </c>
      <c r="R3067" s="115" t="s">
        <v>1013</v>
      </c>
      <c r="S3067" s="125"/>
    </row>
    <row r="3068" spans="1:19">
      <c r="A3068" s="124" t="s">
        <v>5258</v>
      </c>
      <c r="B3068" s="149" t="str">
        <f>IFERROR(VLOOKUP(Proc[[#This Row],[App]],Table2[],3,0),"open")</f>
        <v>ok</v>
      </c>
      <c r="C3068" s="124" t="s">
        <v>369</v>
      </c>
      <c r="D3068" t="s">
        <v>5087</v>
      </c>
      <c r="E3068" t="s">
        <v>4068</v>
      </c>
      <c r="F3068" s="125" t="s">
        <v>4068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44" t="str">
        <f>IF(Proc[[#This Row],[Author]]="Marcela Urrego",VLOOKUP(LEFT(Proc[[#This Row],[Requested]],1),Table3[#All],2,0),VLOOKUP(Proc[[#This Row],[Author]],Table4[],2,0))</f>
        <v>HC</v>
      </c>
      <c r="L3068" s="125" t="s">
        <v>4894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94</v>
      </c>
      <c r="R3068" s="115" t="s">
        <v>1013</v>
      </c>
      <c r="S3068" s="125"/>
    </row>
    <row r="3069" spans="1:19">
      <c r="A3069" s="124" t="s">
        <v>5258</v>
      </c>
      <c r="B3069" s="149" t="str">
        <f>IFERROR(VLOOKUP(Proc[[#This Row],[App]],Table2[],3,0),"open")</f>
        <v>ok</v>
      </c>
      <c r="C3069" s="124" t="s">
        <v>369</v>
      </c>
      <c r="D3069" t="s">
        <v>5088</v>
      </c>
      <c r="E3069" t="s">
        <v>4068</v>
      </c>
      <c r="F3069" s="125" t="s">
        <v>4068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44" t="str">
        <f>IF(Proc[[#This Row],[Author]]="Marcela Urrego",VLOOKUP(LEFT(Proc[[#This Row],[Requested]],1),Table3[#All],2,0),VLOOKUP(Proc[[#This Row],[Author]],Table4[],2,0))</f>
        <v>HC</v>
      </c>
      <c r="L3069" s="125" t="s">
        <v>4894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94</v>
      </c>
      <c r="R3069" s="115" t="s">
        <v>1013</v>
      </c>
      <c r="S3069" s="125"/>
    </row>
    <row r="3070" spans="1:19">
      <c r="A3070" s="124" t="s">
        <v>5258</v>
      </c>
      <c r="B3070" s="149" t="str">
        <f>IFERROR(VLOOKUP(Proc[[#This Row],[App]],Table2[],3,0),"open")</f>
        <v>ok</v>
      </c>
      <c r="C3070" s="124" t="s">
        <v>369</v>
      </c>
      <c r="D3070" t="s">
        <v>5089</v>
      </c>
      <c r="E3070" t="s">
        <v>4068</v>
      </c>
      <c r="F3070" s="125" t="s">
        <v>4068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44" t="str">
        <f>IF(Proc[[#This Row],[Author]]="Marcela Urrego",VLOOKUP(LEFT(Proc[[#This Row],[Requested]],1),Table3[#All],2,0),VLOOKUP(Proc[[#This Row],[Author]],Table4[],2,0))</f>
        <v>HC</v>
      </c>
      <c r="L3070" s="125" t="s">
        <v>4894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94</v>
      </c>
      <c r="R3070" s="115" t="s">
        <v>1013</v>
      </c>
      <c r="S3070" s="125"/>
    </row>
    <row r="3071" spans="1:19">
      <c r="A3071" s="124" t="s">
        <v>5258</v>
      </c>
      <c r="B3071" s="149" t="str">
        <f>IFERROR(VLOOKUP(Proc[[#This Row],[App]],Table2[],3,0),"open")</f>
        <v>ok</v>
      </c>
      <c r="C3071" s="124" t="s">
        <v>369</v>
      </c>
      <c r="D3071" t="s">
        <v>5090</v>
      </c>
      <c r="E3071" t="s">
        <v>4068</v>
      </c>
      <c r="F3071" s="125" t="s">
        <v>4068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44" t="str">
        <f>IF(Proc[[#This Row],[Author]]="Marcela Urrego",VLOOKUP(LEFT(Proc[[#This Row],[Requested]],1),Table3[#All],2,0),VLOOKUP(Proc[[#This Row],[Author]],Table4[],2,0))</f>
        <v>HC</v>
      </c>
      <c r="L3071" s="125" t="s">
        <v>4894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94</v>
      </c>
      <c r="R3071" s="115" t="s">
        <v>1013</v>
      </c>
      <c r="S3071" s="125"/>
    </row>
    <row r="3072" spans="1:19">
      <c r="A3072" s="124" t="s">
        <v>5258</v>
      </c>
      <c r="B3072" s="149" t="str">
        <f>IFERROR(VLOOKUP(Proc[[#This Row],[App]],Table2[],3,0),"open")</f>
        <v>ok</v>
      </c>
      <c r="C3072" s="124" t="s">
        <v>369</v>
      </c>
      <c r="D3072" t="s">
        <v>5091</v>
      </c>
      <c r="E3072" t="s">
        <v>4068</v>
      </c>
      <c r="F3072" s="125" t="s">
        <v>4068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44" t="str">
        <f>IF(Proc[[#This Row],[Author]]="Marcela Urrego",VLOOKUP(LEFT(Proc[[#This Row],[Requested]],1),Table3[#All],2,0),VLOOKUP(Proc[[#This Row],[Author]],Table4[],2,0))</f>
        <v>HC</v>
      </c>
      <c r="L3072" s="125" t="s">
        <v>4894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94</v>
      </c>
      <c r="R3072" s="115" t="s">
        <v>1013</v>
      </c>
      <c r="S3072" s="125"/>
    </row>
    <row r="3073" spans="1:19">
      <c r="A3073" s="124" t="s">
        <v>5258</v>
      </c>
      <c r="B3073" s="149" t="str">
        <f>IFERROR(VLOOKUP(Proc[[#This Row],[App]],Table2[],3,0),"open")</f>
        <v>ok</v>
      </c>
      <c r="C3073" s="124" t="s">
        <v>369</v>
      </c>
      <c r="D3073" t="s">
        <v>5092</v>
      </c>
      <c r="E3073" t="s">
        <v>4068</v>
      </c>
      <c r="F3073" s="125" t="s">
        <v>4068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44" t="str">
        <f>IF(Proc[[#This Row],[Author]]="Marcela Urrego",VLOOKUP(LEFT(Proc[[#This Row],[Requested]],1),Table3[#All],2,0),VLOOKUP(Proc[[#This Row],[Author]],Table4[],2,0))</f>
        <v>HC</v>
      </c>
      <c r="L3073" s="125" t="s">
        <v>4894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94</v>
      </c>
      <c r="R3073" s="115" t="s">
        <v>1013</v>
      </c>
      <c r="S3073" s="125"/>
    </row>
    <row r="3074" spans="1:19">
      <c r="A3074" s="124" t="s">
        <v>5258</v>
      </c>
      <c r="B3074" s="149" t="str">
        <f>IFERROR(VLOOKUP(Proc[[#This Row],[App]],Table2[],3,0),"open")</f>
        <v>ok</v>
      </c>
      <c r="C3074" s="124" t="s">
        <v>369</v>
      </c>
      <c r="D3074" t="s">
        <v>5093</v>
      </c>
      <c r="E3074" t="s">
        <v>4068</v>
      </c>
      <c r="F3074" s="125" t="s">
        <v>4068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44" t="str">
        <f>IF(Proc[[#This Row],[Author]]="Marcela Urrego",VLOOKUP(LEFT(Proc[[#This Row],[Requested]],1),Table3[#All],2,0),VLOOKUP(Proc[[#This Row],[Author]],Table4[],2,0))</f>
        <v>HC</v>
      </c>
      <c r="L3074" s="125" t="s">
        <v>4894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94</v>
      </c>
      <c r="R3074" s="115" t="s">
        <v>1013</v>
      </c>
      <c r="S3074" s="125"/>
    </row>
    <row r="3075" spans="1:19">
      <c r="A3075" s="124" t="s">
        <v>5258</v>
      </c>
      <c r="B3075" s="149" t="str">
        <f>IFERROR(VLOOKUP(Proc[[#This Row],[App]],Table2[],3,0),"open")</f>
        <v>ok</v>
      </c>
      <c r="C3075" s="124" t="s">
        <v>369</v>
      </c>
      <c r="D3075" t="s">
        <v>5094</v>
      </c>
      <c r="E3075" t="s">
        <v>4068</v>
      </c>
      <c r="F3075" s="125" t="s">
        <v>4068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44" t="str">
        <f>IF(Proc[[#This Row],[Author]]="Marcela Urrego",VLOOKUP(LEFT(Proc[[#This Row],[Requested]],1),Table3[#All],2,0),VLOOKUP(Proc[[#This Row],[Author]],Table4[],2,0))</f>
        <v>HC</v>
      </c>
      <c r="L3075" s="125" t="s">
        <v>4894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94</v>
      </c>
      <c r="R3075" s="115" t="s">
        <v>1013</v>
      </c>
      <c r="S3075" s="125"/>
    </row>
    <row r="3076" spans="1:19">
      <c r="A3076" s="124" t="s">
        <v>5258</v>
      </c>
      <c r="B3076" s="149" t="str">
        <f>IFERROR(VLOOKUP(Proc[[#This Row],[App]],Table2[],3,0),"open")</f>
        <v>ok</v>
      </c>
      <c r="C3076" s="124" t="s">
        <v>369</v>
      </c>
      <c r="D3076" t="s">
        <v>5095</v>
      </c>
      <c r="E3076" t="s">
        <v>4068</v>
      </c>
      <c r="F3076" s="125" t="s">
        <v>4068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44" t="str">
        <f>IF(Proc[[#This Row],[Author]]="Marcela Urrego",VLOOKUP(LEFT(Proc[[#This Row],[Requested]],1),Table3[#All],2,0),VLOOKUP(Proc[[#This Row],[Author]],Table4[],2,0))</f>
        <v>HC</v>
      </c>
      <c r="L3076" s="125" t="s">
        <v>4894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94</v>
      </c>
      <c r="R3076" s="115" t="s">
        <v>1013</v>
      </c>
      <c r="S3076" s="125"/>
    </row>
    <row r="3077" spans="1:19">
      <c r="A3077" s="124" t="s">
        <v>5258</v>
      </c>
      <c r="B3077" s="149" t="str">
        <f>IFERROR(VLOOKUP(Proc[[#This Row],[App]],Table2[],3,0),"open")</f>
        <v>ok</v>
      </c>
      <c r="C3077" s="124" t="s">
        <v>369</v>
      </c>
      <c r="D3077" t="s">
        <v>5096</v>
      </c>
      <c r="E3077" t="s">
        <v>4068</v>
      </c>
      <c r="F3077" s="125" t="s">
        <v>4068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44" t="str">
        <f>IF(Proc[[#This Row],[Author]]="Marcela Urrego",VLOOKUP(LEFT(Proc[[#This Row],[Requested]],1),Table3[#All],2,0),VLOOKUP(Proc[[#This Row],[Author]],Table4[],2,0))</f>
        <v>HC</v>
      </c>
      <c r="L3077" s="125" t="s">
        <v>4894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94</v>
      </c>
      <c r="R3077" s="115" t="s">
        <v>1013</v>
      </c>
      <c r="S3077" s="125"/>
    </row>
    <row r="3078" spans="1:19">
      <c r="A3078" s="124" t="s">
        <v>5258</v>
      </c>
      <c r="B3078" s="149" t="str">
        <f>IFERROR(VLOOKUP(Proc[[#This Row],[App]],Table2[],3,0),"open")</f>
        <v>ok</v>
      </c>
      <c r="C3078" s="124" t="s">
        <v>369</v>
      </c>
      <c r="D3078" t="s">
        <v>5097</v>
      </c>
      <c r="E3078" t="s">
        <v>4068</v>
      </c>
      <c r="F3078" s="125" t="s">
        <v>4068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44" t="str">
        <f>IF(Proc[[#This Row],[Author]]="Marcela Urrego",VLOOKUP(LEFT(Proc[[#This Row],[Requested]],1),Table3[#All],2,0),VLOOKUP(Proc[[#This Row],[Author]],Table4[],2,0))</f>
        <v>HC</v>
      </c>
      <c r="L3078" s="125" t="s">
        <v>4894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94</v>
      </c>
      <c r="R3078" s="115" t="s">
        <v>1013</v>
      </c>
      <c r="S3078" s="125"/>
    </row>
    <row r="3079" spans="1:19">
      <c r="A3079" s="124" t="s">
        <v>5258</v>
      </c>
      <c r="B3079" s="149" t="str">
        <f>IFERROR(VLOOKUP(Proc[[#This Row],[App]],Table2[],3,0),"open")</f>
        <v>ok</v>
      </c>
      <c r="C3079" s="124" t="s">
        <v>369</v>
      </c>
      <c r="D3079" t="s">
        <v>5098</v>
      </c>
      <c r="E3079" t="s">
        <v>4068</v>
      </c>
      <c r="F3079" s="125" t="s">
        <v>4068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44" t="str">
        <f>IF(Proc[[#This Row],[Author]]="Marcela Urrego",VLOOKUP(LEFT(Proc[[#This Row],[Requested]],1),Table3[#All],2,0),VLOOKUP(Proc[[#This Row],[Author]],Table4[],2,0))</f>
        <v>HC</v>
      </c>
      <c r="L3079" s="125" t="s">
        <v>4894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94</v>
      </c>
      <c r="R3079" s="115" t="s">
        <v>1013</v>
      </c>
      <c r="S3079" s="125"/>
    </row>
    <row r="3080" spans="1:19">
      <c r="A3080" s="124" t="s">
        <v>5258</v>
      </c>
      <c r="B3080" s="149" t="str">
        <f>IFERROR(VLOOKUP(Proc[[#This Row],[App]],Table2[],3,0),"open")</f>
        <v>ok</v>
      </c>
      <c r="C3080" s="124" t="s">
        <v>369</v>
      </c>
      <c r="D3080" t="s">
        <v>5099</v>
      </c>
      <c r="E3080" t="s">
        <v>4068</v>
      </c>
      <c r="F3080" s="125" t="s">
        <v>4068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44" t="str">
        <f>IF(Proc[[#This Row],[Author]]="Marcela Urrego",VLOOKUP(LEFT(Proc[[#This Row],[Requested]],1),Table3[#All],2,0),VLOOKUP(Proc[[#This Row],[Author]],Table4[],2,0))</f>
        <v>HC</v>
      </c>
      <c r="L3080" s="125" t="s">
        <v>4894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94</v>
      </c>
      <c r="R3080" s="115" t="s">
        <v>1013</v>
      </c>
      <c r="S3080" s="125"/>
    </row>
    <row r="3081" spans="1:19">
      <c r="A3081" s="124" t="s">
        <v>5258</v>
      </c>
      <c r="B3081" s="149" t="str">
        <f>IFERROR(VLOOKUP(Proc[[#This Row],[App]],Table2[],3,0),"open")</f>
        <v>ok</v>
      </c>
      <c r="C3081" s="124" t="s">
        <v>369</v>
      </c>
      <c r="D3081" t="s">
        <v>5100</v>
      </c>
      <c r="E3081" t="s">
        <v>4068</v>
      </c>
      <c r="F3081" s="125" t="s">
        <v>4068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44" t="str">
        <f>IF(Proc[[#This Row],[Author]]="Marcela Urrego",VLOOKUP(LEFT(Proc[[#This Row],[Requested]],1),Table3[#All],2,0),VLOOKUP(Proc[[#This Row],[Author]],Table4[],2,0))</f>
        <v>HC</v>
      </c>
      <c r="L3081" s="125" t="s">
        <v>4894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94</v>
      </c>
      <c r="R3081" s="115" t="s">
        <v>1013</v>
      </c>
      <c r="S3081" s="125"/>
    </row>
    <row r="3082" spans="1:19">
      <c r="A3082" s="124" t="s">
        <v>5258</v>
      </c>
      <c r="B3082" s="149" t="str">
        <f>IFERROR(VLOOKUP(Proc[[#This Row],[App]],Table2[],3,0),"open")</f>
        <v>ok</v>
      </c>
      <c r="C3082" s="124" t="s">
        <v>369</v>
      </c>
      <c r="D3082" t="s">
        <v>5101</v>
      </c>
      <c r="E3082" t="s">
        <v>4068</v>
      </c>
      <c r="F3082" s="125" t="s">
        <v>4068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44" t="str">
        <f>IF(Proc[[#This Row],[Author]]="Marcela Urrego",VLOOKUP(LEFT(Proc[[#This Row],[Requested]],1),Table3[#All],2,0),VLOOKUP(Proc[[#This Row],[Author]],Table4[],2,0))</f>
        <v>HC</v>
      </c>
      <c r="L3082" s="125" t="s">
        <v>4894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94</v>
      </c>
      <c r="R3082" s="115" t="s">
        <v>1013</v>
      </c>
      <c r="S3082" s="125"/>
    </row>
    <row r="3083" spans="1:19">
      <c r="A3083" s="124" t="s">
        <v>5258</v>
      </c>
      <c r="B3083" s="149" t="str">
        <f>IFERROR(VLOOKUP(Proc[[#This Row],[App]],Table2[],3,0),"open")</f>
        <v>ok</v>
      </c>
      <c r="C3083" s="124" t="s">
        <v>369</v>
      </c>
      <c r="D3083" t="s">
        <v>5102</v>
      </c>
      <c r="E3083" t="s">
        <v>4068</v>
      </c>
      <c r="F3083" s="125" t="s">
        <v>4068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44" t="str">
        <f>IF(Proc[[#This Row],[Author]]="Marcela Urrego",VLOOKUP(LEFT(Proc[[#This Row],[Requested]],1),Table3[#All],2,0),VLOOKUP(Proc[[#This Row],[Author]],Table4[],2,0))</f>
        <v>HC</v>
      </c>
      <c r="L3083" s="125" t="s">
        <v>4894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94</v>
      </c>
      <c r="R3083" s="115" t="s">
        <v>1013</v>
      </c>
      <c r="S3083" s="125"/>
    </row>
    <row r="3084" spans="1:19">
      <c r="A3084" s="124" t="s">
        <v>5258</v>
      </c>
      <c r="B3084" s="149" t="str">
        <f>IFERROR(VLOOKUP(Proc[[#This Row],[App]],Table2[],3,0),"open")</f>
        <v>ok</v>
      </c>
      <c r="C3084" s="124" t="s">
        <v>369</v>
      </c>
      <c r="D3084" t="s">
        <v>5103</v>
      </c>
      <c r="E3084" t="s">
        <v>4068</v>
      </c>
      <c r="F3084" s="125" t="s">
        <v>4068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44" t="str">
        <f>IF(Proc[[#This Row],[Author]]="Marcela Urrego",VLOOKUP(LEFT(Proc[[#This Row],[Requested]],1),Table3[#All],2,0),VLOOKUP(Proc[[#This Row],[Author]],Table4[],2,0))</f>
        <v>HC</v>
      </c>
      <c r="L3084" s="125" t="s">
        <v>4894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94</v>
      </c>
      <c r="R3084" s="115" t="s">
        <v>1013</v>
      </c>
      <c r="S3084" s="125"/>
    </row>
    <row r="3085" spans="1:19">
      <c r="A3085" s="124" t="s">
        <v>5258</v>
      </c>
      <c r="B3085" s="149" t="str">
        <f>IFERROR(VLOOKUP(Proc[[#This Row],[App]],Table2[],3,0),"open")</f>
        <v>ok</v>
      </c>
      <c r="C3085" s="124" t="s">
        <v>369</v>
      </c>
      <c r="D3085" t="s">
        <v>5104</v>
      </c>
      <c r="E3085" t="s">
        <v>4068</v>
      </c>
      <c r="F3085" s="125" t="s">
        <v>4068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44" t="str">
        <f>IF(Proc[[#This Row],[Author]]="Marcela Urrego",VLOOKUP(LEFT(Proc[[#This Row],[Requested]],1),Table3[#All],2,0),VLOOKUP(Proc[[#This Row],[Author]],Table4[],2,0))</f>
        <v>HC</v>
      </c>
      <c r="L3085" s="125" t="s">
        <v>4894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94</v>
      </c>
      <c r="R3085" s="115" t="s">
        <v>1013</v>
      </c>
      <c r="S3085" s="125"/>
    </row>
    <row r="3086" spans="1:19">
      <c r="A3086" s="124" t="s">
        <v>5258</v>
      </c>
      <c r="B3086" s="149" t="str">
        <f>IFERROR(VLOOKUP(Proc[[#This Row],[App]],Table2[],3,0),"open")</f>
        <v>ok</v>
      </c>
      <c r="C3086" s="124" t="s">
        <v>369</v>
      </c>
      <c r="D3086" t="s">
        <v>5105</v>
      </c>
      <c r="E3086" t="s">
        <v>4068</v>
      </c>
      <c r="F3086" s="125" t="s">
        <v>4068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44" t="str">
        <f>IF(Proc[[#This Row],[Author]]="Marcela Urrego",VLOOKUP(LEFT(Proc[[#This Row],[Requested]],1),Table3[#All],2,0),VLOOKUP(Proc[[#This Row],[Author]],Table4[],2,0))</f>
        <v>HC</v>
      </c>
      <c r="L3086" s="125" t="s">
        <v>4894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94</v>
      </c>
      <c r="R3086" s="115" t="s">
        <v>1013</v>
      </c>
      <c r="S3086" s="125"/>
    </row>
    <row r="3087" spans="1:19">
      <c r="A3087" s="124" t="s">
        <v>5258</v>
      </c>
      <c r="B3087" s="149" t="str">
        <f>IFERROR(VLOOKUP(Proc[[#This Row],[App]],Table2[],3,0),"open")</f>
        <v>ok</v>
      </c>
      <c r="C3087" s="124" t="s">
        <v>369</v>
      </c>
      <c r="D3087" t="s">
        <v>5106</v>
      </c>
      <c r="E3087" t="s">
        <v>4068</v>
      </c>
      <c r="F3087" s="125" t="s">
        <v>4068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44" t="str">
        <f>IF(Proc[[#This Row],[Author]]="Marcela Urrego",VLOOKUP(LEFT(Proc[[#This Row],[Requested]],1),Table3[#All],2,0),VLOOKUP(Proc[[#This Row],[Author]],Table4[],2,0))</f>
        <v>HC</v>
      </c>
      <c r="L3087" s="125" t="s">
        <v>4894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94</v>
      </c>
      <c r="R3087" s="115" t="s">
        <v>1013</v>
      </c>
      <c r="S3087" s="125"/>
    </row>
    <row r="3088" spans="1:19">
      <c r="A3088" s="124" t="s">
        <v>5258</v>
      </c>
      <c r="B3088" s="149" t="str">
        <f>IFERROR(VLOOKUP(Proc[[#This Row],[App]],Table2[],3,0),"open")</f>
        <v>ok</v>
      </c>
      <c r="C3088" s="124" t="s">
        <v>369</v>
      </c>
      <c r="D3088" t="s">
        <v>5107</v>
      </c>
      <c r="E3088" t="s">
        <v>4068</v>
      </c>
      <c r="F3088" s="125" t="s">
        <v>4068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44" t="str">
        <f>IF(Proc[[#This Row],[Author]]="Marcela Urrego",VLOOKUP(LEFT(Proc[[#This Row],[Requested]],1),Table3[#All],2,0),VLOOKUP(Proc[[#This Row],[Author]],Table4[],2,0))</f>
        <v>HC</v>
      </c>
      <c r="L3088" s="125" t="s">
        <v>4894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94</v>
      </c>
      <c r="R3088" s="115" t="s">
        <v>1013</v>
      </c>
      <c r="S3088" s="125"/>
    </row>
    <row r="3089" spans="1:19">
      <c r="A3089" s="124" t="s">
        <v>5258</v>
      </c>
      <c r="B3089" s="149" t="str">
        <f>IFERROR(VLOOKUP(Proc[[#This Row],[App]],Table2[],3,0),"open")</f>
        <v>ok</v>
      </c>
      <c r="C3089" s="124" t="s">
        <v>369</v>
      </c>
      <c r="D3089" t="s">
        <v>5108</v>
      </c>
      <c r="E3089" t="s">
        <v>4068</v>
      </c>
      <c r="F3089" s="125" t="s">
        <v>4068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44" t="str">
        <f>IF(Proc[[#This Row],[Author]]="Marcela Urrego",VLOOKUP(LEFT(Proc[[#This Row],[Requested]],1),Table3[#All],2,0),VLOOKUP(Proc[[#This Row],[Author]],Table4[],2,0))</f>
        <v>HC</v>
      </c>
      <c r="L3089" s="125" t="s">
        <v>4894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94</v>
      </c>
      <c r="R3089" s="115" t="s">
        <v>1013</v>
      </c>
      <c r="S3089" s="125"/>
    </row>
    <row r="3090" spans="1:19">
      <c r="A3090" s="124" t="s">
        <v>5258</v>
      </c>
      <c r="B3090" s="149" t="str">
        <f>IFERROR(VLOOKUP(Proc[[#This Row],[App]],Table2[],3,0),"open")</f>
        <v>ok</v>
      </c>
      <c r="C3090" s="124" t="s">
        <v>369</v>
      </c>
      <c r="D3090" t="s">
        <v>5109</v>
      </c>
      <c r="E3090" t="s">
        <v>4068</v>
      </c>
      <c r="F3090" s="125" t="s">
        <v>4068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44" t="str">
        <f>IF(Proc[[#This Row],[Author]]="Marcela Urrego",VLOOKUP(LEFT(Proc[[#This Row],[Requested]],1),Table3[#All],2,0),VLOOKUP(Proc[[#This Row],[Author]],Table4[],2,0))</f>
        <v>HC</v>
      </c>
      <c r="L3090" s="125" t="s">
        <v>4894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94</v>
      </c>
      <c r="R3090" s="115" t="s">
        <v>1013</v>
      </c>
      <c r="S3090" s="125"/>
    </row>
    <row r="3091" spans="1:19">
      <c r="A3091" s="124" t="s">
        <v>5258</v>
      </c>
      <c r="B3091" s="149" t="str">
        <f>IFERROR(VLOOKUP(Proc[[#This Row],[App]],Table2[],3,0),"open")</f>
        <v>ok</v>
      </c>
      <c r="C3091" s="124" t="s">
        <v>369</v>
      </c>
      <c r="D3091" t="s">
        <v>5110</v>
      </c>
      <c r="E3091" t="s">
        <v>4068</v>
      </c>
      <c r="F3091" s="125" t="s">
        <v>4068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44" t="str">
        <f>IF(Proc[[#This Row],[Author]]="Marcela Urrego",VLOOKUP(LEFT(Proc[[#This Row],[Requested]],1),Table3[#All],2,0),VLOOKUP(Proc[[#This Row],[Author]],Table4[],2,0))</f>
        <v>HC</v>
      </c>
      <c r="L3091" s="125" t="s">
        <v>4894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94</v>
      </c>
      <c r="R3091" s="115" t="s">
        <v>1013</v>
      </c>
      <c r="S3091" s="125"/>
    </row>
    <row r="3092" spans="1:19">
      <c r="A3092" s="124" t="s">
        <v>5258</v>
      </c>
      <c r="B3092" s="149" t="str">
        <f>IFERROR(VLOOKUP(Proc[[#This Row],[App]],Table2[],3,0),"open")</f>
        <v>ok</v>
      </c>
      <c r="C3092" s="124" t="s">
        <v>369</v>
      </c>
      <c r="D3092" t="s">
        <v>5111</v>
      </c>
      <c r="E3092" t="s">
        <v>4068</v>
      </c>
      <c r="F3092" s="125" t="s">
        <v>4068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44" t="str">
        <f>IF(Proc[[#This Row],[Author]]="Marcela Urrego",VLOOKUP(LEFT(Proc[[#This Row],[Requested]],1),Table3[#All],2,0),VLOOKUP(Proc[[#This Row],[Author]],Table4[],2,0))</f>
        <v>HC</v>
      </c>
      <c r="L3092" s="125" t="s">
        <v>4894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94</v>
      </c>
      <c r="R3092" s="115" t="s">
        <v>1013</v>
      </c>
      <c r="S3092" s="125"/>
    </row>
    <row r="3093" spans="1:19">
      <c r="A3093" s="124" t="s">
        <v>5258</v>
      </c>
      <c r="B3093" s="149" t="str">
        <f>IFERROR(VLOOKUP(Proc[[#This Row],[App]],Table2[],3,0),"open")</f>
        <v>ok</v>
      </c>
      <c r="C3093" s="124" t="s">
        <v>369</v>
      </c>
      <c r="D3093" t="s">
        <v>5112</v>
      </c>
      <c r="E3093" t="s">
        <v>4068</v>
      </c>
      <c r="F3093" s="125" t="s">
        <v>4068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44" t="str">
        <f>IF(Proc[[#This Row],[Author]]="Marcela Urrego",VLOOKUP(LEFT(Proc[[#This Row],[Requested]],1),Table3[#All],2,0),VLOOKUP(Proc[[#This Row],[Author]],Table4[],2,0))</f>
        <v>HC</v>
      </c>
      <c r="L3093" s="125" t="s">
        <v>4894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94</v>
      </c>
      <c r="R3093" s="115" t="s">
        <v>1013</v>
      </c>
      <c r="S3093" s="125"/>
    </row>
    <row r="3094" spans="1:19">
      <c r="A3094" s="124" t="s">
        <v>5258</v>
      </c>
      <c r="B3094" s="149" t="str">
        <f>IFERROR(VLOOKUP(Proc[[#This Row],[App]],Table2[],3,0),"open")</f>
        <v>ok</v>
      </c>
      <c r="C3094" s="124" t="s">
        <v>369</v>
      </c>
      <c r="D3094" t="s">
        <v>5113</v>
      </c>
      <c r="E3094" t="s">
        <v>4068</v>
      </c>
      <c r="F3094" s="125" t="s">
        <v>4068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44" t="str">
        <f>IF(Proc[[#This Row],[Author]]="Marcela Urrego",VLOOKUP(LEFT(Proc[[#This Row],[Requested]],1),Table3[#All],2,0),VLOOKUP(Proc[[#This Row],[Author]],Table4[],2,0))</f>
        <v>HC</v>
      </c>
      <c r="L3094" s="125" t="s">
        <v>4894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94</v>
      </c>
      <c r="R3094" s="115" t="s">
        <v>1013</v>
      </c>
      <c r="S3094" s="125"/>
    </row>
    <row r="3095" spans="1:19">
      <c r="A3095" s="124" t="s">
        <v>5258</v>
      </c>
      <c r="B3095" s="149" t="str">
        <f>IFERROR(VLOOKUP(Proc[[#This Row],[App]],Table2[],3,0),"open")</f>
        <v>ok</v>
      </c>
      <c r="C3095" s="124" t="s">
        <v>369</v>
      </c>
      <c r="D3095" t="s">
        <v>5114</v>
      </c>
      <c r="E3095" t="s">
        <v>4068</v>
      </c>
      <c r="F3095" s="125" t="s">
        <v>4068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44" t="str">
        <f>IF(Proc[[#This Row],[Author]]="Marcela Urrego",VLOOKUP(LEFT(Proc[[#This Row],[Requested]],1),Table3[#All],2,0),VLOOKUP(Proc[[#This Row],[Author]],Table4[],2,0))</f>
        <v>HC</v>
      </c>
      <c r="L3095" s="125" t="s">
        <v>4894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94</v>
      </c>
      <c r="R3095" s="115" t="s">
        <v>1013</v>
      </c>
      <c r="S3095" s="125"/>
    </row>
    <row r="3096" spans="1:19">
      <c r="A3096" s="124" t="s">
        <v>5258</v>
      </c>
      <c r="B3096" s="149" t="str">
        <f>IFERROR(VLOOKUP(Proc[[#This Row],[App]],Table2[],3,0),"open")</f>
        <v>ok</v>
      </c>
      <c r="C3096" s="124" t="s">
        <v>369</v>
      </c>
      <c r="D3096" t="s">
        <v>5115</v>
      </c>
      <c r="E3096" t="s">
        <v>4068</v>
      </c>
      <c r="F3096" s="125" t="s">
        <v>4068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44" t="str">
        <f>IF(Proc[[#This Row],[Author]]="Marcela Urrego",VLOOKUP(LEFT(Proc[[#This Row],[Requested]],1),Table3[#All],2,0),VLOOKUP(Proc[[#This Row],[Author]],Table4[],2,0))</f>
        <v>HC</v>
      </c>
      <c r="L3096" s="125" t="s">
        <v>4894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94</v>
      </c>
      <c r="R3096" s="115" t="s">
        <v>1013</v>
      </c>
      <c r="S3096" s="125"/>
    </row>
    <row r="3097" spans="1:19">
      <c r="A3097" s="124" t="s">
        <v>5258</v>
      </c>
      <c r="B3097" s="149" t="str">
        <f>IFERROR(VLOOKUP(Proc[[#This Row],[App]],Table2[],3,0),"open")</f>
        <v>ok</v>
      </c>
      <c r="C3097" s="124" t="s">
        <v>369</v>
      </c>
      <c r="D3097" t="s">
        <v>5116</v>
      </c>
      <c r="E3097" t="s">
        <v>4068</v>
      </c>
      <c r="F3097" s="125" t="s">
        <v>4068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44" t="str">
        <f>IF(Proc[[#This Row],[Author]]="Marcela Urrego",VLOOKUP(LEFT(Proc[[#This Row],[Requested]],1),Table3[#All],2,0),VLOOKUP(Proc[[#This Row],[Author]],Table4[],2,0))</f>
        <v>HC</v>
      </c>
      <c r="L3097" s="125" t="s">
        <v>4894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94</v>
      </c>
      <c r="R3097" s="115" t="s">
        <v>1013</v>
      </c>
      <c r="S3097" s="125"/>
    </row>
    <row r="3098" spans="1:19">
      <c r="A3098" s="124" t="s">
        <v>5258</v>
      </c>
      <c r="B3098" s="149" t="str">
        <f>IFERROR(VLOOKUP(Proc[[#This Row],[App]],Table2[],3,0),"open")</f>
        <v>ok</v>
      </c>
      <c r="C3098" s="124" t="s">
        <v>369</v>
      </c>
      <c r="D3098" t="s">
        <v>5117</v>
      </c>
      <c r="E3098" t="s">
        <v>4068</v>
      </c>
      <c r="F3098" s="125" t="s">
        <v>4068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44" t="str">
        <f>IF(Proc[[#This Row],[Author]]="Marcela Urrego",VLOOKUP(LEFT(Proc[[#This Row],[Requested]],1),Table3[#All],2,0),VLOOKUP(Proc[[#This Row],[Author]],Table4[],2,0))</f>
        <v>HC</v>
      </c>
      <c r="L3098" s="125" t="s">
        <v>4894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94</v>
      </c>
      <c r="R3098" s="115" t="s">
        <v>1013</v>
      </c>
      <c r="S3098" s="125"/>
    </row>
    <row r="3099" spans="1:19">
      <c r="A3099" s="124" t="s">
        <v>5258</v>
      </c>
      <c r="B3099" s="149" t="str">
        <f>IFERROR(VLOOKUP(Proc[[#This Row],[App]],Table2[],3,0),"open")</f>
        <v>ok</v>
      </c>
      <c r="C3099" s="124" t="s">
        <v>369</v>
      </c>
      <c r="D3099" t="s">
        <v>5118</v>
      </c>
      <c r="E3099" t="s">
        <v>4068</v>
      </c>
      <c r="F3099" s="125" t="s">
        <v>4068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44" t="str">
        <f>IF(Proc[[#This Row],[Author]]="Marcela Urrego",VLOOKUP(LEFT(Proc[[#This Row],[Requested]],1),Table3[#All],2,0),VLOOKUP(Proc[[#This Row],[Author]],Table4[],2,0))</f>
        <v>HC</v>
      </c>
      <c r="L3099" s="125" t="s">
        <v>4894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94</v>
      </c>
      <c r="R3099" s="115" t="s">
        <v>1013</v>
      </c>
      <c r="S3099" s="125"/>
    </row>
    <row r="3100" spans="1:19">
      <c r="A3100" s="124" t="s">
        <v>5258</v>
      </c>
      <c r="B3100" s="149" t="str">
        <f>IFERROR(VLOOKUP(Proc[[#This Row],[App]],Table2[],3,0),"open")</f>
        <v>ok</v>
      </c>
      <c r="C3100" s="124" t="s">
        <v>369</v>
      </c>
      <c r="D3100" t="s">
        <v>5119</v>
      </c>
      <c r="E3100" t="s">
        <v>4068</v>
      </c>
      <c r="F3100" s="125" t="s">
        <v>4068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44" t="str">
        <f>IF(Proc[[#This Row],[Author]]="Marcela Urrego",VLOOKUP(LEFT(Proc[[#This Row],[Requested]],1),Table3[#All],2,0),VLOOKUP(Proc[[#This Row],[Author]],Table4[],2,0))</f>
        <v>HC</v>
      </c>
      <c r="L3100" s="125" t="s">
        <v>4894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94</v>
      </c>
      <c r="R3100" s="115" t="s">
        <v>1013</v>
      </c>
      <c r="S3100" s="125"/>
    </row>
    <row r="3101" spans="1:19">
      <c r="A3101" s="124" t="s">
        <v>5258</v>
      </c>
      <c r="B3101" s="149" t="str">
        <f>IFERROR(VLOOKUP(Proc[[#This Row],[App]],Table2[],3,0),"open")</f>
        <v>ok</v>
      </c>
      <c r="C3101" s="124" t="s">
        <v>369</v>
      </c>
      <c r="D3101" t="s">
        <v>5120</v>
      </c>
      <c r="E3101" t="s">
        <v>4068</v>
      </c>
      <c r="F3101" s="125" t="s">
        <v>4068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44" t="str">
        <f>IF(Proc[[#This Row],[Author]]="Marcela Urrego",VLOOKUP(LEFT(Proc[[#This Row],[Requested]],1),Table3[#All],2,0),VLOOKUP(Proc[[#This Row],[Author]],Table4[],2,0))</f>
        <v>HC</v>
      </c>
      <c r="L3101" s="125" t="s">
        <v>4894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94</v>
      </c>
      <c r="R3101" s="115" t="s">
        <v>1013</v>
      </c>
      <c r="S3101" s="125"/>
    </row>
    <row r="3102" spans="1:19">
      <c r="A3102" s="124" t="s">
        <v>5258</v>
      </c>
      <c r="B3102" s="149" t="str">
        <f>IFERROR(VLOOKUP(Proc[[#This Row],[App]],Table2[],3,0),"open")</f>
        <v>ok</v>
      </c>
      <c r="C3102" s="124" t="s">
        <v>369</v>
      </c>
      <c r="D3102" t="s">
        <v>5121</v>
      </c>
      <c r="E3102" t="s">
        <v>4068</v>
      </c>
      <c r="F3102" s="125" t="s">
        <v>4068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44" t="str">
        <f>IF(Proc[[#This Row],[Author]]="Marcela Urrego",VLOOKUP(LEFT(Proc[[#This Row],[Requested]],1),Table3[#All],2,0),VLOOKUP(Proc[[#This Row],[Author]],Table4[],2,0))</f>
        <v>HC</v>
      </c>
      <c r="L3102" s="125" t="s">
        <v>4894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94</v>
      </c>
      <c r="R3102" s="115" t="s">
        <v>1013</v>
      </c>
      <c r="S3102" s="125"/>
    </row>
    <row r="3103" spans="1:19">
      <c r="A3103" s="124" t="s">
        <v>5258</v>
      </c>
      <c r="B3103" s="149" t="str">
        <f>IFERROR(VLOOKUP(Proc[[#This Row],[App]],Table2[],3,0),"open")</f>
        <v>ok</v>
      </c>
      <c r="C3103" s="124" t="s">
        <v>369</v>
      </c>
      <c r="D3103" t="s">
        <v>5122</v>
      </c>
      <c r="E3103" t="s">
        <v>4068</v>
      </c>
      <c r="F3103" s="125" t="s">
        <v>4068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44" t="str">
        <f>IF(Proc[[#This Row],[Author]]="Marcela Urrego",VLOOKUP(LEFT(Proc[[#This Row],[Requested]],1),Table3[#All],2,0),VLOOKUP(Proc[[#This Row],[Author]],Table4[],2,0))</f>
        <v>HC</v>
      </c>
      <c r="L3103" s="125" t="s">
        <v>4894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94</v>
      </c>
      <c r="R3103" s="115" t="s">
        <v>1013</v>
      </c>
      <c r="S3103" s="125"/>
    </row>
    <row r="3104" spans="1:19">
      <c r="A3104" s="124" t="s">
        <v>5258</v>
      </c>
      <c r="B3104" s="149" t="str">
        <f>IFERROR(VLOOKUP(Proc[[#This Row],[App]],Table2[],3,0),"open")</f>
        <v>ok</v>
      </c>
      <c r="C3104" s="124" t="s">
        <v>369</v>
      </c>
      <c r="D3104" t="s">
        <v>5123</v>
      </c>
      <c r="E3104" t="s">
        <v>4068</v>
      </c>
      <c r="F3104" s="125" t="s">
        <v>4068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44" t="str">
        <f>IF(Proc[[#This Row],[Author]]="Marcela Urrego",VLOOKUP(LEFT(Proc[[#This Row],[Requested]],1),Table3[#All],2,0),VLOOKUP(Proc[[#This Row],[Author]],Table4[],2,0))</f>
        <v>HC</v>
      </c>
      <c r="L3104" s="125" t="s">
        <v>4894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94</v>
      </c>
      <c r="R3104" s="115" t="s">
        <v>1013</v>
      </c>
      <c r="S3104" s="125"/>
    </row>
    <row r="3105" spans="1:19">
      <c r="A3105" s="124" t="s">
        <v>5258</v>
      </c>
      <c r="B3105" s="149" t="str">
        <f>IFERROR(VLOOKUP(Proc[[#This Row],[App]],Table2[],3,0),"open")</f>
        <v>ok</v>
      </c>
      <c r="C3105" s="124" t="s">
        <v>369</v>
      </c>
      <c r="D3105" t="s">
        <v>5124</v>
      </c>
      <c r="E3105" t="s">
        <v>4068</v>
      </c>
      <c r="F3105" s="125" t="s">
        <v>4068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44" t="str">
        <f>IF(Proc[[#This Row],[Author]]="Marcela Urrego",VLOOKUP(LEFT(Proc[[#This Row],[Requested]],1),Table3[#All],2,0),VLOOKUP(Proc[[#This Row],[Author]],Table4[],2,0))</f>
        <v>HC</v>
      </c>
      <c r="L3105" s="125" t="s">
        <v>4894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94</v>
      </c>
      <c r="R3105" s="115" t="s">
        <v>1013</v>
      </c>
      <c r="S3105" s="125"/>
    </row>
    <row r="3106" spans="1:19">
      <c r="A3106" s="124" t="s">
        <v>5258</v>
      </c>
      <c r="B3106" s="149" t="str">
        <f>IFERROR(VLOOKUP(Proc[[#This Row],[App]],Table2[],3,0),"open")</f>
        <v>ok</v>
      </c>
      <c r="C3106" s="124" t="s">
        <v>369</v>
      </c>
      <c r="D3106" t="s">
        <v>5125</v>
      </c>
      <c r="E3106" t="s">
        <v>4068</v>
      </c>
      <c r="F3106" s="125" t="s">
        <v>4068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44" t="str">
        <f>IF(Proc[[#This Row],[Author]]="Marcela Urrego",VLOOKUP(LEFT(Proc[[#This Row],[Requested]],1),Table3[#All],2,0),VLOOKUP(Proc[[#This Row],[Author]],Table4[],2,0))</f>
        <v>HC</v>
      </c>
      <c r="L3106" s="125" t="s">
        <v>4894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94</v>
      </c>
      <c r="R3106" s="115" t="s">
        <v>1013</v>
      </c>
      <c r="S3106" s="125"/>
    </row>
    <row r="3107" spans="1:19">
      <c r="A3107" s="124" t="s">
        <v>5258</v>
      </c>
      <c r="B3107" s="149" t="str">
        <f>IFERROR(VLOOKUP(Proc[[#This Row],[App]],Table2[],3,0),"open")</f>
        <v>ok</v>
      </c>
      <c r="C3107" s="124" t="s">
        <v>369</v>
      </c>
      <c r="D3107" t="s">
        <v>5126</v>
      </c>
      <c r="E3107" t="s">
        <v>4068</v>
      </c>
      <c r="F3107" s="125" t="s">
        <v>4068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44" t="str">
        <f>IF(Proc[[#This Row],[Author]]="Marcela Urrego",VLOOKUP(LEFT(Proc[[#This Row],[Requested]],1),Table3[#All],2,0),VLOOKUP(Proc[[#This Row],[Author]],Table4[],2,0))</f>
        <v>HC</v>
      </c>
      <c r="L3107" s="125" t="s">
        <v>4894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94</v>
      </c>
      <c r="R3107" s="115" t="s">
        <v>1013</v>
      </c>
      <c r="S3107" s="125"/>
    </row>
    <row r="3108" spans="1:19">
      <c r="A3108" s="124" t="s">
        <v>5258</v>
      </c>
      <c r="B3108" s="149" t="str">
        <f>IFERROR(VLOOKUP(Proc[[#This Row],[App]],Table2[],3,0),"open")</f>
        <v>ok</v>
      </c>
      <c r="C3108" s="124" t="s">
        <v>369</v>
      </c>
      <c r="D3108" t="s">
        <v>5127</v>
      </c>
      <c r="E3108" t="s">
        <v>4068</v>
      </c>
      <c r="F3108" s="125" t="s">
        <v>4068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44" t="str">
        <f>IF(Proc[[#This Row],[Author]]="Marcela Urrego",VLOOKUP(LEFT(Proc[[#This Row],[Requested]],1),Table3[#All],2,0),VLOOKUP(Proc[[#This Row],[Author]],Table4[],2,0))</f>
        <v>HC</v>
      </c>
      <c r="L3108" s="125" t="s">
        <v>4894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94</v>
      </c>
      <c r="R3108" s="115" t="s">
        <v>1013</v>
      </c>
      <c r="S3108" s="125"/>
    </row>
    <row r="3109" spans="1:19">
      <c r="A3109" s="124" t="s">
        <v>5258</v>
      </c>
      <c r="B3109" s="149" t="str">
        <f>IFERROR(VLOOKUP(Proc[[#This Row],[App]],Table2[],3,0),"open")</f>
        <v>ok</v>
      </c>
      <c r="C3109" s="124" t="s">
        <v>369</v>
      </c>
      <c r="D3109" t="s">
        <v>5128</v>
      </c>
      <c r="E3109" t="s">
        <v>4068</v>
      </c>
      <c r="F3109" s="125" t="s">
        <v>4068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44" t="str">
        <f>IF(Proc[[#This Row],[Author]]="Marcela Urrego",VLOOKUP(LEFT(Proc[[#This Row],[Requested]],1),Table3[#All],2,0),VLOOKUP(Proc[[#This Row],[Author]],Table4[],2,0))</f>
        <v>HC</v>
      </c>
      <c r="L3109" s="125" t="s">
        <v>4894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94</v>
      </c>
      <c r="R3109" s="115" t="s">
        <v>1013</v>
      </c>
      <c r="S3109" s="125"/>
    </row>
    <row r="3110" spans="1:19">
      <c r="A3110" s="124" t="s">
        <v>5258</v>
      </c>
      <c r="B3110" s="149" t="str">
        <f>IFERROR(VLOOKUP(Proc[[#This Row],[App]],Table2[],3,0),"open")</f>
        <v>ok</v>
      </c>
      <c r="C3110" s="124" t="s">
        <v>369</v>
      </c>
      <c r="D3110" t="s">
        <v>5129</v>
      </c>
      <c r="E3110" t="s">
        <v>4068</v>
      </c>
      <c r="F3110" s="125" t="s">
        <v>4068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44" t="str">
        <f>IF(Proc[[#This Row],[Author]]="Marcela Urrego",VLOOKUP(LEFT(Proc[[#This Row],[Requested]],1),Table3[#All],2,0),VLOOKUP(Proc[[#This Row],[Author]],Table4[],2,0))</f>
        <v>HC</v>
      </c>
      <c r="L3110" s="125" t="s">
        <v>4894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94</v>
      </c>
      <c r="R3110" s="115" t="s">
        <v>1013</v>
      </c>
      <c r="S3110" s="125"/>
    </row>
    <row r="3111" spans="1:19">
      <c r="A3111" s="124" t="s">
        <v>5258</v>
      </c>
      <c r="B3111" s="149" t="str">
        <f>IFERROR(VLOOKUP(Proc[[#This Row],[App]],Table2[],3,0),"open")</f>
        <v>ok</v>
      </c>
      <c r="C3111" s="124" t="s">
        <v>369</v>
      </c>
      <c r="D3111" t="s">
        <v>5130</v>
      </c>
      <c r="E3111" t="s">
        <v>4068</v>
      </c>
      <c r="F3111" s="125" t="s">
        <v>4068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44" t="str">
        <f>IF(Proc[[#This Row],[Author]]="Marcela Urrego",VLOOKUP(LEFT(Proc[[#This Row],[Requested]],1),Table3[#All],2,0),VLOOKUP(Proc[[#This Row],[Author]],Table4[],2,0))</f>
        <v>HC</v>
      </c>
      <c r="L3111" s="125" t="s">
        <v>4894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94</v>
      </c>
      <c r="R3111" s="115" t="s">
        <v>1013</v>
      </c>
      <c r="S3111" s="125"/>
    </row>
    <row r="3112" spans="1:19">
      <c r="A3112" s="124" t="s">
        <v>5258</v>
      </c>
      <c r="B3112" s="149" t="str">
        <f>IFERROR(VLOOKUP(Proc[[#This Row],[App]],Table2[],3,0),"open")</f>
        <v>ok</v>
      </c>
      <c r="C3112" s="124" t="s">
        <v>369</v>
      </c>
      <c r="D3112" t="s">
        <v>5131</v>
      </c>
      <c r="E3112" t="s">
        <v>4068</v>
      </c>
      <c r="F3112" s="125" t="s">
        <v>4068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44" t="str">
        <f>IF(Proc[[#This Row],[Author]]="Marcela Urrego",VLOOKUP(LEFT(Proc[[#This Row],[Requested]],1),Table3[#All],2,0),VLOOKUP(Proc[[#This Row],[Author]],Table4[],2,0))</f>
        <v>HC</v>
      </c>
      <c r="L3112" s="125" t="s">
        <v>4894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94</v>
      </c>
      <c r="R3112" s="115" t="s">
        <v>1013</v>
      </c>
      <c r="S3112" s="125"/>
    </row>
    <row r="3113" spans="1:19">
      <c r="A3113" s="124" t="s">
        <v>5258</v>
      </c>
      <c r="B3113" s="149" t="str">
        <f>IFERROR(VLOOKUP(Proc[[#This Row],[App]],Table2[],3,0),"open")</f>
        <v>ok</v>
      </c>
      <c r="C3113" s="124" t="s">
        <v>369</v>
      </c>
      <c r="D3113" t="s">
        <v>5132</v>
      </c>
      <c r="E3113" t="s">
        <v>4068</v>
      </c>
      <c r="F3113" s="125" t="s">
        <v>4068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44" t="str">
        <f>IF(Proc[[#This Row],[Author]]="Marcela Urrego",VLOOKUP(LEFT(Proc[[#This Row],[Requested]],1),Table3[#All],2,0),VLOOKUP(Proc[[#This Row],[Author]],Table4[],2,0))</f>
        <v>HC</v>
      </c>
      <c r="L3113" s="125" t="s">
        <v>4894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94</v>
      </c>
      <c r="R3113" s="115" t="s">
        <v>1013</v>
      </c>
      <c r="S3113" s="125"/>
    </row>
    <row r="3114" spans="1:19">
      <c r="A3114" s="124" t="s">
        <v>5258</v>
      </c>
      <c r="B3114" s="149" t="str">
        <f>IFERROR(VLOOKUP(Proc[[#This Row],[App]],Table2[],3,0),"open")</f>
        <v>ok</v>
      </c>
      <c r="C3114" s="124" t="s">
        <v>369</v>
      </c>
      <c r="D3114" t="s">
        <v>5133</v>
      </c>
      <c r="E3114" t="s">
        <v>4068</v>
      </c>
      <c r="F3114" s="125" t="s">
        <v>4068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44" t="str">
        <f>IF(Proc[[#This Row],[Author]]="Marcela Urrego",VLOOKUP(LEFT(Proc[[#This Row],[Requested]],1),Table3[#All],2,0),VLOOKUP(Proc[[#This Row],[Author]],Table4[],2,0))</f>
        <v>HC</v>
      </c>
      <c r="L3114" s="125" t="s">
        <v>4894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94</v>
      </c>
      <c r="R3114" s="115" t="s">
        <v>1013</v>
      </c>
      <c r="S3114" s="125"/>
    </row>
    <row r="3115" spans="1:19">
      <c r="A3115" s="124" t="s">
        <v>5258</v>
      </c>
      <c r="B3115" s="149" t="str">
        <f>IFERROR(VLOOKUP(Proc[[#This Row],[App]],Table2[],3,0),"open")</f>
        <v>ok</v>
      </c>
      <c r="C3115" s="124" t="s">
        <v>369</v>
      </c>
      <c r="D3115" t="s">
        <v>5134</v>
      </c>
      <c r="E3115" t="s">
        <v>4068</v>
      </c>
      <c r="F3115" s="125" t="s">
        <v>4068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44" t="str">
        <f>IF(Proc[[#This Row],[Author]]="Marcela Urrego",VLOOKUP(LEFT(Proc[[#This Row],[Requested]],1),Table3[#All],2,0),VLOOKUP(Proc[[#This Row],[Author]],Table4[],2,0))</f>
        <v>HC</v>
      </c>
      <c r="L3115" s="125" t="s">
        <v>4894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94</v>
      </c>
      <c r="R3115" s="115" t="s">
        <v>1013</v>
      </c>
      <c r="S3115" s="125"/>
    </row>
    <row r="3116" spans="1:19">
      <c r="A3116" s="124" t="s">
        <v>5258</v>
      </c>
      <c r="B3116" s="149" t="str">
        <f>IFERROR(VLOOKUP(Proc[[#This Row],[App]],Table2[],3,0),"open")</f>
        <v>ok</v>
      </c>
      <c r="C3116" s="124" t="s">
        <v>369</v>
      </c>
      <c r="D3116" t="s">
        <v>5135</v>
      </c>
      <c r="E3116" t="s">
        <v>4068</v>
      </c>
      <c r="F3116" s="125" t="s">
        <v>4068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44" t="str">
        <f>IF(Proc[[#This Row],[Author]]="Marcela Urrego",VLOOKUP(LEFT(Proc[[#This Row],[Requested]],1),Table3[#All],2,0),VLOOKUP(Proc[[#This Row],[Author]],Table4[],2,0))</f>
        <v>HC</v>
      </c>
      <c r="L3116" s="125" t="s">
        <v>4894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94</v>
      </c>
      <c r="R3116" s="115" t="s">
        <v>1013</v>
      </c>
      <c r="S3116" s="125"/>
    </row>
    <row r="3117" spans="1:19">
      <c r="A3117" s="124" t="s">
        <v>5258</v>
      </c>
      <c r="B3117" s="149" t="str">
        <f>IFERROR(VLOOKUP(Proc[[#This Row],[App]],Table2[],3,0),"open")</f>
        <v>ok</v>
      </c>
      <c r="C3117" s="124" t="s">
        <v>369</v>
      </c>
      <c r="D3117" t="s">
        <v>5136</v>
      </c>
      <c r="E3117" t="s">
        <v>4068</v>
      </c>
      <c r="F3117" s="125" t="s">
        <v>4068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44" t="str">
        <f>IF(Proc[[#This Row],[Author]]="Marcela Urrego",VLOOKUP(LEFT(Proc[[#This Row],[Requested]],1),Table3[#All],2,0),VLOOKUP(Proc[[#This Row],[Author]],Table4[],2,0))</f>
        <v>HC</v>
      </c>
      <c r="L3117" s="125" t="s">
        <v>4894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94</v>
      </c>
      <c r="R3117" s="115" t="s">
        <v>1013</v>
      </c>
      <c r="S3117" s="125"/>
    </row>
    <row r="3118" spans="1:19">
      <c r="A3118" s="124" t="s">
        <v>5258</v>
      </c>
      <c r="B3118" s="149" t="str">
        <f>IFERROR(VLOOKUP(Proc[[#This Row],[App]],Table2[],3,0),"open")</f>
        <v>ok</v>
      </c>
      <c r="C3118" s="124" t="s">
        <v>369</v>
      </c>
      <c r="D3118" t="s">
        <v>5137</v>
      </c>
      <c r="E3118" t="s">
        <v>4068</v>
      </c>
      <c r="F3118" s="125" t="s">
        <v>4068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44" t="str">
        <f>IF(Proc[[#This Row],[Author]]="Marcela Urrego",VLOOKUP(LEFT(Proc[[#This Row],[Requested]],1),Table3[#All],2,0),VLOOKUP(Proc[[#This Row],[Author]],Table4[],2,0))</f>
        <v>HC</v>
      </c>
      <c r="L3118" s="125" t="s">
        <v>4894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94</v>
      </c>
      <c r="R3118" s="115" t="s">
        <v>1013</v>
      </c>
      <c r="S3118" s="125"/>
    </row>
    <row r="3119" spans="1:19">
      <c r="A3119" s="124" t="s">
        <v>5258</v>
      </c>
      <c r="B3119" s="149" t="str">
        <f>IFERROR(VLOOKUP(Proc[[#This Row],[App]],Table2[],3,0),"open")</f>
        <v>ok</v>
      </c>
      <c r="C3119" s="124" t="s">
        <v>369</v>
      </c>
      <c r="D3119" t="s">
        <v>5138</v>
      </c>
      <c r="E3119" t="s">
        <v>4068</v>
      </c>
      <c r="F3119" s="125" t="s">
        <v>4068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44" t="str">
        <f>IF(Proc[[#This Row],[Author]]="Marcela Urrego",VLOOKUP(LEFT(Proc[[#This Row],[Requested]],1),Table3[#All],2,0),VLOOKUP(Proc[[#This Row],[Author]],Table4[],2,0))</f>
        <v>HC</v>
      </c>
      <c r="L3119" s="125" t="s">
        <v>4894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94</v>
      </c>
      <c r="R3119" s="115" t="s">
        <v>1013</v>
      </c>
      <c r="S3119" s="125"/>
    </row>
    <row r="3120" spans="1:19">
      <c r="A3120" s="124" t="s">
        <v>5258</v>
      </c>
      <c r="B3120" s="149" t="str">
        <f>IFERROR(VLOOKUP(Proc[[#This Row],[App]],Table2[],3,0),"open")</f>
        <v>ok</v>
      </c>
      <c r="C3120" s="124" t="s">
        <v>369</v>
      </c>
      <c r="D3120" t="s">
        <v>5139</v>
      </c>
      <c r="E3120" t="s">
        <v>4068</v>
      </c>
      <c r="F3120" s="125" t="s">
        <v>4068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44" t="str">
        <f>IF(Proc[[#This Row],[Author]]="Marcela Urrego",VLOOKUP(LEFT(Proc[[#This Row],[Requested]],1),Table3[#All],2,0),VLOOKUP(Proc[[#This Row],[Author]],Table4[],2,0))</f>
        <v>HC</v>
      </c>
      <c r="L3120" s="125" t="s">
        <v>4894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94</v>
      </c>
      <c r="R3120" s="115" t="s">
        <v>1013</v>
      </c>
      <c r="S3120" s="125"/>
    </row>
    <row r="3121" spans="1:19">
      <c r="A3121" s="124" t="s">
        <v>5258</v>
      </c>
      <c r="B3121" s="149" t="str">
        <f>IFERROR(VLOOKUP(Proc[[#This Row],[App]],Table2[],3,0),"open")</f>
        <v>ok</v>
      </c>
      <c r="C3121" s="124" t="s">
        <v>369</v>
      </c>
      <c r="D3121" t="s">
        <v>5140</v>
      </c>
      <c r="E3121" t="s">
        <v>4068</v>
      </c>
      <c r="F3121" s="125" t="s">
        <v>4068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44" t="str">
        <f>IF(Proc[[#This Row],[Author]]="Marcela Urrego",VLOOKUP(LEFT(Proc[[#This Row],[Requested]],1),Table3[#All],2,0),VLOOKUP(Proc[[#This Row],[Author]],Table4[],2,0))</f>
        <v>HC</v>
      </c>
      <c r="L3121" s="125" t="s">
        <v>4894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94</v>
      </c>
      <c r="R3121" s="115" t="s">
        <v>1013</v>
      </c>
      <c r="S3121" s="125"/>
    </row>
    <row r="3122" spans="1:19">
      <c r="A3122" s="124" t="s">
        <v>5258</v>
      </c>
      <c r="B3122" s="149" t="str">
        <f>IFERROR(VLOOKUP(Proc[[#This Row],[App]],Table2[],3,0),"open")</f>
        <v>ok</v>
      </c>
      <c r="C3122" s="124" t="s">
        <v>369</v>
      </c>
      <c r="D3122" t="s">
        <v>5141</v>
      </c>
      <c r="E3122" t="s">
        <v>4068</v>
      </c>
      <c r="F3122" s="125" t="s">
        <v>4068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44" t="str">
        <f>IF(Proc[[#This Row],[Author]]="Marcela Urrego",VLOOKUP(LEFT(Proc[[#This Row],[Requested]],1),Table3[#All],2,0),VLOOKUP(Proc[[#This Row],[Author]],Table4[],2,0))</f>
        <v>HC</v>
      </c>
      <c r="L3122" s="125" t="s">
        <v>4894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94</v>
      </c>
      <c r="R3122" s="115" t="s">
        <v>1013</v>
      </c>
      <c r="S3122" s="125"/>
    </row>
    <row r="3123" spans="1:19">
      <c r="A3123" s="124" t="s">
        <v>5258</v>
      </c>
      <c r="B3123" s="149" t="str">
        <f>IFERROR(VLOOKUP(Proc[[#This Row],[App]],Table2[],3,0),"open")</f>
        <v>ok</v>
      </c>
      <c r="C3123" s="124" t="s">
        <v>369</v>
      </c>
      <c r="D3123" t="s">
        <v>5142</v>
      </c>
      <c r="E3123" t="s">
        <v>4068</v>
      </c>
      <c r="F3123" s="125" t="s">
        <v>4068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44" t="str">
        <f>IF(Proc[[#This Row],[Author]]="Marcela Urrego",VLOOKUP(LEFT(Proc[[#This Row],[Requested]],1),Table3[#All],2,0),VLOOKUP(Proc[[#This Row],[Author]],Table4[],2,0))</f>
        <v>HC</v>
      </c>
      <c r="L3123" s="125" t="s">
        <v>4894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94</v>
      </c>
      <c r="R3123" s="115" t="s">
        <v>1013</v>
      </c>
      <c r="S3123" s="125"/>
    </row>
    <row r="3124" spans="1:19">
      <c r="A3124" s="124" t="s">
        <v>5258</v>
      </c>
      <c r="B3124" s="149" t="str">
        <f>IFERROR(VLOOKUP(Proc[[#This Row],[App]],Table2[],3,0),"open")</f>
        <v>ok</v>
      </c>
      <c r="C3124" s="124" t="s">
        <v>369</v>
      </c>
      <c r="D3124" t="s">
        <v>5143</v>
      </c>
      <c r="E3124" t="s">
        <v>4068</v>
      </c>
      <c r="F3124" s="125" t="s">
        <v>4068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44" t="str">
        <f>IF(Proc[[#This Row],[Author]]="Marcela Urrego",VLOOKUP(LEFT(Proc[[#This Row],[Requested]],1),Table3[#All],2,0),VLOOKUP(Proc[[#This Row],[Author]],Table4[],2,0))</f>
        <v>HC</v>
      </c>
      <c r="L3124" s="125" t="s">
        <v>4894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94</v>
      </c>
      <c r="R3124" s="115" t="s">
        <v>1013</v>
      </c>
      <c r="S3124" s="125"/>
    </row>
    <row r="3125" spans="1:19">
      <c r="A3125" s="124" t="s">
        <v>5258</v>
      </c>
      <c r="B3125" s="149" t="str">
        <f>IFERROR(VLOOKUP(Proc[[#This Row],[App]],Table2[],3,0),"open")</f>
        <v>ok</v>
      </c>
      <c r="C3125" s="124" t="s">
        <v>369</v>
      </c>
      <c r="D3125" t="s">
        <v>5144</v>
      </c>
      <c r="E3125" t="s">
        <v>4068</v>
      </c>
      <c r="F3125" s="125" t="s">
        <v>4068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44" t="str">
        <f>IF(Proc[[#This Row],[Author]]="Marcela Urrego",VLOOKUP(LEFT(Proc[[#This Row],[Requested]],1),Table3[#All],2,0),VLOOKUP(Proc[[#This Row],[Author]],Table4[],2,0))</f>
        <v>HC</v>
      </c>
      <c r="L3125" s="125" t="s">
        <v>4894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94</v>
      </c>
      <c r="R3125" s="115" t="s">
        <v>1013</v>
      </c>
      <c r="S3125" s="125"/>
    </row>
    <row r="3126" spans="1:19">
      <c r="A3126" s="124" t="s">
        <v>5258</v>
      </c>
      <c r="B3126" s="149" t="str">
        <f>IFERROR(VLOOKUP(Proc[[#This Row],[App]],Table2[],3,0),"open")</f>
        <v>ok</v>
      </c>
      <c r="C3126" s="124" t="s">
        <v>369</v>
      </c>
      <c r="D3126" t="s">
        <v>5145</v>
      </c>
      <c r="E3126" t="s">
        <v>4068</v>
      </c>
      <c r="F3126" s="125" t="s">
        <v>4068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44" t="str">
        <f>IF(Proc[[#This Row],[Author]]="Marcela Urrego",VLOOKUP(LEFT(Proc[[#This Row],[Requested]],1),Table3[#All],2,0),VLOOKUP(Proc[[#This Row],[Author]],Table4[],2,0))</f>
        <v>HC</v>
      </c>
      <c r="L3126" s="125" t="s">
        <v>4894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94</v>
      </c>
      <c r="R3126" s="115" t="s">
        <v>1013</v>
      </c>
      <c r="S3126" s="125"/>
    </row>
    <row r="3127" spans="1:19">
      <c r="A3127" s="124" t="s">
        <v>5258</v>
      </c>
      <c r="B3127" s="149" t="str">
        <f>IFERROR(VLOOKUP(Proc[[#This Row],[App]],Table2[],3,0),"open")</f>
        <v>ok</v>
      </c>
      <c r="C3127" s="124" t="s">
        <v>369</v>
      </c>
      <c r="D3127" t="s">
        <v>5146</v>
      </c>
      <c r="E3127" t="s">
        <v>4068</v>
      </c>
      <c r="F3127" s="125" t="s">
        <v>4068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44" t="str">
        <f>IF(Proc[[#This Row],[Author]]="Marcela Urrego",VLOOKUP(LEFT(Proc[[#This Row],[Requested]],1),Table3[#All],2,0),VLOOKUP(Proc[[#This Row],[Author]],Table4[],2,0))</f>
        <v>HC</v>
      </c>
      <c r="L3127" s="125" t="s">
        <v>4894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94</v>
      </c>
      <c r="R3127" s="115" t="s">
        <v>1013</v>
      </c>
      <c r="S3127" s="125"/>
    </row>
    <row r="3128" spans="1:19">
      <c r="A3128" s="124" t="s">
        <v>5258</v>
      </c>
      <c r="B3128" s="149" t="str">
        <f>IFERROR(VLOOKUP(Proc[[#This Row],[App]],Table2[],3,0),"open")</f>
        <v>ok</v>
      </c>
      <c r="C3128" s="124" t="s">
        <v>369</v>
      </c>
      <c r="D3128" t="s">
        <v>5147</v>
      </c>
      <c r="E3128" t="s">
        <v>4068</v>
      </c>
      <c r="F3128" s="125" t="s">
        <v>4068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44" t="str">
        <f>IF(Proc[[#This Row],[Author]]="Marcela Urrego",VLOOKUP(LEFT(Proc[[#This Row],[Requested]],1),Table3[#All],2,0),VLOOKUP(Proc[[#This Row],[Author]],Table4[],2,0))</f>
        <v>HC</v>
      </c>
      <c r="L3128" s="125" t="s">
        <v>4894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94</v>
      </c>
      <c r="R3128" s="115" t="s">
        <v>1013</v>
      </c>
      <c r="S3128" s="125"/>
    </row>
    <row r="3129" spans="1:19">
      <c r="A3129" s="124" t="s">
        <v>5258</v>
      </c>
      <c r="B3129" s="149" t="str">
        <f>IFERROR(VLOOKUP(Proc[[#This Row],[App]],Table2[],3,0),"open")</f>
        <v>ok</v>
      </c>
      <c r="C3129" s="124" t="s">
        <v>369</v>
      </c>
      <c r="D3129" t="s">
        <v>5148</v>
      </c>
      <c r="E3129" t="s">
        <v>4068</v>
      </c>
      <c r="F3129" s="125" t="s">
        <v>4068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44" t="str">
        <f>IF(Proc[[#This Row],[Author]]="Marcela Urrego",VLOOKUP(LEFT(Proc[[#This Row],[Requested]],1),Table3[#All],2,0),VLOOKUP(Proc[[#This Row],[Author]],Table4[],2,0))</f>
        <v>HC</v>
      </c>
      <c r="L3129" s="125" t="s">
        <v>4894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94</v>
      </c>
      <c r="R3129" s="115" t="s">
        <v>1013</v>
      </c>
      <c r="S3129" s="125"/>
    </row>
    <row r="3130" spans="1:19">
      <c r="A3130" s="124" t="s">
        <v>5258</v>
      </c>
      <c r="B3130" s="149" t="str">
        <f>IFERROR(VLOOKUP(Proc[[#This Row],[App]],Table2[],3,0),"open")</f>
        <v>ok</v>
      </c>
      <c r="C3130" s="124" t="s">
        <v>369</v>
      </c>
      <c r="D3130" t="s">
        <v>5149</v>
      </c>
      <c r="E3130" t="s">
        <v>4068</v>
      </c>
      <c r="F3130" s="125" t="s">
        <v>4068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44" t="str">
        <f>IF(Proc[[#This Row],[Author]]="Marcela Urrego",VLOOKUP(LEFT(Proc[[#This Row],[Requested]],1),Table3[#All],2,0),VLOOKUP(Proc[[#This Row],[Author]],Table4[],2,0))</f>
        <v>HC</v>
      </c>
      <c r="L3130" s="125" t="s">
        <v>4894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94</v>
      </c>
      <c r="R3130" s="115" t="s">
        <v>1013</v>
      </c>
      <c r="S3130" s="125"/>
    </row>
    <row r="3131" spans="1:19">
      <c r="A3131" s="124" t="s">
        <v>5258</v>
      </c>
      <c r="B3131" s="149" t="str">
        <f>IFERROR(VLOOKUP(Proc[[#This Row],[App]],Table2[],3,0),"open")</f>
        <v>ok</v>
      </c>
      <c r="C3131" s="124" t="s">
        <v>369</v>
      </c>
      <c r="D3131" t="s">
        <v>5150</v>
      </c>
      <c r="E3131" t="s">
        <v>4068</v>
      </c>
      <c r="F3131" s="125" t="s">
        <v>4068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44" t="str">
        <f>IF(Proc[[#This Row],[Author]]="Marcela Urrego",VLOOKUP(LEFT(Proc[[#This Row],[Requested]],1),Table3[#All],2,0),VLOOKUP(Proc[[#This Row],[Author]],Table4[],2,0))</f>
        <v>HC</v>
      </c>
      <c r="L3131" s="125" t="s">
        <v>4894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94</v>
      </c>
      <c r="R3131" s="115" t="s">
        <v>1013</v>
      </c>
      <c r="S3131" s="125"/>
    </row>
    <row r="3132" spans="1:19">
      <c r="A3132" s="124" t="s">
        <v>5258</v>
      </c>
      <c r="B3132" s="149" t="str">
        <f>IFERROR(VLOOKUP(Proc[[#This Row],[App]],Table2[],3,0),"open")</f>
        <v>ok</v>
      </c>
      <c r="C3132" s="124" t="s">
        <v>369</v>
      </c>
      <c r="D3132" t="s">
        <v>5151</v>
      </c>
      <c r="E3132" t="s">
        <v>4068</v>
      </c>
      <c r="F3132" s="125" t="s">
        <v>4068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44" t="str">
        <f>IF(Proc[[#This Row],[Author]]="Marcela Urrego",VLOOKUP(LEFT(Proc[[#This Row],[Requested]],1),Table3[#All],2,0),VLOOKUP(Proc[[#This Row],[Author]],Table4[],2,0))</f>
        <v>HC</v>
      </c>
      <c r="L3132" s="125" t="s">
        <v>4894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94</v>
      </c>
      <c r="R3132" s="115" t="s">
        <v>1013</v>
      </c>
      <c r="S3132" s="125"/>
    </row>
    <row r="3133" spans="1:19">
      <c r="A3133" s="124" t="s">
        <v>5258</v>
      </c>
      <c r="B3133" s="149" t="str">
        <f>IFERROR(VLOOKUP(Proc[[#This Row],[App]],Table2[],3,0),"open")</f>
        <v>ok</v>
      </c>
      <c r="C3133" s="124" t="s">
        <v>369</v>
      </c>
      <c r="D3133" t="s">
        <v>5152</v>
      </c>
      <c r="E3133" t="s">
        <v>4068</v>
      </c>
      <c r="F3133" s="125" t="s">
        <v>4068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44" t="str">
        <f>IF(Proc[[#This Row],[Author]]="Marcela Urrego",VLOOKUP(LEFT(Proc[[#This Row],[Requested]],1),Table3[#All],2,0),VLOOKUP(Proc[[#This Row],[Author]],Table4[],2,0))</f>
        <v>HC</v>
      </c>
      <c r="L3133" s="125" t="s">
        <v>4894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94</v>
      </c>
      <c r="R3133" s="115" t="s">
        <v>1013</v>
      </c>
      <c r="S3133" s="125"/>
    </row>
    <row r="3134" spans="1:19">
      <c r="A3134" s="124" t="s">
        <v>5258</v>
      </c>
      <c r="B3134" s="149" t="str">
        <f>IFERROR(VLOOKUP(Proc[[#This Row],[App]],Table2[],3,0),"open")</f>
        <v>ok</v>
      </c>
      <c r="C3134" s="124" t="s">
        <v>369</v>
      </c>
      <c r="D3134" t="s">
        <v>5153</v>
      </c>
      <c r="E3134" t="s">
        <v>4068</v>
      </c>
      <c r="F3134" s="125" t="s">
        <v>4068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44" t="str">
        <f>IF(Proc[[#This Row],[Author]]="Marcela Urrego",VLOOKUP(LEFT(Proc[[#This Row],[Requested]],1),Table3[#All],2,0),VLOOKUP(Proc[[#This Row],[Author]],Table4[],2,0))</f>
        <v>HC</v>
      </c>
      <c r="L3134" s="125" t="s">
        <v>4894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94</v>
      </c>
      <c r="R3134" s="115" t="s">
        <v>1013</v>
      </c>
      <c r="S3134" s="125"/>
    </row>
    <row r="3135" spans="1:19">
      <c r="A3135" s="124" t="s">
        <v>5258</v>
      </c>
      <c r="B3135" s="149" t="str">
        <f>IFERROR(VLOOKUP(Proc[[#This Row],[App]],Table2[],3,0),"open")</f>
        <v>ok</v>
      </c>
      <c r="C3135" s="124" t="s">
        <v>369</v>
      </c>
      <c r="D3135" t="s">
        <v>5154</v>
      </c>
      <c r="E3135" t="s">
        <v>4068</v>
      </c>
      <c r="F3135" s="125" t="s">
        <v>4068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44" t="str">
        <f>IF(Proc[[#This Row],[Author]]="Marcela Urrego",VLOOKUP(LEFT(Proc[[#This Row],[Requested]],1),Table3[#All],2,0),VLOOKUP(Proc[[#This Row],[Author]],Table4[],2,0))</f>
        <v>HC</v>
      </c>
      <c r="L3135" s="125" t="s">
        <v>4894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94</v>
      </c>
      <c r="R3135" s="115" t="s">
        <v>1013</v>
      </c>
      <c r="S3135" s="125"/>
    </row>
    <row r="3136" spans="1:19">
      <c r="A3136" s="124" t="s">
        <v>5258</v>
      </c>
      <c r="B3136" s="149" t="str">
        <f>IFERROR(VLOOKUP(Proc[[#This Row],[App]],Table2[],3,0),"open")</f>
        <v>ok</v>
      </c>
      <c r="C3136" s="124" t="s">
        <v>369</v>
      </c>
      <c r="D3136" t="s">
        <v>5155</v>
      </c>
      <c r="E3136" t="s">
        <v>4068</v>
      </c>
      <c r="F3136" s="125" t="s">
        <v>4068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44" t="str">
        <f>IF(Proc[[#This Row],[Author]]="Marcela Urrego",VLOOKUP(LEFT(Proc[[#This Row],[Requested]],1),Table3[#All],2,0),VLOOKUP(Proc[[#This Row],[Author]],Table4[],2,0))</f>
        <v>HC</v>
      </c>
      <c r="L3136" s="125" t="s">
        <v>4894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94</v>
      </c>
      <c r="R3136" s="115" t="s">
        <v>1013</v>
      </c>
      <c r="S3136" s="125"/>
    </row>
    <row r="3137" spans="1:19">
      <c r="A3137" s="124" t="s">
        <v>5258</v>
      </c>
      <c r="B3137" s="149" t="str">
        <f>IFERROR(VLOOKUP(Proc[[#This Row],[App]],Table2[],3,0),"open")</f>
        <v>ok</v>
      </c>
      <c r="C3137" s="124" t="s">
        <v>369</v>
      </c>
      <c r="D3137" t="s">
        <v>5156</v>
      </c>
      <c r="E3137" t="s">
        <v>4068</v>
      </c>
      <c r="F3137" s="125" t="s">
        <v>4068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44" t="str">
        <f>IF(Proc[[#This Row],[Author]]="Marcela Urrego",VLOOKUP(LEFT(Proc[[#This Row],[Requested]],1),Table3[#All],2,0),VLOOKUP(Proc[[#This Row],[Author]],Table4[],2,0))</f>
        <v>HC</v>
      </c>
      <c r="L3137" s="125" t="s">
        <v>4894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94</v>
      </c>
      <c r="R3137" s="115" t="s">
        <v>1013</v>
      </c>
      <c r="S3137" s="125"/>
    </row>
    <row r="3138" spans="1:19">
      <c r="A3138" s="124" t="s">
        <v>5258</v>
      </c>
      <c r="B3138" s="149" t="str">
        <f>IFERROR(VLOOKUP(Proc[[#This Row],[App]],Table2[],3,0),"open")</f>
        <v>ok</v>
      </c>
      <c r="C3138" s="124" t="s">
        <v>369</v>
      </c>
      <c r="D3138" t="s">
        <v>5157</v>
      </c>
      <c r="E3138" t="s">
        <v>4068</v>
      </c>
      <c r="F3138" s="125" t="s">
        <v>4068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44" t="str">
        <f>IF(Proc[[#This Row],[Author]]="Marcela Urrego",VLOOKUP(LEFT(Proc[[#This Row],[Requested]],1),Table3[#All],2,0),VLOOKUP(Proc[[#This Row],[Author]],Table4[],2,0))</f>
        <v>HC</v>
      </c>
      <c r="L3138" s="125" t="s">
        <v>4894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94</v>
      </c>
      <c r="R3138" s="115" t="s">
        <v>1013</v>
      </c>
      <c r="S3138" s="125"/>
    </row>
    <row r="3139" spans="1:19">
      <c r="A3139" s="124" t="s">
        <v>5258</v>
      </c>
      <c r="B3139" s="149" t="str">
        <f>IFERROR(VLOOKUP(Proc[[#This Row],[App]],Table2[],3,0),"open")</f>
        <v>ok</v>
      </c>
      <c r="C3139" s="124" t="s">
        <v>369</v>
      </c>
      <c r="D3139" t="s">
        <v>5158</v>
      </c>
      <c r="E3139" t="s">
        <v>4068</v>
      </c>
      <c r="F3139" s="125" t="s">
        <v>4068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44" t="str">
        <f>IF(Proc[[#This Row],[Author]]="Marcela Urrego",VLOOKUP(LEFT(Proc[[#This Row],[Requested]],1),Table3[#All],2,0),VLOOKUP(Proc[[#This Row],[Author]],Table4[],2,0))</f>
        <v>HC</v>
      </c>
      <c r="L3139" s="125" t="s">
        <v>4894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94</v>
      </c>
      <c r="R3139" s="115" t="s">
        <v>1013</v>
      </c>
      <c r="S3139" s="125"/>
    </row>
    <row r="3140" spans="1:19">
      <c r="A3140" s="124" t="s">
        <v>5258</v>
      </c>
      <c r="B3140" s="149" t="str">
        <f>IFERROR(VLOOKUP(Proc[[#This Row],[App]],Table2[],3,0),"open")</f>
        <v>ok</v>
      </c>
      <c r="C3140" s="124" t="s">
        <v>369</v>
      </c>
      <c r="D3140" t="s">
        <v>5159</v>
      </c>
      <c r="E3140" t="s">
        <v>4068</v>
      </c>
      <c r="F3140" s="125" t="s">
        <v>4068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44" t="str">
        <f>IF(Proc[[#This Row],[Author]]="Marcela Urrego",VLOOKUP(LEFT(Proc[[#This Row],[Requested]],1),Table3[#All],2,0),VLOOKUP(Proc[[#This Row],[Author]],Table4[],2,0))</f>
        <v>HC</v>
      </c>
      <c r="L3140" s="125" t="s">
        <v>4894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94</v>
      </c>
      <c r="R3140" s="115" t="s">
        <v>1013</v>
      </c>
      <c r="S3140" s="125"/>
    </row>
    <row r="3141" spans="1:19">
      <c r="A3141" s="124" t="s">
        <v>5258</v>
      </c>
      <c r="B3141" s="149" t="str">
        <f>IFERROR(VLOOKUP(Proc[[#This Row],[App]],Table2[],3,0),"open")</f>
        <v>ok</v>
      </c>
      <c r="C3141" s="124" t="s">
        <v>369</v>
      </c>
      <c r="D3141" t="s">
        <v>5160</v>
      </c>
      <c r="E3141" t="s">
        <v>4068</v>
      </c>
      <c r="F3141" s="125" t="s">
        <v>4068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44" t="str">
        <f>IF(Proc[[#This Row],[Author]]="Marcela Urrego",VLOOKUP(LEFT(Proc[[#This Row],[Requested]],1),Table3[#All],2,0),VLOOKUP(Proc[[#This Row],[Author]],Table4[],2,0))</f>
        <v>HC</v>
      </c>
      <c r="L3141" s="125" t="s">
        <v>4894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94</v>
      </c>
      <c r="R3141" s="115" t="s">
        <v>1013</v>
      </c>
      <c r="S3141" s="125"/>
    </row>
    <row r="3142" spans="1:19">
      <c r="A3142" s="124" t="s">
        <v>5258</v>
      </c>
      <c r="B3142" s="149" t="str">
        <f>IFERROR(VLOOKUP(Proc[[#This Row],[App]],Table2[],3,0),"open")</f>
        <v>ok</v>
      </c>
      <c r="C3142" s="124" t="s">
        <v>369</v>
      </c>
      <c r="D3142" t="s">
        <v>5161</v>
      </c>
      <c r="E3142" t="s">
        <v>4068</v>
      </c>
      <c r="F3142" s="125" t="s">
        <v>4068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44" t="str">
        <f>IF(Proc[[#This Row],[Author]]="Marcela Urrego",VLOOKUP(LEFT(Proc[[#This Row],[Requested]],1),Table3[#All],2,0),VLOOKUP(Proc[[#This Row],[Author]],Table4[],2,0))</f>
        <v>HC</v>
      </c>
      <c r="L3142" s="125" t="s">
        <v>4894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94</v>
      </c>
      <c r="R3142" s="115" t="s">
        <v>1013</v>
      </c>
      <c r="S3142" s="125"/>
    </row>
    <row r="3143" spans="1:19">
      <c r="A3143" s="124" t="s">
        <v>5258</v>
      </c>
      <c r="B3143" s="149" t="str">
        <f>IFERROR(VLOOKUP(Proc[[#This Row],[App]],Table2[],3,0),"open")</f>
        <v>ok</v>
      </c>
      <c r="C3143" s="124" t="s">
        <v>369</v>
      </c>
      <c r="D3143" t="s">
        <v>5162</v>
      </c>
      <c r="E3143" t="s">
        <v>4068</v>
      </c>
      <c r="F3143" s="125" t="s">
        <v>4068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44" t="str">
        <f>IF(Proc[[#This Row],[Author]]="Marcela Urrego",VLOOKUP(LEFT(Proc[[#This Row],[Requested]],1),Table3[#All],2,0),VLOOKUP(Proc[[#This Row],[Author]],Table4[],2,0))</f>
        <v>HC</v>
      </c>
      <c r="L3143" s="125" t="s">
        <v>4894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94</v>
      </c>
      <c r="R3143" s="115" t="s">
        <v>1013</v>
      </c>
      <c r="S3143" s="125"/>
    </row>
    <row r="3144" spans="1:19">
      <c r="A3144" s="124" t="s">
        <v>5258</v>
      </c>
      <c r="B3144" s="149" t="str">
        <f>IFERROR(VLOOKUP(Proc[[#This Row],[App]],Table2[],3,0),"open")</f>
        <v>ok</v>
      </c>
      <c r="C3144" s="124" t="s">
        <v>369</v>
      </c>
      <c r="D3144" t="s">
        <v>5163</v>
      </c>
      <c r="E3144" t="s">
        <v>4068</v>
      </c>
      <c r="F3144" s="125" t="s">
        <v>4068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44" t="str">
        <f>IF(Proc[[#This Row],[Author]]="Marcela Urrego",VLOOKUP(LEFT(Proc[[#This Row],[Requested]],1),Table3[#All],2,0),VLOOKUP(Proc[[#This Row],[Author]],Table4[],2,0))</f>
        <v>HC</v>
      </c>
      <c r="L3144" s="125" t="s">
        <v>4894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94</v>
      </c>
      <c r="R3144" s="115" t="s">
        <v>1013</v>
      </c>
      <c r="S3144" s="125"/>
    </row>
    <row r="3145" spans="1:19">
      <c r="A3145" s="124" t="s">
        <v>5258</v>
      </c>
      <c r="B3145" s="149" t="str">
        <f>IFERROR(VLOOKUP(Proc[[#This Row],[App]],Table2[],3,0),"open")</f>
        <v>ok</v>
      </c>
      <c r="C3145" s="124" t="s">
        <v>369</v>
      </c>
      <c r="D3145" t="s">
        <v>5164</v>
      </c>
      <c r="E3145" t="s">
        <v>4068</v>
      </c>
      <c r="F3145" s="125" t="s">
        <v>4068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44" t="str">
        <f>IF(Proc[[#This Row],[Author]]="Marcela Urrego",VLOOKUP(LEFT(Proc[[#This Row],[Requested]],1),Table3[#All],2,0),VLOOKUP(Proc[[#This Row],[Author]],Table4[],2,0))</f>
        <v>HC</v>
      </c>
      <c r="L3145" s="125" t="s">
        <v>4894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94</v>
      </c>
      <c r="R3145" s="115" t="s">
        <v>1013</v>
      </c>
      <c r="S3145" s="125"/>
    </row>
    <row r="3146" spans="1:19">
      <c r="A3146" s="124" t="s">
        <v>5258</v>
      </c>
      <c r="B3146" s="149" t="str">
        <f>IFERROR(VLOOKUP(Proc[[#This Row],[App]],Table2[],3,0),"open")</f>
        <v>ok</v>
      </c>
      <c r="C3146" s="124" t="s">
        <v>369</v>
      </c>
      <c r="D3146" t="s">
        <v>5165</v>
      </c>
      <c r="E3146" t="s">
        <v>4068</v>
      </c>
      <c r="F3146" s="125" t="s">
        <v>4068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44" t="str">
        <f>IF(Proc[[#This Row],[Author]]="Marcela Urrego",VLOOKUP(LEFT(Proc[[#This Row],[Requested]],1),Table3[#All],2,0),VLOOKUP(Proc[[#This Row],[Author]],Table4[],2,0))</f>
        <v>HC</v>
      </c>
      <c r="L3146" s="125" t="s">
        <v>4894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94</v>
      </c>
      <c r="R3146" s="115" t="s">
        <v>1013</v>
      </c>
      <c r="S3146" s="125"/>
    </row>
    <row r="3147" spans="1:19">
      <c r="A3147" s="124" t="s">
        <v>5258</v>
      </c>
      <c r="B3147" s="149" t="str">
        <f>IFERROR(VLOOKUP(Proc[[#This Row],[App]],Table2[],3,0),"open")</f>
        <v>ok</v>
      </c>
      <c r="C3147" s="124" t="s">
        <v>369</v>
      </c>
      <c r="D3147" t="s">
        <v>5166</v>
      </c>
      <c r="E3147" t="s">
        <v>4068</v>
      </c>
      <c r="F3147" s="125" t="s">
        <v>4068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44" t="str">
        <f>IF(Proc[[#This Row],[Author]]="Marcela Urrego",VLOOKUP(LEFT(Proc[[#This Row],[Requested]],1),Table3[#All],2,0),VLOOKUP(Proc[[#This Row],[Author]],Table4[],2,0))</f>
        <v>HC</v>
      </c>
      <c r="L3147" s="125" t="s">
        <v>4894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94</v>
      </c>
      <c r="R3147" s="115" t="s">
        <v>1013</v>
      </c>
      <c r="S3147" s="125"/>
    </row>
    <row r="3148" spans="1:19">
      <c r="A3148" s="124" t="s">
        <v>5258</v>
      </c>
      <c r="B3148" s="149" t="str">
        <f>IFERROR(VLOOKUP(Proc[[#This Row],[App]],Table2[],3,0),"open")</f>
        <v>ok</v>
      </c>
      <c r="C3148" s="124" t="s">
        <v>369</v>
      </c>
      <c r="D3148" t="s">
        <v>5167</v>
      </c>
      <c r="E3148" t="s">
        <v>4068</v>
      </c>
      <c r="F3148" s="125" t="s">
        <v>4068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44" t="str">
        <f>IF(Proc[[#This Row],[Author]]="Marcela Urrego",VLOOKUP(LEFT(Proc[[#This Row],[Requested]],1),Table3[#All],2,0),VLOOKUP(Proc[[#This Row],[Author]],Table4[],2,0))</f>
        <v>HC</v>
      </c>
      <c r="L3148" s="125" t="s">
        <v>4894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94</v>
      </c>
      <c r="R3148" s="115" t="s">
        <v>1013</v>
      </c>
      <c r="S3148" s="125"/>
    </row>
    <row r="3149" spans="1:19">
      <c r="A3149" s="124" t="s">
        <v>5258</v>
      </c>
      <c r="B3149" s="149" t="str">
        <f>IFERROR(VLOOKUP(Proc[[#This Row],[App]],Table2[],3,0),"open")</f>
        <v>ok</v>
      </c>
      <c r="C3149" s="124" t="s">
        <v>369</v>
      </c>
      <c r="D3149" t="s">
        <v>5168</v>
      </c>
      <c r="E3149" t="s">
        <v>4068</v>
      </c>
      <c r="F3149" s="125" t="s">
        <v>4068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44" t="str">
        <f>IF(Proc[[#This Row],[Author]]="Marcela Urrego",VLOOKUP(LEFT(Proc[[#This Row],[Requested]],1),Table3[#All],2,0),VLOOKUP(Proc[[#This Row],[Author]],Table4[],2,0))</f>
        <v>HC</v>
      </c>
      <c r="L3149" s="125" t="s">
        <v>4894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94</v>
      </c>
      <c r="R3149" s="115" t="s">
        <v>1013</v>
      </c>
      <c r="S3149" s="125"/>
    </row>
    <row r="3150" spans="1:19">
      <c r="A3150" s="124" t="s">
        <v>5258</v>
      </c>
      <c r="B3150" s="149" t="str">
        <f>IFERROR(VLOOKUP(Proc[[#This Row],[App]],Table2[],3,0),"open")</f>
        <v>ok</v>
      </c>
      <c r="C3150" s="124" t="s">
        <v>369</v>
      </c>
      <c r="D3150" t="s">
        <v>5169</v>
      </c>
      <c r="E3150" t="s">
        <v>4068</v>
      </c>
      <c r="F3150" s="125" t="s">
        <v>4068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44" t="str">
        <f>IF(Proc[[#This Row],[Author]]="Marcela Urrego",VLOOKUP(LEFT(Proc[[#This Row],[Requested]],1),Table3[#All],2,0),VLOOKUP(Proc[[#This Row],[Author]],Table4[],2,0))</f>
        <v>HC</v>
      </c>
      <c r="L3150" s="125" t="s">
        <v>4894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94</v>
      </c>
      <c r="R3150" s="115" t="s">
        <v>1013</v>
      </c>
      <c r="S3150" s="125"/>
    </row>
    <row r="3151" spans="1:19">
      <c r="A3151" s="124" t="s">
        <v>5258</v>
      </c>
      <c r="B3151" s="149" t="str">
        <f>IFERROR(VLOOKUP(Proc[[#This Row],[App]],Table2[],3,0),"open")</f>
        <v>ok</v>
      </c>
      <c r="C3151" s="124" t="s">
        <v>369</v>
      </c>
      <c r="D3151" t="s">
        <v>5170</v>
      </c>
      <c r="E3151" t="s">
        <v>4068</v>
      </c>
      <c r="F3151" s="125" t="s">
        <v>4068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44" t="str">
        <f>IF(Proc[[#This Row],[Author]]="Marcela Urrego",VLOOKUP(LEFT(Proc[[#This Row],[Requested]],1),Table3[#All],2,0),VLOOKUP(Proc[[#This Row],[Author]],Table4[],2,0))</f>
        <v>HC</v>
      </c>
      <c r="L3151" s="125" t="s">
        <v>4894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94</v>
      </c>
      <c r="R3151" s="115" t="s">
        <v>1013</v>
      </c>
      <c r="S3151" s="125"/>
    </row>
    <row r="3152" spans="1:19">
      <c r="A3152" s="124" t="s">
        <v>5258</v>
      </c>
      <c r="B3152" s="149" t="str">
        <f>IFERROR(VLOOKUP(Proc[[#This Row],[App]],Table2[],3,0),"open")</f>
        <v>ok</v>
      </c>
      <c r="C3152" s="124" t="s">
        <v>369</v>
      </c>
      <c r="D3152" t="s">
        <v>5171</v>
      </c>
      <c r="E3152" t="s">
        <v>4068</v>
      </c>
      <c r="F3152" s="125" t="s">
        <v>4068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44" t="str">
        <f>IF(Proc[[#This Row],[Author]]="Marcela Urrego",VLOOKUP(LEFT(Proc[[#This Row],[Requested]],1),Table3[#All],2,0),VLOOKUP(Proc[[#This Row],[Author]],Table4[],2,0))</f>
        <v>HC</v>
      </c>
      <c r="L3152" s="125" t="s">
        <v>4894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94</v>
      </c>
      <c r="R3152" s="115" t="s">
        <v>1013</v>
      </c>
      <c r="S3152" s="125"/>
    </row>
    <row r="3153" spans="1:19">
      <c r="A3153" s="124" t="s">
        <v>5258</v>
      </c>
      <c r="B3153" s="149" t="str">
        <f>IFERROR(VLOOKUP(Proc[[#This Row],[App]],Table2[],3,0),"open")</f>
        <v>ok</v>
      </c>
      <c r="C3153" s="124" t="s">
        <v>369</v>
      </c>
      <c r="D3153" t="s">
        <v>5172</v>
      </c>
      <c r="E3153" t="s">
        <v>4068</v>
      </c>
      <c r="F3153" s="125" t="s">
        <v>4068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44" t="str">
        <f>IF(Proc[[#This Row],[Author]]="Marcela Urrego",VLOOKUP(LEFT(Proc[[#This Row],[Requested]],1),Table3[#All],2,0),VLOOKUP(Proc[[#This Row],[Author]],Table4[],2,0))</f>
        <v>HC</v>
      </c>
      <c r="L3153" s="125" t="s">
        <v>4894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94</v>
      </c>
      <c r="R3153" s="115" t="s">
        <v>1013</v>
      </c>
      <c r="S3153" s="125"/>
    </row>
    <row r="3154" spans="1:19">
      <c r="A3154" s="124" t="s">
        <v>5258</v>
      </c>
      <c r="B3154" s="149" t="str">
        <f>IFERROR(VLOOKUP(Proc[[#This Row],[App]],Table2[],3,0),"open")</f>
        <v>ok</v>
      </c>
      <c r="C3154" s="124" t="s">
        <v>369</v>
      </c>
      <c r="D3154" t="s">
        <v>5173</v>
      </c>
      <c r="E3154" t="s">
        <v>4068</v>
      </c>
      <c r="F3154" s="125" t="s">
        <v>4068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44" t="str">
        <f>IF(Proc[[#This Row],[Author]]="Marcela Urrego",VLOOKUP(LEFT(Proc[[#This Row],[Requested]],1),Table3[#All],2,0),VLOOKUP(Proc[[#This Row],[Author]],Table4[],2,0))</f>
        <v>HC</v>
      </c>
      <c r="L3154" s="125" t="s">
        <v>4894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94</v>
      </c>
      <c r="R3154" s="115" t="s">
        <v>1013</v>
      </c>
      <c r="S3154" s="125"/>
    </row>
    <row r="3155" spans="1:19">
      <c r="A3155" s="124" t="s">
        <v>5258</v>
      </c>
      <c r="B3155" s="149" t="str">
        <f>IFERROR(VLOOKUP(Proc[[#This Row],[App]],Table2[],3,0),"open")</f>
        <v>ok</v>
      </c>
      <c r="C3155" s="124" t="s">
        <v>369</v>
      </c>
      <c r="D3155" t="s">
        <v>5174</v>
      </c>
      <c r="E3155" t="s">
        <v>4068</v>
      </c>
      <c r="F3155" s="125" t="s">
        <v>4068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44" t="str">
        <f>IF(Proc[[#This Row],[Author]]="Marcela Urrego",VLOOKUP(LEFT(Proc[[#This Row],[Requested]],1),Table3[#All],2,0),VLOOKUP(Proc[[#This Row],[Author]],Table4[],2,0))</f>
        <v>HC</v>
      </c>
      <c r="L3155" s="125" t="s">
        <v>4894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94</v>
      </c>
      <c r="R3155" s="115" t="s">
        <v>1013</v>
      </c>
      <c r="S3155" s="125"/>
    </row>
    <row r="3156" spans="1:19">
      <c r="A3156" s="124" t="s">
        <v>5258</v>
      </c>
      <c r="B3156" s="149" t="str">
        <f>IFERROR(VLOOKUP(Proc[[#This Row],[App]],Table2[],3,0),"open")</f>
        <v>ok</v>
      </c>
      <c r="C3156" s="124" t="s">
        <v>369</v>
      </c>
      <c r="D3156" t="s">
        <v>5175</v>
      </c>
      <c r="E3156" t="s">
        <v>4068</v>
      </c>
      <c r="F3156" s="125" t="s">
        <v>4068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44" t="str">
        <f>IF(Proc[[#This Row],[Author]]="Marcela Urrego",VLOOKUP(LEFT(Proc[[#This Row],[Requested]],1),Table3[#All],2,0),VLOOKUP(Proc[[#This Row],[Author]],Table4[],2,0))</f>
        <v>HC</v>
      </c>
      <c r="L3156" s="125" t="s">
        <v>4894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94</v>
      </c>
      <c r="R3156" s="115" t="s">
        <v>1013</v>
      </c>
      <c r="S3156" s="125"/>
    </row>
    <row r="3157" spans="1:19">
      <c r="A3157" s="124" t="s">
        <v>5258</v>
      </c>
      <c r="B3157" s="149" t="str">
        <f>IFERROR(VLOOKUP(Proc[[#This Row],[App]],Table2[],3,0),"open")</f>
        <v>ok</v>
      </c>
      <c r="C3157" s="124" t="s">
        <v>369</v>
      </c>
      <c r="D3157" t="s">
        <v>5176</v>
      </c>
      <c r="E3157" t="s">
        <v>4068</v>
      </c>
      <c r="F3157" s="125" t="s">
        <v>4068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44" t="str">
        <f>IF(Proc[[#This Row],[Author]]="Marcela Urrego",VLOOKUP(LEFT(Proc[[#This Row],[Requested]],1),Table3[#All],2,0),VLOOKUP(Proc[[#This Row],[Author]],Table4[],2,0))</f>
        <v>HC</v>
      </c>
      <c r="L3157" s="125" t="s">
        <v>4894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94</v>
      </c>
      <c r="R3157" s="115" t="s">
        <v>1013</v>
      </c>
      <c r="S3157" s="125"/>
    </row>
    <row r="3158" spans="1:19">
      <c r="A3158" s="124" t="s">
        <v>5258</v>
      </c>
      <c r="B3158" s="149" t="str">
        <f>IFERROR(VLOOKUP(Proc[[#This Row],[App]],Table2[],3,0),"open")</f>
        <v>ok</v>
      </c>
      <c r="C3158" s="124" t="s">
        <v>369</v>
      </c>
      <c r="D3158" t="s">
        <v>5177</v>
      </c>
      <c r="E3158" t="s">
        <v>4068</v>
      </c>
      <c r="F3158" s="125" t="s">
        <v>4068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44" t="str">
        <f>IF(Proc[[#This Row],[Author]]="Marcela Urrego",VLOOKUP(LEFT(Proc[[#This Row],[Requested]],1),Table3[#All],2,0),VLOOKUP(Proc[[#This Row],[Author]],Table4[],2,0))</f>
        <v>HC</v>
      </c>
      <c r="L3158" s="125" t="s">
        <v>4894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94</v>
      </c>
      <c r="R3158" s="115" t="s">
        <v>1013</v>
      </c>
      <c r="S3158" s="125"/>
    </row>
    <row r="3159" spans="1:19">
      <c r="A3159" s="124" t="s">
        <v>5258</v>
      </c>
      <c r="B3159" s="149" t="str">
        <f>IFERROR(VLOOKUP(Proc[[#This Row],[App]],Table2[],3,0),"open")</f>
        <v>ok</v>
      </c>
      <c r="C3159" s="124" t="s">
        <v>369</v>
      </c>
      <c r="D3159" t="s">
        <v>5178</v>
      </c>
      <c r="E3159" t="s">
        <v>4068</v>
      </c>
      <c r="F3159" s="125" t="s">
        <v>4068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44" t="str">
        <f>IF(Proc[[#This Row],[Author]]="Marcela Urrego",VLOOKUP(LEFT(Proc[[#This Row],[Requested]],1),Table3[#All],2,0),VLOOKUP(Proc[[#This Row],[Author]],Table4[],2,0))</f>
        <v>HC</v>
      </c>
      <c r="L3159" s="125" t="s">
        <v>4894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94</v>
      </c>
      <c r="R3159" s="115" t="s">
        <v>1013</v>
      </c>
      <c r="S3159" s="125"/>
    </row>
    <row r="3160" spans="1:19">
      <c r="A3160" s="124" t="s">
        <v>5258</v>
      </c>
      <c r="B3160" s="149" t="str">
        <f>IFERROR(VLOOKUP(Proc[[#This Row],[App]],Table2[],3,0),"open")</f>
        <v>ok</v>
      </c>
      <c r="C3160" s="124" t="s">
        <v>369</v>
      </c>
      <c r="D3160" t="s">
        <v>5179</v>
      </c>
      <c r="E3160" t="s">
        <v>4068</v>
      </c>
      <c r="F3160" s="125" t="s">
        <v>4068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44" t="str">
        <f>IF(Proc[[#This Row],[Author]]="Marcela Urrego",VLOOKUP(LEFT(Proc[[#This Row],[Requested]],1),Table3[#All],2,0),VLOOKUP(Proc[[#This Row],[Author]],Table4[],2,0))</f>
        <v>HC</v>
      </c>
      <c r="L3160" s="125" t="s">
        <v>4894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94</v>
      </c>
      <c r="R3160" s="115" t="s">
        <v>1013</v>
      </c>
      <c r="S3160" s="125"/>
    </row>
    <row r="3161" spans="1:19">
      <c r="A3161" s="124" t="s">
        <v>5258</v>
      </c>
      <c r="B3161" s="149" t="str">
        <f>IFERROR(VLOOKUP(Proc[[#This Row],[App]],Table2[],3,0),"open")</f>
        <v>ok</v>
      </c>
      <c r="C3161" s="124" t="s">
        <v>369</v>
      </c>
      <c r="D3161" t="s">
        <v>5180</v>
      </c>
      <c r="E3161" t="s">
        <v>4068</v>
      </c>
      <c r="F3161" s="125" t="s">
        <v>4068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44" t="str">
        <f>IF(Proc[[#This Row],[Author]]="Marcela Urrego",VLOOKUP(LEFT(Proc[[#This Row],[Requested]],1),Table3[#All],2,0),VLOOKUP(Proc[[#This Row],[Author]],Table4[],2,0))</f>
        <v>HC</v>
      </c>
      <c r="L3161" s="125" t="s">
        <v>4894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94</v>
      </c>
      <c r="R3161" s="115" t="s">
        <v>1013</v>
      </c>
      <c r="S3161" s="125"/>
    </row>
    <row r="3162" spans="1:19">
      <c r="A3162" s="124" t="s">
        <v>5258</v>
      </c>
      <c r="B3162" s="149" t="str">
        <f>IFERROR(VLOOKUP(Proc[[#This Row],[App]],Table2[],3,0),"open")</f>
        <v>ok</v>
      </c>
      <c r="C3162" s="124" t="s">
        <v>369</v>
      </c>
      <c r="D3162" t="s">
        <v>5181</v>
      </c>
      <c r="E3162" t="s">
        <v>4068</v>
      </c>
      <c r="F3162" s="125" t="s">
        <v>4068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44" t="str">
        <f>IF(Proc[[#This Row],[Author]]="Marcela Urrego",VLOOKUP(LEFT(Proc[[#This Row],[Requested]],1),Table3[#All],2,0),VLOOKUP(Proc[[#This Row],[Author]],Table4[],2,0))</f>
        <v>HC</v>
      </c>
      <c r="L3162" s="125" t="s">
        <v>4894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94</v>
      </c>
      <c r="R3162" s="115" t="s">
        <v>1013</v>
      </c>
      <c r="S3162" s="125"/>
    </row>
    <row r="3163" spans="1:19">
      <c r="A3163" s="124" t="s">
        <v>5258</v>
      </c>
      <c r="B3163" s="149" t="str">
        <f>IFERROR(VLOOKUP(Proc[[#This Row],[App]],Table2[],3,0),"open")</f>
        <v>ok</v>
      </c>
      <c r="C3163" s="124" t="s">
        <v>369</v>
      </c>
      <c r="D3163" t="s">
        <v>5182</v>
      </c>
      <c r="E3163" t="s">
        <v>4068</v>
      </c>
      <c r="F3163" s="125" t="s">
        <v>4068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44" t="str">
        <f>IF(Proc[[#This Row],[Author]]="Marcela Urrego",VLOOKUP(LEFT(Proc[[#This Row],[Requested]],1),Table3[#All],2,0),VLOOKUP(Proc[[#This Row],[Author]],Table4[],2,0))</f>
        <v>HC</v>
      </c>
      <c r="L3163" s="125" t="s">
        <v>4894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94</v>
      </c>
      <c r="R3163" s="115" t="s">
        <v>1013</v>
      </c>
      <c r="S3163" s="125"/>
    </row>
    <row r="3164" spans="1:19">
      <c r="A3164" s="124" t="s">
        <v>5258</v>
      </c>
      <c r="B3164" s="149" t="str">
        <f>IFERROR(VLOOKUP(Proc[[#This Row],[App]],Table2[],3,0),"open")</f>
        <v>ok</v>
      </c>
      <c r="C3164" s="124" t="s">
        <v>369</v>
      </c>
      <c r="D3164" t="s">
        <v>5183</v>
      </c>
      <c r="E3164" t="s">
        <v>4068</v>
      </c>
      <c r="F3164" s="125" t="s">
        <v>4068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44" t="str">
        <f>IF(Proc[[#This Row],[Author]]="Marcela Urrego",VLOOKUP(LEFT(Proc[[#This Row],[Requested]],1),Table3[#All],2,0),VLOOKUP(Proc[[#This Row],[Author]],Table4[],2,0))</f>
        <v>HC</v>
      </c>
      <c r="L3164" s="125" t="s">
        <v>4894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94</v>
      </c>
      <c r="R3164" s="115" t="s">
        <v>1013</v>
      </c>
      <c r="S3164" s="125"/>
    </row>
    <row r="3165" spans="1:19">
      <c r="A3165" s="124" t="s">
        <v>5258</v>
      </c>
      <c r="B3165" s="149" t="str">
        <f>IFERROR(VLOOKUP(Proc[[#This Row],[App]],Table2[],3,0),"open")</f>
        <v>ok</v>
      </c>
      <c r="C3165" s="124" t="s">
        <v>369</v>
      </c>
      <c r="D3165" t="s">
        <v>5184</v>
      </c>
      <c r="E3165" t="s">
        <v>4068</v>
      </c>
      <c r="F3165" s="125" t="s">
        <v>4068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44" t="str">
        <f>IF(Proc[[#This Row],[Author]]="Marcela Urrego",VLOOKUP(LEFT(Proc[[#This Row],[Requested]],1),Table3[#All],2,0),VLOOKUP(Proc[[#This Row],[Author]],Table4[],2,0))</f>
        <v>HC</v>
      </c>
      <c r="L3165" s="125" t="s">
        <v>4894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94</v>
      </c>
      <c r="R3165" s="115" t="s">
        <v>1013</v>
      </c>
      <c r="S3165" s="125"/>
    </row>
    <row r="3166" spans="1:19">
      <c r="A3166" s="124" t="s">
        <v>5258</v>
      </c>
      <c r="B3166" s="149" t="str">
        <f>IFERROR(VLOOKUP(Proc[[#This Row],[App]],Table2[],3,0),"open")</f>
        <v>ok</v>
      </c>
      <c r="C3166" s="124" t="s">
        <v>369</v>
      </c>
      <c r="D3166" t="s">
        <v>5185</v>
      </c>
      <c r="E3166" t="s">
        <v>4068</v>
      </c>
      <c r="F3166" s="125" t="s">
        <v>4068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44" t="str">
        <f>IF(Proc[[#This Row],[Author]]="Marcela Urrego",VLOOKUP(LEFT(Proc[[#This Row],[Requested]],1),Table3[#All],2,0),VLOOKUP(Proc[[#This Row],[Author]],Table4[],2,0))</f>
        <v>HC</v>
      </c>
      <c r="L3166" s="125" t="s">
        <v>4894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94</v>
      </c>
      <c r="R3166" s="115" t="s">
        <v>1013</v>
      </c>
      <c r="S3166" s="125"/>
    </row>
    <row r="3167" spans="1:19">
      <c r="A3167" s="124" t="s">
        <v>5258</v>
      </c>
      <c r="B3167" s="149" t="str">
        <f>IFERROR(VLOOKUP(Proc[[#This Row],[App]],Table2[],3,0),"open")</f>
        <v>ok</v>
      </c>
      <c r="C3167" s="124" t="s">
        <v>369</v>
      </c>
      <c r="D3167" t="s">
        <v>5186</v>
      </c>
      <c r="E3167" t="s">
        <v>4068</v>
      </c>
      <c r="F3167" s="125" t="s">
        <v>4068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44" t="str">
        <f>IF(Proc[[#This Row],[Author]]="Marcela Urrego",VLOOKUP(LEFT(Proc[[#This Row],[Requested]],1),Table3[#All],2,0),VLOOKUP(Proc[[#This Row],[Author]],Table4[],2,0))</f>
        <v>HC</v>
      </c>
      <c r="L3167" s="125" t="s">
        <v>4894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94</v>
      </c>
      <c r="R3167" s="115" t="s">
        <v>1013</v>
      </c>
      <c r="S3167" s="125"/>
    </row>
    <row r="3168" spans="1:19">
      <c r="A3168" s="124" t="s">
        <v>5258</v>
      </c>
      <c r="B3168" s="149" t="str">
        <f>IFERROR(VLOOKUP(Proc[[#This Row],[App]],Table2[],3,0),"open")</f>
        <v>ok</v>
      </c>
      <c r="C3168" s="124" t="s">
        <v>369</v>
      </c>
      <c r="D3168" t="s">
        <v>5187</v>
      </c>
      <c r="E3168" t="s">
        <v>4068</v>
      </c>
      <c r="F3168" s="125" t="s">
        <v>4068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44" t="str">
        <f>IF(Proc[[#This Row],[Author]]="Marcela Urrego",VLOOKUP(LEFT(Proc[[#This Row],[Requested]],1),Table3[#All],2,0),VLOOKUP(Proc[[#This Row],[Author]],Table4[],2,0))</f>
        <v>HC</v>
      </c>
      <c r="L3168" s="125" t="s">
        <v>4894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94</v>
      </c>
      <c r="R3168" s="115" t="s">
        <v>1013</v>
      </c>
      <c r="S3168" s="125"/>
    </row>
    <row r="3169" spans="1:19">
      <c r="A3169" s="124" t="s">
        <v>5258</v>
      </c>
      <c r="B3169" s="149" t="str">
        <f>IFERROR(VLOOKUP(Proc[[#This Row],[App]],Table2[],3,0),"open")</f>
        <v>ok</v>
      </c>
      <c r="C3169" s="124" t="s">
        <v>369</v>
      </c>
      <c r="D3169" t="s">
        <v>5188</v>
      </c>
      <c r="E3169" t="s">
        <v>4068</v>
      </c>
      <c r="F3169" s="125" t="s">
        <v>4068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44" t="str">
        <f>IF(Proc[[#This Row],[Author]]="Marcela Urrego",VLOOKUP(LEFT(Proc[[#This Row],[Requested]],1),Table3[#All],2,0),VLOOKUP(Proc[[#This Row],[Author]],Table4[],2,0))</f>
        <v>HC</v>
      </c>
      <c r="L3169" s="125" t="s">
        <v>4894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94</v>
      </c>
      <c r="R3169" s="115" t="s">
        <v>1013</v>
      </c>
      <c r="S3169" s="125"/>
    </row>
    <row r="3170" spans="1:19">
      <c r="A3170" s="124" t="s">
        <v>5258</v>
      </c>
      <c r="B3170" s="149" t="str">
        <f>IFERROR(VLOOKUP(Proc[[#This Row],[App]],Table2[],3,0),"open")</f>
        <v>ok</v>
      </c>
      <c r="C3170" s="124" t="s">
        <v>369</v>
      </c>
      <c r="D3170" t="s">
        <v>5189</v>
      </c>
      <c r="E3170" t="s">
        <v>4068</v>
      </c>
      <c r="F3170" s="125" t="s">
        <v>4068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44" t="str">
        <f>IF(Proc[[#This Row],[Author]]="Marcela Urrego",VLOOKUP(LEFT(Proc[[#This Row],[Requested]],1),Table3[#All],2,0),VLOOKUP(Proc[[#This Row],[Author]],Table4[],2,0))</f>
        <v>HC</v>
      </c>
      <c r="L3170" s="125" t="s">
        <v>4894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94</v>
      </c>
      <c r="R3170" s="115" t="s">
        <v>1013</v>
      </c>
      <c r="S3170" s="125"/>
    </row>
    <row r="3171" spans="1:19">
      <c r="A3171" s="124" t="s">
        <v>5258</v>
      </c>
      <c r="B3171" s="149" t="str">
        <f>IFERROR(VLOOKUP(Proc[[#This Row],[App]],Table2[],3,0),"open")</f>
        <v>ok</v>
      </c>
      <c r="C3171" s="124" t="s">
        <v>369</v>
      </c>
      <c r="D3171" t="s">
        <v>5190</v>
      </c>
      <c r="E3171" t="s">
        <v>4068</v>
      </c>
      <c r="F3171" s="125" t="s">
        <v>4068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44" t="str">
        <f>IF(Proc[[#This Row],[Author]]="Marcela Urrego",VLOOKUP(LEFT(Proc[[#This Row],[Requested]],1),Table3[#All],2,0),VLOOKUP(Proc[[#This Row],[Author]],Table4[],2,0))</f>
        <v>HC</v>
      </c>
      <c r="L3171" s="125" t="s">
        <v>4894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94</v>
      </c>
      <c r="R3171" s="115" t="s">
        <v>1013</v>
      </c>
      <c r="S3171" s="125"/>
    </row>
    <row r="3172" spans="1:19">
      <c r="A3172" s="124" t="s">
        <v>5258</v>
      </c>
      <c r="B3172" s="149" t="str">
        <f>IFERROR(VLOOKUP(Proc[[#This Row],[App]],Table2[],3,0),"open")</f>
        <v>ok</v>
      </c>
      <c r="C3172" s="124" t="s">
        <v>369</v>
      </c>
      <c r="D3172" t="s">
        <v>5191</v>
      </c>
      <c r="E3172" t="s">
        <v>4068</v>
      </c>
      <c r="F3172" s="125" t="s">
        <v>4068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44" t="str">
        <f>IF(Proc[[#This Row],[Author]]="Marcela Urrego",VLOOKUP(LEFT(Proc[[#This Row],[Requested]],1),Table3[#All],2,0),VLOOKUP(Proc[[#This Row],[Author]],Table4[],2,0))</f>
        <v>HC</v>
      </c>
      <c r="L3172" s="125" t="s">
        <v>4894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94</v>
      </c>
      <c r="R3172" s="115" t="s">
        <v>1013</v>
      </c>
      <c r="S3172" s="125"/>
    </row>
    <row r="3173" spans="1:19">
      <c r="A3173" s="124" t="s">
        <v>5258</v>
      </c>
      <c r="B3173" s="149" t="str">
        <f>IFERROR(VLOOKUP(Proc[[#This Row],[App]],Table2[],3,0),"open")</f>
        <v>ok</v>
      </c>
      <c r="C3173" s="124" t="s">
        <v>369</v>
      </c>
      <c r="D3173" t="s">
        <v>5192</v>
      </c>
      <c r="E3173" t="s">
        <v>4068</v>
      </c>
      <c r="F3173" s="125" t="s">
        <v>4068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44" t="str">
        <f>IF(Proc[[#This Row],[Author]]="Marcela Urrego",VLOOKUP(LEFT(Proc[[#This Row],[Requested]],1),Table3[#All],2,0),VLOOKUP(Proc[[#This Row],[Author]],Table4[],2,0))</f>
        <v>HC</v>
      </c>
      <c r="L3173" s="125" t="s">
        <v>4894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94</v>
      </c>
      <c r="R3173" s="115" t="s">
        <v>1013</v>
      </c>
      <c r="S3173" s="125"/>
    </row>
    <row r="3174" spans="1:19">
      <c r="A3174" s="124" t="s">
        <v>5258</v>
      </c>
      <c r="B3174" s="149" t="str">
        <f>IFERROR(VLOOKUP(Proc[[#This Row],[App]],Table2[],3,0),"open")</f>
        <v>ok</v>
      </c>
      <c r="C3174" s="124" t="s">
        <v>369</v>
      </c>
      <c r="D3174" t="s">
        <v>5193</v>
      </c>
      <c r="E3174" t="s">
        <v>4068</v>
      </c>
      <c r="F3174" s="125" t="s">
        <v>4068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44" t="str">
        <f>IF(Proc[[#This Row],[Author]]="Marcela Urrego",VLOOKUP(LEFT(Proc[[#This Row],[Requested]],1),Table3[#All],2,0),VLOOKUP(Proc[[#This Row],[Author]],Table4[],2,0))</f>
        <v>HC</v>
      </c>
      <c r="L3174" s="125" t="s">
        <v>4894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94</v>
      </c>
      <c r="R3174" s="115" t="s">
        <v>1013</v>
      </c>
      <c r="S3174" s="125"/>
    </row>
    <row r="3175" spans="1:19">
      <c r="A3175" s="124" t="s">
        <v>5258</v>
      </c>
      <c r="B3175" s="149" t="str">
        <f>IFERROR(VLOOKUP(Proc[[#This Row],[App]],Table2[],3,0),"open")</f>
        <v>ok</v>
      </c>
      <c r="C3175" s="124" t="s">
        <v>369</v>
      </c>
      <c r="D3175" t="s">
        <v>5194</v>
      </c>
      <c r="E3175" t="s">
        <v>4068</v>
      </c>
      <c r="F3175" s="125" t="s">
        <v>4068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44" t="str">
        <f>IF(Proc[[#This Row],[Author]]="Marcela Urrego",VLOOKUP(LEFT(Proc[[#This Row],[Requested]],1),Table3[#All],2,0),VLOOKUP(Proc[[#This Row],[Author]],Table4[],2,0))</f>
        <v>HC</v>
      </c>
      <c r="L3175" s="125" t="s">
        <v>4894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94</v>
      </c>
      <c r="R3175" s="115" t="s">
        <v>1013</v>
      </c>
      <c r="S3175" s="125"/>
    </row>
    <row r="3176" spans="1:19">
      <c r="A3176" s="124" t="s">
        <v>5258</v>
      </c>
      <c r="B3176" s="149" t="str">
        <f>IFERROR(VLOOKUP(Proc[[#This Row],[App]],Table2[],3,0),"open")</f>
        <v>ok</v>
      </c>
      <c r="C3176" s="124" t="s">
        <v>369</v>
      </c>
      <c r="D3176" t="s">
        <v>5195</v>
      </c>
      <c r="E3176" t="s">
        <v>4068</v>
      </c>
      <c r="F3176" s="125" t="s">
        <v>4068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44" t="str">
        <f>IF(Proc[[#This Row],[Author]]="Marcela Urrego",VLOOKUP(LEFT(Proc[[#This Row],[Requested]],1),Table3[#All],2,0),VLOOKUP(Proc[[#This Row],[Author]],Table4[],2,0))</f>
        <v>HC</v>
      </c>
      <c r="L3176" s="125" t="s">
        <v>4894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94</v>
      </c>
      <c r="R3176" s="115" t="s">
        <v>1013</v>
      </c>
      <c r="S3176" s="125"/>
    </row>
    <row r="3177" spans="1:19">
      <c r="A3177" s="124" t="s">
        <v>5258</v>
      </c>
      <c r="B3177" s="149" t="str">
        <f>IFERROR(VLOOKUP(Proc[[#This Row],[App]],Table2[],3,0),"open")</f>
        <v>ok</v>
      </c>
      <c r="C3177" s="124" t="s">
        <v>369</v>
      </c>
      <c r="D3177" t="s">
        <v>5196</v>
      </c>
      <c r="E3177" t="s">
        <v>4068</v>
      </c>
      <c r="F3177" s="125" t="s">
        <v>4068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44" t="str">
        <f>IF(Proc[[#This Row],[Author]]="Marcela Urrego",VLOOKUP(LEFT(Proc[[#This Row],[Requested]],1),Table3[#All],2,0),VLOOKUP(Proc[[#This Row],[Author]],Table4[],2,0))</f>
        <v>HC</v>
      </c>
      <c r="L3177" s="125" t="s">
        <v>4894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94</v>
      </c>
      <c r="R3177" s="115" t="s">
        <v>1013</v>
      </c>
      <c r="S3177" s="125"/>
    </row>
    <row r="3178" spans="1:19">
      <c r="A3178" s="124" t="s">
        <v>5258</v>
      </c>
      <c r="B3178" s="149" t="str">
        <f>IFERROR(VLOOKUP(Proc[[#This Row],[App]],Table2[],3,0),"open")</f>
        <v>ok</v>
      </c>
      <c r="C3178" s="124" t="s">
        <v>369</v>
      </c>
      <c r="D3178" t="s">
        <v>5197</v>
      </c>
      <c r="E3178" t="s">
        <v>4068</v>
      </c>
      <c r="F3178" s="125" t="s">
        <v>4068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44" t="str">
        <f>IF(Proc[[#This Row],[Author]]="Marcela Urrego",VLOOKUP(LEFT(Proc[[#This Row],[Requested]],1),Table3[#All],2,0),VLOOKUP(Proc[[#This Row],[Author]],Table4[],2,0))</f>
        <v>HC</v>
      </c>
      <c r="L3178" s="125" t="s">
        <v>4894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94</v>
      </c>
      <c r="R3178" s="115" t="s">
        <v>1013</v>
      </c>
      <c r="S3178" s="125"/>
    </row>
    <row r="3179" spans="1:19">
      <c r="A3179" s="124" t="s">
        <v>5258</v>
      </c>
      <c r="B3179" s="149" t="str">
        <f>IFERROR(VLOOKUP(Proc[[#This Row],[App]],Table2[],3,0),"open")</f>
        <v>ok</v>
      </c>
      <c r="C3179" s="124" t="s">
        <v>369</v>
      </c>
      <c r="D3179" t="s">
        <v>5198</v>
      </c>
      <c r="E3179" t="s">
        <v>4068</v>
      </c>
      <c r="F3179" s="125" t="s">
        <v>4068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44" t="str">
        <f>IF(Proc[[#This Row],[Author]]="Marcela Urrego",VLOOKUP(LEFT(Proc[[#This Row],[Requested]],1),Table3[#All],2,0),VLOOKUP(Proc[[#This Row],[Author]],Table4[],2,0))</f>
        <v>HC</v>
      </c>
      <c r="L3179" s="125" t="s">
        <v>4894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94</v>
      </c>
      <c r="R3179" s="115" t="s">
        <v>1013</v>
      </c>
      <c r="S3179" s="125"/>
    </row>
    <row r="3180" spans="1:19">
      <c r="A3180" s="124" t="s">
        <v>5258</v>
      </c>
      <c r="B3180" s="149" t="str">
        <f>IFERROR(VLOOKUP(Proc[[#This Row],[App]],Table2[],3,0),"open")</f>
        <v>ok</v>
      </c>
      <c r="C3180" s="124" t="s">
        <v>369</v>
      </c>
      <c r="D3180" t="s">
        <v>5199</v>
      </c>
      <c r="E3180" t="s">
        <v>4068</v>
      </c>
      <c r="F3180" s="125" t="s">
        <v>4068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44" t="str">
        <f>IF(Proc[[#This Row],[Author]]="Marcela Urrego",VLOOKUP(LEFT(Proc[[#This Row],[Requested]],1),Table3[#All],2,0),VLOOKUP(Proc[[#This Row],[Author]],Table4[],2,0))</f>
        <v>HC</v>
      </c>
      <c r="L3180" s="125" t="s">
        <v>4894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94</v>
      </c>
      <c r="R3180" s="115" t="s">
        <v>1013</v>
      </c>
      <c r="S3180" s="125"/>
    </row>
    <row r="3181" spans="1:19">
      <c r="A3181" s="124" t="s">
        <v>5258</v>
      </c>
      <c r="B3181" s="149" t="str">
        <f>IFERROR(VLOOKUP(Proc[[#This Row],[App]],Table2[],3,0),"open")</f>
        <v>ok</v>
      </c>
      <c r="C3181" s="124" t="s">
        <v>369</v>
      </c>
      <c r="D3181" t="s">
        <v>5200</v>
      </c>
      <c r="E3181" t="s">
        <v>4068</v>
      </c>
      <c r="F3181" s="125" t="s">
        <v>4068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44" t="str">
        <f>IF(Proc[[#This Row],[Author]]="Marcela Urrego",VLOOKUP(LEFT(Proc[[#This Row],[Requested]],1),Table3[#All],2,0),VLOOKUP(Proc[[#This Row],[Author]],Table4[],2,0))</f>
        <v>HC</v>
      </c>
      <c r="L3181" s="125" t="s">
        <v>4894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94</v>
      </c>
      <c r="R3181" s="115" t="s">
        <v>1013</v>
      </c>
      <c r="S3181" s="125"/>
    </row>
    <row r="3182" spans="1:19">
      <c r="A3182" s="124" t="s">
        <v>5258</v>
      </c>
      <c r="B3182" s="149" t="str">
        <f>IFERROR(VLOOKUP(Proc[[#This Row],[App]],Table2[],3,0),"open")</f>
        <v>ok</v>
      </c>
      <c r="C3182" s="124" t="s">
        <v>369</v>
      </c>
      <c r="D3182" t="s">
        <v>5201</v>
      </c>
      <c r="E3182" t="s">
        <v>4068</v>
      </c>
      <c r="F3182" s="125" t="s">
        <v>4068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44" t="str">
        <f>IF(Proc[[#This Row],[Author]]="Marcela Urrego",VLOOKUP(LEFT(Proc[[#This Row],[Requested]],1),Table3[#All],2,0),VLOOKUP(Proc[[#This Row],[Author]],Table4[],2,0))</f>
        <v>HC</v>
      </c>
      <c r="L3182" s="125" t="s">
        <v>4894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94</v>
      </c>
      <c r="R3182" s="115" t="s">
        <v>1013</v>
      </c>
      <c r="S3182" s="125"/>
    </row>
    <row r="3183" spans="1:19">
      <c r="A3183" s="124" t="s">
        <v>5258</v>
      </c>
      <c r="B3183" s="149" t="str">
        <f>IFERROR(VLOOKUP(Proc[[#This Row],[App]],Table2[],3,0),"open")</f>
        <v>ok</v>
      </c>
      <c r="C3183" s="124" t="s">
        <v>369</v>
      </c>
      <c r="D3183" t="s">
        <v>5202</v>
      </c>
      <c r="E3183" t="s">
        <v>4068</v>
      </c>
      <c r="F3183" s="125" t="s">
        <v>4068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44" t="str">
        <f>IF(Proc[[#This Row],[Author]]="Marcela Urrego",VLOOKUP(LEFT(Proc[[#This Row],[Requested]],1),Table3[#All],2,0),VLOOKUP(Proc[[#This Row],[Author]],Table4[],2,0))</f>
        <v>HC</v>
      </c>
      <c r="L3183" s="125" t="s">
        <v>4894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94</v>
      </c>
      <c r="R3183" s="115" t="s">
        <v>1013</v>
      </c>
      <c r="S3183" s="125"/>
    </row>
    <row r="3184" spans="1:19">
      <c r="A3184" s="124" t="s">
        <v>5258</v>
      </c>
      <c r="B3184" s="149" t="str">
        <f>IFERROR(VLOOKUP(Proc[[#This Row],[App]],Table2[],3,0),"open")</f>
        <v>ok</v>
      </c>
      <c r="C3184" s="124" t="s">
        <v>369</v>
      </c>
      <c r="D3184" t="s">
        <v>5203</v>
      </c>
      <c r="E3184" t="s">
        <v>4068</v>
      </c>
      <c r="F3184" s="125" t="s">
        <v>4068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44" t="str">
        <f>IF(Proc[[#This Row],[Author]]="Marcela Urrego",VLOOKUP(LEFT(Proc[[#This Row],[Requested]],1),Table3[#All],2,0),VLOOKUP(Proc[[#This Row],[Author]],Table4[],2,0))</f>
        <v>HC</v>
      </c>
      <c r="L3184" s="125" t="s">
        <v>4894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94</v>
      </c>
      <c r="R3184" s="115" t="s">
        <v>1013</v>
      </c>
      <c r="S3184" s="125"/>
    </row>
    <row r="3185" spans="1:19">
      <c r="A3185" s="124" t="s">
        <v>5258</v>
      </c>
      <c r="B3185" s="149" t="str">
        <f>IFERROR(VLOOKUP(Proc[[#This Row],[App]],Table2[],3,0),"open")</f>
        <v>ok</v>
      </c>
      <c r="C3185" s="124" t="s">
        <v>369</v>
      </c>
      <c r="D3185" t="s">
        <v>5204</v>
      </c>
      <c r="E3185" t="s">
        <v>4068</v>
      </c>
      <c r="F3185" s="125" t="s">
        <v>4068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44" t="str">
        <f>IF(Proc[[#This Row],[Author]]="Marcela Urrego",VLOOKUP(LEFT(Proc[[#This Row],[Requested]],1),Table3[#All],2,0),VLOOKUP(Proc[[#This Row],[Author]],Table4[],2,0))</f>
        <v>HC</v>
      </c>
      <c r="L3185" s="125" t="s">
        <v>4894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94</v>
      </c>
      <c r="R3185" s="115" t="s">
        <v>1013</v>
      </c>
      <c r="S3185" s="125"/>
    </row>
    <row r="3186" spans="1:19">
      <c r="A3186" s="124" t="s">
        <v>5258</v>
      </c>
      <c r="B3186" s="149" t="str">
        <f>IFERROR(VLOOKUP(Proc[[#This Row],[App]],Table2[],3,0),"open")</f>
        <v>ok</v>
      </c>
      <c r="C3186" s="124" t="s">
        <v>369</v>
      </c>
      <c r="D3186" t="s">
        <v>5205</v>
      </c>
      <c r="E3186" t="s">
        <v>4068</v>
      </c>
      <c r="F3186" s="125" t="s">
        <v>4068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44" t="str">
        <f>IF(Proc[[#This Row],[Author]]="Marcela Urrego",VLOOKUP(LEFT(Proc[[#This Row],[Requested]],1),Table3[#All],2,0),VLOOKUP(Proc[[#This Row],[Author]],Table4[],2,0))</f>
        <v>HC</v>
      </c>
      <c r="L3186" s="125" t="s">
        <v>4894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94</v>
      </c>
      <c r="R3186" s="115" t="s">
        <v>1013</v>
      </c>
      <c r="S3186" s="125"/>
    </row>
    <row r="3187" spans="1:19">
      <c r="A3187" s="124" t="s">
        <v>5258</v>
      </c>
      <c r="B3187" s="149" t="str">
        <f>IFERROR(VLOOKUP(Proc[[#This Row],[App]],Table2[],3,0),"open")</f>
        <v>ok</v>
      </c>
      <c r="C3187" s="124" t="s">
        <v>369</v>
      </c>
      <c r="D3187" t="s">
        <v>5206</v>
      </c>
      <c r="E3187" t="s">
        <v>4068</v>
      </c>
      <c r="F3187" s="125" t="s">
        <v>4068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44" t="str">
        <f>IF(Proc[[#This Row],[Author]]="Marcela Urrego",VLOOKUP(LEFT(Proc[[#This Row],[Requested]],1),Table3[#All],2,0),VLOOKUP(Proc[[#This Row],[Author]],Table4[],2,0))</f>
        <v>HC</v>
      </c>
      <c r="L3187" s="125" t="s">
        <v>4894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94</v>
      </c>
      <c r="R3187" s="115" t="s">
        <v>1013</v>
      </c>
      <c r="S3187" s="125"/>
    </row>
    <row r="3188" spans="1:19">
      <c r="A3188" s="124" t="s">
        <v>5258</v>
      </c>
      <c r="B3188" s="149" t="str">
        <f>IFERROR(VLOOKUP(Proc[[#This Row],[App]],Table2[],3,0),"open")</f>
        <v>ok</v>
      </c>
      <c r="C3188" s="124" t="s">
        <v>369</v>
      </c>
      <c r="D3188" t="s">
        <v>5207</v>
      </c>
      <c r="E3188" t="s">
        <v>4068</v>
      </c>
      <c r="F3188" s="125" t="s">
        <v>4068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44" t="str">
        <f>IF(Proc[[#This Row],[Author]]="Marcela Urrego",VLOOKUP(LEFT(Proc[[#This Row],[Requested]],1),Table3[#All],2,0),VLOOKUP(Proc[[#This Row],[Author]],Table4[],2,0))</f>
        <v>HC</v>
      </c>
      <c r="L3188" s="125" t="s">
        <v>4894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94</v>
      </c>
      <c r="R3188" s="115" t="s">
        <v>1013</v>
      </c>
      <c r="S3188" s="125"/>
    </row>
    <row r="3189" spans="1:19">
      <c r="A3189" s="124" t="s">
        <v>5258</v>
      </c>
      <c r="B3189" s="149" t="str">
        <f>IFERROR(VLOOKUP(Proc[[#This Row],[App]],Table2[],3,0),"open")</f>
        <v>ok</v>
      </c>
      <c r="C3189" s="124" t="s">
        <v>369</v>
      </c>
      <c r="D3189" t="s">
        <v>5208</v>
      </c>
      <c r="E3189" t="s">
        <v>4068</v>
      </c>
      <c r="F3189" s="125" t="s">
        <v>4068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44" t="str">
        <f>IF(Proc[[#This Row],[Author]]="Marcela Urrego",VLOOKUP(LEFT(Proc[[#This Row],[Requested]],1),Table3[#All],2,0),VLOOKUP(Proc[[#This Row],[Author]],Table4[],2,0))</f>
        <v>HC</v>
      </c>
      <c r="L3189" s="125" t="s">
        <v>4894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94</v>
      </c>
      <c r="R3189" s="115" t="s">
        <v>1013</v>
      </c>
      <c r="S3189" s="125"/>
    </row>
    <row r="3190" spans="1:19">
      <c r="A3190" s="124" t="s">
        <v>5258</v>
      </c>
      <c r="B3190" s="149" t="str">
        <f>IFERROR(VLOOKUP(Proc[[#This Row],[App]],Table2[],3,0),"open")</f>
        <v>ok</v>
      </c>
      <c r="C3190" s="124" t="s">
        <v>369</v>
      </c>
      <c r="D3190" t="s">
        <v>5209</v>
      </c>
      <c r="E3190" t="s">
        <v>4068</v>
      </c>
      <c r="F3190" s="125" t="s">
        <v>4068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44" t="str">
        <f>IF(Proc[[#This Row],[Author]]="Marcela Urrego",VLOOKUP(LEFT(Proc[[#This Row],[Requested]],1),Table3[#All],2,0),VLOOKUP(Proc[[#This Row],[Author]],Table4[],2,0))</f>
        <v>HC</v>
      </c>
      <c r="L3190" s="125" t="s">
        <v>4894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94</v>
      </c>
      <c r="R3190" s="115" t="s">
        <v>1013</v>
      </c>
      <c r="S3190" s="125"/>
    </row>
    <row r="3191" spans="1:19">
      <c r="A3191" s="124" t="s">
        <v>5258</v>
      </c>
      <c r="B3191" s="149" t="str">
        <f>IFERROR(VLOOKUP(Proc[[#This Row],[App]],Table2[],3,0),"open")</f>
        <v>ok</v>
      </c>
      <c r="C3191" s="124" t="s">
        <v>369</v>
      </c>
      <c r="D3191" t="s">
        <v>5210</v>
      </c>
      <c r="E3191" t="s">
        <v>4068</v>
      </c>
      <c r="F3191" s="125" t="s">
        <v>4068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44" t="str">
        <f>IF(Proc[[#This Row],[Author]]="Marcela Urrego",VLOOKUP(LEFT(Proc[[#This Row],[Requested]],1),Table3[#All],2,0),VLOOKUP(Proc[[#This Row],[Author]],Table4[],2,0))</f>
        <v>HC</v>
      </c>
      <c r="L3191" s="125" t="s">
        <v>4894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94</v>
      </c>
      <c r="R3191" s="115" t="s">
        <v>1013</v>
      </c>
      <c r="S3191" s="125"/>
    </row>
    <row r="3192" spans="1:19">
      <c r="A3192" s="124" t="s">
        <v>5258</v>
      </c>
      <c r="B3192" s="149" t="str">
        <f>IFERROR(VLOOKUP(Proc[[#This Row],[App]],Table2[],3,0),"open")</f>
        <v>ok</v>
      </c>
      <c r="C3192" s="124" t="s">
        <v>369</v>
      </c>
      <c r="D3192" t="s">
        <v>5211</v>
      </c>
      <c r="E3192" t="s">
        <v>4068</v>
      </c>
      <c r="F3192" s="125" t="s">
        <v>4068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44" t="str">
        <f>IF(Proc[[#This Row],[Author]]="Marcela Urrego",VLOOKUP(LEFT(Proc[[#This Row],[Requested]],1),Table3[#All],2,0),VLOOKUP(Proc[[#This Row],[Author]],Table4[],2,0))</f>
        <v>HC</v>
      </c>
      <c r="L3192" s="125" t="s">
        <v>4894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94</v>
      </c>
      <c r="R3192" s="115" t="s">
        <v>1013</v>
      </c>
      <c r="S3192" s="125"/>
    </row>
    <row r="3193" spans="1:19">
      <c r="A3193" s="124" t="s">
        <v>5258</v>
      </c>
      <c r="B3193" s="149" t="str">
        <f>IFERROR(VLOOKUP(Proc[[#This Row],[App]],Table2[],3,0),"open")</f>
        <v>ok</v>
      </c>
      <c r="C3193" s="124" t="s">
        <v>369</v>
      </c>
      <c r="D3193" t="s">
        <v>5212</v>
      </c>
      <c r="E3193" t="s">
        <v>4068</v>
      </c>
      <c r="F3193" s="125" t="s">
        <v>4068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44" t="str">
        <f>IF(Proc[[#This Row],[Author]]="Marcela Urrego",VLOOKUP(LEFT(Proc[[#This Row],[Requested]],1),Table3[#All],2,0),VLOOKUP(Proc[[#This Row],[Author]],Table4[],2,0))</f>
        <v>HC</v>
      </c>
      <c r="L3193" s="125" t="s">
        <v>4894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94</v>
      </c>
      <c r="R3193" s="115" t="s">
        <v>1013</v>
      </c>
      <c r="S3193" s="125"/>
    </row>
    <row r="3194" spans="1:19">
      <c r="A3194" s="124" t="s">
        <v>5258</v>
      </c>
      <c r="B3194" s="149" t="str">
        <f>IFERROR(VLOOKUP(Proc[[#This Row],[App]],Table2[],3,0),"open")</f>
        <v>ok</v>
      </c>
      <c r="C3194" s="124" t="s">
        <v>369</v>
      </c>
      <c r="D3194" t="s">
        <v>5213</v>
      </c>
      <c r="E3194" t="s">
        <v>4068</v>
      </c>
      <c r="F3194" s="125" t="s">
        <v>4068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44" t="str">
        <f>IF(Proc[[#This Row],[Author]]="Marcela Urrego",VLOOKUP(LEFT(Proc[[#This Row],[Requested]],1),Table3[#All],2,0),VLOOKUP(Proc[[#This Row],[Author]],Table4[],2,0))</f>
        <v>HC</v>
      </c>
      <c r="L3194" s="125" t="s">
        <v>4894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94</v>
      </c>
      <c r="R3194" s="115" t="s">
        <v>1013</v>
      </c>
      <c r="S3194" s="125"/>
    </row>
    <row r="3195" spans="1:19">
      <c r="A3195" s="124" t="s">
        <v>5258</v>
      </c>
      <c r="B3195" s="149" t="str">
        <f>IFERROR(VLOOKUP(Proc[[#This Row],[App]],Table2[],3,0),"open")</f>
        <v>ok</v>
      </c>
      <c r="C3195" s="124" t="s">
        <v>369</v>
      </c>
      <c r="D3195" t="s">
        <v>5214</v>
      </c>
      <c r="E3195" t="s">
        <v>4068</v>
      </c>
      <c r="F3195" s="125" t="s">
        <v>4068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44" t="str">
        <f>IF(Proc[[#This Row],[Author]]="Marcela Urrego",VLOOKUP(LEFT(Proc[[#This Row],[Requested]],1),Table3[#All],2,0),VLOOKUP(Proc[[#This Row],[Author]],Table4[],2,0))</f>
        <v>HC</v>
      </c>
      <c r="L3195" s="125" t="s">
        <v>4894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94</v>
      </c>
      <c r="R3195" s="115" t="s">
        <v>1013</v>
      </c>
      <c r="S3195" s="125"/>
    </row>
    <row r="3196" spans="1:19">
      <c r="A3196" s="124" t="s">
        <v>5258</v>
      </c>
      <c r="B3196" s="149" t="str">
        <f>IFERROR(VLOOKUP(Proc[[#This Row],[App]],Table2[],3,0),"open")</f>
        <v>ok</v>
      </c>
      <c r="C3196" s="124" t="s">
        <v>369</v>
      </c>
      <c r="D3196" t="s">
        <v>5215</v>
      </c>
      <c r="E3196" t="s">
        <v>4068</v>
      </c>
      <c r="F3196" s="125" t="s">
        <v>4068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44" t="str">
        <f>IF(Proc[[#This Row],[Author]]="Marcela Urrego",VLOOKUP(LEFT(Proc[[#This Row],[Requested]],1),Table3[#All],2,0),VLOOKUP(Proc[[#This Row],[Author]],Table4[],2,0))</f>
        <v>HC</v>
      </c>
      <c r="L3196" s="125" t="s">
        <v>4894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94</v>
      </c>
      <c r="R3196" s="115" t="s">
        <v>1013</v>
      </c>
      <c r="S3196" s="125"/>
    </row>
    <row r="3197" spans="1:19">
      <c r="A3197" s="124" t="s">
        <v>5258</v>
      </c>
      <c r="B3197" s="149" t="str">
        <f>IFERROR(VLOOKUP(Proc[[#This Row],[App]],Table2[],3,0),"open")</f>
        <v>ok</v>
      </c>
      <c r="C3197" s="124" t="s">
        <v>369</v>
      </c>
      <c r="D3197" t="s">
        <v>5216</v>
      </c>
      <c r="E3197" t="s">
        <v>4068</v>
      </c>
      <c r="F3197" s="125" t="s">
        <v>4068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44" t="str">
        <f>IF(Proc[[#This Row],[Author]]="Marcela Urrego",VLOOKUP(LEFT(Proc[[#This Row],[Requested]],1),Table3[#All],2,0),VLOOKUP(Proc[[#This Row],[Author]],Table4[],2,0))</f>
        <v>HC</v>
      </c>
      <c r="L3197" s="125" t="s">
        <v>4894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94</v>
      </c>
      <c r="R3197" s="115" t="s">
        <v>1013</v>
      </c>
      <c r="S3197" s="125"/>
    </row>
    <row r="3198" spans="1:19">
      <c r="A3198" s="124" t="s">
        <v>5258</v>
      </c>
      <c r="B3198" s="149" t="str">
        <f>IFERROR(VLOOKUP(Proc[[#This Row],[App]],Table2[],3,0),"open")</f>
        <v>ok</v>
      </c>
      <c r="C3198" s="124" t="s">
        <v>369</v>
      </c>
      <c r="D3198" t="s">
        <v>5217</v>
      </c>
      <c r="E3198" t="s">
        <v>4068</v>
      </c>
      <c r="F3198" s="125" t="s">
        <v>4068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44" t="str">
        <f>IF(Proc[[#This Row],[Author]]="Marcela Urrego",VLOOKUP(LEFT(Proc[[#This Row],[Requested]],1),Table3[#All],2,0),VLOOKUP(Proc[[#This Row],[Author]],Table4[],2,0))</f>
        <v>HC</v>
      </c>
      <c r="L3198" s="125" t="s">
        <v>4894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94</v>
      </c>
      <c r="R3198" s="115" t="s">
        <v>1013</v>
      </c>
      <c r="S3198" s="125"/>
    </row>
    <row r="3199" spans="1:19">
      <c r="A3199" s="124" t="s">
        <v>5258</v>
      </c>
      <c r="B3199" s="149" t="str">
        <f>IFERROR(VLOOKUP(Proc[[#This Row],[App]],Table2[],3,0),"open")</f>
        <v>ok</v>
      </c>
      <c r="C3199" s="124" t="s">
        <v>369</v>
      </c>
      <c r="D3199" t="s">
        <v>5218</v>
      </c>
      <c r="E3199" t="s">
        <v>4068</v>
      </c>
      <c r="F3199" s="125" t="s">
        <v>4068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44" t="str">
        <f>IF(Proc[[#This Row],[Author]]="Marcela Urrego",VLOOKUP(LEFT(Proc[[#This Row],[Requested]],1),Table3[#All],2,0),VLOOKUP(Proc[[#This Row],[Author]],Table4[],2,0))</f>
        <v>HC</v>
      </c>
      <c r="L3199" s="125" t="s">
        <v>4894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94</v>
      </c>
      <c r="R3199" s="115" t="s">
        <v>1013</v>
      </c>
      <c r="S3199" s="125"/>
    </row>
    <row r="3200" spans="1:19">
      <c r="A3200" s="124" t="s">
        <v>5258</v>
      </c>
      <c r="B3200" s="149" t="str">
        <f>IFERROR(VLOOKUP(Proc[[#This Row],[App]],Table2[],3,0),"open")</f>
        <v>ok</v>
      </c>
      <c r="C3200" s="124" t="s">
        <v>369</v>
      </c>
      <c r="D3200" t="s">
        <v>5219</v>
      </c>
      <c r="E3200" t="s">
        <v>4068</v>
      </c>
      <c r="F3200" s="125" t="s">
        <v>4068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44" t="str">
        <f>IF(Proc[[#This Row],[Author]]="Marcela Urrego",VLOOKUP(LEFT(Proc[[#This Row],[Requested]],1),Table3[#All],2,0),VLOOKUP(Proc[[#This Row],[Author]],Table4[],2,0))</f>
        <v>HC</v>
      </c>
      <c r="L3200" s="125" t="s">
        <v>4894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94</v>
      </c>
      <c r="R3200" s="115" t="s">
        <v>1013</v>
      </c>
      <c r="S3200" s="125"/>
    </row>
    <row r="3201" spans="1:19">
      <c r="A3201" s="124" t="s">
        <v>5258</v>
      </c>
      <c r="B3201" s="149" t="str">
        <f>IFERROR(VLOOKUP(Proc[[#This Row],[App]],Table2[],3,0),"open")</f>
        <v>ok</v>
      </c>
      <c r="C3201" s="124" t="s">
        <v>369</v>
      </c>
      <c r="D3201" t="s">
        <v>5220</v>
      </c>
      <c r="E3201" t="s">
        <v>4068</v>
      </c>
      <c r="F3201" s="125" t="s">
        <v>4068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44" t="str">
        <f>IF(Proc[[#This Row],[Author]]="Marcela Urrego",VLOOKUP(LEFT(Proc[[#This Row],[Requested]],1),Table3[#All],2,0),VLOOKUP(Proc[[#This Row],[Author]],Table4[],2,0))</f>
        <v>HC</v>
      </c>
      <c r="L3201" s="125" t="s">
        <v>4894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94</v>
      </c>
      <c r="R3201" s="115" t="s">
        <v>1013</v>
      </c>
      <c r="S3201" s="125"/>
    </row>
    <row r="3202" spans="1:19">
      <c r="A3202" s="124" t="s">
        <v>5258</v>
      </c>
      <c r="B3202" s="149" t="str">
        <f>IFERROR(VLOOKUP(Proc[[#This Row],[App]],Table2[],3,0),"open")</f>
        <v>ok</v>
      </c>
      <c r="C3202" s="124" t="s">
        <v>369</v>
      </c>
      <c r="D3202" t="s">
        <v>5221</v>
      </c>
      <c r="E3202" t="s">
        <v>4068</v>
      </c>
      <c r="F3202" s="125" t="s">
        <v>4068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44" t="str">
        <f>IF(Proc[[#This Row],[Author]]="Marcela Urrego",VLOOKUP(LEFT(Proc[[#This Row],[Requested]],1),Table3[#All],2,0),VLOOKUP(Proc[[#This Row],[Author]],Table4[],2,0))</f>
        <v>HC</v>
      </c>
      <c r="L3202" s="125" t="s">
        <v>4894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94</v>
      </c>
      <c r="R3202" s="115" t="s">
        <v>1013</v>
      </c>
      <c r="S3202" s="125"/>
    </row>
    <row r="3203" spans="1:19">
      <c r="A3203" s="124" t="s">
        <v>5258</v>
      </c>
      <c r="B3203" s="149" t="str">
        <f>IFERROR(VLOOKUP(Proc[[#This Row],[App]],Table2[],3,0),"open")</f>
        <v>ok</v>
      </c>
      <c r="C3203" s="124" t="s">
        <v>369</v>
      </c>
      <c r="D3203" t="s">
        <v>5222</v>
      </c>
      <c r="E3203" t="s">
        <v>4068</v>
      </c>
      <c r="F3203" s="125" t="s">
        <v>4068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44" t="str">
        <f>IF(Proc[[#This Row],[Author]]="Marcela Urrego",VLOOKUP(LEFT(Proc[[#This Row],[Requested]],1),Table3[#All],2,0),VLOOKUP(Proc[[#This Row],[Author]],Table4[],2,0))</f>
        <v>HC</v>
      </c>
      <c r="L3203" s="125" t="s">
        <v>4894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94</v>
      </c>
      <c r="R3203" s="115" t="s">
        <v>1013</v>
      </c>
      <c r="S3203" s="125"/>
    </row>
    <row r="3204" spans="1:19">
      <c r="A3204" s="124" t="s">
        <v>5258</v>
      </c>
      <c r="B3204" s="149" t="str">
        <f>IFERROR(VLOOKUP(Proc[[#This Row],[App]],Table2[],3,0),"open")</f>
        <v>ok</v>
      </c>
      <c r="C3204" s="124" t="s">
        <v>369</v>
      </c>
      <c r="D3204" t="s">
        <v>5223</v>
      </c>
      <c r="E3204" t="s">
        <v>4068</v>
      </c>
      <c r="F3204" s="125" t="s">
        <v>4068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44" t="str">
        <f>IF(Proc[[#This Row],[Author]]="Marcela Urrego",VLOOKUP(LEFT(Proc[[#This Row],[Requested]],1),Table3[#All],2,0),VLOOKUP(Proc[[#This Row],[Author]],Table4[],2,0))</f>
        <v>HC</v>
      </c>
      <c r="L3204" s="125" t="s">
        <v>4894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94</v>
      </c>
      <c r="R3204" s="115" t="s">
        <v>1013</v>
      </c>
      <c r="S3204" s="125"/>
    </row>
    <row r="3205" spans="1:19">
      <c r="A3205" s="124" t="s">
        <v>5258</v>
      </c>
      <c r="B3205" s="149" t="str">
        <f>IFERROR(VLOOKUP(Proc[[#This Row],[App]],Table2[],3,0),"open")</f>
        <v>ok</v>
      </c>
      <c r="C3205" s="124" t="s">
        <v>369</v>
      </c>
      <c r="D3205" t="s">
        <v>5224</v>
      </c>
      <c r="E3205" t="s">
        <v>4068</v>
      </c>
      <c r="F3205" s="125" t="s">
        <v>4068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44" t="str">
        <f>IF(Proc[[#This Row],[Author]]="Marcela Urrego",VLOOKUP(LEFT(Proc[[#This Row],[Requested]],1),Table3[#All],2,0),VLOOKUP(Proc[[#This Row],[Author]],Table4[],2,0))</f>
        <v>HC</v>
      </c>
      <c r="L3205" s="125" t="s">
        <v>4894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94</v>
      </c>
      <c r="R3205" s="115" t="s">
        <v>1013</v>
      </c>
      <c r="S3205" s="125"/>
    </row>
    <row r="3206" spans="1:19">
      <c r="A3206" s="124" t="s">
        <v>5258</v>
      </c>
      <c r="B3206" s="149" t="str">
        <f>IFERROR(VLOOKUP(Proc[[#This Row],[App]],Table2[],3,0),"open")</f>
        <v>ok</v>
      </c>
      <c r="C3206" s="124" t="s">
        <v>369</v>
      </c>
      <c r="D3206" t="s">
        <v>5225</v>
      </c>
      <c r="E3206" t="s">
        <v>4068</v>
      </c>
      <c r="F3206" s="125" t="s">
        <v>4068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44" t="str">
        <f>IF(Proc[[#This Row],[Author]]="Marcela Urrego",VLOOKUP(LEFT(Proc[[#This Row],[Requested]],1),Table3[#All],2,0),VLOOKUP(Proc[[#This Row],[Author]],Table4[],2,0))</f>
        <v>HC</v>
      </c>
      <c r="L3206" s="125" t="s">
        <v>4894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94</v>
      </c>
      <c r="R3206" s="115" t="s">
        <v>1013</v>
      </c>
      <c r="S3206" s="125"/>
    </row>
    <row r="3207" spans="1:19">
      <c r="A3207" s="124" t="s">
        <v>5258</v>
      </c>
      <c r="B3207" s="149" t="str">
        <f>IFERROR(VLOOKUP(Proc[[#This Row],[App]],Table2[],3,0),"open")</f>
        <v>ok</v>
      </c>
      <c r="C3207" s="124" t="s">
        <v>369</v>
      </c>
      <c r="D3207" t="s">
        <v>5226</v>
      </c>
      <c r="E3207" t="s">
        <v>4068</v>
      </c>
      <c r="F3207" s="125" t="s">
        <v>4068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44" t="str">
        <f>IF(Proc[[#This Row],[Author]]="Marcela Urrego",VLOOKUP(LEFT(Proc[[#This Row],[Requested]],1),Table3[#All],2,0),VLOOKUP(Proc[[#This Row],[Author]],Table4[],2,0))</f>
        <v>HC</v>
      </c>
      <c r="L3207" s="125" t="s">
        <v>4894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94</v>
      </c>
      <c r="R3207" s="115" t="s">
        <v>1013</v>
      </c>
      <c r="S3207" s="125"/>
    </row>
    <row r="3208" spans="1:19">
      <c r="A3208" s="124" t="s">
        <v>5258</v>
      </c>
      <c r="B3208" s="149" t="str">
        <f>IFERROR(VLOOKUP(Proc[[#This Row],[App]],Table2[],3,0),"open")</f>
        <v>ok</v>
      </c>
      <c r="C3208" s="124" t="s">
        <v>369</v>
      </c>
      <c r="D3208" t="s">
        <v>5227</v>
      </c>
      <c r="E3208" t="s">
        <v>5253</v>
      </c>
      <c r="F3208" s="125" t="s">
        <v>5253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44" t="str">
        <f>IF(Proc[[#This Row],[Author]]="Marcela Urrego",VLOOKUP(LEFT(Proc[[#This Row],[Requested]],1),Table3[#All],2,0),VLOOKUP(Proc[[#This Row],[Author]],Table4[],2,0))</f>
        <v>HC</v>
      </c>
      <c r="L3208" s="125" t="s">
        <v>4894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94</v>
      </c>
      <c r="R3208" s="115" t="s">
        <v>1013</v>
      </c>
      <c r="S3208" s="125"/>
    </row>
    <row r="3209" spans="1:19">
      <c r="A3209" s="124" t="s">
        <v>5258</v>
      </c>
      <c r="B3209" s="149" t="str">
        <f>IFERROR(VLOOKUP(Proc[[#This Row],[App]],Table2[],3,0),"open")</f>
        <v>ok</v>
      </c>
      <c r="C3209" s="124" t="s">
        <v>369</v>
      </c>
      <c r="D3209" t="s">
        <v>5228</v>
      </c>
      <c r="E3209" t="s">
        <v>5253</v>
      </c>
      <c r="F3209" s="125" t="s">
        <v>5253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44" t="str">
        <f>IF(Proc[[#This Row],[Author]]="Marcela Urrego",VLOOKUP(LEFT(Proc[[#This Row],[Requested]],1),Table3[#All],2,0),VLOOKUP(Proc[[#This Row],[Author]],Table4[],2,0))</f>
        <v>HC</v>
      </c>
      <c r="L3209" s="125" t="s">
        <v>4894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94</v>
      </c>
      <c r="R3209" s="115" t="s">
        <v>1013</v>
      </c>
      <c r="S3209" s="125"/>
    </row>
    <row r="3210" spans="1:19">
      <c r="A3210" s="124" t="s">
        <v>5258</v>
      </c>
      <c r="B3210" s="149" t="str">
        <f>IFERROR(VLOOKUP(Proc[[#This Row],[App]],Table2[],3,0),"open")</f>
        <v>ok</v>
      </c>
      <c r="C3210" s="124" t="s">
        <v>369</v>
      </c>
      <c r="D3210" t="s">
        <v>5229</v>
      </c>
      <c r="E3210" t="s">
        <v>5253</v>
      </c>
      <c r="F3210" s="125" t="s">
        <v>5253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44" t="str">
        <f>IF(Proc[[#This Row],[Author]]="Marcela Urrego",VLOOKUP(LEFT(Proc[[#This Row],[Requested]],1),Table3[#All],2,0),VLOOKUP(Proc[[#This Row],[Author]],Table4[],2,0))</f>
        <v>HC</v>
      </c>
      <c r="L3210" s="125" t="s">
        <v>4894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94</v>
      </c>
      <c r="R3210" s="115" t="s">
        <v>1013</v>
      </c>
      <c r="S3210" s="125"/>
    </row>
    <row r="3211" spans="1:19">
      <c r="A3211" s="124" t="s">
        <v>5258</v>
      </c>
      <c r="B3211" s="149" t="str">
        <f>IFERROR(VLOOKUP(Proc[[#This Row],[App]],Table2[],3,0),"open")</f>
        <v>ok</v>
      </c>
      <c r="C3211" s="124" t="s">
        <v>369</v>
      </c>
      <c r="D3211" t="s">
        <v>5230</v>
      </c>
      <c r="E3211" t="s">
        <v>3740</v>
      </c>
      <c r="F3211" s="125" t="s">
        <v>3740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44" t="str">
        <f>IF(Proc[[#This Row],[Author]]="Marcela Urrego",VLOOKUP(LEFT(Proc[[#This Row],[Requested]],1),Table3[#All],2,0),VLOOKUP(Proc[[#This Row],[Author]],Table4[],2,0))</f>
        <v>HC</v>
      </c>
      <c r="L3211" s="125" t="s">
        <v>4894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94</v>
      </c>
      <c r="R3211" s="115" t="s">
        <v>1013</v>
      </c>
      <c r="S3211" s="125"/>
    </row>
    <row r="3212" spans="1:19">
      <c r="A3212" s="124" t="s">
        <v>5258</v>
      </c>
      <c r="B3212" s="149" t="str">
        <f>IFERROR(VLOOKUP(Proc[[#This Row],[App]],Table2[],3,0),"open")</f>
        <v>ok</v>
      </c>
      <c r="C3212" s="124" t="s">
        <v>369</v>
      </c>
      <c r="D3212" t="s">
        <v>5231</v>
      </c>
      <c r="E3212" t="s">
        <v>5253</v>
      </c>
      <c r="F3212" s="125" t="s">
        <v>5253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44" t="str">
        <f>IF(Proc[[#This Row],[Author]]="Marcela Urrego",VLOOKUP(LEFT(Proc[[#This Row],[Requested]],1),Table3[#All],2,0),VLOOKUP(Proc[[#This Row],[Author]],Table4[],2,0))</f>
        <v>HC</v>
      </c>
      <c r="L3212" s="125" t="s">
        <v>4894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94</v>
      </c>
      <c r="R3212" s="115" t="s">
        <v>1013</v>
      </c>
      <c r="S3212" s="125"/>
    </row>
    <row r="3213" spans="1:19">
      <c r="A3213" s="124" t="s">
        <v>5258</v>
      </c>
      <c r="B3213" s="149" t="str">
        <f>IFERROR(VLOOKUP(Proc[[#This Row],[App]],Table2[],3,0),"open")</f>
        <v>ok</v>
      </c>
      <c r="C3213" s="124" t="s">
        <v>369</v>
      </c>
      <c r="D3213" t="s">
        <v>5232</v>
      </c>
      <c r="E3213" t="s">
        <v>5254</v>
      </c>
      <c r="F3213" s="125" t="s">
        <v>5254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44" t="str">
        <f>IF(Proc[[#This Row],[Author]]="Marcela Urrego",VLOOKUP(LEFT(Proc[[#This Row],[Requested]],1),Table3[#All],2,0),VLOOKUP(Proc[[#This Row],[Author]],Table4[],2,0))</f>
        <v>HC</v>
      </c>
      <c r="L3213" s="125" t="s">
        <v>4894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94</v>
      </c>
      <c r="R3213" s="115" t="s">
        <v>1013</v>
      </c>
      <c r="S3213" s="125"/>
    </row>
    <row r="3214" spans="1:19">
      <c r="A3214" s="124" t="s">
        <v>5258</v>
      </c>
      <c r="B3214" s="149" t="str">
        <f>IFERROR(VLOOKUP(Proc[[#This Row],[App]],Table2[],3,0),"open")</f>
        <v>ok</v>
      </c>
      <c r="C3214" s="124" t="s">
        <v>369</v>
      </c>
      <c r="D3214" t="s">
        <v>5233</v>
      </c>
      <c r="E3214" t="s">
        <v>5255</v>
      </c>
      <c r="F3214" s="125" t="s">
        <v>5255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44" t="str">
        <f>IF(Proc[[#This Row],[Author]]="Marcela Urrego",VLOOKUP(LEFT(Proc[[#This Row],[Requested]],1),Table3[#All],2,0),VLOOKUP(Proc[[#This Row],[Author]],Table4[],2,0))</f>
        <v>HC</v>
      </c>
      <c r="L3214" s="125" t="s">
        <v>4894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94</v>
      </c>
      <c r="R3214" s="115" t="s">
        <v>1013</v>
      </c>
      <c r="S3214" s="125"/>
    </row>
    <row r="3215" spans="1:19">
      <c r="A3215" s="124" t="s">
        <v>5258</v>
      </c>
      <c r="B3215" s="149" t="str">
        <f>IFERROR(VLOOKUP(Proc[[#This Row],[App]],Table2[],3,0),"open")</f>
        <v>ok</v>
      </c>
      <c r="C3215" s="124" t="s">
        <v>369</v>
      </c>
      <c r="D3215" t="s">
        <v>5234</v>
      </c>
      <c r="E3215" t="s">
        <v>5255</v>
      </c>
      <c r="F3215" s="125" t="s">
        <v>5255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44" t="str">
        <f>IF(Proc[[#This Row],[Author]]="Marcela Urrego",VLOOKUP(LEFT(Proc[[#This Row],[Requested]],1),Table3[#All],2,0),VLOOKUP(Proc[[#This Row],[Author]],Table4[],2,0))</f>
        <v>HC</v>
      </c>
      <c r="L3215" s="125" t="s">
        <v>4894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94</v>
      </c>
      <c r="R3215" s="115" t="s">
        <v>1013</v>
      </c>
      <c r="S3215" s="125"/>
    </row>
    <row r="3216" spans="1:19">
      <c r="A3216" s="124" t="s">
        <v>5258</v>
      </c>
      <c r="B3216" s="149" t="str">
        <f>IFERROR(VLOOKUP(Proc[[#This Row],[App]],Table2[],3,0),"open")</f>
        <v>ok</v>
      </c>
      <c r="C3216" s="124" t="s">
        <v>369</v>
      </c>
      <c r="D3216" t="s">
        <v>5235</v>
      </c>
      <c r="E3216" t="s">
        <v>5255</v>
      </c>
      <c r="F3216" s="125" t="s">
        <v>5255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44" t="str">
        <f>IF(Proc[[#This Row],[Author]]="Marcela Urrego",VLOOKUP(LEFT(Proc[[#This Row],[Requested]],1),Table3[#All],2,0),VLOOKUP(Proc[[#This Row],[Author]],Table4[],2,0))</f>
        <v>HC</v>
      </c>
      <c r="L3216" s="125" t="s">
        <v>4894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94</v>
      </c>
      <c r="R3216" s="115" t="s">
        <v>1013</v>
      </c>
      <c r="S3216" s="125"/>
    </row>
    <row r="3217" spans="1:19">
      <c r="A3217" s="124" t="s">
        <v>5258</v>
      </c>
      <c r="B3217" s="149" t="str">
        <f>IFERROR(VLOOKUP(Proc[[#This Row],[App]],Table2[],3,0),"open")</f>
        <v>ok</v>
      </c>
      <c r="C3217" s="124" t="s">
        <v>369</v>
      </c>
      <c r="D3217" t="s">
        <v>5236</v>
      </c>
      <c r="E3217" t="s">
        <v>5256</v>
      </c>
      <c r="F3217" s="125" t="s">
        <v>5256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44" t="str">
        <f>IF(Proc[[#This Row],[Author]]="Marcela Urrego",VLOOKUP(LEFT(Proc[[#This Row],[Requested]],1),Table3[#All],2,0),VLOOKUP(Proc[[#This Row],[Author]],Table4[],2,0))</f>
        <v>HC</v>
      </c>
      <c r="L3217" s="125" t="s">
        <v>4894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94</v>
      </c>
      <c r="R3217" s="115" t="s">
        <v>1013</v>
      </c>
      <c r="S3217" s="125"/>
    </row>
    <row r="3218" spans="1:19">
      <c r="A3218" s="124" t="s">
        <v>5258</v>
      </c>
      <c r="B3218" s="149" t="str">
        <f>IFERROR(VLOOKUP(Proc[[#This Row],[App]],Table2[],3,0),"open")</f>
        <v>ok</v>
      </c>
      <c r="C3218" s="124" t="s">
        <v>369</v>
      </c>
      <c r="D3218" t="s">
        <v>5237</v>
      </c>
      <c r="E3218" t="s">
        <v>5256</v>
      </c>
      <c r="F3218" s="125" t="s">
        <v>5256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44" t="str">
        <f>IF(Proc[[#This Row],[Author]]="Marcela Urrego",VLOOKUP(LEFT(Proc[[#This Row],[Requested]],1),Table3[#All],2,0),VLOOKUP(Proc[[#This Row],[Author]],Table4[],2,0))</f>
        <v>HC</v>
      </c>
      <c r="L3218" s="125" t="s">
        <v>4894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94</v>
      </c>
      <c r="R3218" s="115" t="s">
        <v>1013</v>
      </c>
      <c r="S3218" s="125"/>
    </row>
    <row r="3219" spans="1:19">
      <c r="A3219" s="124" t="s">
        <v>5258</v>
      </c>
      <c r="B3219" s="149" t="str">
        <f>IFERROR(VLOOKUP(Proc[[#This Row],[App]],Table2[],3,0),"open")</f>
        <v>ok</v>
      </c>
      <c r="C3219" s="124" t="s">
        <v>369</v>
      </c>
      <c r="D3219" t="s">
        <v>5238</v>
      </c>
      <c r="E3219" t="s">
        <v>5257</v>
      </c>
      <c r="F3219" s="125" t="s">
        <v>5257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44" t="str">
        <f>IF(Proc[[#This Row],[Author]]="Marcela Urrego",VLOOKUP(LEFT(Proc[[#This Row],[Requested]],1),Table3[#All],2,0),VLOOKUP(Proc[[#This Row],[Author]],Table4[],2,0))</f>
        <v>HC</v>
      </c>
      <c r="L3219" s="125" t="s">
        <v>4894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94</v>
      </c>
      <c r="R3219" s="115" t="s">
        <v>1013</v>
      </c>
      <c r="S3219" s="125"/>
    </row>
    <row r="3220" spans="1:19">
      <c r="A3220" s="124" t="s">
        <v>5258</v>
      </c>
      <c r="B3220" s="149" t="str">
        <f>IFERROR(VLOOKUP(Proc[[#This Row],[App]],Table2[],3,0),"open")</f>
        <v>ok</v>
      </c>
      <c r="C3220" s="124" t="s">
        <v>369</v>
      </c>
      <c r="D3220" t="s">
        <v>5239</v>
      </c>
      <c r="E3220" t="s">
        <v>5257</v>
      </c>
      <c r="F3220" s="125" t="s">
        <v>5257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44" t="str">
        <f>IF(Proc[[#This Row],[Author]]="Marcela Urrego",VLOOKUP(LEFT(Proc[[#This Row],[Requested]],1),Table3[#All],2,0),VLOOKUP(Proc[[#This Row],[Author]],Table4[],2,0))</f>
        <v>HC</v>
      </c>
      <c r="L3220" s="125" t="s">
        <v>4894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94</v>
      </c>
      <c r="R3220" s="115" t="s">
        <v>1013</v>
      </c>
      <c r="S3220" s="125"/>
    </row>
    <row r="3221" spans="1:19">
      <c r="A3221" s="124" t="s">
        <v>5258</v>
      </c>
      <c r="B3221" s="149" t="str">
        <f>IFERROR(VLOOKUP(Proc[[#This Row],[App]],Table2[],3,0),"open")</f>
        <v>ok</v>
      </c>
      <c r="C3221" s="124" t="s">
        <v>369</v>
      </c>
      <c r="D3221" t="s">
        <v>5240</v>
      </c>
      <c r="E3221" t="s">
        <v>5257</v>
      </c>
      <c r="F3221" s="125" t="s">
        <v>5257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44" t="str">
        <f>IF(Proc[[#This Row],[Author]]="Marcela Urrego",VLOOKUP(LEFT(Proc[[#This Row],[Requested]],1),Table3[#All],2,0),VLOOKUP(Proc[[#This Row],[Author]],Table4[],2,0))</f>
        <v>HC</v>
      </c>
      <c r="L3221" s="125" t="s">
        <v>4894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94</v>
      </c>
      <c r="R3221" s="115" t="s">
        <v>1013</v>
      </c>
      <c r="S3221" s="125"/>
    </row>
    <row r="3222" spans="1:19">
      <c r="A3222" s="124" t="s">
        <v>5258</v>
      </c>
      <c r="B3222" s="149" t="str">
        <f>IFERROR(VLOOKUP(Proc[[#This Row],[App]],Table2[],3,0),"open")</f>
        <v>ok</v>
      </c>
      <c r="C3222" s="124" t="s">
        <v>369</v>
      </c>
      <c r="D3222" t="s">
        <v>5241</v>
      </c>
      <c r="E3222" t="s">
        <v>5257</v>
      </c>
      <c r="F3222" s="125" t="s">
        <v>5257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44" t="str">
        <f>IF(Proc[[#This Row],[Author]]="Marcela Urrego",VLOOKUP(LEFT(Proc[[#This Row],[Requested]],1),Table3[#All],2,0),VLOOKUP(Proc[[#This Row],[Author]],Table4[],2,0))</f>
        <v>HC</v>
      </c>
      <c r="L3222" s="125" t="s">
        <v>4894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94</v>
      </c>
      <c r="R3222" s="115" t="s">
        <v>1013</v>
      </c>
      <c r="S3222" s="125"/>
    </row>
    <row r="3223" spans="1:19">
      <c r="A3223" s="124" t="s">
        <v>5258</v>
      </c>
      <c r="B3223" s="149" t="str">
        <f>IFERROR(VLOOKUP(Proc[[#This Row],[App]],Table2[],3,0),"open")</f>
        <v>ok</v>
      </c>
      <c r="C3223" s="124" t="s">
        <v>369</v>
      </c>
      <c r="D3223" t="s">
        <v>5242</v>
      </c>
      <c r="E3223" t="s">
        <v>3401</v>
      </c>
      <c r="F3223" s="125" t="s">
        <v>3401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44" t="str">
        <f>IF(Proc[[#This Row],[Author]]="Marcela Urrego",VLOOKUP(LEFT(Proc[[#This Row],[Requested]],1),Table3[#All],2,0),VLOOKUP(Proc[[#This Row],[Author]],Table4[],2,0))</f>
        <v>HC</v>
      </c>
      <c r="L3223" s="125" t="s">
        <v>4894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94</v>
      </c>
      <c r="R3223" s="115" t="s">
        <v>1013</v>
      </c>
      <c r="S3223" s="125"/>
    </row>
    <row r="3224" spans="1:19">
      <c r="A3224" s="124" t="s">
        <v>5258</v>
      </c>
      <c r="B3224" s="149" t="str">
        <f>IFERROR(VLOOKUP(Proc[[#This Row],[App]],Table2[],3,0),"open")</f>
        <v>ok</v>
      </c>
      <c r="C3224" s="124" t="s">
        <v>369</v>
      </c>
      <c r="D3224" t="s">
        <v>5243</v>
      </c>
      <c r="E3224" t="s">
        <v>3401</v>
      </c>
      <c r="F3224" s="125" t="s">
        <v>3401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44" t="str">
        <f>IF(Proc[[#This Row],[Author]]="Marcela Urrego",VLOOKUP(LEFT(Proc[[#This Row],[Requested]],1),Table3[#All],2,0),VLOOKUP(Proc[[#This Row],[Author]],Table4[],2,0))</f>
        <v>HC</v>
      </c>
      <c r="L3224" s="125" t="s">
        <v>4894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94</v>
      </c>
      <c r="R3224" s="115" t="s">
        <v>1013</v>
      </c>
      <c r="S3224" s="125"/>
    </row>
    <row r="3225" spans="1:19">
      <c r="A3225" s="124" t="s">
        <v>5258</v>
      </c>
      <c r="B3225" s="149" t="str">
        <f>IFERROR(VLOOKUP(Proc[[#This Row],[App]],Table2[],3,0),"open")</f>
        <v>ok</v>
      </c>
      <c r="C3225" s="124" t="s">
        <v>369</v>
      </c>
      <c r="D3225" t="s">
        <v>5244</v>
      </c>
      <c r="E3225" t="s">
        <v>3401</v>
      </c>
      <c r="F3225" s="125" t="s">
        <v>3401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44" t="str">
        <f>IF(Proc[[#This Row],[Author]]="Marcela Urrego",VLOOKUP(LEFT(Proc[[#This Row],[Requested]],1),Table3[#All],2,0),VLOOKUP(Proc[[#This Row],[Author]],Table4[],2,0))</f>
        <v>HC</v>
      </c>
      <c r="L3225" s="125" t="s">
        <v>4894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94</v>
      </c>
      <c r="R3225" s="115" t="s">
        <v>1013</v>
      </c>
      <c r="S3225" s="125"/>
    </row>
    <row r="3226" spans="1:19">
      <c r="A3226" s="124" t="s">
        <v>5258</v>
      </c>
      <c r="B3226" s="149" t="str">
        <f>IFERROR(VLOOKUP(Proc[[#This Row],[App]],Table2[],3,0),"open")</f>
        <v>ok</v>
      </c>
      <c r="C3226" s="124" t="s">
        <v>369</v>
      </c>
      <c r="D3226" t="s">
        <v>5245</v>
      </c>
      <c r="E3226" t="s">
        <v>3745</v>
      </c>
      <c r="F3226" s="125" t="s">
        <v>3745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44" t="str">
        <f>IF(Proc[[#This Row],[Author]]="Marcela Urrego",VLOOKUP(LEFT(Proc[[#This Row],[Requested]],1),Table3[#All],2,0),VLOOKUP(Proc[[#This Row],[Author]],Table4[],2,0))</f>
        <v>HC</v>
      </c>
      <c r="L3226" s="125" t="s">
        <v>4894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94</v>
      </c>
      <c r="R3226" s="115" t="s">
        <v>1013</v>
      </c>
      <c r="S3226" s="125"/>
    </row>
    <row r="3227" spans="1:19">
      <c r="A3227" s="124" t="s">
        <v>5258</v>
      </c>
      <c r="B3227" s="149" t="str">
        <f>IFERROR(VLOOKUP(Proc[[#This Row],[App]],Table2[],3,0),"open")</f>
        <v>ok</v>
      </c>
      <c r="C3227" s="124" t="s">
        <v>369</v>
      </c>
      <c r="D3227" t="s">
        <v>5246</v>
      </c>
      <c r="E3227" t="s">
        <v>3401</v>
      </c>
      <c r="F3227" s="125" t="s">
        <v>3401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44" t="str">
        <f>IF(Proc[[#This Row],[Author]]="Marcela Urrego",VLOOKUP(LEFT(Proc[[#This Row],[Requested]],1),Table3[#All],2,0),VLOOKUP(Proc[[#This Row],[Author]],Table4[],2,0))</f>
        <v>HC</v>
      </c>
      <c r="L3227" s="125" t="s">
        <v>4894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94</v>
      </c>
      <c r="R3227" s="115" t="s">
        <v>1013</v>
      </c>
      <c r="S3227" s="125"/>
    </row>
    <row r="3228" spans="1:19">
      <c r="A3228" s="124" t="s">
        <v>5258</v>
      </c>
      <c r="B3228" s="149" t="str">
        <f>IFERROR(VLOOKUP(Proc[[#This Row],[App]],Table2[],3,0),"open")</f>
        <v>ok</v>
      </c>
      <c r="C3228" s="124" t="s">
        <v>369</v>
      </c>
      <c r="D3228" t="s">
        <v>5247</v>
      </c>
      <c r="E3228" t="s">
        <v>3745</v>
      </c>
      <c r="F3228" s="125" t="s">
        <v>3745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44" t="str">
        <f>IF(Proc[[#This Row],[Author]]="Marcela Urrego",VLOOKUP(LEFT(Proc[[#This Row],[Requested]],1),Table3[#All],2,0),VLOOKUP(Proc[[#This Row],[Author]],Table4[],2,0))</f>
        <v>HC</v>
      </c>
      <c r="L3228" s="125" t="s">
        <v>4894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94</v>
      </c>
      <c r="R3228" s="115" t="s">
        <v>1013</v>
      </c>
      <c r="S3228" s="125"/>
    </row>
    <row r="3229" spans="1:19">
      <c r="A3229" s="124" t="s">
        <v>5258</v>
      </c>
      <c r="B3229" s="149" t="str">
        <f>IFERROR(VLOOKUP(Proc[[#This Row],[App]],Table2[],3,0),"open")</f>
        <v>ok</v>
      </c>
      <c r="C3229" s="124" t="s">
        <v>369</v>
      </c>
      <c r="D3229" t="s">
        <v>5248</v>
      </c>
      <c r="E3229" t="s">
        <v>3401</v>
      </c>
      <c r="F3229" s="125" t="s">
        <v>3401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44" t="str">
        <f>IF(Proc[[#This Row],[Author]]="Marcela Urrego",VLOOKUP(LEFT(Proc[[#This Row],[Requested]],1),Table3[#All],2,0),VLOOKUP(Proc[[#This Row],[Author]],Table4[],2,0))</f>
        <v>HC</v>
      </c>
      <c r="L3229" s="125" t="s">
        <v>4894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94</v>
      </c>
      <c r="R3229" s="115" t="s">
        <v>1013</v>
      </c>
      <c r="S3229" s="125"/>
    </row>
    <row r="3230" spans="1:19">
      <c r="A3230" s="124" t="s">
        <v>5258</v>
      </c>
      <c r="B3230" s="149" t="str">
        <f>IFERROR(VLOOKUP(Proc[[#This Row],[App]],Table2[],3,0),"open")</f>
        <v>ok</v>
      </c>
      <c r="C3230" s="124" t="s">
        <v>369</v>
      </c>
      <c r="D3230" t="s">
        <v>5249</v>
      </c>
      <c r="E3230" t="s">
        <v>3401</v>
      </c>
      <c r="F3230" s="125" t="s">
        <v>3401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44" t="str">
        <f>IF(Proc[[#This Row],[Author]]="Marcela Urrego",VLOOKUP(LEFT(Proc[[#This Row],[Requested]],1),Table3[#All],2,0),VLOOKUP(Proc[[#This Row],[Author]],Table4[],2,0))</f>
        <v>HC</v>
      </c>
      <c r="L3230" s="125" t="s">
        <v>4894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94</v>
      </c>
      <c r="R3230" s="115" t="s">
        <v>1013</v>
      </c>
      <c r="S3230" s="125"/>
    </row>
    <row r="3231" spans="1:19">
      <c r="A3231" s="124" t="s">
        <v>5258</v>
      </c>
      <c r="B3231" s="149" t="str">
        <f>IFERROR(VLOOKUP(Proc[[#This Row],[App]],Table2[],3,0),"open")</f>
        <v>ok</v>
      </c>
      <c r="C3231" s="124" t="s">
        <v>369</v>
      </c>
      <c r="D3231" t="s">
        <v>5250</v>
      </c>
      <c r="E3231" t="s">
        <v>3401</v>
      </c>
      <c r="F3231" s="125" t="s">
        <v>3401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44" t="str">
        <f>IF(Proc[[#This Row],[Author]]="Marcela Urrego",VLOOKUP(LEFT(Proc[[#This Row],[Requested]],1),Table3[#All],2,0),VLOOKUP(Proc[[#This Row],[Author]],Table4[],2,0))</f>
        <v>HC</v>
      </c>
      <c r="L3231" s="125" t="s">
        <v>4894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94</v>
      </c>
      <c r="R3231" s="115" t="s">
        <v>1013</v>
      </c>
      <c r="S3231" s="125"/>
    </row>
    <row r="3232" spans="1:19">
      <c r="A3232" t="s">
        <v>5271</v>
      </c>
      <c r="B3232" s="149" t="str">
        <f>IFERROR(VLOOKUP(Proc[[#This Row],[App]],Table2[],3,0),"open")</f>
        <v>ok</v>
      </c>
      <c r="C3232" s="124" t="s">
        <v>369</v>
      </c>
      <c r="D3232" t="s">
        <v>5259</v>
      </c>
      <c r="E3232" t="s">
        <v>5270</v>
      </c>
      <c r="F3232" s="125" t="s">
        <v>5270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44" t="str">
        <f>IF(Proc[[#This Row],[Author]]="Marcela Urrego",VLOOKUP(LEFT(Proc[[#This Row],[Requested]],1),Table3[#All],2,0),VLOOKUP(Proc[[#This Row],[Author]],Table4[],2,0))</f>
        <v>LS</v>
      </c>
      <c r="L3232" s="125" t="s">
        <v>4894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93</v>
      </c>
      <c r="R3232" s="115" t="s">
        <v>489</v>
      </c>
      <c r="S3232" s="125"/>
    </row>
    <row r="3233" spans="1:19">
      <c r="A3233" s="124" t="s">
        <v>5271</v>
      </c>
      <c r="B3233" s="149" t="str">
        <f>IFERROR(VLOOKUP(Proc[[#This Row],[App]],Table2[],3,0),"open")</f>
        <v>ok</v>
      </c>
      <c r="C3233" s="124" t="s">
        <v>369</v>
      </c>
      <c r="D3233" t="s">
        <v>5260</v>
      </c>
      <c r="E3233" t="s">
        <v>5270</v>
      </c>
      <c r="F3233" s="125" t="s">
        <v>5270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44" t="str">
        <f>IF(Proc[[#This Row],[Author]]="Marcela Urrego",VLOOKUP(LEFT(Proc[[#This Row],[Requested]],1),Table3[#All],2,0),VLOOKUP(Proc[[#This Row],[Author]],Table4[],2,0))</f>
        <v>LS</v>
      </c>
      <c r="L3233" s="125" t="s">
        <v>4894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93</v>
      </c>
      <c r="R3233" s="115" t="s">
        <v>489</v>
      </c>
      <c r="S3233" s="125"/>
    </row>
    <row r="3234" spans="1:19">
      <c r="A3234" s="124" t="s">
        <v>5271</v>
      </c>
      <c r="B3234" s="149" t="str">
        <f>IFERROR(VLOOKUP(Proc[[#This Row],[App]],Table2[],3,0),"open")</f>
        <v>ok</v>
      </c>
      <c r="C3234" s="124" t="s">
        <v>369</v>
      </c>
      <c r="D3234" t="s">
        <v>5261</v>
      </c>
      <c r="E3234" t="s">
        <v>5270</v>
      </c>
      <c r="F3234" s="125" t="s">
        <v>5270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44" t="str">
        <f>IF(Proc[[#This Row],[Author]]="Marcela Urrego",VLOOKUP(LEFT(Proc[[#This Row],[Requested]],1),Table3[#All],2,0),VLOOKUP(Proc[[#This Row],[Author]],Table4[],2,0))</f>
        <v>LS</v>
      </c>
      <c r="L3234" s="125" t="s">
        <v>4894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93</v>
      </c>
      <c r="R3234" s="115" t="s">
        <v>489</v>
      </c>
      <c r="S3234" s="125"/>
    </row>
    <row r="3235" spans="1:19">
      <c r="A3235" s="124" t="s">
        <v>5271</v>
      </c>
      <c r="B3235" s="149" t="str">
        <f>IFERROR(VLOOKUP(Proc[[#This Row],[App]],Table2[],3,0),"open")</f>
        <v>ok</v>
      </c>
      <c r="C3235" s="124" t="s">
        <v>369</v>
      </c>
      <c r="D3235" t="s">
        <v>5262</v>
      </c>
      <c r="E3235" t="s">
        <v>5270</v>
      </c>
      <c r="F3235" s="125" t="s">
        <v>5270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44" t="str">
        <f>IF(Proc[[#This Row],[Author]]="Marcela Urrego",VLOOKUP(LEFT(Proc[[#This Row],[Requested]],1),Table3[#All],2,0),VLOOKUP(Proc[[#This Row],[Author]],Table4[],2,0))</f>
        <v>LS</v>
      </c>
      <c r="L3235" s="125" t="s">
        <v>4894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93</v>
      </c>
      <c r="R3235" s="115" t="s">
        <v>489</v>
      </c>
      <c r="S3235" s="125"/>
    </row>
    <row r="3236" spans="1:19">
      <c r="A3236" s="124" t="s">
        <v>5271</v>
      </c>
      <c r="B3236" s="149" t="str">
        <f>IFERROR(VLOOKUP(Proc[[#This Row],[App]],Table2[],3,0),"open")</f>
        <v>ok</v>
      </c>
      <c r="C3236" s="124" t="s">
        <v>369</v>
      </c>
      <c r="D3236" t="s">
        <v>5263</v>
      </c>
      <c r="E3236" t="s">
        <v>5270</v>
      </c>
      <c r="F3236" s="125" t="s">
        <v>5270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44" t="str">
        <f>IF(Proc[[#This Row],[Author]]="Marcela Urrego",VLOOKUP(LEFT(Proc[[#This Row],[Requested]],1),Table3[#All],2,0),VLOOKUP(Proc[[#This Row],[Author]],Table4[],2,0))</f>
        <v>LS</v>
      </c>
      <c r="L3236" s="125" t="s">
        <v>4894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93</v>
      </c>
      <c r="R3236" s="115" t="s">
        <v>489</v>
      </c>
      <c r="S3236" s="125"/>
    </row>
    <row r="3237" spans="1:19">
      <c r="A3237" s="124" t="s">
        <v>5271</v>
      </c>
      <c r="B3237" s="149" t="str">
        <f>IFERROR(VLOOKUP(Proc[[#This Row],[App]],Table2[],3,0),"open")</f>
        <v>ok</v>
      </c>
      <c r="C3237" s="124" t="s">
        <v>369</v>
      </c>
      <c r="D3237" t="s">
        <v>5264</v>
      </c>
      <c r="E3237" t="s">
        <v>5270</v>
      </c>
      <c r="F3237" s="125" t="s">
        <v>5270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44" t="str">
        <f>IF(Proc[[#This Row],[Author]]="Marcela Urrego",VLOOKUP(LEFT(Proc[[#This Row],[Requested]],1),Table3[#All],2,0),VLOOKUP(Proc[[#This Row],[Author]],Table4[],2,0))</f>
        <v>LS</v>
      </c>
      <c r="L3237" s="125" t="s">
        <v>4894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93</v>
      </c>
      <c r="R3237" s="115" t="s">
        <v>489</v>
      </c>
      <c r="S3237" s="125"/>
    </row>
    <row r="3238" spans="1:19">
      <c r="A3238" s="124" t="s">
        <v>5271</v>
      </c>
      <c r="B3238" s="149" t="str">
        <f>IFERROR(VLOOKUP(Proc[[#This Row],[App]],Table2[],3,0),"open")</f>
        <v>ok</v>
      </c>
      <c r="C3238" s="124" t="s">
        <v>369</v>
      </c>
      <c r="D3238" t="s">
        <v>5265</v>
      </c>
      <c r="E3238" t="s">
        <v>5270</v>
      </c>
      <c r="F3238" s="125" t="s">
        <v>5270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44" t="str">
        <f>IF(Proc[[#This Row],[Author]]="Marcela Urrego",VLOOKUP(LEFT(Proc[[#This Row],[Requested]],1),Table3[#All],2,0),VLOOKUP(Proc[[#This Row],[Author]],Table4[],2,0))</f>
        <v>LS</v>
      </c>
      <c r="L3238" s="125" t="s">
        <v>4894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93</v>
      </c>
      <c r="R3238" s="115" t="s">
        <v>489</v>
      </c>
      <c r="S3238" s="125"/>
    </row>
    <row r="3239" spans="1:19">
      <c r="A3239" s="124" t="s">
        <v>5271</v>
      </c>
      <c r="B3239" s="149" t="str">
        <f>IFERROR(VLOOKUP(Proc[[#This Row],[App]],Table2[],3,0),"open")</f>
        <v>ok</v>
      </c>
      <c r="C3239" s="124" t="s">
        <v>369</v>
      </c>
      <c r="D3239" t="s">
        <v>5266</v>
      </c>
      <c r="E3239" t="s">
        <v>5270</v>
      </c>
      <c r="F3239" s="125" t="s">
        <v>5270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44" t="str">
        <f>IF(Proc[[#This Row],[Author]]="Marcela Urrego",VLOOKUP(LEFT(Proc[[#This Row],[Requested]],1),Table3[#All],2,0),VLOOKUP(Proc[[#This Row],[Author]],Table4[],2,0))</f>
        <v>LS</v>
      </c>
      <c r="L3239" s="125" t="s">
        <v>4894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93</v>
      </c>
      <c r="R3239" s="115" t="s">
        <v>489</v>
      </c>
      <c r="S3239" s="125"/>
    </row>
    <row r="3240" spans="1:19">
      <c r="A3240" s="124" t="s">
        <v>5271</v>
      </c>
      <c r="B3240" s="149" t="str">
        <f>IFERROR(VLOOKUP(Proc[[#This Row],[App]],Table2[],3,0),"open")</f>
        <v>ok</v>
      </c>
      <c r="C3240" s="124" t="s">
        <v>369</v>
      </c>
      <c r="D3240" t="s">
        <v>5267</v>
      </c>
      <c r="E3240" t="s">
        <v>5270</v>
      </c>
      <c r="F3240" s="125" t="s">
        <v>5270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44" t="str">
        <f>IF(Proc[[#This Row],[Author]]="Marcela Urrego",VLOOKUP(LEFT(Proc[[#This Row],[Requested]],1),Table3[#All],2,0),VLOOKUP(Proc[[#This Row],[Author]],Table4[],2,0))</f>
        <v>LS</v>
      </c>
      <c r="L3240" s="125" t="s">
        <v>4894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93</v>
      </c>
      <c r="R3240" s="115" t="s">
        <v>489</v>
      </c>
      <c r="S3240" s="125"/>
    </row>
    <row r="3241" spans="1:19">
      <c r="A3241" s="124" t="s">
        <v>5271</v>
      </c>
      <c r="B3241" s="149" t="str">
        <f>IFERROR(VLOOKUP(Proc[[#This Row],[App]],Table2[],3,0),"open")</f>
        <v>ok</v>
      </c>
      <c r="C3241" s="124" t="s">
        <v>369</v>
      </c>
      <c r="D3241" t="s">
        <v>5268</v>
      </c>
      <c r="E3241" t="s">
        <v>5270</v>
      </c>
      <c r="F3241" s="125" t="s">
        <v>5270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44" t="str">
        <f>IF(Proc[[#This Row],[Author]]="Marcela Urrego",VLOOKUP(LEFT(Proc[[#This Row],[Requested]],1),Table3[#All],2,0),VLOOKUP(Proc[[#This Row],[Author]],Table4[],2,0))</f>
        <v>LS</v>
      </c>
      <c r="L3241" s="125" t="s">
        <v>4894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93</v>
      </c>
      <c r="R3241" s="115" t="s">
        <v>489</v>
      </c>
      <c r="S3241" s="125"/>
    </row>
    <row r="3242" spans="1:19">
      <c r="A3242" s="124" t="s">
        <v>5271</v>
      </c>
      <c r="B3242" s="149" t="str">
        <f>IFERROR(VLOOKUP(Proc[[#This Row],[App]],Table2[],3,0),"open")</f>
        <v>ok</v>
      </c>
      <c r="C3242" s="124" t="s">
        <v>369</v>
      </c>
      <c r="D3242" t="s">
        <v>5269</v>
      </c>
      <c r="E3242" t="s">
        <v>5270</v>
      </c>
      <c r="F3242" s="125" t="s">
        <v>5270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44" t="str">
        <f>IF(Proc[[#This Row],[Author]]="Marcela Urrego",VLOOKUP(LEFT(Proc[[#This Row],[Requested]],1),Table3[#All],2,0),VLOOKUP(Proc[[#This Row],[Author]],Table4[],2,0))</f>
        <v>LS</v>
      </c>
      <c r="L3242" s="125" t="s">
        <v>4894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93</v>
      </c>
      <c r="R3242" s="115" t="s">
        <v>489</v>
      </c>
      <c r="S3242" s="125"/>
    </row>
    <row r="3243" spans="1:19">
      <c r="A3243" t="s">
        <v>5478</v>
      </c>
      <c r="B3243" s="149" t="str">
        <f>IFERROR(VLOOKUP(Proc[[#This Row],[App]],Table2[],3,0),"open")</f>
        <v>ok</v>
      </c>
      <c r="C3243" s="124" t="s">
        <v>369</v>
      </c>
      <c r="D3243" t="s">
        <v>5272</v>
      </c>
      <c r="E3243" t="s">
        <v>5444</v>
      </c>
      <c r="F3243" s="125" t="s">
        <v>5444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44" t="str">
        <f>IF(Proc[[#This Row],[Author]]="Marcela Urrego",VLOOKUP(LEFT(Proc[[#This Row],[Requested]],1),Table3[#All],2,0),VLOOKUP(Proc[[#This Row],[Author]],Table4[],2,0))</f>
        <v>MGF</v>
      </c>
      <c r="L3243" s="125" t="s">
        <v>4894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93</v>
      </c>
      <c r="R3243" s="115" t="s">
        <v>1459</v>
      </c>
      <c r="S3243" s="125"/>
    </row>
    <row r="3244" spans="1:19">
      <c r="A3244" s="124" t="s">
        <v>5478</v>
      </c>
      <c r="B3244" s="149" t="str">
        <f>IFERROR(VLOOKUP(Proc[[#This Row],[App]],Table2[],3,0),"open")</f>
        <v>ok</v>
      </c>
      <c r="C3244" s="124" t="s">
        <v>369</v>
      </c>
      <c r="D3244" t="s">
        <v>5273</v>
      </c>
      <c r="E3244" t="s">
        <v>5445</v>
      </c>
      <c r="F3244" s="125" t="s">
        <v>5445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44" t="str">
        <f>IF(Proc[[#This Row],[Author]]="Marcela Urrego",VLOOKUP(LEFT(Proc[[#This Row],[Requested]],1),Table3[#All],2,0),VLOOKUP(Proc[[#This Row],[Author]],Table4[],2,0))</f>
        <v>MGF</v>
      </c>
      <c r="L3244" s="125" t="s">
        <v>4894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93</v>
      </c>
      <c r="R3244" s="115" t="s">
        <v>1459</v>
      </c>
      <c r="S3244" s="125"/>
    </row>
    <row r="3245" spans="1:19">
      <c r="A3245" s="124" t="s">
        <v>5478</v>
      </c>
      <c r="B3245" s="149" t="str">
        <f>IFERROR(VLOOKUP(Proc[[#This Row],[App]],Table2[],3,0),"open")</f>
        <v>ok</v>
      </c>
      <c r="C3245" s="124" t="s">
        <v>369</v>
      </c>
      <c r="D3245" t="s">
        <v>5274</v>
      </c>
      <c r="E3245" t="s">
        <v>5444</v>
      </c>
      <c r="F3245" s="125" t="s">
        <v>5444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44" t="str">
        <f>IF(Proc[[#This Row],[Author]]="Marcela Urrego",VLOOKUP(LEFT(Proc[[#This Row],[Requested]],1),Table3[#All],2,0),VLOOKUP(Proc[[#This Row],[Author]],Table4[],2,0))</f>
        <v>MGF</v>
      </c>
      <c r="L3245" s="125" t="s">
        <v>4894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93</v>
      </c>
      <c r="R3245" s="115" t="s">
        <v>1459</v>
      </c>
      <c r="S3245" s="125"/>
    </row>
    <row r="3246" spans="1:19">
      <c r="A3246" s="124" t="s">
        <v>5478</v>
      </c>
      <c r="B3246" s="149" t="str">
        <f>IFERROR(VLOOKUP(Proc[[#This Row],[App]],Table2[],3,0),"open")</f>
        <v>ok</v>
      </c>
      <c r="C3246" s="124" t="s">
        <v>369</v>
      </c>
      <c r="D3246" t="s">
        <v>5275</v>
      </c>
      <c r="E3246" t="s">
        <v>5446</v>
      </c>
      <c r="F3246" s="125" t="s">
        <v>5446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44" t="str">
        <f>IF(Proc[[#This Row],[Author]]="Marcela Urrego",VLOOKUP(LEFT(Proc[[#This Row],[Requested]],1),Table3[#All],2,0),VLOOKUP(Proc[[#This Row],[Author]],Table4[],2,0))</f>
        <v>MGF</v>
      </c>
      <c r="L3246" s="125" t="s">
        <v>4894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93</v>
      </c>
      <c r="R3246" s="115" t="s">
        <v>1459</v>
      </c>
      <c r="S3246" s="125"/>
    </row>
    <row r="3247" spans="1:19">
      <c r="A3247" s="124" t="s">
        <v>5478</v>
      </c>
      <c r="B3247" s="149" t="str">
        <f>IFERROR(VLOOKUP(Proc[[#This Row],[App]],Table2[],3,0),"open")</f>
        <v>ok</v>
      </c>
      <c r="C3247" s="124" t="s">
        <v>369</v>
      </c>
      <c r="D3247" t="s">
        <v>5276</v>
      </c>
      <c r="E3247" t="s">
        <v>5447</v>
      </c>
      <c r="F3247" s="125" t="s">
        <v>5447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44" t="str">
        <f>IF(Proc[[#This Row],[Author]]="Marcela Urrego",VLOOKUP(LEFT(Proc[[#This Row],[Requested]],1),Table3[#All],2,0),VLOOKUP(Proc[[#This Row],[Author]],Table4[],2,0))</f>
        <v>MGF</v>
      </c>
      <c r="L3247" s="125" t="s">
        <v>4894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93</v>
      </c>
      <c r="R3247" s="115" t="s">
        <v>1459</v>
      </c>
      <c r="S3247" s="125"/>
    </row>
    <row r="3248" spans="1:19">
      <c r="A3248" s="124" t="s">
        <v>5478</v>
      </c>
      <c r="B3248" s="149" t="str">
        <f>IFERROR(VLOOKUP(Proc[[#This Row],[App]],Table2[],3,0),"open")</f>
        <v>ok</v>
      </c>
      <c r="C3248" s="124" t="s">
        <v>369</v>
      </c>
      <c r="D3248" t="s">
        <v>5277</v>
      </c>
      <c r="E3248" t="s">
        <v>5448</v>
      </c>
      <c r="F3248" s="125" t="s">
        <v>5448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44" t="str">
        <f>IF(Proc[[#This Row],[Author]]="Marcela Urrego",VLOOKUP(LEFT(Proc[[#This Row],[Requested]],1),Table3[#All],2,0),VLOOKUP(Proc[[#This Row],[Author]],Table4[],2,0))</f>
        <v>MGF</v>
      </c>
      <c r="L3248" s="125" t="s">
        <v>4894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93</v>
      </c>
      <c r="R3248" s="115" t="s">
        <v>1459</v>
      </c>
      <c r="S3248" s="125"/>
    </row>
    <row r="3249" spans="1:19">
      <c r="A3249" s="124" t="s">
        <v>5478</v>
      </c>
      <c r="B3249" s="149" t="str">
        <f>IFERROR(VLOOKUP(Proc[[#This Row],[App]],Table2[],3,0),"open")</f>
        <v>ok</v>
      </c>
      <c r="C3249" s="124" t="s">
        <v>369</v>
      </c>
      <c r="D3249" t="s">
        <v>5278</v>
      </c>
      <c r="E3249" t="s">
        <v>5449</v>
      </c>
      <c r="F3249" s="125" t="s">
        <v>5449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44" t="str">
        <f>IF(Proc[[#This Row],[Author]]="Marcela Urrego",VLOOKUP(LEFT(Proc[[#This Row],[Requested]],1),Table3[#All],2,0),VLOOKUP(Proc[[#This Row],[Author]],Table4[],2,0))</f>
        <v>MGF</v>
      </c>
      <c r="L3249" s="125" t="s">
        <v>4894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93</v>
      </c>
      <c r="R3249" s="115" t="s">
        <v>1459</v>
      </c>
      <c r="S3249" s="125"/>
    </row>
    <row r="3250" spans="1:19">
      <c r="A3250" s="124" t="s">
        <v>5478</v>
      </c>
      <c r="B3250" s="149" t="str">
        <f>IFERROR(VLOOKUP(Proc[[#This Row],[App]],Table2[],3,0),"open")</f>
        <v>ok</v>
      </c>
      <c r="C3250" s="124" t="s">
        <v>369</v>
      </c>
      <c r="D3250" t="s">
        <v>5279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44" t="str">
        <f>IF(Proc[[#This Row],[Author]]="Marcela Urrego",VLOOKUP(LEFT(Proc[[#This Row],[Requested]],1),Table3[#All],2,0),VLOOKUP(Proc[[#This Row],[Author]],Table4[],2,0))</f>
        <v>MGF</v>
      </c>
      <c r="L3250" s="125" t="s">
        <v>4894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93</v>
      </c>
      <c r="R3250" s="115" t="s">
        <v>1459</v>
      </c>
      <c r="S3250" s="125"/>
    </row>
    <row r="3251" spans="1:19">
      <c r="A3251" s="124" t="s">
        <v>5478</v>
      </c>
      <c r="B3251" s="149" t="str">
        <f>IFERROR(VLOOKUP(Proc[[#This Row],[App]],Table2[],3,0),"open")</f>
        <v>ok</v>
      </c>
      <c r="C3251" s="124" t="s">
        <v>369</v>
      </c>
      <c r="D3251" t="s">
        <v>5280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44" t="str">
        <f>IF(Proc[[#This Row],[Author]]="Marcela Urrego",VLOOKUP(LEFT(Proc[[#This Row],[Requested]],1),Table3[#All],2,0),VLOOKUP(Proc[[#This Row],[Author]],Table4[],2,0))</f>
        <v>MGF</v>
      </c>
      <c r="L3251" s="125" t="s">
        <v>4894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93</v>
      </c>
      <c r="R3251" s="115" t="s">
        <v>1459</v>
      </c>
      <c r="S3251" s="125"/>
    </row>
    <row r="3252" spans="1:19">
      <c r="A3252" s="124" t="s">
        <v>5478</v>
      </c>
      <c r="B3252" s="149" t="str">
        <f>IFERROR(VLOOKUP(Proc[[#This Row],[App]],Table2[],3,0),"open")</f>
        <v>ok</v>
      </c>
      <c r="C3252" s="124" t="s">
        <v>369</v>
      </c>
      <c r="D3252" t="s">
        <v>5281</v>
      </c>
      <c r="E3252" t="s">
        <v>5450</v>
      </c>
      <c r="F3252" s="125" t="s">
        <v>5450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44" t="str">
        <f>IF(Proc[[#This Row],[Author]]="Marcela Urrego",VLOOKUP(LEFT(Proc[[#This Row],[Requested]],1),Table3[#All],2,0),VLOOKUP(Proc[[#This Row],[Author]],Table4[],2,0))</f>
        <v>MGF</v>
      </c>
      <c r="L3252" s="125" t="s">
        <v>4894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93</v>
      </c>
      <c r="R3252" s="115" t="s">
        <v>1459</v>
      </c>
      <c r="S3252" s="125"/>
    </row>
    <row r="3253" spans="1:19">
      <c r="A3253" s="124" t="s">
        <v>5478</v>
      </c>
      <c r="B3253" s="149" t="str">
        <f>IFERROR(VLOOKUP(Proc[[#This Row],[App]],Table2[],3,0),"open")</f>
        <v>ok</v>
      </c>
      <c r="C3253" s="124" t="s">
        <v>369</v>
      </c>
      <c r="D3253" t="s">
        <v>5282</v>
      </c>
      <c r="E3253" t="s">
        <v>5451</v>
      </c>
      <c r="F3253" s="125" t="s">
        <v>5451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44" t="str">
        <f>IF(Proc[[#This Row],[Author]]="Marcela Urrego",VLOOKUP(LEFT(Proc[[#This Row],[Requested]],1),Table3[#All],2,0),VLOOKUP(Proc[[#This Row],[Author]],Table4[],2,0))</f>
        <v>MGF</v>
      </c>
      <c r="L3253" s="125" t="s">
        <v>4894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93</v>
      </c>
      <c r="R3253" s="115" t="s">
        <v>1459</v>
      </c>
      <c r="S3253" s="125"/>
    </row>
    <row r="3254" spans="1:19">
      <c r="A3254" s="124" t="s">
        <v>5478</v>
      </c>
      <c r="B3254" s="149" t="str">
        <f>IFERROR(VLOOKUP(Proc[[#This Row],[App]],Table2[],3,0),"open")</f>
        <v>ok</v>
      </c>
      <c r="C3254" s="124" t="s">
        <v>369</v>
      </c>
      <c r="D3254" t="s">
        <v>5283</v>
      </c>
      <c r="E3254" t="s">
        <v>5452</v>
      </c>
      <c r="F3254" s="125" t="s">
        <v>5452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44" t="str">
        <f>IF(Proc[[#This Row],[Author]]="Marcela Urrego",VLOOKUP(LEFT(Proc[[#This Row],[Requested]],1),Table3[#All],2,0),VLOOKUP(Proc[[#This Row],[Author]],Table4[],2,0))</f>
        <v>MGF</v>
      </c>
      <c r="L3254" s="125" t="s">
        <v>4894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93</v>
      </c>
      <c r="R3254" s="115" t="s">
        <v>1459</v>
      </c>
      <c r="S3254" s="125"/>
    </row>
    <row r="3255" spans="1:19">
      <c r="A3255" s="124" t="s">
        <v>5478</v>
      </c>
      <c r="B3255" s="149" t="str">
        <f>IFERROR(VLOOKUP(Proc[[#This Row],[App]],Table2[],3,0),"open")</f>
        <v>ok</v>
      </c>
      <c r="C3255" s="124" t="s">
        <v>369</v>
      </c>
      <c r="D3255" t="s">
        <v>5284</v>
      </c>
      <c r="E3255" t="s">
        <v>5453</v>
      </c>
      <c r="F3255" s="125" t="s">
        <v>5453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44" t="str">
        <f>IF(Proc[[#This Row],[Author]]="Marcela Urrego",VLOOKUP(LEFT(Proc[[#This Row],[Requested]],1),Table3[#All],2,0),VLOOKUP(Proc[[#This Row],[Author]],Table4[],2,0))</f>
        <v>MGF</v>
      </c>
      <c r="L3255" s="125" t="s">
        <v>4894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93</v>
      </c>
      <c r="R3255" s="115" t="s">
        <v>1459</v>
      </c>
      <c r="S3255" s="125"/>
    </row>
    <row r="3256" spans="1:19">
      <c r="A3256" s="124" t="s">
        <v>5478</v>
      </c>
      <c r="B3256" s="149" t="str">
        <f>IFERROR(VLOOKUP(Proc[[#This Row],[App]],Table2[],3,0),"open")</f>
        <v>ok</v>
      </c>
      <c r="C3256" s="124" t="s">
        <v>369</v>
      </c>
      <c r="D3256" t="s">
        <v>5285</v>
      </c>
      <c r="E3256" t="s">
        <v>5453</v>
      </c>
      <c r="F3256" s="125" t="s">
        <v>5453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44" t="str">
        <f>IF(Proc[[#This Row],[Author]]="Marcela Urrego",VLOOKUP(LEFT(Proc[[#This Row],[Requested]],1),Table3[#All],2,0),VLOOKUP(Proc[[#This Row],[Author]],Table4[],2,0))</f>
        <v>MGF</v>
      </c>
      <c r="L3256" s="125" t="s">
        <v>4894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93</v>
      </c>
      <c r="R3256" s="115" t="s">
        <v>1459</v>
      </c>
      <c r="S3256" s="125"/>
    </row>
    <row r="3257" spans="1:19">
      <c r="A3257" s="124" t="s">
        <v>5478</v>
      </c>
      <c r="B3257" s="149" t="str">
        <f>IFERROR(VLOOKUP(Proc[[#This Row],[App]],Table2[],3,0),"open")</f>
        <v>ok</v>
      </c>
      <c r="C3257" s="124" t="s">
        <v>369</v>
      </c>
      <c r="D3257" t="s">
        <v>5286</v>
      </c>
      <c r="E3257" t="s">
        <v>5453</v>
      </c>
      <c r="F3257" s="125" t="s">
        <v>5453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44" t="str">
        <f>IF(Proc[[#This Row],[Author]]="Marcela Urrego",VLOOKUP(LEFT(Proc[[#This Row],[Requested]],1),Table3[#All],2,0),VLOOKUP(Proc[[#This Row],[Author]],Table4[],2,0))</f>
        <v>MGF</v>
      </c>
      <c r="L3257" s="125" t="s">
        <v>4894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93</v>
      </c>
      <c r="R3257" s="115" t="s">
        <v>1459</v>
      </c>
      <c r="S3257" s="125"/>
    </row>
    <row r="3258" spans="1:19">
      <c r="A3258" s="124" t="s">
        <v>5478</v>
      </c>
      <c r="B3258" s="149" t="str">
        <f>IFERROR(VLOOKUP(Proc[[#This Row],[App]],Table2[],3,0),"open")</f>
        <v>ok</v>
      </c>
      <c r="C3258" s="124" t="s">
        <v>369</v>
      </c>
      <c r="D3258" t="s">
        <v>5287</v>
      </c>
      <c r="E3258" t="s">
        <v>5454</v>
      </c>
      <c r="F3258" s="125" t="s">
        <v>5454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44" t="str">
        <f>IF(Proc[[#This Row],[Author]]="Marcela Urrego",VLOOKUP(LEFT(Proc[[#This Row],[Requested]],1),Table3[#All],2,0),VLOOKUP(Proc[[#This Row],[Author]],Table4[],2,0))</f>
        <v>MGF</v>
      </c>
      <c r="L3258" s="125" t="s">
        <v>4894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93</v>
      </c>
      <c r="R3258" s="115" t="s">
        <v>1459</v>
      </c>
      <c r="S3258" s="125"/>
    </row>
    <row r="3259" spans="1:19">
      <c r="A3259" s="124" t="s">
        <v>5478</v>
      </c>
      <c r="B3259" s="149" t="str">
        <f>IFERROR(VLOOKUP(Proc[[#This Row],[App]],Table2[],3,0),"open")</f>
        <v>ok</v>
      </c>
      <c r="C3259" s="124" t="s">
        <v>369</v>
      </c>
      <c r="D3259" t="s">
        <v>5288</v>
      </c>
      <c r="E3259" t="s">
        <v>5450</v>
      </c>
      <c r="F3259" s="125" t="s">
        <v>5450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44" t="str">
        <f>IF(Proc[[#This Row],[Author]]="Marcela Urrego",VLOOKUP(LEFT(Proc[[#This Row],[Requested]],1),Table3[#All],2,0),VLOOKUP(Proc[[#This Row],[Author]],Table4[],2,0))</f>
        <v>MGF</v>
      </c>
      <c r="L3259" s="125" t="s">
        <v>4894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93</v>
      </c>
      <c r="R3259" s="115" t="s">
        <v>1459</v>
      </c>
      <c r="S3259" s="125"/>
    </row>
    <row r="3260" spans="1:19">
      <c r="A3260" s="124" t="s">
        <v>5478</v>
      </c>
      <c r="B3260" s="149" t="str">
        <f>IFERROR(VLOOKUP(Proc[[#This Row],[App]],Table2[],3,0),"open")</f>
        <v>ok</v>
      </c>
      <c r="C3260" s="124" t="s">
        <v>369</v>
      </c>
      <c r="D3260" t="s">
        <v>5289</v>
      </c>
      <c r="E3260" t="s">
        <v>5455</v>
      </c>
      <c r="F3260" s="125" t="s">
        <v>5455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44" t="str">
        <f>IF(Proc[[#This Row],[Author]]="Marcela Urrego",VLOOKUP(LEFT(Proc[[#This Row],[Requested]],1),Table3[#All],2,0),VLOOKUP(Proc[[#This Row],[Author]],Table4[],2,0))</f>
        <v>MGF</v>
      </c>
      <c r="L3260" s="125" t="s">
        <v>4894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93</v>
      </c>
      <c r="R3260" s="115" t="s">
        <v>1459</v>
      </c>
      <c r="S3260" s="125"/>
    </row>
    <row r="3261" spans="1:19">
      <c r="A3261" s="124" t="s">
        <v>5478</v>
      </c>
      <c r="B3261" s="149" t="str">
        <f>IFERROR(VLOOKUP(Proc[[#This Row],[App]],Table2[],3,0),"open")</f>
        <v>ok</v>
      </c>
      <c r="C3261" s="124" t="s">
        <v>369</v>
      </c>
      <c r="D3261" t="s">
        <v>5290</v>
      </c>
      <c r="E3261" t="s">
        <v>5455</v>
      </c>
      <c r="F3261" s="125" t="s">
        <v>5455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44" t="str">
        <f>IF(Proc[[#This Row],[Author]]="Marcela Urrego",VLOOKUP(LEFT(Proc[[#This Row],[Requested]],1),Table3[#All],2,0),VLOOKUP(Proc[[#This Row],[Author]],Table4[],2,0))</f>
        <v>MGF</v>
      </c>
      <c r="L3261" s="125" t="s">
        <v>4894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93</v>
      </c>
      <c r="R3261" s="115" t="s">
        <v>1459</v>
      </c>
      <c r="S3261" s="125"/>
    </row>
    <row r="3262" spans="1:19">
      <c r="A3262" s="124" t="s">
        <v>5478</v>
      </c>
      <c r="B3262" s="149" t="str">
        <f>IFERROR(VLOOKUP(Proc[[#This Row],[App]],Table2[],3,0),"open")</f>
        <v>ok</v>
      </c>
      <c r="C3262" s="124" t="s">
        <v>369</v>
      </c>
      <c r="D3262" t="s">
        <v>5291</v>
      </c>
      <c r="E3262" t="s">
        <v>5453</v>
      </c>
      <c r="F3262" s="125" t="s">
        <v>5453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44" t="str">
        <f>IF(Proc[[#This Row],[Author]]="Marcela Urrego",VLOOKUP(LEFT(Proc[[#This Row],[Requested]],1),Table3[#All],2,0),VLOOKUP(Proc[[#This Row],[Author]],Table4[],2,0))</f>
        <v>MGF</v>
      </c>
      <c r="L3262" s="125" t="s">
        <v>4894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93</v>
      </c>
      <c r="R3262" s="115" t="s">
        <v>1459</v>
      </c>
      <c r="S3262" s="125"/>
    </row>
    <row r="3263" spans="1:19">
      <c r="A3263" s="124" t="s">
        <v>5478</v>
      </c>
      <c r="B3263" s="149" t="str">
        <f>IFERROR(VLOOKUP(Proc[[#This Row],[App]],Table2[],3,0),"open")</f>
        <v>ok</v>
      </c>
      <c r="C3263" s="124" t="s">
        <v>369</v>
      </c>
      <c r="D3263" t="s">
        <v>5292</v>
      </c>
      <c r="E3263" t="s">
        <v>5456</v>
      </c>
      <c r="F3263" s="125" t="s">
        <v>5456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44" t="str">
        <f>IF(Proc[[#This Row],[Author]]="Marcela Urrego",VLOOKUP(LEFT(Proc[[#This Row],[Requested]],1),Table3[#All],2,0),VLOOKUP(Proc[[#This Row],[Author]],Table4[],2,0))</f>
        <v>MGF</v>
      </c>
      <c r="L3263" s="125" t="s">
        <v>4894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93</v>
      </c>
      <c r="R3263" s="115" t="s">
        <v>1459</v>
      </c>
      <c r="S3263" s="125"/>
    </row>
    <row r="3264" spans="1:19">
      <c r="A3264" s="124" t="s">
        <v>5478</v>
      </c>
      <c r="B3264" s="149" t="str">
        <f>IFERROR(VLOOKUP(Proc[[#This Row],[App]],Table2[],3,0),"open")</f>
        <v>ok</v>
      </c>
      <c r="C3264" s="124" t="s">
        <v>369</v>
      </c>
      <c r="D3264" t="s">
        <v>5293</v>
      </c>
      <c r="E3264" t="s">
        <v>5449</v>
      </c>
      <c r="F3264" s="125" t="s">
        <v>5449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44" t="str">
        <f>IF(Proc[[#This Row],[Author]]="Marcela Urrego",VLOOKUP(LEFT(Proc[[#This Row],[Requested]],1),Table3[#All],2,0),VLOOKUP(Proc[[#This Row],[Author]],Table4[],2,0))</f>
        <v>MGF</v>
      </c>
      <c r="L3264" s="125" t="s">
        <v>4894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93</v>
      </c>
      <c r="R3264" s="115" t="s">
        <v>1459</v>
      </c>
      <c r="S3264" s="125"/>
    </row>
    <row r="3265" spans="1:19">
      <c r="A3265" s="124" t="s">
        <v>5478</v>
      </c>
      <c r="B3265" s="149" t="str">
        <f>IFERROR(VLOOKUP(Proc[[#This Row],[App]],Table2[],3,0),"open")</f>
        <v>ok</v>
      </c>
      <c r="C3265" s="124" t="s">
        <v>369</v>
      </c>
      <c r="D3265" t="s">
        <v>5294</v>
      </c>
      <c r="E3265" t="s">
        <v>5456</v>
      </c>
      <c r="F3265" s="125" t="s">
        <v>5456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44" t="str">
        <f>IF(Proc[[#This Row],[Author]]="Marcela Urrego",VLOOKUP(LEFT(Proc[[#This Row],[Requested]],1),Table3[#All],2,0),VLOOKUP(Proc[[#This Row],[Author]],Table4[],2,0))</f>
        <v>MGF</v>
      </c>
      <c r="L3265" s="125" t="s">
        <v>4894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93</v>
      </c>
      <c r="R3265" s="115" t="s">
        <v>1459</v>
      </c>
      <c r="S3265" s="125"/>
    </row>
    <row r="3266" spans="1:19">
      <c r="A3266" s="124" t="s">
        <v>5478</v>
      </c>
      <c r="B3266" s="149" t="str">
        <f>IFERROR(VLOOKUP(Proc[[#This Row],[App]],Table2[],3,0),"open")</f>
        <v>ok</v>
      </c>
      <c r="C3266" s="124" t="s">
        <v>369</v>
      </c>
      <c r="D3266" t="s">
        <v>5295</v>
      </c>
      <c r="E3266" t="s">
        <v>5457</v>
      </c>
      <c r="F3266" s="125" t="s">
        <v>5457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44" t="str">
        <f>IF(Proc[[#This Row],[Author]]="Marcela Urrego",VLOOKUP(LEFT(Proc[[#This Row],[Requested]],1),Table3[#All],2,0),VLOOKUP(Proc[[#This Row],[Author]],Table4[],2,0))</f>
        <v>MGF</v>
      </c>
      <c r="L3266" s="125" t="s">
        <v>4894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93</v>
      </c>
      <c r="R3266" s="115" t="s">
        <v>1459</v>
      </c>
      <c r="S3266" s="125"/>
    </row>
    <row r="3267" spans="1:19">
      <c r="A3267" s="124" t="s">
        <v>5478</v>
      </c>
      <c r="B3267" s="149" t="str">
        <f>IFERROR(VLOOKUP(Proc[[#This Row],[App]],Table2[],3,0),"open")</f>
        <v>ok</v>
      </c>
      <c r="C3267" s="124" t="s">
        <v>369</v>
      </c>
      <c r="D3267" t="s">
        <v>5296</v>
      </c>
      <c r="E3267" t="s">
        <v>5449</v>
      </c>
      <c r="F3267" s="125" t="s">
        <v>5449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44" t="str">
        <f>IF(Proc[[#This Row],[Author]]="Marcela Urrego",VLOOKUP(LEFT(Proc[[#This Row],[Requested]],1),Table3[#All],2,0),VLOOKUP(Proc[[#This Row],[Author]],Table4[],2,0))</f>
        <v>MGF</v>
      </c>
      <c r="L3267" s="125" t="s">
        <v>4894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93</v>
      </c>
      <c r="R3267" s="115" t="s">
        <v>1459</v>
      </c>
      <c r="S3267" s="125"/>
    </row>
    <row r="3268" spans="1:19">
      <c r="A3268" s="124" t="s">
        <v>5478</v>
      </c>
      <c r="B3268" s="149" t="str">
        <f>IFERROR(VLOOKUP(Proc[[#This Row],[App]],Table2[],3,0),"open")</f>
        <v>ok</v>
      </c>
      <c r="C3268" s="124" t="s">
        <v>369</v>
      </c>
      <c r="D3268" t="s">
        <v>4807</v>
      </c>
      <c r="E3268" t="s">
        <v>4410</v>
      </c>
      <c r="F3268" s="125" t="s">
        <v>4410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44" t="str">
        <f>IF(Proc[[#This Row],[Author]]="Marcela Urrego",VLOOKUP(LEFT(Proc[[#This Row],[Requested]],1),Table3[#All],2,0),VLOOKUP(Proc[[#This Row],[Author]],Table4[],2,0))</f>
        <v>MGF</v>
      </c>
      <c r="L3268" s="125" t="s">
        <v>4894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93</v>
      </c>
      <c r="R3268" s="115" t="s">
        <v>1459</v>
      </c>
      <c r="S3268" s="125"/>
    </row>
    <row r="3269" spans="1:19">
      <c r="A3269" s="124" t="s">
        <v>5478</v>
      </c>
      <c r="B3269" s="149" t="str">
        <f>IFERROR(VLOOKUP(Proc[[#This Row],[App]],Table2[],3,0),"open")</f>
        <v>ok</v>
      </c>
      <c r="C3269" s="124" t="s">
        <v>369</v>
      </c>
      <c r="D3269" t="s">
        <v>5297</v>
      </c>
      <c r="E3269" t="s">
        <v>5449</v>
      </c>
      <c r="F3269" s="125" t="s">
        <v>5449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44" t="str">
        <f>IF(Proc[[#This Row],[Author]]="Marcela Urrego",VLOOKUP(LEFT(Proc[[#This Row],[Requested]],1),Table3[#All],2,0),VLOOKUP(Proc[[#This Row],[Author]],Table4[],2,0))</f>
        <v>MGF</v>
      </c>
      <c r="L3269" s="125" t="s">
        <v>4894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93</v>
      </c>
      <c r="R3269" s="115" t="s">
        <v>1459</v>
      </c>
      <c r="S3269" s="125"/>
    </row>
    <row r="3270" spans="1:19">
      <c r="A3270" s="124" t="s">
        <v>5478</v>
      </c>
      <c r="B3270" s="149" t="str">
        <f>IFERROR(VLOOKUP(Proc[[#This Row],[App]],Table2[],3,0),"open")</f>
        <v>ok</v>
      </c>
      <c r="C3270" s="124" t="s">
        <v>369</v>
      </c>
      <c r="D3270" t="s">
        <v>5298</v>
      </c>
      <c r="E3270" t="s">
        <v>5458</v>
      </c>
      <c r="F3270" s="125" t="s">
        <v>5458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44" t="str">
        <f>IF(Proc[[#This Row],[Author]]="Marcela Urrego",VLOOKUP(LEFT(Proc[[#This Row],[Requested]],1),Table3[#All],2,0),VLOOKUP(Proc[[#This Row],[Author]],Table4[],2,0))</f>
        <v>MGF</v>
      </c>
      <c r="L3270" s="125" t="s">
        <v>4894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93</v>
      </c>
      <c r="R3270" s="115" t="s">
        <v>1459</v>
      </c>
      <c r="S3270" s="125"/>
    </row>
    <row r="3271" spans="1:19">
      <c r="A3271" s="124" t="s">
        <v>5478</v>
      </c>
      <c r="B3271" s="149" t="str">
        <f>IFERROR(VLOOKUP(Proc[[#This Row],[App]],Table2[],3,0),"open")</f>
        <v>ok</v>
      </c>
      <c r="C3271" s="124" t="s">
        <v>369</v>
      </c>
      <c r="D3271" t="s">
        <v>5299</v>
      </c>
      <c r="E3271" t="s">
        <v>5459</v>
      </c>
      <c r="F3271" s="125" t="s">
        <v>5459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44" t="str">
        <f>IF(Proc[[#This Row],[Author]]="Marcela Urrego",VLOOKUP(LEFT(Proc[[#This Row],[Requested]],1),Table3[#All],2,0),VLOOKUP(Proc[[#This Row],[Author]],Table4[],2,0))</f>
        <v>MGF</v>
      </c>
      <c r="L3271" s="125" t="s">
        <v>4894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93</v>
      </c>
      <c r="R3271" s="115" t="s">
        <v>1459</v>
      </c>
      <c r="S3271" s="125"/>
    </row>
    <row r="3272" spans="1:19">
      <c r="A3272" s="124" t="s">
        <v>5478</v>
      </c>
      <c r="B3272" s="149" t="str">
        <f>IFERROR(VLOOKUP(Proc[[#This Row],[App]],Table2[],3,0),"open")</f>
        <v>ok</v>
      </c>
      <c r="C3272" s="124" t="s">
        <v>369</v>
      </c>
      <c r="D3272" t="s">
        <v>5300</v>
      </c>
      <c r="E3272" t="s">
        <v>5460</v>
      </c>
      <c r="F3272" s="125" t="s">
        <v>5460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44" t="str">
        <f>IF(Proc[[#This Row],[Author]]="Marcela Urrego",VLOOKUP(LEFT(Proc[[#This Row],[Requested]],1),Table3[#All],2,0),VLOOKUP(Proc[[#This Row],[Author]],Table4[],2,0))</f>
        <v>MGF</v>
      </c>
      <c r="L3272" s="125" t="s">
        <v>4894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93</v>
      </c>
      <c r="R3272" s="115" t="s">
        <v>1459</v>
      </c>
      <c r="S3272" s="125"/>
    </row>
    <row r="3273" spans="1:19">
      <c r="A3273" s="124" t="s">
        <v>5478</v>
      </c>
      <c r="B3273" s="149" t="str">
        <f>IFERROR(VLOOKUP(Proc[[#This Row],[App]],Table2[],3,0),"open")</f>
        <v>ok</v>
      </c>
      <c r="C3273" s="124" t="s">
        <v>369</v>
      </c>
      <c r="D3273" t="s">
        <v>3370</v>
      </c>
      <c r="E3273" t="s">
        <v>5457</v>
      </c>
      <c r="F3273" s="125" t="s">
        <v>5457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44" t="str">
        <f>IF(Proc[[#This Row],[Author]]="Marcela Urrego",VLOOKUP(LEFT(Proc[[#This Row],[Requested]],1),Table3[#All],2,0),VLOOKUP(Proc[[#This Row],[Author]],Table4[],2,0))</f>
        <v>MGF</v>
      </c>
      <c r="L3273" s="125" t="s">
        <v>4894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93</v>
      </c>
      <c r="R3273" s="115" t="s">
        <v>1459</v>
      </c>
      <c r="S3273" s="125"/>
    </row>
    <row r="3274" spans="1:19">
      <c r="A3274" s="124" t="s">
        <v>5478</v>
      </c>
      <c r="B3274" s="149" t="str">
        <f>IFERROR(VLOOKUP(Proc[[#This Row],[App]],Table2[],3,0),"open")</f>
        <v>ok</v>
      </c>
      <c r="C3274" s="124" t="s">
        <v>369</v>
      </c>
      <c r="D3274" t="s">
        <v>5301</v>
      </c>
      <c r="E3274" t="s">
        <v>5459</v>
      </c>
      <c r="F3274" s="125" t="s">
        <v>5459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44" t="str">
        <f>IF(Proc[[#This Row],[Author]]="Marcela Urrego",VLOOKUP(LEFT(Proc[[#This Row],[Requested]],1),Table3[#All],2,0),VLOOKUP(Proc[[#This Row],[Author]],Table4[],2,0))</f>
        <v>MGF</v>
      </c>
      <c r="L3274" s="125" t="s">
        <v>4894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93</v>
      </c>
      <c r="R3274" s="115" t="s">
        <v>1459</v>
      </c>
      <c r="S3274" s="125"/>
    </row>
    <row r="3275" spans="1:19">
      <c r="A3275" s="124" t="s">
        <v>5478</v>
      </c>
      <c r="B3275" s="149" t="str">
        <f>IFERROR(VLOOKUP(Proc[[#This Row],[App]],Table2[],3,0),"open")</f>
        <v>ok</v>
      </c>
      <c r="C3275" s="124" t="s">
        <v>369</v>
      </c>
      <c r="D3275" t="s">
        <v>5302</v>
      </c>
      <c r="E3275" t="s">
        <v>5449</v>
      </c>
      <c r="F3275" s="125" t="s">
        <v>5449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44" t="str">
        <f>IF(Proc[[#This Row],[Author]]="Marcela Urrego",VLOOKUP(LEFT(Proc[[#This Row],[Requested]],1),Table3[#All],2,0),VLOOKUP(Proc[[#This Row],[Author]],Table4[],2,0))</f>
        <v>MGF</v>
      </c>
      <c r="L3275" s="125" t="s">
        <v>4894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93</v>
      </c>
      <c r="R3275" s="115" t="s">
        <v>1459</v>
      </c>
      <c r="S3275" s="125"/>
    </row>
    <row r="3276" spans="1:19">
      <c r="A3276" s="124" t="s">
        <v>5478</v>
      </c>
      <c r="B3276" s="149" t="str">
        <f>IFERROR(VLOOKUP(Proc[[#This Row],[App]],Table2[],3,0),"open")</f>
        <v>ok</v>
      </c>
      <c r="C3276" s="124" t="s">
        <v>369</v>
      </c>
      <c r="D3276" t="s">
        <v>5303</v>
      </c>
      <c r="E3276" t="s">
        <v>5461</v>
      </c>
      <c r="F3276" s="125" t="s">
        <v>5461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44" t="str">
        <f>IF(Proc[[#This Row],[Author]]="Marcela Urrego",VLOOKUP(LEFT(Proc[[#This Row],[Requested]],1),Table3[#All],2,0),VLOOKUP(Proc[[#This Row],[Author]],Table4[],2,0))</f>
        <v>MGF</v>
      </c>
      <c r="L3276" s="125" t="s">
        <v>4894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93</v>
      </c>
      <c r="R3276" s="115" t="s">
        <v>1459</v>
      </c>
      <c r="S3276" s="125"/>
    </row>
    <row r="3277" spans="1:19">
      <c r="A3277" s="124" t="s">
        <v>5478</v>
      </c>
      <c r="B3277" s="149" t="str">
        <f>IFERROR(VLOOKUP(Proc[[#This Row],[App]],Table2[],3,0),"open")</f>
        <v>ok</v>
      </c>
      <c r="C3277" s="124" t="s">
        <v>369</v>
      </c>
      <c r="D3277" t="s">
        <v>5304</v>
      </c>
      <c r="E3277" t="s">
        <v>5462</v>
      </c>
      <c r="F3277" s="125" t="s">
        <v>5462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44" t="str">
        <f>IF(Proc[[#This Row],[Author]]="Marcela Urrego",VLOOKUP(LEFT(Proc[[#This Row],[Requested]],1),Table3[#All],2,0),VLOOKUP(Proc[[#This Row],[Author]],Table4[],2,0))</f>
        <v>MGF</v>
      </c>
      <c r="L3277" s="125" t="s">
        <v>4894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93</v>
      </c>
      <c r="R3277" s="115" t="s">
        <v>1459</v>
      </c>
      <c r="S3277" s="125"/>
    </row>
    <row r="3278" spans="1:19">
      <c r="A3278" s="124" t="s">
        <v>5478</v>
      </c>
      <c r="B3278" s="149" t="str">
        <f>IFERROR(VLOOKUP(Proc[[#This Row],[App]],Table2[],3,0),"open")</f>
        <v>ok</v>
      </c>
      <c r="C3278" s="124" t="s">
        <v>369</v>
      </c>
      <c r="D3278" t="s">
        <v>5305</v>
      </c>
      <c r="E3278" t="s">
        <v>5449</v>
      </c>
      <c r="F3278" s="125" t="s">
        <v>5449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44" t="str">
        <f>IF(Proc[[#This Row],[Author]]="Marcela Urrego",VLOOKUP(LEFT(Proc[[#This Row],[Requested]],1),Table3[#All],2,0),VLOOKUP(Proc[[#This Row],[Author]],Table4[],2,0))</f>
        <v>MGF</v>
      </c>
      <c r="L3278" s="125" t="s">
        <v>4894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93</v>
      </c>
      <c r="R3278" s="115" t="s">
        <v>1459</v>
      </c>
      <c r="S3278" s="125"/>
    </row>
    <row r="3279" spans="1:19">
      <c r="A3279" s="124" t="s">
        <v>5478</v>
      </c>
      <c r="B3279" s="149" t="str">
        <f>IFERROR(VLOOKUP(Proc[[#This Row],[App]],Table2[],3,0),"open")</f>
        <v>ok</v>
      </c>
      <c r="C3279" s="124" t="s">
        <v>369</v>
      </c>
      <c r="D3279" t="s">
        <v>5306</v>
      </c>
      <c r="E3279" t="s">
        <v>5456</v>
      </c>
      <c r="F3279" s="125" t="s">
        <v>5456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44" t="str">
        <f>IF(Proc[[#This Row],[Author]]="Marcela Urrego",VLOOKUP(LEFT(Proc[[#This Row],[Requested]],1),Table3[#All],2,0),VLOOKUP(Proc[[#This Row],[Author]],Table4[],2,0))</f>
        <v>MGF</v>
      </c>
      <c r="L3279" s="125" t="s">
        <v>4894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93</v>
      </c>
      <c r="R3279" s="115" t="s">
        <v>1459</v>
      </c>
      <c r="S3279" s="125"/>
    </row>
    <row r="3280" spans="1:19">
      <c r="A3280" s="124" t="s">
        <v>5478</v>
      </c>
      <c r="B3280" s="149" t="str">
        <f>IFERROR(VLOOKUP(Proc[[#This Row],[App]],Table2[],3,0),"open")</f>
        <v>ok</v>
      </c>
      <c r="C3280" s="124" t="s">
        <v>369</v>
      </c>
      <c r="D3280" t="s">
        <v>5307</v>
      </c>
      <c r="E3280" t="s">
        <v>5456</v>
      </c>
      <c r="F3280" s="125" t="s">
        <v>5456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44" t="str">
        <f>IF(Proc[[#This Row],[Author]]="Marcela Urrego",VLOOKUP(LEFT(Proc[[#This Row],[Requested]],1),Table3[#All],2,0),VLOOKUP(Proc[[#This Row],[Author]],Table4[],2,0))</f>
        <v>MGF</v>
      </c>
      <c r="L3280" s="125" t="s">
        <v>4894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93</v>
      </c>
      <c r="R3280" s="115" t="s">
        <v>1459</v>
      </c>
      <c r="S3280" s="125"/>
    </row>
    <row r="3281" spans="1:19">
      <c r="A3281" s="124" t="s">
        <v>5478</v>
      </c>
      <c r="B3281" s="149" t="str">
        <f>IFERROR(VLOOKUP(Proc[[#This Row],[App]],Table2[],3,0),"open")</f>
        <v>ok</v>
      </c>
      <c r="C3281" s="124" t="s">
        <v>369</v>
      </c>
      <c r="D3281" t="s">
        <v>5308</v>
      </c>
      <c r="E3281" t="s">
        <v>5463</v>
      </c>
      <c r="F3281" s="125" t="s">
        <v>5463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44" t="str">
        <f>IF(Proc[[#This Row],[Author]]="Marcela Urrego",VLOOKUP(LEFT(Proc[[#This Row],[Requested]],1),Table3[#All],2,0),VLOOKUP(Proc[[#This Row],[Author]],Table4[],2,0))</f>
        <v>MGF</v>
      </c>
      <c r="L3281" s="125" t="s">
        <v>4894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93</v>
      </c>
      <c r="R3281" s="115" t="s">
        <v>1459</v>
      </c>
      <c r="S3281" s="125"/>
    </row>
    <row r="3282" spans="1:19">
      <c r="A3282" s="124" t="s">
        <v>5478</v>
      </c>
      <c r="B3282" s="149" t="str">
        <f>IFERROR(VLOOKUP(Proc[[#This Row],[App]],Table2[],3,0),"open")</f>
        <v>ok</v>
      </c>
      <c r="C3282" s="124" t="s">
        <v>369</v>
      </c>
      <c r="D3282" t="s">
        <v>5309</v>
      </c>
      <c r="E3282" t="s">
        <v>5459</v>
      </c>
      <c r="F3282" s="125" t="s">
        <v>5459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44" t="str">
        <f>IF(Proc[[#This Row],[Author]]="Marcela Urrego",VLOOKUP(LEFT(Proc[[#This Row],[Requested]],1),Table3[#All],2,0),VLOOKUP(Proc[[#This Row],[Author]],Table4[],2,0))</f>
        <v>MGF</v>
      </c>
      <c r="L3282" s="125" t="s">
        <v>4894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93</v>
      </c>
      <c r="R3282" s="115" t="s">
        <v>1459</v>
      </c>
      <c r="S3282" s="125"/>
    </row>
    <row r="3283" spans="1:19">
      <c r="A3283" s="124" t="s">
        <v>5478</v>
      </c>
      <c r="B3283" s="149" t="str">
        <f>IFERROR(VLOOKUP(Proc[[#This Row],[App]],Table2[],3,0),"open")</f>
        <v>ok</v>
      </c>
      <c r="C3283" s="149" t="s">
        <v>377</v>
      </c>
      <c r="D3283" t="s">
        <v>2319</v>
      </c>
      <c r="E3283" t="s">
        <v>430</v>
      </c>
      <c r="F3283" s="150" t="s">
        <v>5569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4832</v>
      </c>
      <c r="J3283" s="125" t="b">
        <f>Proc[[#This Row],[Requested]]=Proc[[#This Row],[CurrentParent]]</f>
        <v>0</v>
      </c>
      <c r="K3283" s="144" t="str">
        <f>IF(Proc[[#This Row],[Author]]="Marcela Urrego",VLOOKUP(LEFT(Proc[[#This Row],[Requested]],1),Table3[#All],2,0),VLOOKUP(Proc[[#This Row],[Author]],Table4[],2,0))</f>
        <v>MGF</v>
      </c>
      <c r="L3283" s="125" t="s">
        <v>4894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93</v>
      </c>
      <c r="R3283" s="115" t="s">
        <v>1459</v>
      </c>
      <c r="S3283" s="125"/>
    </row>
    <row r="3284" spans="1:19">
      <c r="A3284" s="124" t="s">
        <v>5478</v>
      </c>
      <c r="B3284" s="149" t="str">
        <f>IFERROR(VLOOKUP(Proc[[#This Row],[App]],Table2[],3,0),"open")</f>
        <v>ok</v>
      </c>
      <c r="C3284" s="124" t="s">
        <v>369</v>
      </c>
      <c r="D3284" t="s">
        <v>5310</v>
      </c>
      <c r="E3284" t="s">
        <v>5464</v>
      </c>
      <c r="F3284" s="125" t="s">
        <v>5464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44" t="str">
        <f>IF(Proc[[#This Row],[Author]]="Marcela Urrego",VLOOKUP(LEFT(Proc[[#This Row],[Requested]],1),Table3[#All],2,0),VLOOKUP(Proc[[#This Row],[Author]],Table4[],2,0))</f>
        <v>MGF</v>
      </c>
      <c r="L3284" s="125" t="s">
        <v>4894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93</v>
      </c>
      <c r="R3284" s="115" t="s">
        <v>1459</v>
      </c>
      <c r="S3284" s="125"/>
    </row>
    <row r="3285" spans="1:19">
      <c r="A3285" s="124" t="s">
        <v>5478</v>
      </c>
      <c r="B3285" s="149" t="str">
        <f>IFERROR(VLOOKUP(Proc[[#This Row],[App]],Table2[],3,0),"open")</f>
        <v>ok</v>
      </c>
      <c r="C3285" s="124" t="s">
        <v>369</v>
      </c>
      <c r="D3285" t="s">
        <v>5311</v>
      </c>
      <c r="E3285" t="s">
        <v>5456</v>
      </c>
      <c r="F3285" s="125" t="s">
        <v>5456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44" t="str">
        <f>IF(Proc[[#This Row],[Author]]="Marcela Urrego",VLOOKUP(LEFT(Proc[[#This Row],[Requested]],1),Table3[#All],2,0),VLOOKUP(Proc[[#This Row],[Author]],Table4[],2,0))</f>
        <v>MGF</v>
      </c>
      <c r="L3285" s="125" t="s">
        <v>4894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93</v>
      </c>
      <c r="R3285" s="115" t="s">
        <v>1459</v>
      </c>
      <c r="S3285" s="125"/>
    </row>
    <row r="3286" spans="1:19">
      <c r="A3286" s="124" t="s">
        <v>5478</v>
      </c>
      <c r="B3286" s="149" t="str">
        <f>IFERROR(VLOOKUP(Proc[[#This Row],[App]],Table2[],3,0),"open")</f>
        <v>ok</v>
      </c>
      <c r="C3286" s="124" t="s">
        <v>369</v>
      </c>
      <c r="D3286" t="s">
        <v>5312</v>
      </c>
      <c r="E3286" t="s">
        <v>5464</v>
      </c>
      <c r="F3286" s="125" t="s">
        <v>5464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44" t="str">
        <f>IF(Proc[[#This Row],[Author]]="Marcela Urrego",VLOOKUP(LEFT(Proc[[#This Row],[Requested]],1),Table3[#All],2,0),VLOOKUP(Proc[[#This Row],[Author]],Table4[],2,0))</f>
        <v>MGF</v>
      </c>
      <c r="L3286" s="125" t="s">
        <v>4894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93</v>
      </c>
      <c r="R3286" s="115" t="s">
        <v>1459</v>
      </c>
      <c r="S3286" s="125"/>
    </row>
    <row r="3287" spans="1:19">
      <c r="A3287" s="124" t="s">
        <v>5478</v>
      </c>
      <c r="B3287" s="149" t="str">
        <f>IFERROR(VLOOKUP(Proc[[#This Row],[App]],Table2[],3,0),"open")</f>
        <v>ok</v>
      </c>
      <c r="C3287" s="124" t="s">
        <v>369</v>
      </c>
      <c r="D3287" t="s">
        <v>5313</v>
      </c>
      <c r="E3287" t="s">
        <v>5456</v>
      </c>
      <c r="F3287" s="125" t="s">
        <v>5456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44" t="str">
        <f>IF(Proc[[#This Row],[Author]]="Marcela Urrego",VLOOKUP(LEFT(Proc[[#This Row],[Requested]],1),Table3[#All],2,0),VLOOKUP(Proc[[#This Row],[Author]],Table4[],2,0))</f>
        <v>MGF</v>
      </c>
      <c r="L3287" s="125" t="s">
        <v>4894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93</v>
      </c>
      <c r="R3287" s="115" t="s">
        <v>1459</v>
      </c>
      <c r="S3287" s="125"/>
    </row>
    <row r="3288" spans="1:19">
      <c r="A3288" s="124" t="s">
        <v>5478</v>
      </c>
      <c r="B3288" s="149" t="str">
        <f>IFERROR(VLOOKUP(Proc[[#This Row],[App]],Table2[],3,0),"open")</f>
        <v>ok</v>
      </c>
      <c r="C3288" s="124" t="s">
        <v>369</v>
      </c>
      <c r="D3288" t="s">
        <v>5314</v>
      </c>
      <c r="E3288" t="s">
        <v>5453</v>
      </c>
      <c r="F3288" s="125" t="s">
        <v>5453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44" t="str">
        <f>IF(Proc[[#This Row],[Author]]="Marcela Urrego",VLOOKUP(LEFT(Proc[[#This Row],[Requested]],1),Table3[#All],2,0),VLOOKUP(Proc[[#This Row],[Author]],Table4[],2,0))</f>
        <v>MGF</v>
      </c>
      <c r="L3288" s="125" t="s">
        <v>4894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93</v>
      </c>
      <c r="R3288" s="115" t="s">
        <v>1459</v>
      </c>
      <c r="S3288" s="125"/>
    </row>
    <row r="3289" spans="1:19">
      <c r="A3289" s="124" t="s">
        <v>5478</v>
      </c>
      <c r="B3289" s="149" t="str">
        <f>IFERROR(VLOOKUP(Proc[[#This Row],[App]],Table2[],3,0),"open")</f>
        <v>ok</v>
      </c>
      <c r="C3289" s="124" t="s">
        <v>369</v>
      </c>
      <c r="D3289" t="s">
        <v>5315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44" t="str">
        <f>IF(Proc[[#This Row],[Author]]="Marcela Urrego",VLOOKUP(LEFT(Proc[[#This Row],[Requested]],1),Table3[#All],2,0),VLOOKUP(Proc[[#This Row],[Author]],Table4[],2,0))</f>
        <v>MGF</v>
      </c>
      <c r="L3289" s="125" t="s">
        <v>4894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93</v>
      </c>
      <c r="R3289" s="115" t="s">
        <v>1459</v>
      </c>
      <c r="S3289" s="125"/>
    </row>
    <row r="3290" spans="1:19">
      <c r="A3290" s="124" t="s">
        <v>5478</v>
      </c>
      <c r="B3290" s="149" t="str">
        <f>IFERROR(VLOOKUP(Proc[[#This Row],[App]],Table2[],3,0),"open")</f>
        <v>ok</v>
      </c>
      <c r="C3290" s="124" t="s">
        <v>369</v>
      </c>
      <c r="D3290" t="s">
        <v>5316</v>
      </c>
      <c r="E3290" t="s">
        <v>5452</v>
      </c>
      <c r="F3290" s="125" t="s">
        <v>5452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44" t="str">
        <f>IF(Proc[[#This Row],[Author]]="Marcela Urrego",VLOOKUP(LEFT(Proc[[#This Row],[Requested]],1),Table3[#All],2,0),VLOOKUP(Proc[[#This Row],[Author]],Table4[],2,0))</f>
        <v>MGF</v>
      </c>
      <c r="L3290" s="125" t="s">
        <v>4894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93</v>
      </c>
      <c r="R3290" s="115" t="s">
        <v>1459</v>
      </c>
      <c r="S3290" s="125"/>
    </row>
    <row r="3291" spans="1:19">
      <c r="A3291" s="124" t="s">
        <v>5478</v>
      </c>
      <c r="B3291" s="149" t="str">
        <f>IFERROR(VLOOKUP(Proc[[#This Row],[App]],Table2[],3,0),"open")</f>
        <v>ok</v>
      </c>
      <c r="C3291" s="124" t="s">
        <v>369</v>
      </c>
      <c r="D3291" t="s">
        <v>5317</v>
      </c>
      <c r="E3291" t="s">
        <v>5452</v>
      </c>
      <c r="F3291" s="125" t="s">
        <v>5452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44" t="str">
        <f>IF(Proc[[#This Row],[Author]]="Marcela Urrego",VLOOKUP(LEFT(Proc[[#This Row],[Requested]],1),Table3[#All],2,0),VLOOKUP(Proc[[#This Row],[Author]],Table4[],2,0))</f>
        <v>MGF</v>
      </c>
      <c r="L3291" s="125" t="s">
        <v>4894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93</v>
      </c>
      <c r="R3291" s="115" t="s">
        <v>1459</v>
      </c>
      <c r="S3291" s="125"/>
    </row>
    <row r="3292" spans="1:19">
      <c r="A3292" s="124" t="s">
        <v>5478</v>
      </c>
      <c r="B3292" s="149" t="str">
        <f>IFERROR(VLOOKUP(Proc[[#This Row],[App]],Table2[],3,0),"open")</f>
        <v>ok</v>
      </c>
      <c r="C3292" s="124" t="s">
        <v>369</v>
      </c>
      <c r="D3292" t="s">
        <v>5318</v>
      </c>
      <c r="E3292" t="s">
        <v>5444</v>
      </c>
      <c r="F3292" s="125" t="s">
        <v>5444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44" t="str">
        <f>IF(Proc[[#This Row],[Author]]="Marcela Urrego",VLOOKUP(LEFT(Proc[[#This Row],[Requested]],1),Table3[#All],2,0),VLOOKUP(Proc[[#This Row],[Author]],Table4[],2,0))</f>
        <v>MGF</v>
      </c>
      <c r="L3292" s="125" t="s">
        <v>4894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93</v>
      </c>
      <c r="R3292" s="115" t="s">
        <v>1459</v>
      </c>
      <c r="S3292" s="125"/>
    </row>
    <row r="3293" spans="1:19">
      <c r="A3293" s="124" t="s">
        <v>5478</v>
      </c>
      <c r="B3293" s="149" t="str">
        <f>IFERROR(VLOOKUP(Proc[[#This Row],[App]],Table2[],3,0),"open")</f>
        <v>ok</v>
      </c>
      <c r="C3293" s="124" t="s">
        <v>369</v>
      </c>
      <c r="D3293" t="s">
        <v>5319</v>
      </c>
      <c r="E3293" t="s">
        <v>5445</v>
      </c>
      <c r="F3293" s="125" t="s">
        <v>5445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44" t="str">
        <f>IF(Proc[[#This Row],[Author]]="Marcela Urrego",VLOOKUP(LEFT(Proc[[#This Row],[Requested]],1),Table3[#All],2,0),VLOOKUP(Proc[[#This Row],[Author]],Table4[],2,0))</f>
        <v>MGF</v>
      </c>
      <c r="L3293" s="125" t="s">
        <v>4894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93</v>
      </c>
      <c r="R3293" s="115" t="s">
        <v>1459</v>
      </c>
      <c r="S3293" s="125"/>
    </row>
    <row r="3294" spans="1:19">
      <c r="A3294" s="124" t="s">
        <v>5478</v>
      </c>
      <c r="B3294" s="149" t="str">
        <f>IFERROR(VLOOKUP(Proc[[#This Row],[App]],Table2[],3,0),"open")</f>
        <v>ok</v>
      </c>
      <c r="C3294" s="124" t="s">
        <v>369</v>
      </c>
      <c r="D3294" t="s">
        <v>5320</v>
      </c>
      <c r="E3294" t="s">
        <v>5452</v>
      </c>
      <c r="F3294" s="125" t="s">
        <v>5452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44" t="str">
        <f>IF(Proc[[#This Row],[Author]]="Marcela Urrego",VLOOKUP(LEFT(Proc[[#This Row],[Requested]],1),Table3[#All],2,0),VLOOKUP(Proc[[#This Row],[Author]],Table4[],2,0))</f>
        <v>MGF</v>
      </c>
      <c r="L3294" s="125" t="s">
        <v>4894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93</v>
      </c>
      <c r="R3294" s="115" t="s">
        <v>1459</v>
      </c>
      <c r="S3294" s="125"/>
    </row>
    <row r="3295" spans="1:19">
      <c r="A3295" s="124" t="s">
        <v>5478</v>
      </c>
      <c r="B3295" s="149" t="str">
        <f>IFERROR(VLOOKUP(Proc[[#This Row],[App]],Table2[],3,0),"open")</f>
        <v>ok</v>
      </c>
      <c r="C3295" s="124" t="s">
        <v>369</v>
      </c>
      <c r="D3295" t="s">
        <v>5321</v>
      </c>
      <c r="E3295" t="s">
        <v>5446</v>
      </c>
      <c r="F3295" s="125" t="s">
        <v>5446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44" t="str">
        <f>IF(Proc[[#This Row],[Author]]="Marcela Urrego",VLOOKUP(LEFT(Proc[[#This Row],[Requested]],1),Table3[#All],2,0),VLOOKUP(Proc[[#This Row],[Author]],Table4[],2,0))</f>
        <v>MGF</v>
      </c>
      <c r="L3295" s="125" t="s">
        <v>4894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93</v>
      </c>
      <c r="R3295" s="115" t="s">
        <v>1459</v>
      </c>
      <c r="S3295" s="125"/>
    </row>
    <row r="3296" spans="1:19">
      <c r="A3296" s="124" t="s">
        <v>5478</v>
      </c>
      <c r="B3296" s="149" t="str">
        <f>IFERROR(VLOOKUP(Proc[[#This Row],[App]],Table2[],3,0),"open")</f>
        <v>ok</v>
      </c>
      <c r="C3296" s="124" t="s">
        <v>369</v>
      </c>
      <c r="D3296" t="s">
        <v>5322</v>
      </c>
      <c r="E3296" t="s">
        <v>5464</v>
      </c>
      <c r="F3296" s="125" t="s">
        <v>5464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44" t="str">
        <f>IF(Proc[[#This Row],[Author]]="Marcela Urrego",VLOOKUP(LEFT(Proc[[#This Row],[Requested]],1),Table3[#All],2,0),VLOOKUP(Proc[[#This Row],[Author]],Table4[],2,0))</f>
        <v>MGF</v>
      </c>
      <c r="L3296" s="125" t="s">
        <v>4894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93</v>
      </c>
      <c r="R3296" s="115" t="s">
        <v>1459</v>
      </c>
      <c r="S3296" s="125"/>
    </row>
    <row r="3297" spans="1:19">
      <c r="A3297" s="124" t="s">
        <v>5478</v>
      </c>
      <c r="B3297" s="149" t="str">
        <f>IFERROR(VLOOKUP(Proc[[#This Row],[App]],Table2[],3,0),"open")</f>
        <v>ok</v>
      </c>
      <c r="C3297" s="124" t="s">
        <v>369</v>
      </c>
      <c r="D3297" t="s">
        <v>5323</v>
      </c>
      <c r="E3297" t="s">
        <v>5452</v>
      </c>
      <c r="F3297" s="125" t="s">
        <v>5452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44" t="str">
        <f>IF(Proc[[#This Row],[Author]]="Marcela Urrego",VLOOKUP(LEFT(Proc[[#This Row],[Requested]],1),Table3[#All],2,0),VLOOKUP(Proc[[#This Row],[Author]],Table4[],2,0))</f>
        <v>MGF</v>
      </c>
      <c r="L3297" s="125" t="s">
        <v>4894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93</v>
      </c>
      <c r="R3297" s="115" t="s">
        <v>1459</v>
      </c>
      <c r="S3297" s="125"/>
    </row>
    <row r="3298" spans="1:19">
      <c r="A3298" s="124" t="s">
        <v>5478</v>
      </c>
      <c r="B3298" s="149" t="str">
        <f>IFERROR(VLOOKUP(Proc[[#This Row],[App]],Table2[],3,0),"open")</f>
        <v>ok</v>
      </c>
      <c r="C3298" s="124" t="s">
        <v>369</v>
      </c>
      <c r="D3298" t="s">
        <v>5324</v>
      </c>
      <c r="E3298" t="s">
        <v>5444</v>
      </c>
      <c r="F3298" s="125" t="s">
        <v>5444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44" t="str">
        <f>IF(Proc[[#This Row],[Author]]="Marcela Urrego",VLOOKUP(LEFT(Proc[[#This Row],[Requested]],1),Table3[#All],2,0),VLOOKUP(Proc[[#This Row],[Author]],Table4[],2,0))</f>
        <v>MGF</v>
      </c>
      <c r="L3298" s="125" t="s">
        <v>4894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93</v>
      </c>
      <c r="R3298" s="115" t="s">
        <v>1459</v>
      </c>
      <c r="S3298" s="125"/>
    </row>
    <row r="3299" spans="1:19">
      <c r="A3299" s="124" t="s">
        <v>5478</v>
      </c>
      <c r="B3299" s="149" t="str">
        <f>IFERROR(VLOOKUP(Proc[[#This Row],[App]],Table2[],3,0),"open")</f>
        <v>ok</v>
      </c>
      <c r="C3299" s="124" t="s">
        <v>369</v>
      </c>
      <c r="D3299" t="s">
        <v>5325</v>
      </c>
      <c r="E3299" t="s">
        <v>5464</v>
      </c>
      <c r="F3299" s="125" t="s">
        <v>5464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44" t="str">
        <f>IF(Proc[[#This Row],[Author]]="Marcela Urrego",VLOOKUP(LEFT(Proc[[#This Row],[Requested]],1),Table3[#All],2,0),VLOOKUP(Proc[[#This Row],[Author]],Table4[],2,0))</f>
        <v>MGF</v>
      </c>
      <c r="L3299" s="125" t="s">
        <v>4894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93</v>
      </c>
      <c r="R3299" s="115" t="s">
        <v>1459</v>
      </c>
      <c r="S3299" s="125"/>
    </row>
    <row r="3300" spans="1:19">
      <c r="A3300" s="124" t="s">
        <v>5478</v>
      </c>
      <c r="B3300" s="149" t="str">
        <f>IFERROR(VLOOKUP(Proc[[#This Row],[App]],Table2[],3,0),"open")</f>
        <v>ok</v>
      </c>
      <c r="C3300" s="124" t="s">
        <v>369</v>
      </c>
      <c r="D3300" t="s">
        <v>5326</v>
      </c>
      <c r="E3300" t="s">
        <v>4410</v>
      </c>
      <c r="F3300" s="140" t="s">
        <v>4410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5479</v>
      </c>
      <c r="J3300" s="125" t="b">
        <f>Proc[[#This Row],[Requested]]=Proc[[#This Row],[CurrentParent]]</f>
        <v>1</v>
      </c>
      <c r="K3300" s="144" t="str">
        <f>IF(Proc[[#This Row],[Author]]="Marcela Urrego",VLOOKUP(LEFT(Proc[[#This Row],[Requested]],1),Table3[#All],2,0),VLOOKUP(Proc[[#This Row],[Author]],Table4[],2,0))</f>
        <v>MGF</v>
      </c>
      <c r="L3300" s="125" t="s">
        <v>4894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93</v>
      </c>
      <c r="R3300" s="115" t="s">
        <v>1459</v>
      </c>
      <c r="S3300" s="125"/>
    </row>
    <row r="3301" spans="1:19">
      <c r="A3301" s="124" t="s">
        <v>5478</v>
      </c>
      <c r="B3301" s="149" t="str">
        <f>IFERROR(VLOOKUP(Proc[[#This Row],[App]],Table2[],3,0),"open")</f>
        <v>ok</v>
      </c>
      <c r="C3301" s="124" t="s">
        <v>369</v>
      </c>
      <c r="D3301" t="s">
        <v>5327</v>
      </c>
      <c r="E3301" t="s">
        <v>5444</v>
      </c>
      <c r="F3301" s="125" t="s">
        <v>5444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44" t="str">
        <f>IF(Proc[[#This Row],[Author]]="Marcela Urrego",VLOOKUP(LEFT(Proc[[#This Row],[Requested]],1),Table3[#All],2,0),VLOOKUP(Proc[[#This Row],[Author]],Table4[],2,0))</f>
        <v>MGF</v>
      </c>
      <c r="L3301" s="125" t="s">
        <v>4894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93</v>
      </c>
      <c r="R3301" s="115" t="s">
        <v>1459</v>
      </c>
      <c r="S3301" s="125"/>
    </row>
    <row r="3302" spans="1:19">
      <c r="A3302" s="124" t="s">
        <v>5478</v>
      </c>
      <c r="B3302" s="149" t="str">
        <f>IFERROR(VLOOKUP(Proc[[#This Row],[App]],Table2[],3,0),"open")</f>
        <v>ok</v>
      </c>
      <c r="C3302" s="124" t="s">
        <v>369</v>
      </c>
      <c r="D3302" t="s">
        <v>5328</v>
      </c>
      <c r="E3302" t="s">
        <v>5456</v>
      </c>
      <c r="F3302" s="125" t="s">
        <v>5456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44" t="str">
        <f>IF(Proc[[#This Row],[Author]]="Marcela Urrego",VLOOKUP(LEFT(Proc[[#This Row],[Requested]],1),Table3[#All],2,0),VLOOKUP(Proc[[#This Row],[Author]],Table4[],2,0))</f>
        <v>MGF</v>
      </c>
      <c r="L3302" s="125" t="s">
        <v>4894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93</v>
      </c>
      <c r="R3302" s="115" t="s">
        <v>1459</v>
      </c>
      <c r="S3302" s="125"/>
    </row>
    <row r="3303" spans="1:19">
      <c r="A3303" s="124" t="s">
        <v>5478</v>
      </c>
      <c r="B3303" s="149" t="str">
        <f>IFERROR(VLOOKUP(Proc[[#This Row],[App]],Table2[],3,0),"open")</f>
        <v>ok</v>
      </c>
      <c r="C3303" s="124" t="s">
        <v>369</v>
      </c>
      <c r="D3303" t="s">
        <v>5329</v>
      </c>
      <c r="E3303" t="s">
        <v>5452</v>
      </c>
      <c r="F3303" s="125" t="s">
        <v>5452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44" t="str">
        <f>IF(Proc[[#This Row],[Author]]="Marcela Urrego",VLOOKUP(LEFT(Proc[[#This Row],[Requested]],1),Table3[#All],2,0),VLOOKUP(Proc[[#This Row],[Author]],Table4[],2,0))</f>
        <v>MGF</v>
      </c>
      <c r="L3303" s="125" t="s">
        <v>4894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93</v>
      </c>
      <c r="R3303" s="115" t="s">
        <v>1459</v>
      </c>
      <c r="S3303" s="125"/>
    </row>
    <row r="3304" spans="1:19">
      <c r="A3304" s="124" t="s">
        <v>5478</v>
      </c>
      <c r="B3304" s="149" t="str">
        <f>IFERROR(VLOOKUP(Proc[[#This Row],[App]],Table2[],3,0),"open")</f>
        <v>ok</v>
      </c>
      <c r="C3304" s="124" t="s">
        <v>369</v>
      </c>
      <c r="D3304" t="s">
        <v>5330</v>
      </c>
      <c r="E3304" t="s">
        <v>5452</v>
      </c>
      <c r="F3304" s="125" t="s">
        <v>5452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44" t="str">
        <f>IF(Proc[[#This Row],[Author]]="Marcela Urrego",VLOOKUP(LEFT(Proc[[#This Row],[Requested]],1),Table3[#All],2,0),VLOOKUP(Proc[[#This Row],[Author]],Table4[],2,0))</f>
        <v>MGF</v>
      </c>
      <c r="L3304" s="125" t="s">
        <v>4894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93</v>
      </c>
      <c r="R3304" s="115" t="s">
        <v>1459</v>
      </c>
      <c r="S3304" s="125"/>
    </row>
    <row r="3305" spans="1:19">
      <c r="A3305" s="124" t="s">
        <v>5478</v>
      </c>
      <c r="B3305" s="149" t="str">
        <f>IFERROR(VLOOKUP(Proc[[#This Row],[App]],Table2[],3,0),"open")</f>
        <v>ok</v>
      </c>
      <c r="C3305" s="124" t="s">
        <v>369</v>
      </c>
      <c r="D3305" t="s">
        <v>5331</v>
      </c>
      <c r="E3305" t="s">
        <v>5445</v>
      </c>
      <c r="F3305" s="125" t="s">
        <v>5445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44" t="str">
        <f>IF(Proc[[#This Row],[Author]]="Marcela Urrego",VLOOKUP(LEFT(Proc[[#This Row],[Requested]],1),Table3[#All],2,0),VLOOKUP(Proc[[#This Row],[Author]],Table4[],2,0))</f>
        <v>MGF</v>
      </c>
      <c r="L3305" s="125" t="s">
        <v>4894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93</v>
      </c>
      <c r="R3305" s="115" t="s">
        <v>1459</v>
      </c>
      <c r="S3305" s="125"/>
    </row>
    <row r="3306" spans="1:19">
      <c r="A3306" s="124" t="s">
        <v>5478</v>
      </c>
      <c r="B3306" s="149" t="str">
        <f>IFERROR(VLOOKUP(Proc[[#This Row],[App]],Table2[],3,0),"open")</f>
        <v>ok</v>
      </c>
      <c r="C3306" s="124" t="s">
        <v>369</v>
      </c>
      <c r="D3306" t="s">
        <v>5332</v>
      </c>
      <c r="E3306" t="s">
        <v>5457</v>
      </c>
      <c r="F3306" s="125" t="s">
        <v>5457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44" t="str">
        <f>IF(Proc[[#This Row],[Author]]="Marcela Urrego",VLOOKUP(LEFT(Proc[[#This Row],[Requested]],1),Table3[#All],2,0),VLOOKUP(Proc[[#This Row],[Author]],Table4[],2,0))</f>
        <v>MGF</v>
      </c>
      <c r="L3306" s="125" t="s">
        <v>4894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93</v>
      </c>
      <c r="R3306" s="115" t="s">
        <v>1459</v>
      </c>
      <c r="S3306" s="125"/>
    </row>
    <row r="3307" spans="1:19">
      <c r="A3307" s="124" t="s">
        <v>5478</v>
      </c>
      <c r="B3307" s="149" t="str">
        <f>IFERROR(VLOOKUP(Proc[[#This Row],[App]],Table2[],3,0),"open")</f>
        <v>ok</v>
      </c>
      <c r="C3307" s="124" t="s">
        <v>369</v>
      </c>
      <c r="D3307" t="s">
        <v>5333</v>
      </c>
      <c r="E3307" t="s">
        <v>5444</v>
      </c>
      <c r="F3307" s="125" t="s">
        <v>5444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44" t="str">
        <f>IF(Proc[[#This Row],[Author]]="Marcela Urrego",VLOOKUP(LEFT(Proc[[#This Row],[Requested]],1),Table3[#All],2,0),VLOOKUP(Proc[[#This Row],[Author]],Table4[],2,0))</f>
        <v>MGF</v>
      </c>
      <c r="L3307" s="125" t="s">
        <v>4894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93</v>
      </c>
      <c r="R3307" s="115" t="s">
        <v>1459</v>
      </c>
      <c r="S3307" s="125"/>
    </row>
    <row r="3308" spans="1:19">
      <c r="A3308" s="124" t="s">
        <v>5478</v>
      </c>
      <c r="B3308" s="149" t="str">
        <f>IFERROR(VLOOKUP(Proc[[#This Row],[App]],Table2[],3,0),"open")</f>
        <v>ok</v>
      </c>
      <c r="C3308" s="124" t="s">
        <v>369</v>
      </c>
      <c r="D3308" t="s">
        <v>1457</v>
      </c>
      <c r="E3308" t="s">
        <v>5444</v>
      </c>
      <c r="F3308" s="125" t="s">
        <v>5444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44" t="str">
        <f>IF(Proc[[#This Row],[Author]]="Marcela Urrego",VLOOKUP(LEFT(Proc[[#This Row],[Requested]],1),Table3[#All],2,0),VLOOKUP(Proc[[#This Row],[Author]],Table4[],2,0))</f>
        <v>MGF</v>
      </c>
      <c r="L3308" s="125" t="s">
        <v>4894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93</v>
      </c>
      <c r="R3308" s="115" t="s">
        <v>1459</v>
      </c>
      <c r="S3308" s="125"/>
    </row>
    <row r="3309" spans="1:19">
      <c r="A3309" s="124" t="s">
        <v>5478</v>
      </c>
      <c r="B3309" s="149" t="str">
        <f>IFERROR(VLOOKUP(Proc[[#This Row],[App]],Table2[],3,0),"open")</f>
        <v>ok</v>
      </c>
      <c r="C3309" s="124" t="s">
        <v>369</v>
      </c>
      <c r="D3309" t="s">
        <v>5334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44" t="str">
        <f>IF(Proc[[#This Row],[Author]]="Marcela Urrego",VLOOKUP(LEFT(Proc[[#This Row],[Requested]],1),Table3[#All],2,0),VLOOKUP(Proc[[#This Row],[Author]],Table4[],2,0))</f>
        <v>MGF</v>
      </c>
      <c r="L3309" s="125" t="s">
        <v>4894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93</v>
      </c>
      <c r="R3309" s="115" t="s">
        <v>1459</v>
      </c>
      <c r="S3309" s="125"/>
    </row>
    <row r="3310" spans="1:19">
      <c r="A3310" s="124" t="s">
        <v>5478</v>
      </c>
      <c r="B3310" s="149" t="str">
        <f>IFERROR(VLOOKUP(Proc[[#This Row],[App]],Table2[],3,0),"open")</f>
        <v>ok</v>
      </c>
      <c r="C3310" s="124" t="s">
        <v>369</v>
      </c>
      <c r="D3310" t="s">
        <v>5335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44" t="str">
        <f>IF(Proc[[#This Row],[Author]]="Marcela Urrego",VLOOKUP(LEFT(Proc[[#This Row],[Requested]],1),Table3[#All],2,0),VLOOKUP(Proc[[#This Row],[Author]],Table4[],2,0))</f>
        <v>MGF</v>
      </c>
      <c r="L3310" s="125" t="s">
        <v>4894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93</v>
      </c>
      <c r="R3310" s="115" t="s">
        <v>1459</v>
      </c>
      <c r="S3310" s="125"/>
    </row>
    <row r="3311" spans="1:19">
      <c r="A3311" s="124" t="s">
        <v>5478</v>
      </c>
      <c r="B3311" s="149" t="str">
        <f>IFERROR(VLOOKUP(Proc[[#This Row],[App]],Table2[],3,0),"open")</f>
        <v>ok</v>
      </c>
      <c r="C3311" s="124" t="s">
        <v>369</v>
      </c>
      <c r="D3311" t="s">
        <v>5336</v>
      </c>
      <c r="E3311" t="s">
        <v>5465</v>
      </c>
      <c r="F3311" s="125" t="s">
        <v>5465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44" t="str">
        <f>IF(Proc[[#This Row],[Author]]="Marcela Urrego",VLOOKUP(LEFT(Proc[[#This Row],[Requested]],1),Table3[#All],2,0),VLOOKUP(Proc[[#This Row],[Author]],Table4[],2,0))</f>
        <v>MGF</v>
      </c>
      <c r="L3311" s="125" t="s">
        <v>4894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93</v>
      </c>
      <c r="R3311" s="115" t="s">
        <v>1459</v>
      </c>
      <c r="S3311" s="125"/>
    </row>
    <row r="3312" spans="1:19">
      <c r="A3312" s="124" t="s">
        <v>5478</v>
      </c>
      <c r="B3312" s="149" t="str">
        <f>IFERROR(VLOOKUP(Proc[[#This Row],[App]],Table2[],3,0),"open")</f>
        <v>ok</v>
      </c>
      <c r="C3312" s="124" t="s">
        <v>369</v>
      </c>
      <c r="D3312" t="s">
        <v>5337</v>
      </c>
      <c r="E3312" t="s">
        <v>5466</v>
      </c>
      <c r="F3312" s="125" t="s">
        <v>5466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44" t="str">
        <f>IF(Proc[[#This Row],[Author]]="Marcela Urrego",VLOOKUP(LEFT(Proc[[#This Row],[Requested]],1),Table3[#All],2,0),VLOOKUP(Proc[[#This Row],[Author]],Table4[],2,0))</f>
        <v>MGF</v>
      </c>
      <c r="L3312" s="125" t="s">
        <v>4894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93</v>
      </c>
      <c r="R3312" s="115" t="s">
        <v>1459</v>
      </c>
      <c r="S3312" s="125"/>
    </row>
    <row r="3313" spans="1:19">
      <c r="A3313" s="124" t="s">
        <v>5478</v>
      </c>
      <c r="B3313" s="149" t="str">
        <f>IFERROR(VLOOKUP(Proc[[#This Row],[App]],Table2[],3,0),"open")</f>
        <v>ok</v>
      </c>
      <c r="C3313" s="124" t="s">
        <v>369</v>
      </c>
      <c r="D3313" t="s">
        <v>5338</v>
      </c>
      <c r="E3313" t="s">
        <v>5449</v>
      </c>
      <c r="F3313" s="125" t="s">
        <v>5449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44" t="str">
        <f>IF(Proc[[#This Row],[Author]]="Marcela Urrego",VLOOKUP(LEFT(Proc[[#This Row],[Requested]],1),Table3[#All],2,0),VLOOKUP(Proc[[#This Row],[Author]],Table4[],2,0))</f>
        <v>MGF</v>
      </c>
      <c r="L3313" s="125" t="s">
        <v>4894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93</v>
      </c>
      <c r="R3313" s="115" t="s">
        <v>1459</v>
      </c>
      <c r="S3313" s="125"/>
    </row>
    <row r="3314" spans="1:19">
      <c r="A3314" s="124" t="s">
        <v>5478</v>
      </c>
      <c r="B3314" s="149" t="str">
        <f>IFERROR(VLOOKUP(Proc[[#This Row],[App]],Table2[],3,0),"open")</f>
        <v>ok</v>
      </c>
      <c r="C3314" s="124" t="s">
        <v>369</v>
      </c>
      <c r="D3314" t="s">
        <v>5339</v>
      </c>
      <c r="E3314" t="s">
        <v>5458</v>
      </c>
      <c r="F3314" s="125" t="s">
        <v>5458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44" t="str">
        <f>IF(Proc[[#This Row],[Author]]="Marcela Urrego",VLOOKUP(LEFT(Proc[[#This Row],[Requested]],1),Table3[#All],2,0),VLOOKUP(Proc[[#This Row],[Author]],Table4[],2,0))</f>
        <v>MGF</v>
      </c>
      <c r="L3314" s="125" t="s">
        <v>4894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93</v>
      </c>
      <c r="R3314" s="115" t="s">
        <v>1459</v>
      </c>
      <c r="S3314" s="125"/>
    </row>
    <row r="3315" spans="1:19">
      <c r="A3315" s="124" t="s">
        <v>5478</v>
      </c>
      <c r="B3315" s="149" t="str">
        <f>IFERROR(VLOOKUP(Proc[[#This Row],[App]],Table2[],3,0),"open")</f>
        <v>ok</v>
      </c>
      <c r="C3315" s="124" t="s">
        <v>369</v>
      </c>
      <c r="D3315" t="s">
        <v>5340</v>
      </c>
      <c r="E3315" t="s">
        <v>5460</v>
      </c>
      <c r="F3315" s="125" t="s">
        <v>5460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44" t="str">
        <f>IF(Proc[[#This Row],[Author]]="Marcela Urrego",VLOOKUP(LEFT(Proc[[#This Row],[Requested]],1),Table3[#All],2,0),VLOOKUP(Proc[[#This Row],[Author]],Table4[],2,0))</f>
        <v>MGF</v>
      </c>
      <c r="L3315" s="125" t="s">
        <v>4894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93</v>
      </c>
      <c r="R3315" s="115" t="s">
        <v>1459</v>
      </c>
      <c r="S3315" s="125"/>
    </row>
    <row r="3316" spans="1:19">
      <c r="A3316" s="124" t="s">
        <v>5478</v>
      </c>
      <c r="B3316" s="149" t="str">
        <f>IFERROR(VLOOKUP(Proc[[#This Row],[App]],Table2[],3,0),"open")</f>
        <v>ok</v>
      </c>
      <c r="C3316" s="124" t="s">
        <v>369</v>
      </c>
      <c r="D3316" t="s">
        <v>5341</v>
      </c>
      <c r="E3316" t="s">
        <v>5459</v>
      </c>
      <c r="F3316" s="125" t="s">
        <v>5459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44" t="str">
        <f>IF(Proc[[#This Row],[Author]]="Marcela Urrego",VLOOKUP(LEFT(Proc[[#This Row],[Requested]],1),Table3[#All],2,0),VLOOKUP(Proc[[#This Row],[Author]],Table4[],2,0))</f>
        <v>MGF</v>
      </c>
      <c r="L3316" s="125" t="s">
        <v>4894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93</v>
      </c>
      <c r="R3316" s="115" t="s">
        <v>1459</v>
      </c>
      <c r="S3316" s="125"/>
    </row>
    <row r="3317" spans="1:19">
      <c r="A3317" s="124" t="s">
        <v>5478</v>
      </c>
      <c r="B3317" s="149" t="str">
        <f>IFERROR(VLOOKUP(Proc[[#This Row],[App]],Table2[],3,0),"open")</f>
        <v>ok</v>
      </c>
      <c r="C3317" s="124" t="s">
        <v>369</v>
      </c>
      <c r="D3317" t="s">
        <v>5342</v>
      </c>
      <c r="E3317" t="s">
        <v>5452</v>
      </c>
      <c r="F3317" s="125" t="s">
        <v>5452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44" t="str">
        <f>IF(Proc[[#This Row],[Author]]="Marcela Urrego",VLOOKUP(LEFT(Proc[[#This Row],[Requested]],1),Table3[#All],2,0),VLOOKUP(Proc[[#This Row],[Author]],Table4[],2,0))</f>
        <v>MGF</v>
      </c>
      <c r="L3317" s="125" t="s">
        <v>4894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93</v>
      </c>
      <c r="R3317" s="115" t="s">
        <v>1459</v>
      </c>
      <c r="S3317" s="125"/>
    </row>
    <row r="3318" spans="1:19">
      <c r="A3318" s="124" t="s">
        <v>5478</v>
      </c>
      <c r="B3318" s="149" t="str">
        <f>IFERROR(VLOOKUP(Proc[[#This Row],[App]],Table2[],3,0),"open")</f>
        <v>ok</v>
      </c>
      <c r="C3318" s="124" t="s">
        <v>369</v>
      </c>
      <c r="D3318" t="s">
        <v>5343</v>
      </c>
      <c r="E3318" t="s">
        <v>5452</v>
      </c>
      <c r="F3318" s="125" t="s">
        <v>5452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44" t="str">
        <f>IF(Proc[[#This Row],[Author]]="Marcela Urrego",VLOOKUP(LEFT(Proc[[#This Row],[Requested]],1),Table3[#All],2,0),VLOOKUP(Proc[[#This Row],[Author]],Table4[],2,0))</f>
        <v>MGF</v>
      </c>
      <c r="L3318" s="125" t="s">
        <v>4894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93</v>
      </c>
      <c r="R3318" s="115" t="s">
        <v>1459</v>
      </c>
      <c r="S3318" s="125"/>
    </row>
    <row r="3319" spans="1:19">
      <c r="A3319" s="124" t="s">
        <v>5478</v>
      </c>
      <c r="B3319" s="149" t="str">
        <f>IFERROR(VLOOKUP(Proc[[#This Row],[App]],Table2[],3,0),"open")</f>
        <v>ok</v>
      </c>
      <c r="C3319" s="124" t="s">
        <v>369</v>
      </c>
      <c r="D3319" t="s">
        <v>5344</v>
      </c>
      <c r="E3319" t="s">
        <v>5452</v>
      </c>
      <c r="F3319" s="125" t="s">
        <v>5452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44" t="str">
        <f>IF(Proc[[#This Row],[Author]]="Marcela Urrego",VLOOKUP(LEFT(Proc[[#This Row],[Requested]],1),Table3[#All],2,0),VLOOKUP(Proc[[#This Row],[Author]],Table4[],2,0))</f>
        <v>MGF</v>
      </c>
      <c r="L3319" s="125" t="s">
        <v>4894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93</v>
      </c>
      <c r="R3319" s="115" t="s">
        <v>1459</v>
      </c>
      <c r="S3319" s="125"/>
    </row>
    <row r="3320" spans="1:19">
      <c r="A3320" s="124" t="s">
        <v>5478</v>
      </c>
      <c r="B3320" s="149" t="str">
        <f>IFERROR(VLOOKUP(Proc[[#This Row],[App]],Table2[],3,0),"open")</f>
        <v>ok</v>
      </c>
      <c r="C3320" s="124" t="s">
        <v>369</v>
      </c>
      <c r="D3320" t="s">
        <v>5345</v>
      </c>
      <c r="E3320" t="s">
        <v>5452</v>
      </c>
      <c r="F3320" s="125" t="s">
        <v>5452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44" t="str">
        <f>IF(Proc[[#This Row],[Author]]="Marcela Urrego",VLOOKUP(LEFT(Proc[[#This Row],[Requested]],1),Table3[#All],2,0),VLOOKUP(Proc[[#This Row],[Author]],Table4[],2,0))</f>
        <v>MGF</v>
      </c>
      <c r="L3320" s="125" t="s">
        <v>4894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93</v>
      </c>
      <c r="R3320" s="115" t="s">
        <v>1459</v>
      </c>
      <c r="S3320" s="125"/>
    </row>
    <row r="3321" spans="1:19">
      <c r="A3321" s="124" t="s">
        <v>5478</v>
      </c>
      <c r="B3321" s="149" t="str">
        <f>IFERROR(VLOOKUP(Proc[[#This Row],[App]],Table2[],3,0),"open")</f>
        <v>ok</v>
      </c>
      <c r="C3321" s="124" t="s">
        <v>369</v>
      </c>
      <c r="D3321" t="s">
        <v>5346</v>
      </c>
      <c r="E3321" t="s">
        <v>5452</v>
      </c>
      <c r="F3321" s="125" t="s">
        <v>5452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44" t="str">
        <f>IF(Proc[[#This Row],[Author]]="Marcela Urrego",VLOOKUP(LEFT(Proc[[#This Row],[Requested]],1),Table3[#All],2,0),VLOOKUP(Proc[[#This Row],[Author]],Table4[],2,0))</f>
        <v>MGF</v>
      </c>
      <c r="L3321" s="125" t="s">
        <v>4894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93</v>
      </c>
      <c r="R3321" s="115" t="s">
        <v>1459</v>
      </c>
      <c r="S3321" s="125"/>
    </row>
    <row r="3322" spans="1:19">
      <c r="A3322" s="124" t="s">
        <v>5478</v>
      </c>
      <c r="B3322" s="149" t="str">
        <f>IFERROR(VLOOKUP(Proc[[#This Row],[App]],Table2[],3,0),"open")</f>
        <v>ok</v>
      </c>
      <c r="C3322" s="124" t="s">
        <v>369</v>
      </c>
      <c r="D3322" t="s">
        <v>5347</v>
      </c>
      <c r="E3322" t="s">
        <v>5452</v>
      </c>
      <c r="F3322" s="125" t="s">
        <v>5452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44" t="str">
        <f>IF(Proc[[#This Row],[Author]]="Marcela Urrego",VLOOKUP(LEFT(Proc[[#This Row],[Requested]],1),Table3[#All],2,0),VLOOKUP(Proc[[#This Row],[Author]],Table4[],2,0))</f>
        <v>MGF</v>
      </c>
      <c r="L3322" s="125" t="s">
        <v>4894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93</v>
      </c>
      <c r="R3322" s="115" t="s">
        <v>1459</v>
      </c>
      <c r="S3322" s="125"/>
    </row>
    <row r="3323" spans="1:19">
      <c r="A3323" s="124" t="s">
        <v>5478</v>
      </c>
      <c r="B3323" s="149" t="str">
        <f>IFERROR(VLOOKUP(Proc[[#This Row],[App]],Table2[],3,0),"open")</f>
        <v>ok</v>
      </c>
      <c r="C3323" s="124" t="s">
        <v>369</v>
      </c>
      <c r="D3323" t="s">
        <v>5348</v>
      </c>
      <c r="E3323" t="s">
        <v>5452</v>
      </c>
      <c r="F3323" s="125" t="s">
        <v>5452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44" t="str">
        <f>IF(Proc[[#This Row],[Author]]="Marcela Urrego",VLOOKUP(LEFT(Proc[[#This Row],[Requested]],1),Table3[#All],2,0),VLOOKUP(Proc[[#This Row],[Author]],Table4[],2,0))</f>
        <v>MGF</v>
      </c>
      <c r="L3323" s="125" t="s">
        <v>4894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93</v>
      </c>
      <c r="R3323" s="115" t="s">
        <v>1459</v>
      </c>
      <c r="S3323" s="125"/>
    </row>
    <row r="3324" spans="1:19">
      <c r="A3324" s="124" t="s">
        <v>5478</v>
      </c>
      <c r="B3324" s="149" t="str">
        <f>IFERROR(VLOOKUP(Proc[[#This Row],[App]],Table2[],3,0),"open")</f>
        <v>ok</v>
      </c>
      <c r="C3324" s="124" t="s">
        <v>369</v>
      </c>
      <c r="D3324" t="s">
        <v>5349</v>
      </c>
      <c r="E3324" t="s">
        <v>5450</v>
      </c>
      <c r="F3324" s="125" t="s">
        <v>5450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44" t="str">
        <f>IF(Proc[[#This Row],[Author]]="Marcela Urrego",VLOOKUP(LEFT(Proc[[#This Row],[Requested]],1),Table3[#All],2,0),VLOOKUP(Proc[[#This Row],[Author]],Table4[],2,0))</f>
        <v>MGF</v>
      </c>
      <c r="L3324" s="125" t="s">
        <v>4894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93</v>
      </c>
      <c r="R3324" s="115" t="s">
        <v>1459</v>
      </c>
      <c r="S3324" s="125"/>
    </row>
    <row r="3325" spans="1:19">
      <c r="A3325" s="124" t="s">
        <v>5478</v>
      </c>
      <c r="B3325" s="149" t="str">
        <f>IFERROR(VLOOKUP(Proc[[#This Row],[App]],Table2[],3,0),"open")</f>
        <v>ok</v>
      </c>
      <c r="C3325" s="124" t="s">
        <v>369</v>
      </c>
      <c r="D3325" t="s">
        <v>5350</v>
      </c>
      <c r="E3325" t="s">
        <v>5449</v>
      </c>
      <c r="F3325" s="125" t="s">
        <v>5449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44" t="str">
        <f>IF(Proc[[#This Row],[Author]]="Marcela Urrego",VLOOKUP(LEFT(Proc[[#This Row],[Requested]],1),Table3[#All],2,0),VLOOKUP(Proc[[#This Row],[Author]],Table4[],2,0))</f>
        <v>MGF</v>
      </c>
      <c r="L3325" s="125" t="s">
        <v>4894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93</v>
      </c>
      <c r="R3325" s="115" t="s">
        <v>1459</v>
      </c>
      <c r="S3325" s="125"/>
    </row>
    <row r="3326" spans="1:19">
      <c r="A3326" s="124" t="s">
        <v>5478</v>
      </c>
      <c r="B3326" s="149" t="str">
        <f>IFERROR(VLOOKUP(Proc[[#This Row],[App]],Table2[],3,0),"open")</f>
        <v>ok</v>
      </c>
      <c r="C3326" s="124" t="s">
        <v>369</v>
      </c>
      <c r="D3326" t="s">
        <v>5351</v>
      </c>
      <c r="E3326" t="s">
        <v>5450</v>
      </c>
      <c r="F3326" s="125" t="s">
        <v>5450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44" t="str">
        <f>IF(Proc[[#This Row],[Author]]="Marcela Urrego",VLOOKUP(LEFT(Proc[[#This Row],[Requested]],1),Table3[#All],2,0),VLOOKUP(Proc[[#This Row],[Author]],Table4[],2,0))</f>
        <v>MGF</v>
      </c>
      <c r="L3326" s="125" t="s">
        <v>4894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93</v>
      </c>
      <c r="R3326" s="115" t="s">
        <v>1459</v>
      </c>
      <c r="S3326" s="125"/>
    </row>
    <row r="3327" spans="1:19">
      <c r="A3327" s="124" t="s">
        <v>5478</v>
      </c>
      <c r="B3327" s="149" t="str">
        <f>IFERROR(VLOOKUP(Proc[[#This Row],[App]],Table2[],3,0),"open")</f>
        <v>ok</v>
      </c>
      <c r="C3327" s="124" t="s">
        <v>369</v>
      </c>
      <c r="D3327" t="s">
        <v>5352</v>
      </c>
      <c r="E3327" t="s">
        <v>5450</v>
      </c>
      <c r="F3327" s="125" t="s">
        <v>5450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44" t="str">
        <f>IF(Proc[[#This Row],[Author]]="Marcela Urrego",VLOOKUP(LEFT(Proc[[#This Row],[Requested]],1),Table3[#All],2,0),VLOOKUP(Proc[[#This Row],[Author]],Table4[],2,0))</f>
        <v>MGF</v>
      </c>
      <c r="L3327" s="125" t="s">
        <v>4894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93</v>
      </c>
      <c r="R3327" s="115" t="s">
        <v>1459</v>
      </c>
      <c r="S3327" s="125"/>
    </row>
    <row r="3328" spans="1:19">
      <c r="A3328" s="124" t="s">
        <v>5478</v>
      </c>
      <c r="B3328" s="149" t="str">
        <f>IFERROR(VLOOKUP(Proc[[#This Row],[App]],Table2[],3,0),"open")</f>
        <v>ok</v>
      </c>
      <c r="C3328" s="124" t="s">
        <v>369</v>
      </c>
      <c r="D3328" t="s">
        <v>5353</v>
      </c>
      <c r="E3328" t="s">
        <v>5450</v>
      </c>
      <c r="F3328" s="125" t="s">
        <v>5450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44" t="str">
        <f>IF(Proc[[#This Row],[Author]]="Marcela Urrego",VLOOKUP(LEFT(Proc[[#This Row],[Requested]],1),Table3[#All],2,0),VLOOKUP(Proc[[#This Row],[Author]],Table4[],2,0))</f>
        <v>MGF</v>
      </c>
      <c r="L3328" s="125" t="s">
        <v>4894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93</v>
      </c>
      <c r="R3328" s="115" t="s">
        <v>1459</v>
      </c>
      <c r="S3328" s="125"/>
    </row>
    <row r="3329" spans="1:19">
      <c r="A3329" s="124" t="s">
        <v>5478</v>
      </c>
      <c r="B3329" s="149" t="str">
        <f>IFERROR(VLOOKUP(Proc[[#This Row],[App]],Table2[],3,0),"open")</f>
        <v>ok</v>
      </c>
      <c r="C3329" s="124" t="s">
        <v>369</v>
      </c>
      <c r="D3329" t="s">
        <v>5354</v>
      </c>
      <c r="E3329" t="s">
        <v>5450</v>
      </c>
      <c r="F3329" s="125" t="s">
        <v>5450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44" t="str">
        <f>IF(Proc[[#This Row],[Author]]="Marcela Urrego",VLOOKUP(LEFT(Proc[[#This Row],[Requested]],1),Table3[#All],2,0),VLOOKUP(Proc[[#This Row],[Author]],Table4[],2,0))</f>
        <v>MGF</v>
      </c>
      <c r="L3329" s="125" t="s">
        <v>4894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93</v>
      </c>
      <c r="R3329" s="115" t="s">
        <v>1459</v>
      </c>
      <c r="S3329" s="125"/>
    </row>
    <row r="3330" spans="1:19">
      <c r="A3330" s="124" t="s">
        <v>5478</v>
      </c>
      <c r="B3330" s="149" t="str">
        <f>IFERROR(VLOOKUP(Proc[[#This Row],[App]],Table2[],3,0),"open")</f>
        <v>ok</v>
      </c>
      <c r="C3330" s="124" t="s">
        <v>369</v>
      </c>
      <c r="D3330" t="s">
        <v>5355</v>
      </c>
      <c r="E3330" t="s">
        <v>5446</v>
      </c>
      <c r="F3330" s="125" t="s">
        <v>5446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44" t="str">
        <f>IF(Proc[[#This Row],[Author]]="Marcela Urrego",VLOOKUP(LEFT(Proc[[#This Row],[Requested]],1),Table3[#All],2,0),VLOOKUP(Proc[[#This Row],[Author]],Table4[],2,0))</f>
        <v>MGF</v>
      </c>
      <c r="L3330" s="125" t="s">
        <v>4894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93</v>
      </c>
      <c r="R3330" s="115" t="s">
        <v>1459</v>
      </c>
      <c r="S3330" s="125"/>
    </row>
    <row r="3331" spans="1:19">
      <c r="A3331" s="124" t="s">
        <v>5478</v>
      </c>
      <c r="B3331" s="149" t="str">
        <f>IFERROR(VLOOKUP(Proc[[#This Row],[App]],Table2[],3,0),"open")</f>
        <v>ok</v>
      </c>
      <c r="C3331" s="124" t="s">
        <v>369</v>
      </c>
      <c r="D3331" t="s">
        <v>5356</v>
      </c>
      <c r="E3331" t="s">
        <v>5446</v>
      </c>
      <c r="F3331" s="125" t="s">
        <v>5446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44" t="str">
        <f>IF(Proc[[#This Row],[Author]]="Marcela Urrego",VLOOKUP(LEFT(Proc[[#This Row],[Requested]],1),Table3[#All],2,0),VLOOKUP(Proc[[#This Row],[Author]],Table4[],2,0))</f>
        <v>MGF</v>
      </c>
      <c r="L3331" s="125" t="s">
        <v>4894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93</v>
      </c>
      <c r="R3331" s="115" t="s">
        <v>1459</v>
      </c>
      <c r="S3331" s="125"/>
    </row>
    <row r="3332" spans="1:19">
      <c r="A3332" s="124" t="s">
        <v>5478</v>
      </c>
      <c r="B3332" s="149" t="str">
        <f>IFERROR(VLOOKUP(Proc[[#This Row],[App]],Table2[],3,0),"open")</f>
        <v>ok</v>
      </c>
      <c r="C3332" s="124" t="s">
        <v>369</v>
      </c>
      <c r="D3332" t="s">
        <v>5357</v>
      </c>
      <c r="E3332" t="s">
        <v>5452</v>
      </c>
      <c r="F3332" s="125" t="s">
        <v>5452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44" t="str">
        <f>IF(Proc[[#This Row],[Author]]="Marcela Urrego",VLOOKUP(LEFT(Proc[[#This Row],[Requested]],1),Table3[#All],2,0),VLOOKUP(Proc[[#This Row],[Author]],Table4[],2,0))</f>
        <v>MGF</v>
      </c>
      <c r="L3332" s="125" t="s">
        <v>4894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93</v>
      </c>
      <c r="R3332" s="115" t="s">
        <v>1459</v>
      </c>
      <c r="S3332" s="125"/>
    </row>
    <row r="3333" spans="1:19">
      <c r="A3333" s="124" t="s">
        <v>5478</v>
      </c>
      <c r="B3333" s="149" t="str">
        <f>IFERROR(VLOOKUP(Proc[[#This Row],[App]],Table2[],3,0),"open")</f>
        <v>ok</v>
      </c>
      <c r="C3333" s="124" t="s">
        <v>369</v>
      </c>
      <c r="D3333" t="s">
        <v>5358</v>
      </c>
      <c r="E3333" t="s">
        <v>5467</v>
      </c>
      <c r="F3333" s="125" t="s">
        <v>5467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44" t="str">
        <f>IF(Proc[[#This Row],[Author]]="Marcela Urrego",VLOOKUP(LEFT(Proc[[#This Row],[Requested]],1),Table3[#All],2,0),VLOOKUP(Proc[[#This Row],[Author]],Table4[],2,0))</f>
        <v>MGF</v>
      </c>
      <c r="L3333" s="125" t="s">
        <v>4894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93</v>
      </c>
      <c r="R3333" s="115" t="s">
        <v>1459</v>
      </c>
      <c r="S3333" s="125"/>
    </row>
    <row r="3334" spans="1:19">
      <c r="A3334" s="124" t="s">
        <v>5478</v>
      </c>
      <c r="B3334" s="149" t="str">
        <f>IFERROR(VLOOKUP(Proc[[#This Row],[App]],Table2[],3,0),"open")</f>
        <v>ok</v>
      </c>
      <c r="C3334" s="124" t="s">
        <v>369</v>
      </c>
      <c r="D3334" t="s">
        <v>5359</v>
      </c>
      <c r="E3334" t="s">
        <v>5468</v>
      </c>
      <c r="F3334" s="125" t="s">
        <v>5468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44" t="str">
        <f>IF(Proc[[#This Row],[Author]]="Marcela Urrego",VLOOKUP(LEFT(Proc[[#This Row],[Requested]],1),Table3[#All],2,0),VLOOKUP(Proc[[#This Row],[Author]],Table4[],2,0))</f>
        <v>MGF</v>
      </c>
      <c r="L3334" s="125" t="s">
        <v>4894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93</v>
      </c>
      <c r="R3334" s="115" t="s">
        <v>1459</v>
      </c>
      <c r="S3334" s="125"/>
    </row>
    <row r="3335" spans="1:19">
      <c r="A3335" s="124" t="s">
        <v>5478</v>
      </c>
      <c r="B3335" s="149" t="str">
        <f>IFERROR(VLOOKUP(Proc[[#This Row],[App]],Table2[],3,0),"open")</f>
        <v>ok</v>
      </c>
      <c r="C3335" s="124" t="s">
        <v>369</v>
      </c>
      <c r="D3335" t="s">
        <v>5360</v>
      </c>
      <c r="E3335" t="s">
        <v>5445</v>
      </c>
      <c r="F3335" s="125" t="s">
        <v>5445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44" t="str">
        <f>IF(Proc[[#This Row],[Author]]="Marcela Urrego",VLOOKUP(LEFT(Proc[[#This Row],[Requested]],1),Table3[#All],2,0),VLOOKUP(Proc[[#This Row],[Author]],Table4[],2,0))</f>
        <v>MGF</v>
      </c>
      <c r="L3335" s="125" t="s">
        <v>4894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93</v>
      </c>
      <c r="R3335" s="115" t="s">
        <v>1459</v>
      </c>
      <c r="S3335" s="125"/>
    </row>
    <row r="3336" spans="1:19">
      <c r="A3336" s="124" t="s">
        <v>5478</v>
      </c>
      <c r="B3336" s="149" t="str">
        <f>IFERROR(VLOOKUP(Proc[[#This Row],[App]],Table2[],3,0),"open")</f>
        <v>ok</v>
      </c>
      <c r="C3336" s="124" t="s">
        <v>369</v>
      </c>
      <c r="D3336" t="s">
        <v>5361</v>
      </c>
      <c r="E3336" t="s">
        <v>5449</v>
      </c>
      <c r="F3336" s="125" t="s">
        <v>5449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44" t="str">
        <f>IF(Proc[[#This Row],[Author]]="Marcela Urrego",VLOOKUP(LEFT(Proc[[#This Row],[Requested]],1),Table3[#All],2,0),VLOOKUP(Proc[[#This Row],[Author]],Table4[],2,0))</f>
        <v>MGF</v>
      </c>
      <c r="L3336" s="125" t="s">
        <v>4894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93</v>
      </c>
      <c r="R3336" s="115" t="s">
        <v>1459</v>
      </c>
      <c r="S3336" s="125"/>
    </row>
    <row r="3337" spans="1:19">
      <c r="A3337" s="124" t="s">
        <v>5478</v>
      </c>
      <c r="B3337" s="149" t="str">
        <f>IFERROR(VLOOKUP(Proc[[#This Row],[App]],Table2[],3,0),"open")</f>
        <v>ok</v>
      </c>
      <c r="C3337" s="124" t="s">
        <v>369</v>
      </c>
      <c r="D3337" t="s">
        <v>5362</v>
      </c>
      <c r="E3337" t="s">
        <v>5449</v>
      </c>
      <c r="F3337" s="125" t="s">
        <v>5449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44" t="str">
        <f>IF(Proc[[#This Row],[Author]]="Marcela Urrego",VLOOKUP(LEFT(Proc[[#This Row],[Requested]],1),Table3[#All],2,0),VLOOKUP(Proc[[#This Row],[Author]],Table4[],2,0))</f>
        <v>MGF</v>
      </c>
      <c r="L3337" s="125" t="s">
        <v>4894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93</v>
      </c>
      <c r="R3337" s="115" t="s">
        <v>1459</v>
      </c>
      <c r="S3337" s="125"/>
    </row>
    <row r="3338" spans="1:19">
      <c r="A3338" s="124" t="s">
        <v>5478</v>
      </c>
      <c r="B3338" s="149" t="str">
        <f>IFERROR(VLOOKUP(Proc[[#This Row],[App]],Table2[],3,0),"open")</f>
        <v>ok</v>
      </c>
      <c r="C3338" s="124" t="s">
        <v>369</v>
      </c>
      <c r="D3338" t="s">
        <v>5363</v>
      </c>
      <c r="E3338" t="s">
        <v>5457</v>
      </c>
      <c r="F3338" s="125" t="s">
        <v>5457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44" t="str">
        <f>IF(Proc[[#This Row],[Author]]="Marcela Urrego",VLOOKUP(LEFT(Proc[[#This Row],[Requested]],1),Table3[#All],2,0),VLOOKUP(Proc[[#This Row],[Author]],Table4[],2,0))</f>
        <v>MGF</v>
      </c>
      <c r="L3338" s="125" t="s">
        <v>4894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93</v>
      </c>
      <c r="R3338" s="115" t="s">
        <v>1459</v>
      </c>
      <c r="S3338" s="125"/>
    </row>
    <row r="3339" spans="1:19">
      <c r="A3339" s="124" t="s">
        <v>5478</v>
      </c>
      <c r="B3339" s="149" t="str">
        <f>IFERROR(VLOOKUP(Proc[[#This Row],[App]],Table2[],3,0),"open")</f>
        <v>ok</v>
      </c>
      <c r="C3339" s="124" t="s">
        <v>369</v>
      </c>
      <c r="D3339" t="s">
        <v>5364</v>
      </c>
      <c r="E3339" t="s">
        <v>5446</v>
      </c>
      <c r="F3339" s="125" t="s">
        <v>5446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44" t="str">
        <f>IF(Proc[[#This Row],[Author]]="Marcela Urrego",VLOOKUP(LEFT(Proc[[#This Row],[Requested]],1),Table3[#All],2,0),VLOOKUP(Proc[[#This Row],[Author]],Table4[],2,0))</f>
        <v>MGF</v>
      </c>
      <c r="L3339" s="125" t="s">
        <v>4894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93</v>
      </c>
      <c r="R3339" s="115" t="s">
        <v>1459</v>
      </c>
      <c r="S3339" s="125"/>
    </row>
    <row r="3340" spans="1:19">
      <c r="A3340" s="124" t="s">
        <v>5478</v>
      </c>
      <c r="B3340" s="149" t="str">
        <f>IFERROR(VLOOKUP(Proc[[#This Row],[App]],Table2[],3,0),"open")</f>
        <v>ok</v>
      </c>
      <c r="C3340" s="124" t="s">
        <v>369</v>
      </c>
      <c r="D3340" t="s">
        <v>5365</v>
      </c>
      <c r="E3340" t="s">
        <v>5469</v>
      </c>
      <c r="F3340" s="125" t="s">
        <v>5469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44" t="str">
        <f>IF(Proc[[#This Row],[Author]]="Marcela Urrego",VLOOKUP(LEFT(Proc[[#This Row],[Requested]],1),Table3[#All],2,0),VLOOKUP(Proc[[#This Row],[Author]],Table4[],2,0))</f>
        <v>MGF</v>
      </c>
      <c r="L3340" s="125" t="s">
        <v>4894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93</v>
      </c>
      <c r="R3340" s="115" t="s">
        <v>1459</v>
      </c>
      <c r="S3340" s="125"/>
    </row>
    <row r="3341" spans="1:19">
      <c r="A3341" s="124" t="s">
        <v>5478</v>
      </c>
      <c r="B3341" s="149" t="str">
        <f>IFERROR(VLOOKUP(Proc[[#This Row],[App]],Table2[],3,0),"open")</f>
        <v>ok</v>
      </c>
      <c r="C3341" s="124" t="s">
        <v>369</v>
      </c>
      <c r="D3341" t="s">
        <v>5366</v>
      </c>
      <c r="E3341" t="s">
        <v>5456</v>
      </c>
      <c r="F3341" s="125" t="s">
        <v>5456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44" t="str">
        <f>IF(Proc[[#This Row],[Author]]="Marcela Urrego",VLOOKUP(LEFT(Proc[[#This Row],[Requested]],1),Table3[#All],2,0),VLOOKUP(Proc[[#This Row],[Author]],Table4[],2,0))</f>
        <v>MGF</v>
      </c>
      <c r="L3341" s="125" t="s">
        <v>4894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93</v>
      </c>
      <c r="R3341" s="115" t="s">
        <v>1459</v>
      </c>
      <c r="S3341" s="125"/>
    </row>
    <row r="3342" spans="1:19">
      <c r="A3342" s="124" t="s">
        <v>5478</v>
      </c>
      <c r="B3342" s="149" t="str">
        <f>IFERROR(VLOOKUP(Proc[[#This Row],[App]],Table2[],3,0),"open")</f>
        <v>ok</v>
      </c>
      <c r="C3342" s="124" t="s">
        <v>369</v>
      </c>
      <c r="D3342" t="s">
        <v>5367</v>
      </c>
      <c r="E3342" t="s">
        <v>5452</v>
      </c>
      <c r="F3342" s="125" t="s">
        <v>5452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44" t="str">
        <f>IF(Proc[[#This Row],[Author]]="Marcela Urrego",VLOOKUP(LEFT(Proc[[#This Row],[Requested]],1),Table3[#All],2,0),VLOOKUP(Proc[[#This Row],[Author]],Table4[],2,0))</f>
        <v>MGF</v>
      </c>
      <c r="L3342" s="125" t="s">
        <v>4894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93</v>
      </c>
      <c r="R3342" s="115" t="s">
        <v>1459</v>
      </c>
      <c r="S3342" s="125"/>
    </row>
    <row r="3343" spans="1:19">
      <c r="A3343" s="124" t="s">
        <v>5478</v>
      </c>
      <c r="B3343" s="149" t="str">
        <f>IFERROR(VLOOKUP(Proc[[#This Row],[App]],Table2[],3,0),"open")</f>
        <v>ok</v>
      </c>
      <c r="C3343" s="124" t="s">
        <v>369</v>
      </c>
      <c r="D3343" t="s">
        <v>5368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44" t="str">
        <f>IF(Proc[[#This Row],[Author]]="Marcela Urrego",VLOOKUP(LEFT(Proc[[#This Row],[Requested]],1),Table3[#All],2,0),VLOOKUP(Proc[[#This Row],[Author]],Table4[],2,0))</f>
        <v>MGF</v>
      </c>
      <c r="L3343" s="125" t="s">
        <v>4894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93</v>
      </c>
      <c r="R3343" s="115" t="s">
        <v>1459</v>
      </c>
      <c r="S3343" s="125"/>
    </row>
    <row r="3344" spans="1:19">
      <c r="A3344" s="124" t="s">
        <v>5478</v>
      </c>
      <c r="B3344" s="149" t="str">
        <f>IFERROR(VLOOKUP(Proc[[#This Row],[App]],Table2[],3,0),"open")</f>
        <v>ok</v>
      </c>
      <c r="C3344" s="124" t="s">
        <v>369</v>
      </c>
      <c r="D3344" t="s">
        <v>5369</v>
      </c>
      <c r="E3344" t="s">
        <v>5444</v>
      </c>
      <c r="F3344" s="125" t="s">
        <v>5444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44" t="str">
        <f>IF(Proc[[#This Row],[Author]]="Marcela Urrego",VLOOKUP(LEFT(Proc[[#This Row],[Requested]],1),Table3[#All],2,0),VLOOKUP(Proc[[#This Row],[Author]],Table4[],2,0))</f>
        <v>MGF</v>
      </c>
      <c r="L3344" s="125" t="s">
        <v>4894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93</v>
      </c>
      <c r="R3344" s="115" t="s">
        <v>1459</v>
      </c>
      <c r="S3344" s="125"/>
    </row>
    <row r="3345" spans="1:19">
      <c r="A3345" s="124" t="s">
        <v>5478</v>
      </c>
      <c r="B3345" s="149" t="str">
        <f>IFERROR(VLOOKUP(Proc[[#This Row],[App]],Table2[],3,0),"open")</f>
        <v>ok</v>
      </c>
      <c r="C3345" s="124" t="s">
        <v>369</v>
      </c>
      <c r="D3345" t="s">
        <v>5370</v>
      </c>
      <c r="E3345" t="s">
        <v>5445</v>
      </c>
      <c r="F3345" s="125" t="s">
        <v>5445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44" t="str">
        <f>IF(Proc[[#This Row],[Author]]="Marcela Urrego",VLOOKUP(LEFT(Proc[[#This Row],[Requested]],1),Table3[#All],2,0),VLOOKUP(Proc[[#This Row],[Author]],Table4[],2,0))</f>
        <v>MGF</v>
      </c>
      <c r="L3345" s="125" t="s">
        <v>4894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93</v>
      </c>
      <c r="R3345" s="115" t="s">
        <v>1459</v>
      </c>
      <c r="S3345" s="125"/>
    </row>
    <row r="3346" spans="1:19">
      <c r="A3346" s="124" t="s">
        <v>5478</v>
      </c>
      <c r="B3346" s="149" t="str">
        <f>IFERROR(VLOOKUP(Proc[[#This Row],[App]],Table2[],3,0),"open")</f>
        <v>ok</v>
      </c>
      <c r="C3346" s="124" t="s">
        <v>369</v>
      </c>
      <c r="D3346" t="s">
        <v>5371</v>
      </c>
      <c r="E3346" t="s">
        <v>5446</v>
      </c>
      <c r="F3346" s="125" t="s">
        <v>5446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44" t="str">
        <f>IF(Proc[[#This Row],[Author]]="Marcela Urrego",VLOOKUP(LEFT(Proc[[#This Row],[Requested]],1),Table3[#All],2,0),VLOOKUP(Proc[[#This Row],[Author]],Table4[],2,0))</f>
        <v>MGF</v>
      </c>
      <c r="L3346" s="125" t="s">
        <v>4894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93</v>
      </c>
      <c r="R3346" s="115" t="s">
        <v>1459</v>
      </c>
      <c r="S3346" s="125"/>
    </row>
    <row r="3347" spans="1:19">
      <c r="A3347" s="124" t="s">
        <v>5478</v>
      </c>
      <c r="B3347" s="149" t="str">
        <f>IFERROR(VLOOKUP(Proc[[#This Row],[App]],Table2[],3,0),"open")</f>
        <v>ok</v>
      </c>
      <c r="C3347" s="124" t="s">
        <v>369</v>
      </c>
      <c r="D3347" t="s">
        <v>2569</v>
      </c>
      <c r="E3347" t="s">
        <v>5453</v>
      </c>
      <c r="F3347" s="125" t="s">
        <v>5453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44" t="str">
        <f>IF(Proc[[#This Row],[Author]]="Marcela Urrego",VLOOKUP(LEFT(Proc[[#This Row],[Requested]],1),Table3[#All],2,0),VLOOKUP(Proc[[#This Row],[Author]],Table4[],2,0))</f>
        <v>MGF</v>
      </c>
      <c r="L3347" s="125" t="s">
        <v>4894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93</v>
      </c>
      <c r="R3347" s="115" t="s">
        <v>1459</v>
      </c>
      <c r="S3347" s="125"/>
    </row>
    <row r="3348" spans="1:19">
      <c r="A3348" s="124" t="s">
        <v>5478</v>
      </c>
      <c r="B3348" s="149" t="str">
        <f>IFERROR(VLOOKUP(Proc[[#This Row],[App]],Table2[],3,0),"open")</f>
        <v>ok</v>
      </c>
      <c r="C3348" s="124" t="s">
        <v>369</v>
      </c>
      <c r="D3348" t="s">
        <v>5372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44" t="str">
        <f>IF(Proc[[#This Row],[Author]]="Marcela Urrego",VLOOKUP(LEFT(Proc[[#This Row],[Requested]],1),Table3[#All],2,0),VLOOKUP(Proc[[#This Row],[Author]],Table4[],2,0))</f>
        <v>MGF</v>
      </c>
      <c r="L3348" s="125" t="s">
        <v>4894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93</v>
      </c>
      <c r="R3348" s="115" t="s">
        <v>1459</v>
      </c>
      <c r="S3348" s="125"/>
    </row>
    <row r="3349" spans="1:19">
      <c r="A3349" s="124" t="s">
        <v>5478</v>
      </c>
      <c r="B3349" s="149" t="str">
        <f>IFERROR(VLOOKUP(Proc[[#This Row],[App]],Table2[],3,0),"open")</f>
        <v>ok</v>
      </c>
      <c r="C3349" s="124" t="s">
        <v>369</v>
      </c>
      <c r="D3349" t="s">
        <v>5373</v>
      </c>
      <c r="E3349" t="s">
        <v>5446</v>
      </c>
      <c r="F3349" s="125" t="s">
        <v>5446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44" t="str">
        <f>IF(Proc[[#This Row],[Author]]="Marcela Urrego",VLOOKUP(LEFT(Proc[[#This Row],[Requested]],1),Table3[#All],2,0),VLOOKUP(Proc[[#This Row],[Author]],Table4[],2,0))</f>
        <v>MGF</v>
      </c>
      <c r="L3349" s="125" t="s">
        <v>4894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93</v>
      </c>
      <c r="R3349" s="115" t="s">
        <v>1459</v>
      </c>
      <c r="S3349" s="125"/>
    </row>
    <row r="3350" spans="1:19">
      <c r="A3350" s="124" t="s">
        <v>5478</v>
      </c>
      <c r="B3350" s="149" t="str">
        <f>IFERROR(VLOOKUP(Proc[[#This Row],[App]],Table2[],3,0),"open")</f>
        <v>ok</v>
      </c>
      <c r="C3350" s="124" t="s">
        <v>369</v>
      </c>
      <c r="D3350" t="s">
        <v>5374</v>
      </c>
      <c r="E3350" t="s">
        <v>5445</v>
      </c>
      <c r="F3350" s="125" t="s">
        <v>5445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44" t="str">
        <f>IF(Proc[[#This Row],[Author]]="Marcela Urrego",VLOOKUP(LEFT(Proc[[#This Row],[Requested]],1),Table3[#All],2,0),VLOOKUP(Proc[[#This Row],[Author]],Table4[],2,0))</f>
        <v>MGF</v>
      </c>
      <c r="L3350" s="125" t="s">
        <v>4894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93</v>
      </c>
      <c r="R3350" s="115" t="s">
        <v>1459</v>
      </c>
      <c r="S3350" s="125"/>
    </row>
    <row r="3351" spans="1:19">
      <c r="A3351" s="124" t="s">
        <v>5478</v>
      </c>
      <c r="B3351" s="149" t="str">
        <f>IFERROR(VLOOKUP(Proc[[#This Row],[App]],Table2[],3,0),"open")</f>
        <v>ok</v>
      </c>
      <c r="C3351" s="124" t="s">
        <v>369</v>
      </c>
      <c r="D3351" t="s">
        <v>5375</v>
      </c>
      <c r="E3351" t="s">
        <v>5470</v>
      </c>
      <c r="F3351" s="125" t="s">
        <v>5470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44" t="str">
        <f>IF(Proc[[#This Row],[Author]]="Marcela Urrego",VLOOKUP(LEFT(Proc[[#This Row],[Requested]],1),Table3[#All],2,0),VLOOKUP(Proc[[#This Row],[Author]],Table4[],2,0))</f>
        <v>MGF</v>
      </c>
      <c r="L3351" s="125" t="s">
        <v>4894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93</v>
      </c>
      <c r="R3351" s="115" t="s">
        <v>1459</v>
      </c>
      <c r="S3351" s="125"/>
    </row>
    <row r="3352" spans="1:19">
      <c r="A3352" s="124" t="s">
        <v>5478</v>
      </c>
      <c r="B3352" s="149" t="str">
        <f>IFERROR(VLOOKUP(Proc[[#This Row],[App]],Table2[],3,0),"open")</f>
        <v>ok</v>
      </c>
      <c r="C3352" s="124" t="s">
        <v>369</v>
      </c>
      <c r="D3352" t="s">
        <v>5376</v>
      </c>
      <c r="E3352" t="s">
        <v>5444</v>
      </c>
      <c r="F3352" s="125" t="s">
        <v>5444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44" t="str">
        <f>IF(Proc[[#This Row],[Author]]="Marcela Urrego",VLOOKUP(LEFT(Proc[[#This Row],[Requested]],1),Table3[#All],2,0),VLOOKUP(Proc[[#This Row],[Author]],Table4[],2,0))</f>
        <v>MGF</v>
      </c>
      <c r="L3352" s="125" t="s">
        <v>4894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93</v>
      </c>
      <c r="R3352" s="115" t="s">
        <v>1459</v>
      </c>
      <c r="S3352" s="125"/>
    </row>
    <row r="3353" spans="1:19">
      <c r="A3353" s="124" t="s">
        <v>5478</v>
      </c>
      <c r="B3353" s="149" t="str">
        <f>IFERROR(VLOOKUP(Proc[[#This Row],[App]],Table2[],3,0),"open")</f>
        <v>ok</v>
      </c>
      <c r="C3353" s="124" t="s">
        <v>369</v>
      </c>
      <c r="D3353" t="s">
        <v>5377</v>
      </c>
      <c r="E3353" t="s">
        <v>5464</v>
      </c>
      <c r="F3353" s="125" t="s">
        <v>5464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44" t="str">
        <f>IF(Proc[[#This Row],[Author]]="Marcela Urrego",VLOOKUP(LEFT(Proc[[#This Row],[Requested]],1),Table3[#All],2,0),VLOOKUP(Proc[[#This Row],[Author]],Table4[],2,0))</f>
        <v>MGF</v>
      </c>
      <c r="L3353" s="125" t="s">
        <v>4894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93</v>
      </c>
      <c r="R3353" s="115" t="s">
        <v>1459</v>
      </c>
      <c r="S3353" s="125"/>
    </row>
    <row r="3354" spans="1:19">
      <c r="A3354" s="124" t="s">
        <v>5478</v>
      </c>
      <c r="B3354" s="149" t="str">
        <f>IFERROR(VLOOKUP(Proc[[#This Row],[App]],Table2[],3,0),"open")</f>
        <v>ok</v>
      </c>
      <c r="C3354" s="124" t="s">
        <v>369</v>
      </c>
      <c r="D3354" t="s">
        <v>5378</v>
      </c>
      <c r="E3354" t="s">
        <v>5446</v>
      </c>
      <c r="F3354" s="125" t="s">
        <v>5446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44" t="str">
        <f>IF(Proc[[#This Row],[Author]]="Marcela Urrego",VLOOKUP(LEFT(Proc[[#This Row],[Requested]],1),Table3[#All],2,0),VLOOKUP(Proc[[#This Row],[Author]],Table4[],2,0))</f>
        <v>MGF</v>
      </c>
      <c r="L3354" s="125" t="s">
        <v>4894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93</v>
      </c>
      <c r="R3354" s="115" t="s">
        <v>1459</v>
      </c>
      <c r="S3354" s="125"/>
    </row>
    <row r="3355" spans="1:19">
      <c r="A3355" s="124" t="s">
        <v>5478</v>
      </c>
      <c r="B3355" s="149" t="str">
        <f>IFERROR(VLOOKUP(Proc[[#This Row],[App]],Table2[],3,0),"open")</f>
        <v>ok</v>
      </c>
      <c r="C3355" s="124" t="s">
        <v>369</v>
      </c>
      <c r="D3355" t="s">
        <v>5379</v>
      </c>
      <c r="E3355" t="s">
        <v>5455</v>
      </c>
      <c r="F3355" s="125" t="s">
        <v>5455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44" t="str">
        <f>IF(Proc[[#This Row],[Author]]="Marcela Urrego",VLOOKUP(LEFT(Proc[[#This Row],[Requested]],1),Table3[#All],2,0),VLOOKUP(Proc[[#This Row],[Author]],Table4[],2,0))</f>
        <v>MGF</v>
      </c>
      <c r="L3355" s="125" t="s">
        <v>4894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93</v>
      </c>
      <c r="R3355" s="115" t="s">
        <v>1459</v>
      </c>
      <c r="S3355" s="125"/>
    </row>
    <row r="3356" spans="1:19">
      <c r="A3356" s="124" t="s">
        <v>5478</v>
      </c>
      <c r="B3356" s="149" t="str">
        <f>IFERROR(VLOOKUP(Proc[[#This Row],[App]],Table2[],3,0),"open")</f>
        <v>ok</v>
      </c>
      <c r="C3356" s="124" t="s">
        <v>369</v>
      </c>
      <c r="D3356" t="s">
        <v>5380</v>
      </c>
      <c r="E3356" t="s">
        <v>5445</v>
      </c>
      <c r="F3356" s="125" t="s">
        <v>5445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44" t="str">
        <f>IF(Proc[[#This Row],[Author]]="Marcela Urrego",VLOOKUP(LEFT(Proc[[#This Row],[Requested]],1),Table3[#All],2,0),VLOOKUP(Proc[[#This Row],[Author]],Table4[],2,0))</f>
        <v>MGF</v>
      </c>
      <c r="L3356" s="125" t="s">
        <v>4894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93</v>
      </c>
      <c r="R3356" s="115" t="s">
        <v>1459</v>
      </c>
      <c r="S3356" s="125"/>
    </row>
    <row r="3357" spans="1:19">
      <c r="A3357" s="124" t="s">
        <v>5478</v>
      </c>
      <c r="B3357" s="149" t="str">
        <f>IFERROR(VLOOKUP(Proc[[#This Row],[App]],Table2[],3,0),"open")</f>
        <v>ok</v>
      </c>
      <c r="C3357" s="124" t="s">
        <v>369</v>
      </c>
      <c r="D3357" t="s">
        <v>5381</v>
      </c>
      <c r="E3357" t="s">
        <v>5453</v>
      </c>
      <c r="F3357" s="125" t="s">
        <v>5453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44" t="str">
        <f>IF(Proc[[#This Row],[Author]]="Marcela Urrego",VLOOKUP(LEFT(Proc[[#This Row],[Requested]],1),Table3[#All],2,0),VLOOKUP(Proc[[#This Row],[Author]],Table4[],2,0))</f>
        <v>MGF</v>
      </c>
      <c r="L3357" s="125" t="s">
        <v>4894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93</v>
      </c>
      <c r="R3357" s="115" t="s">
        <v>1459</v>
      </c>
      <c r="S3357" s="125"/>
    </row>
    <row r="3358" spans="1:19">
      <c r="A3358" s="124" t="s">
        <v>5478</v>
      </c>
      <c r="B3358" s="149" t="str">
        <f>IFERROR(VLOOKUP(Proc[[#This Row],[App]],Table2[],3,0),"open")</f>
        <v>ok</v>
      </c>
      <c r="C3358" s="124" t="s">
        <v>369</v>
      </c>
      <c r="D3358" t="s">
        <v>5382</v>
      </c>
      <c r="E3358" t="s">
        <v>5448</v>
      </c>
      <c r="F3358" s="125" t="s">
        <v>5448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44" t="str">
        <f>IF(Proc[[#This Row],[Author]]="Marcela Urrego",VLOOKUP(LEFT(Proc[[#This Row],[Requested]],1),Table3[#All],2,0),VLOOKUP(Proc[[#This Row],[Author]],Table4[],2,0))</f>
        <v>MGF</v>
      </c>
      <c r="L3358" s="125" t="s">
        <v>4894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93</v>
      </c>
      <c r="R3358" s="115" t="s">
        <v>1459</v>
      </c>
      <c r="S3358" s="125"/>
    </row>
    <row r="3359" spans="1:19">
      <c r="A3359" s="124" t="s">
        <v>5478</v>
      </c>
      <c r="B3359" s="149" t="str">
        <f>IFERROR(VLOOKUP(Proc[[#This Row],[App]],Table2[],3,0),"open")</f>
        <v>ok</v>
      </c>
      <c r="C3359" s="124" t="s">
        <v>369</v>
      </c>
      <c r="D3359" t="s">
        <v>5383</v>
      </c>
      <c r="E3359" t="s">
        <v>5455</v>
      </c>
      <c r="F3359" s="125" t="s">
        <v>5455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44" t="str">
        <f>IF(Proc[[#This Row],[Author]]="Marcela Urrego",VLOOKUP(LEFT(Proc[[#This Row],[Requested]],1),Table3[#All],2,0),VLOOKUP(Proc[[#This Row],[Author]],Table4[],2,0))</f>
        <v>MGF</v>
      </c>
      <c r="L3359" s="125" t="s">
        <v>4894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93</v>
      </c>
      <c r="R3359" s="115" t="s">
        <v>1459</v>
      </c>
      <c r="S3359" s="125"/>
    </row>
    <row r="3360" spans="1:19">
      <c r="A3360" s="124" t="s">
        <v>5478</v>
      </c>
      <c r="B3360" s="149" t="str">
        <f>IFERROR(VLOOKUP(Proc[[#This Row],[App]],Table2[],3,0),"open")</f>
        <v>ok</v>
      </c>
      <c r="C3360" s="124" t="s">
        <v>369</v>
      </c>
      <c r="D3360" t="s">
        <v>5384</v>
      </c>
      <c r="E3360" t="s">
        <v>5445</v>
      </c>
      <c r="F3360" s="125" t="s">
        <v>5445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44" t="str">
        <f>IF(Proc[[#This Row],[Author]]="Marcela Urrego",VLOOKUP(LEFT(Proc[[#This Row],[Requested]],1),Table3[#All],2,0),VLOOKUP(Proc[[#This Row],[Author]],Table4[],2,0))</f>
        <v>MGF</v>
      </c>
      <c r="L3360" s="125" t="s">
        <v>4894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93</v>
      </c>
      <c r="R3360" s="115" t="s">
        <v>1459</v>
      </c>
      <c r="S3360" s="125"/>
    </row>
    <row r="3361" spans="1:19">
      <c r="A3361" s="124" t="s">
        <v>5478</v>
      </c>
      <c r="B3361" s="149" t="str">
        <f>IFERROR(VLOOKUP(Proc[[#This Row],[App]],Table2[],3,0),"open")</f>
        <v>ok</v>
      </c>
      <c r="C3361" s="124" t="s">
        <v>369</v>
      </c>
      <c r="D3361" t="s">
        <v>5385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44" t="str">
        <f>IF(Proc[[#This Row],[Author]]="Marcela Urrego",VLOOKUP(LEFT(Proc[[#This Row],[Requested]],1),Table3[#All],2,0),VLOOKUP(Proc[[#This Row],[Author]],Table4[],2,0))</f>
        <v>MGF</v>
      </c>
      <c r="L3361" s="125" t="s">
        <v>4894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93</v>
      </c>
      <c r="R3361" s="115" t="s">
        <v>1459</v>
      </c>
      <c r="S3361" s="125"/>
    </row>
    <row r="3362" spans="1:19">
      <c r="A3362" s="124" t="s">
        <v>5478</v>
      </c>
      <c r="B3362" s="149" t="str">
        <f>IFERROR(VLOOKUP(Proc[[#This Row],[App]],Table2[],3,0),"open")</f>
        <v>ok</v>
      </c>
      <c r="C3362" s="124" t="s">
        <v>369</v>
      </c>
      <c r="D3362" t="s">
        <v>5386</v>
      </c>
      <c r="E3362" t="s">
        <v>5445</v>
      </c>
      <c r="F3362" s="125" t="s">
        <v>5445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44" t="str">
        <f>IF(Proc[[#This Row],[Author]]="Marcela Urrego",VLOOKUP(LEFT(Proc[[#This Row],[Requested]],1),Table3[#All],2,0),VLOOKUP(Proc[[#This Row],[Author]],Table4[],2,0))</f>
        <v>MGF</v>
      </c>
      <c r="L3362" s="125" t="s">
        <v>4894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93</v>
      </c>
      <c r="R3362" s="115" t="s">
        <v>1459</v>
      </c>
      <c r="S3362" s="125"/>
    </row>
    <row r="3363" spans="1:19">
      <c r="A3363" s="124" t="s">
        <v>5478</v>
      </c>
      <c r="B3363" s="149" t="str">
        <f>IFERROR(VLOOKUP(Proc[[#This Row],[App]],Table2[],3,0),"open")</f>
        <v>ok</v>
      </c>
      <c r="C3363" s="124" t="s">
        <v>369</v>
      </c>
      <c r="D3363" t="s">
        <v>5387</v>
      </c>
      <c r="E3363" t="s">
        <v>5471</v>
      </c>
      <c r="F3363" s="125" t="s">
        <v>5471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44" t="str">
        <f>IF(Proc[[#This Row],[Author]]="Marcela Urrego",VLOOKUP(LEFT(Proc[[#This Row],[Requested]],1),Table3[#All],2,0),VLOOKUP(Proc[[#This Row],[Author]],Table4[],2,0))</f>
        <v>MGF</v>
      </c>
      <c r="L3363" s="125" t="s">
        <v>4894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93</v>
      </c>
      <c r="R3363" s="115" t="s">
        <v>1459</v>
      </c>
      <c r="S3363" s="125"/>
    </row>
    <row r="3364" spans="1:19">
      <c r="A3364" s="124" t="s">
        <v>5478</v>
      </c>
      <c r="B3364" s="149" t="str">
        <f>IFERROR(VLOOKUP(Proc[[#This Row],[App]],Table2[],3,0),"open")</f>
        <v>ok</v>
      </c>
      <c r="C3364" s="124" t="s">
        <v>369</v>
      </c>
      <c r="D3364" t="s">
        <v>5388</v>
      </c>
      <c r="E3364" t="s">
        <v>5472</v>
      </c>
      <c r="F3364" s="125" t="s">
        <v>5472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44" t="str">
        <f>IF(Proc[[#This Row],[Author]]="Marcela Urrego",VLOOKUP(LEFT(Proc[[#This Row],[Requested]],1),Table3[#All],2,0),VLOOKUP(Proc[[#This Row],[Author]],Table4[],2,0))</f>
        <v>MGF</v>
      </c>
      <c r="L3364" s="125" t="s">
        <v>4894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93</v>
      </c>
      <c r="R3364" s="115" t="s">
        <v>1459</v>
      </c>
      <c r="S3364" s="125"/>
    </row>
    <row r="3365" spans="1:19">
      <c r="A3365" s="124" t="s">
        <v>5478</v>
      </c>
      <c r="B3365" s="149" t="str">
        <f>IFERROR(VLOOKUP(Proc[[#This Row],[App]],Table2[],3,0),"open")</f>
        <v>ok</v>
      </c>
      <c r="C3365" s="124" t="s">
        <v>369</v>
      </c>
      <c r="D3365" t="s">
        <v>5389</v>
      </c>
      <c r="E3365" t="s">
        <v>5453</v>
      </c>
      <c r="F3365" s="125" t="s">
        <v>5453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44" t="str">
        <f>IF(Proc[[#This Row],[Author]]="Marcela Urrego",VLOOKUP(LEFT(Proc[[#This Row],[Requested]],1),Table3[#All],2,0),VLOOKUP(Proc[[#This Row],[Author]],Table4[],2,0))</f>
        <v>MGF</v>
      </c>
      <c r="L3365" s="125" t="s">
        <v>4894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93</v>
      </c>
      <c r="R3365" s="115" t="s">
        <v>1459</v>
      </c>
      <c r="S3365" s="125"/>
    </row>
    <row r="3366" spans="1:19">
      <c r="A3366" s="124" t="s">
        <v>5478</v>
      </c>
      <c r="B3366" s="149" t="str">
        <f>IFERROR(VLOOKUP(Proc[[#This Row],[App]],Table2[],3,0),"open")</f>
        <v>ok</v>
      </c>
      <c r="C3366" s="124" t="s">
        <v>369</v>
      </c>
      <c r="D3366" t="s">
        <v>5390</v>
      </c>
      <c r="E3366" t="s">
        <v>5446</v>
      </c>
      <c r="F3366" s="125" t="s">
        <v>5446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44" t="str">
        <f>IF(Proc[[#This Row],[Author]]="Marcela Urrego",VLOOKUP(LEFT(Proc[[#This Row],[Requested]],1),Table3[#All],2,0),VLOOKUP(Proc[[#This Row],[Author]],Table4[],2,0))</f>
        <v>MGF</v>
      </c>
      <c r="L3366" s="125" t="s">
        <v>4894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93</v>
      </c>
      <c r="R3366" s="115" t="s">
        <v>1459</v>
      </c>
      <c r="S3366" s="125"/>
    </row>
    <row r="3367" spans="1:19">
      <c r="A3367" s="124" t="s">
        <v>5478</v>
      </c>
      <c r="B3367" s="149" t="str">
        <f>IFERROR(VLOOKUP(Proc[[#This Row],[App]],Table2[],3,0),"open")</f>
        <v>ok</v>
      </c>
      <c r="C3367" s="124" t="s">
        <v>369</v>
      </c>
      <c r="D3367" t="s">
        <v>5391</v>
      </c>
      <c r="E3367" t="s">
        <v>5455</v>
      </c>
      <c r="F3367" s="125" t="s">
        <v>5455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44" t="str">
        <f>IF(Proc[[#This Row],[Author]]="Marcela Urrego",VLOOKUP(LEFT(Proc[[#This Row],[Requested]],1),Table3[#All],2,0),VLOOKUP(Proc[[#This Row],[Author]],Table4[],2,0))</f>
        <v>MGF</v>
      </c>
      <c r="L3367" s="125" t="s">
        <v>4894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93</v>
      </c>
      <c r="R3367" s="115" t="s">
        <v>1459</v>
      </c>
      <c r="S3367" s="125"/>
    </row>
    <row r="3368" spans="1:19">
      <c r="A3368" s="124" t="s">
        <v>5478</v>
      </c>
      <c r="B3368" s="149" t="str">
        <f>IFERROR(VLOOKUP(Proc[[#This Row],[App]],Table2[],3,0),"open")</f>
        <v>ok</v>
      </c>
      <c r="C3368" s="124" t="s">
        <v>369</v>
      </c>
      <c r="D3368" t="s">
        <v>5392</v>
      </c>
      <c r="E3368" t="s">
        <v>5453</v>
      </c>
      <c r="F3368" s="125" t="s">
        <v>5453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44" t="str">
        <f>IF(Proc[[#This Row],[Author]]="Marcela Urrego",VLOOKUP(LEFT(Proc[[#This Row],[Requested]],1),Table3[#All],2,0),VLOOKUP(Proc[[#This Row],[Author]],Table4[],2,0))</f>
        <v>MGF</v>
      </c>
      <c r="L3368" s="125" t="s">
        <v>4894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93</v>
      </c>
      <c r="R3368" s="115" t="s">
        <v>1459</v>
      </c>
      <c r="S3368" s="125"/>
    </row>
    <row r="3369" spans="1:19">
      <c r="A3369" s="124" t="s">
        <v>5478</v>
      </c>
      <c r="B3369" s="149" t="str">
        <f>IFERROR(VLOOKUP(Proc[[#This Row],[App]],Table2[],3,0),"open")</f>
        <v>ok</v>
      </c>
      <c r="C3369" s="124" t="s">
        <v>369</v>
      </c>
      <c r="D3369" t="s">
        <v>5393</v>
      </c>
      <c r="E3369" t="s">
        <v>5445</v>
      </c>
      <c r="F3369" s="125" t="s">
        <v>5445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44" t="str">
        <f>IF(Proc[[#This Row],[Author]]="Marcela Urrego",VLOOKUP(LEFT(Proc[[#This Row],[Requested]],1),Table3[#All],2,0),VLOOKUP(Proc[[#This Row],[Author]],Table4[],2,0))</f>
        <v>MGF</v>
      </c>
      <c r="L3369" s="125" t="s">
        <v>4894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93</v>
      </c>
      <c r="R3369" s="115" t="s">
        <v>1459</v>
      </c>
      <c r="S3369" s="125"/>
    </row>
    <row r="3370" spans="1:19">
      <c r="A3370" s="124" t="s">
        <v>5478</v>
      </c>
      <c r="B3370" s="149" t="str">
        <f>IFERROR(VLOOKUP(Proc[[#This Row],[App]],Table2[],3,0),"open")</f>
        <v>ok</v>
      </c>
      <c r="C3370" s="124" t="s">
        <v>369</v>
      </c>
      <c r="D3370" t="s">
        <v>5394</v>
      </c>
      <c r="E3370" t="s">
        <v>5452</v>
      </c>
      <c r="F3370" s="125" t="s">
        <v>5452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44" t="str">
        <f>IF(Proc[[#This Row],[Author]]="Marcela Urrego",VLOOKUP(LEFT(Proc[[#This Row],[Requested]],1),Table3[#All],2,0),VLOOKUP(Proc[[#This Row],[Author]],Table4[],2,0))</f>
        <v>MGF</v>
      </c>
      <c r="L3370" s="125" t="s">
        <v>4894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93</v>
      </c>
      <c r="R3370" s="115" t="s">
        <v>1459</v>
      </c>
      <c r="S3370" s="125"/>
    </row>
    <row r="3371" spans="1:19">
      <c r="A3371" s="124" t="s">
        <v>5478</v>
      </c>
      <c r="B3371" s="149" t="str">
        <f>IFERROR(VLOOKUP(Proc[[#This Row],[App]],Table2[],3,0),"open")</f>
        <v>ok</v>
      </c>
      <c r="C3371" s="124" t="s">
        <v>369</v>
      </c>
      <c r="D3371" t="s">
        <v>5395</v>
      </c>
      <c r="E3371" t="s">
        <v>5446</v>
      </c>
      <c r="F3371" s="125" t="s">
        <v>5446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44" t="str">
        <f>IF(Proc[[#This Row],[Author]]="Marcela Urrego",VLOOKUP(LEFT(Proc[[#This Row],[Requested]],1),Table3[#All],2,0),VLOOKUP(Proc[[#This Row],[Author]],Table4[],2,0))</f>
        <v>MGF</v>
      </c>
      <c r="L3371" s="125" t="s">
        <v>4894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93</v>
      </c>
      <c r="R3371" s="115" t="s">
        <v>1459</v>
      </c>
      <c r="S3371" s="125"/>
    </row>
    <row r="3372" spans="1:19">
      <c r="A3372" s="124" t="s">
        <v>5478</v>
      </c>
      <c r="B3372" s="149" t="str">
        <f>IFERROR(VLOOKUP(Proc[[#This Row],[App]],Table2[],3,0),"open")</f>
        <v>ok</v>
      </c>
      <c r="C3372" s="124" t="s">
        <v>369</v>
      </c>
      <c r="D3372" t="s">
        <v>5396</v>
      </c>
      <c r="E3372" t="s">
        <v>5445</v>
      </c>
      <c r="F3372" s="125" t="s">
        <v>5445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44" t="str">
        <f>IF(Proc[[#This Row],[Author]]="Marcela Urrego",VLOOKUP(LEFT(Proc[[#This Row],[Requested]],1),Table3[#All],2,0),VLOOKUP(Proc[[#This Row],[Author]],Table4[],2,0))</f>
        <v>MGF</v>
      </c>
      <c r="L3372" s="125" t="s">
        <v>4894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93</v>
      </c>
      <c r="R3372" s="115" t="s">
        <v>1459</v>
      </c>
      <c r="S3372" s="125"/>
    </row>
    <row r="3373" spans="1:19">
      <c r="A3373" s="124" t="s">
        <v>5478</v>
      </c>
      <c r="B3373" s="149" t="str">
        <f>IFERROR(VLOOKUP(Proc[[#This Row],[App]],Table2[],3,0),"open")</f>
        <v>ok</v>
      </c>
      <c r="C3373" s="124" t="s">
        <v>369</v>
      </c>
      <c r="D3373" t="s">
        <v>5397</v>
      </c>
      <c r="E3373" t="s">
        <v>5445</v>
      </c>
      <c r="F3373" s="125" t="s">
        <v>5445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44" t="str">
        <f>IF(Proc[[#This Row],[Author]]="Marcela Urrego",VLOOKUP(LEFT(Proc[[#This Row],[Requested]],1),Table3[#All],2,0),VLOOKUP(Proc[[#This Row],[Author]],Table4[],2,0))</f>
        <v>MGF</v>
      </c>
      <c r="L3373" s="125" t="s">
        <v>4894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93</v>
      </c>
      <c r="R3373" s="115" t="s">
        <v>1459</v>
      </c>
      <c r="S3373" s="125"/>
    </row>
    <row r="3374" spans="1:19">
      <c r="A3374" s="124" t="s">
        <v>5478</v>
      </c>
      <c r="B3374" s="149" t="str">
        <f>IFERROR(VLOOKUP(Proc[[#This Row],[App]],Table2[],3,0),"open")</f>
        <v>ok</v>
      </c>
      <c r="C3374" s="124" t="s">
        <v>369</v>
      </c>
      <c r="D3374" t="s">
        <v>5398</v>
      </c>
      <c r="E3374" t="s">
        <v>5448</v>
      </c>
      <c r="F3374" s="125" t="s">
        <v>5448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44" t="str">
        <f>IF(Proc[[#This Row],[Author]]="Marcela Urrego",VLOOKUP(LEFT(Proc[[#This Row],[Requested]],1),Table3[#All],2,0),VLOOKUP(Proc[[#This Row],[Author]],Table4[],2,0))</f>
        <v>MGF</v>
      </c>
      <c r="L3374" s="125" t="s">
        <v>4894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93</v>
      </c>
      <c r="R3374" s="115" t="s">
        <v>1459</v>
      </c>
      <c r="S3374" s="125"/>
    </row>
    <row r="3375" spans="1:19">
      <c r="A3375" s="124" t="s">
        <v>5478</v>
      </c>
      <c r="B3375" s="149" t="str">
        <f>IFERROR(VLOOKUP(Proc[[#This Row],[App]],Table2[],3,0),"open")</f>
        <v>ok</v>
      </c>
      <c r="C3375" s="124" t="s">
        <v>369</v>
      </c>
      <c r="D3375" t="s">
        <v>5399</v>
      </c>
      <c r="E3375" t="s">
        <v>5448</v>
      </c>
      <c r="F3375" s="125" t="s">
        <v>5448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44" t="str">
        <f>IF(Proc[[#This Row],[Author]]="Marcela Urrego",VLOOKUP(LEFT(Proc[[#This Row],[Requested]],1),Table3[#All],2,0),VLOOKUP(Proc[[#This Row],[Author]],Table4[],2,0))</f>
        <v>MGF</v>
      </c>
      <c r="L3375" s="125" t="s">
        <v>4894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93</v>
      </c>
      <c r="R3375" s="115" t="s">
        <v>1459</v>
      </c>
      <c r="S3375" s="125"/>
    </row>
    <row r="3376" spans="1:19">
      <c r="A3376" s="124" t="s">
        <v>5478</v>
      </c>
      <c r="B3376" s="149" t="str">
        <f>IFERROR(VLOOKUP(Proc[[#This Row],[App]],Table2[],3,0),"open")</f>
        <v>ok</v>
      </c>
      <c r="C3376" s="124" t="s">
        <v>369</v>
      </c>
      <c r="D3376" t="s">
        <v>5400</v>
      </c>
      <c r="E3376" t="s">
        <v>5456</v>
      </c>
      <c r="F3376" s="125" t="s">
        <v>5456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44" t="str">
        <f>IF(Proc[[#This Row],[Author]]="Marcela Urrego",VLOOKUP(LEFT(Proc[[#This Row],[Requested]],1),Table3[#All],2,0),VLOOKUP(Proc[[#This Row],[Author]],Table4[],2,0))</f>
        <v>MGF</v>
      </c>
      <c r="L3376" s="125" t="s">
        <v>4894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93</v>
      </c>
      <c r="R3376" s="115" t="s">
        <v>1459</v>
      </c>
      <c r="S3376" s="125"/>
    </row>
    <row r="3377" spans="1:19">
      <c r="A3377" s="124" t="s">
        <v>5478</v>
      </c>
      <c r="B3377" s="149" t="str">
        <f>IFERROR(VLOOKUP(Proc[[#This Row],[App]],Table2[],3,0),"open")</f>
        <v>ok</v>
      </c>
      <c r="C3377" s="124" t="s">
        <v>369</v>
      </c>
      <c r="D3377" t="s">
        <v>5401</v>
      </c>
      <c r="E3377" t="s">
        <v>5464</v>
      </c>
      <c r="F3377" s="125" t="s">
        <v>5464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44" t="str">
        <f>IF(Proc[[#This Row],[Author]]="Marcela Urrego",VLOOKUP(LEFT(Proc[[#This Row],[Requested]],1),Table3[#All],2,0),VLOOKUP(Proc[[#This Row],[Author]],Table4[],2,0))</f>
        <v>MGF</v>
      </c>
      <c r="L3377" s="125" t="s">
        <v>4894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93</v>
      </c>
      <c r="R3377" s="115" t="s">
        <v>1459</v>
      </c>
      <c r="S3377" s="125"/>
    </row>
    <row r="3378" spans="1:19">
      <c r="A3378" s="124" t="s">
        <v>5478</v>
      </c>
      <c r="B3378" s="149" t="str">
        <f>IFERROR(VLOOKUP(Proc[[#This Row],[App]],Table2[],3,0),"open")</f>
        <v>ok</v>
      </c>
      <c r="C3378" s="124" t="s">
        <v>369</v>
      </c>
      <c r="D3378" t="s">
        <v>5402</v>
      </c>
      <c r="E3378" t="s">
        <v>5456</v>
      </c>
      <c r="F3378" s="125" t="s">
        <v>5456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44" t="str">
        <f>IF(Proc[[#This Row],[Author]]="Marcela Urrego",VLOOKUP(LEFT(Proc[[#This Row],[Requested]],1),Table3[#All],2,0),VLOOKUP(Proc[[#This Row],[Author]],Table4[],2,0))</f>
        <v>MGF</v>
      </c>
      <c r="L3378" s="125" t="s">
        <v>4894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93</v>
      </c>
      <c r="R3378" s="115" t="s">
        <v>1459</v>
      </c>
      <c r="S3378" s="125"/>
    </row>
    <row r="3379" spans="1:19">
      <c r="A3379" s="124" t="s">
        <v>5478</v>
      </c>
      <c r="B3379" s="149" t="str">
        <f>IFERROR(VLOOKUP(Proc[[#This Row],[App]],Table2[],3,0),"open")</f>
        <v>ok</v>
      </c>
      <c r="C3379" s="124" t="s">
        <v>369</v>
      </c>
      <c r="D3379" t="s">
        <v>4828</v>
      </c>
      <c r="E3379" t="s">
        <v>5473</v>
      </c>
      <c r="F3379" s="125" t="s">
        <v>5473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44" t="str">
        <f>IF(Proc[[#This Row],[Author]]="Marcela Urrego",VLOOKUP(LEFT(Proc[[#This Row],[Requested]],1),Table3[#All],2,0),VLOOKUP(Proc[[#This Row],[Author]],Table4[],2,0))</f>
        <v>MGF</v>
      </c>
      <c r="L3379" s="125" t="s">
        <v>4894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93</v>
      </c>
      <c r="R3379" s="115" t="s">
        <v>1459</v>
      </c>
      <c r="S3379" s="125"/>
    </row>
    <row r="3380" spans="1:19">
      <c r="A3380" s="124" t="s">
        <v>5478</v>
      </c>
      <c r="B3380" s="149" t="str">
        <f>IFERROR(VLOOKUP(Proc[[#This Row],[App]],Table2[],3,0),"open")</f>
        <v>ok</v>
      </c>
      <c r="C3380" s="124" t="s">
        <v>369</v>
      </c>
      <c r="D3380" t="s">
        <v>5403</v>
      </c>
      <c r="E3380" t="s">
        <v>5473</v>
      </c>
      <c r="F3380" s="125" t="s">
        <v>5473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44" t="str">
        <f>IF(Proc[[#This Row],[Author]]="Marcela Urrego",VLOOKUP(LEFT(Proc[[#This Row],[Requested]],1),Table3[#All],2,0),VLOOKUP(Proc[[#This Row],[Author]],Table4[],2,0))</f>
        <v>MGF</v>
      </c>
      <c r="L3380" s="125" t="s">
        <v>4894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93</v>
      </c>
      <c r="R3380" s="115" t="s">
        <v>1459</v>
      </c>
      <c r="S3380" s="125"/>
    </row>
    <row r="3381" spans="1:19">
      <c r="A3381" s="124" t="s">
        <v>5478</v>
      </c>
      <c r="B3381" s="149" t="str">
        <f>IFERROR(VLOOKUP(Proc[[#This Row],[App]],Table2[],3,0),"open")</f>
        <v>ok</v>
      </c>
      <c r="C3381" s="124" t="s">
        <v>369</v>
      </c>
      <c r="D3381" t="s">
        <v>5404</v>
      </c>
      <c r="E3381" t="s">
        <v>5449</v>
      </c>
      <c r="F3381" s="125" t="s">
        <v>5449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44" t="str">
        <f>IF(Proc[[#This Row],[Author]]="Marcela Urrego",VLOOKUP(LEFT(Proc[[#This Row],[Requested]],1),Table3[#All],2,0),VLOOKUP(Proc[[#This Row],[Author]],Table4[],2,0))</f>
        <v>MGF</v>
      </c>
      <c r="L3381" s="125" t="s">
        <v>4894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93</v>
      </c>
      <c r="R3381" s="115" t="s">
        <v>1459</v>
      </c>
      <c r="S3381" s="125"/>
    </row>
    <row r="3382" spans="1:19">
      <c r="A3382" s="124" t="s">
        <v>5478</v>
      </c>
      <c r="B3382" s="149" t="str">
        <f>IFERROR(VLOOKUP(Proc[[#This Row],[App]],Table2[],3,0),"open")</f>
        <v>ok</v>
      </c>
      <c r="C3382" s="124" t="s">
        <v>369</v>
      </c>
      <c r="D3382" t="s">
        <v>5405</v>
      </c>
      <c r="E3382" t="s">
        <v>5457</v>
      </c>
      <c r="F3382" s="125" t="s">
        <v>5457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44" t="str">
        <f>IF(Proc[[#This Row],[Author]]="Marcela Urrego",VLOOKUP(LEFT(Proc[[#This Row],[Requested]],1),Table3[#All],2,0),VLOOKUP(Proc[[#This Row],[Author]],Table4[],2,0))</f>
        <v>MGF</v>
      </c>
      <c r="L3382" s="125" t="s">
        <v>4894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93</v>
      </c>
      <c r="R3382" s="115" t="s">
        <v>1459</v>
      </c>
      <c r="S3382" s="125"/>
    </row>
    <row r="3383" spans="1:19">
      <c r="A3383" s="124" t="s">
        <v>5478</v>
      </c>
      <c r="B3383" s="149" t="str">
        <f>IFERROR(VLOOKUP(Proc[[#This Row],[App]],Table2[],3,0),"open")</f>
        <v>ok</v>
      </c>
      <c r="C3383" s="124" t="s">
        <v>369</v>
      </c>
      <c r="D3383" t="s">
        <v>5406</v>
      </c>
      <c r="E3383" t="s">
        <v>5473</v>
      </c>
      <c r="F3383" s="125" t="s">
        <v>5473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44" t="str">
        <f>IF(Proc[[#This Row],[Author]]="Marcela Urrego",VLOOKUP(LEFT(Proc[[#This Row],[Requested]],1),Table3[#All],2,0),VLOOKUP(Proc[[#This Row],[Author]],Table4[],2,0))</f>
        <v>MGF</v>
      </c>
      <c r="L3383" s="125" t="s">
        <v>4894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93</v>
      </c>
      <c r="R3383" s="115" t="s">
        <v>1459</v>
      </c>
      <c r="S3383" s="125"/>
    </row>
    <row r="3384" spans="1:19">
      <c r="A3384" s="124" t="s">
        <v>5478</v>
      </c>
      <c r="B3384" s="149" t="str">
        <f>IFERROR(VLOOKUP(Proc[[#This Row],[App]],Table2[],3,0),"open")</f>
        <v>ok</v>
      </c>
      <c r="C3384" s="124" t="s">
        <v>369</v>
      </c>
      <c r="D3384" t="s">
        <v>5407</v>
      </c>
      <c r="E3384" t="s">
        <v>5455</v>
      </c>
      <c r="F3384" s="125" t="s">
        <v>5455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44" t="str">
        <f>IF(Proc[[#This Row],[Author]]="Marcela Urrego",VLOOKUP(LEFT(Proc[[#This Row],[Requested]],1),Table3[#All],2,0),VLOOKUP(Proc[[#This Row],[Author]],Table4[],2,0))</f>
        <v>MGF</v>
      </c>
      <c r="L3384" s="125" t="s">
        <v>4894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93</v>
      </c>
      <c r="R3384" s="115" t="s">
        <v>1459</v>
      </c>
      <c r="S3384" s="125"/>
    </row>
    <row r="3385" spans="1:19">
      <c r="A3385" s="124" t="s">
        <v>5478</v>
      </c>
      <c r="B3385" s="149" t="str">
        <f>IFERROR(VLOOKUP(Proc[[#This Row],[App]],Table2[],3,0),"open")</f>
        <v>ok</v>
      </c>
      <c r="C3385" s="124" t="s">
        <v>369</v>
      </c>
      <c r="D3385" t="s">
        <v>5408</v>
      </c>
      <c r="E3385" t="s">
        <v>5450</v>
      </c>
      <c r="F3385" s="125" t="s">
        <v>5450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44" t="str">
        <f>IF(Proc[[#This Row],[Author]]="Marcela Urrego",VLOOKUP(LEFT(Proc[[#This Row],[Requested]],1),Table3[#All],2,0),VLOOKUP(Proc[[#This Row],[Author]],Table4[],2,0))</f>
        <v>MGF</v>
      </c>
      <c r="L3385" s="125" t="s">
        <v>4894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93</v>
      </c>
      <c r="R3385" s="115" t="s">
        <v>1459</v>
      </c>
      <c r="S3385" s="125"/>
    </row>
    <row r="3386" spans="1:19">
      <c r="A3386" s="124" t="s">
        <v>5478</v>
      </c>
      <c r="B3386" s="149" t="str">
        <f>IFERROR(VLOOKUP(Proc[[#This Row],[App]],Table2[],3,0),"open")</f>
        <v>ok</v>
      </c>
      <c r="C3386" s="124" t="s">
        <v>369</v>
      </c>
      <c r="D3386" t="s">
        <v>5409</v>
      </c>
      <c r="E3386" t="s">
        <v>5456</v>
      </c>
      <c r="F3386" s="125" t="s">
        <v>5456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44" t="str">
        <f>IF(Proc[[#This Row],[Author]]="Marcela Urrego",VLOOKUP(LEFT(Proc[[#This Row],[Requested]],1),Table3[#All],2,0),VLOOKUP(Proc[[#This Row],[Author]],Table4[],2,0))</f>
        <v>MGF</v>
      </c>
      <c r="L3386" s="125" t="s">
        <v>4894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93</v>
      </c>
      <c r="R3386" s="115" t="s">
        <v>1459</v>
      </c>
      <c r="S3386" s="125"/>
    </row>
    <row r="3387" spans="1:19">
      <c r="A3387" s="124" t="s">
        <v>5478</v>
      </c>
      <c r="B3387" s="149" t="str">
        <f>IFERROR(VLOOKUP(Proc[[#This Row],[App]],Table2[],3,0),"open")</f>
        <v>ok</v>
      </c>
      <c r="C3387" s="124" t="s">
        <v>369</v>
      </c>
      <c r="D3387" t="s">
        <v>5410</v>
      </c>
      <c r="E3387" t="s">
        <v>5456</v>
      </c>
      <c r="F3387" s="125" t="s">
        <v>5456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44" t="str">
        <f>IF(Proc[[#This Row],[Author]]="Marcela Urrego",VLOOKUP(LEFT(Proc[[#This Row],[Requested]],1),Table3[#All],2,0),VLOOKUP(Proc[[#This Row],[Author]],Table4[],2,0))</f>
        <v>MGF</v>
      </c>
      <c r="L3387" s="125" t="s">
        <v>4894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93</v>
      </c>
      <c r="R3387" s="115" t="s">
        <v>1459</v>
      </c>
      <c r="S3387" s="125"/>
    </row>
    <row r="3388" spans="1:19">
      <c r="A3388" s="124" t="s">
        <v>5478</v>
      </c>
      <c r="B3388" s="149" t="str">
        <f>IFERROR(VLOOKUP(Proc[[#This Row],[App]],Table2[],3,0),"open")</f>
        <v>ok</v>
      </c>
      <c r="C3388" s="124" t="s">
        <v>369</v>
      </c>
      <c r="D3388" t="s">
        <v>5411</v>
      </c>
      <c r="E3388" t="s">
        <v>5474</v>
      </c>
      <c r="F3388" s="125" t="s">
        <v>5474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44" t="str">
        <f>IF(Proc[[#This Row],[Author]]="Marcela Urrego",VLOOKUP(LEFT(Proc[[#This Row],[Requested]],1),Table3[#All],2,0),VLOOKUP(Proc[[#This Row],[Author]],Table4[],2,0))</f>
        <v>MGF</v>
      </c>
      <c r="L3388" s="125" t="s">
        <v>4894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93</v>
      </c>
      <c r="R3388" s="115" t="s">
        <v>1459</v>
      </c>
      <c r="S3388" s="125"/>
    </row>
    <row r="3389" spans="1:19">
      <c r="A3389" s="124" t="s">
        <v>5478</v>
      </c>
      <c r="B3389" s="149" t="str">
        <f>IFERROR(VLOOKUP(Proc[[#This Row],[App]],Table2[],3,0),"open")</f>
        <v>ok</v>
      </c>
      <c r="C3389" s="124" t="s">
        <v>369</v>
      </c>
      <c r="D3389" t="s">
        <v>5412</v>
      </c>
      <c r="E3389" t="s">
        <v>5456</v>
      </c>
      <c r="F3389" s="125" t="s">
        <v>5456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44" t="str">
        <f>IF(Proc[[#This Row],[Author]]="Marcela Urrego",VLOOKUP(LEFT(Proc[[#This Row],[Requested]],1),Table3[#All],2,0),VLOOKUP(Proc[[#This Row],[Author]],Table4[],2,0))</f>
        <v>MGF</v>
      </c>
      <c r="L3389" s="125" t="s">
        <v>4894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93</v>
      </c>
      <c r="R3389" s="115" t="s">
        <v>1459</v>
      </c>
      <c r="S3389" s="125"/>
    </row>
    <row r="3390" spans="1:19">
      <c r="A3390" s="124" t="s">
        <v>5478</v>
      </c>
      <c r="B3390" s="149" t="str">
        <f>IFERROR(VLOOKUP(Proc[[#This Row],[App]],Table2[],3,0),"open")</f>
        <v>ok</v>
      </c>
      <c r="C3390" s="124" t="s">
        <v>369</v>
      </c>
      <c r="D3390" t="s">
        <v>5413</v>
      </c>
      <c r="E3390" t="s">
        <v>5456</v>
      </c>
      <c r="F3390" s="125" t="s">
        <v>5456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44" t="str">
        <f>IF(Proc[[#This Row],[Author]]="Marcela Urrego",VLOOKUP(LEFT(Proc[[#This Row],[Requested]],1),Table3[#All],2,0),VLOOKUP(Proc[[#This Row],[Author]],Table4[],2,0))</f>
        <v>MGF</v>
      </c>
      <c r="L3390" s="125" t="s">
        <v>4894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93</v>
      </c>
      <c r="R3390" s="115" t="s">
        <v>1459</v>
      </c>
      <c r="S3390" s="125"/>
    </row>
    <row r="3391" spans="1:19">
      <c r="A3391" s="124" t="s">
        <v>5478</v>
      </c>
      <c r="B3391" s="149" t="str">
        <f>IFERROR(VLOOKUP(Proc[[#This Row],[App]],Table2[],3,0),"open")</f>
        <v>ok</v>
      </c>
      <c r="C3391" s="124" t="s">
        <v>369</v>
      </c>
      <c r="D3391" t="s">
        <v>5414</v>
      </c>
      <c r="E3391" t="s">
        <v>5456</v>
      </c>
      <c r="F3391" s="125" t="s">
        <v>5456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44" t="str">
        <f>IF(Proc[[#This Row],[Author]]="Marcela Urrego",VLOOKUP(LEFT(Proc[[#This Row],[Requested]],1),Table3[#All],2,0),VLOOKUP(Proc[[#This Row],[Author]],Table4[],2,0))</f>
        <v>MGF</v>
      </c>
      <c r="L3391" s="125" t="s">
        <v>4894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93</v>
      </c>
      <c r="R3391" s="115" t="s">
        <v>1459</v>
      </c>
      <c r="S3391" s="125"/>
    </row>
    <row r="3392" spans="1:19">
      <c r="A3392" s="124" t="s">
        <v>5478</v>
      </c>
      <c r="B3392" s="149" t="str">
        <f>IFERROR(VLOOKUP(Proc[[#This Row],[App]],Table2[],3,0),"open")</f>
        <v>ok</v>
      </c>
      <c r="C3392" s="124" t="s">
        <v>369</v>
      </c>
      <c r="D3392" t="s">
        <v>5415</v>
      </c>
      <c r="E3392" t="s">
        <v>5475</v>
      </c>
      <c r="F3392" s="125" t="s">
        <v>5475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44" t="str">
        <f>IF(Proc[[#This Row],[Author]]="Marcela Urrego",VLOOKUP(LEFT(Proc[[#This Row],[Requested]],1),Table3[#All],2,0),VLOOKUP(Proc[[#This Row],[Author]],Table4[],2,0))</f>
        <v>MGF</v>
      </c>
      <c r="L3392" s="125" t="s">
        <v>4894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93</v>
      </c>
      <c r="R3392" s="115" t="s">
        <v>1459</v>
      </c>
      <c r="S3392" s="125"/>
    </row>
    <row r="3393" spans="1:19">
      <c r="A3393" s="124" t="s">
        <v>5478</v>
      </c>
      <c r="B3393" s="149" t="str">
        <f>IFERROR(VLOOKUP(Proc[[#This Row],[App]],Table2[],3,0),"open")</f>
        <v>ok</v>
      </c>
      <c r="C3393" s="124" t="s">
        <v>369</v>
      </c>
      <c r="D3393" t="s">
        <v>5416</v>
      </c>
      <c r="E3393" t="s">
        <v>5456</v>
      </c>
      <c r="F3393" s="125" t="s">
        <v>5456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44" t="str">
        <f>IF(Proc[[#This Row],[Author]]="Marcela Urrego",VLOOKUP(LEFT(Proc[[#This Row],[Requested]],1),Table3[#All],2,0),VLOOKUP(Proc[[#This Row],[Author]],Table4[],2,0))</f>
        <v>MGF</v>
      </c>
      <c r="L3393" s="125" t="s">
        <v>4894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93</v>
      </c>
      <c r="R3393" s="115" t="s">
        <v>1459</v>
      </c>
      <c r="S3393" s="125"/>
    </row>
    <row r="3394" spans="1:19">
      <c r="A3394" s="124" t="s">
        <v>5478</v>
      </c>
      <c r="B3394" s="149" t="str">
        <f>IFERROR(VLOOKUP(Proc[[#This Row],[App]],Table2[],3,0),"open")</f>
        <v>ok</v>
      </c>
      <c r="C3394" s="124" t="s">
        <v>369</v>
      </c>
      <c r="D3394" t="s">
        <v>5417</v>
      </c>
      <c r="E3394" t="s">
        <v>5456</v>
      </c>
      <c r="F3394" s="125" t="s">
        <v>5456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44" t="str">
        <f>IF(Proc[[#This Row],[Author]]="Marcela Urrego",VLOOKUP(LEFT(Proc[[#This Row],[Requested]],1),Table3[#All],2,0),VLOOKUP(Proc[[#This Row],[Author]],Table4[],2,0))</f>
        <v>MGF</v>
      </c>
      <c r="L3394" s="125" t="s">
        <v>4894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93</v>
      </c>
      <c r="R3394" s="115" t="s">
        <v>1459</v>
      </c>
      <c r="S3394" s="125"/>
    </row>
    <row r="3395" spans="1:19">
      <c r="A3395" s="124" t="s">
        <v>5478</v>
      </c>
      <c r="B3395" s="149" t="str">
        <f>IFERROR(VLOOKUP(Proc[[#This Row],[App]],Table2[],3,0),"open")</f>
        <v>ok</v>
      </c>
      <c r="C3395" s="124" t="s">
        <v>369</v>
      </c>
      <c r="D3395" t="s">
        <v>5418</v>
      </c>
      <c r="E3395" t="s">
        <v>5448</v>
      </c>
      <c r="F3395" s="125" t="s">
        <v>5448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44" t="str">
        <f>IF(Proc[[#This Row],[Author]]="Marcela Urrego",VLOOKUP(LEFT(Proc[[#This Row],[Requested]],1),Table3[#All],2,0),VLOOKUP(Proc[[#This Row],[Author]],Table4[],2,0))</f>
        <v>MGF</v>
      </c>
      <c r="L3395" s="125" t="s">
        <v>4894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93</v>
      </c>
      <c r="R3395" s="115" t="s">
        <v>1459</v>
      </c>
      <c r="S3395" s="125"/>
    </row>
    <row r="3396" spans="1:19">
      <c r="A3396" s="124" t="s">
        <v>5478</v>
      </c>
      <c r="B3396" s="149" t="str">
        <f>IFERROR(VLOOKUP(Proc[[#This Row],[App]],Table2[],3,0),"open")</f>
        <v>ok</v>
      </c>
      <c r="C3396" s="124" t="s">
        <v>369</v>
      </c>
      <c r="D3396" t="s">
        <v>5419</v>
      </c>
      <c r="E3396" t="s">
        <v>5464</v>
      </c>
      <c r="F3396" s="125" t="s">
        <v>5464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44" t="str">
        <f>IF(Proc[[#This Row],[Author]]="Marcela Urrego",VLOOKUP(LEFT(Proc[[#This Row],[Requested]],1),Table3[#All],2,0),VLOOKUP(Proc[[#This Row],[Author]],Table4[],2,0))</f>
        <v>MGF</v>
      </c>
      <c r="L3396" s="125" t="s">
        <v>4894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93</v>
      </c>
      <c r="R3396" s="115" t="s">
        <v>1459</v>
      </c>
      <c r="S3396" s="125"/>
    </row>
    <row r="3397" spans="1:19">
      <c r="A3397" s="124" t="s">
        <v>5478</v>
      </c>
      <c r="B3397" s="149" t="str">
        <f>IFERROR(VLOOKUP(Proc[[#This Row],[App]],Table2[],3,0),"open")</f>
        <v>ok</v>
      </c>
      <c r="C3397" s="124" t="s">
        <v>369</v>
      </c>
      <c r="D3397" t="s">
        <v>5420</v>
      </c>
      <c r="E3397" t="s">
        <v>5447</v>
      </c>
      <c r="F3397" s="125" t="s">
        <v>5447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44" t="str">
        <f>IF(Proc[[#This Row],[Author]]="Marcela Urrego",VLOOKUP(LEFT(Proc[[#This Row],[Requested]],1),Table3[#All],2,0),VLOOKUP(Proc[[#This Row],[Author]],Table4[],2,0))</f>
        <v>MGF</v>
      </c>
      <c r="L3397" s="125" t="s">
        <v>4894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93</v>
      </c>
      <c r="R3397" s="115" t="s">
        <v>1459</v>
      </c>
      <c r="S3397" s="125"/>
    </row>
    <row r="3398" spans="1:19">
      <c r="A3398" s="124" t="s">
        <v>5478</v>
      </c>
      <c r="B3398" s="149" t="str">
        <f>IFERROR(VLOOKUP(Proc[[#This Row],[App]],Table2[],3,0),"open")</f>
        <v>ok</v>
      </c>
      <c r="C3398" s="124" t="s">
        <v>369</v>
      </c>
      <c r="D3398" t="s">
        <v>5421</v>
      </c>
      <c r="E3398" t="s">
        <v>5464</v>
      </c>
      <c r="F3398" s="125" t="s">
        <v>5464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44" t="str">
        <f>IF(Proc[[#This Row],[Author]]="Marcela Urrego",VLOOKUP(LEFT(Proc[[#This Row],[Requested]],1),Table3[#All],2,0),VLOOKUP(Proc[[#This Row],[Author]],Table4[],2,0))</f>
        <v>MGF</v>
      </c>
      <c r="L3398" s="125" t="s">
        <v>4894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93</v>
      </c>
      <c r="R3398" s="115" t="s">
        <v>1459</v>
      </c>
      <c r="S3398" s="125"/>
    </row>
    <row r="3399" spans="1:19">
      <c r="A3399" s="124" t="s">
        <v>5478</v>
      </c>
      <c r="B3399" s="149" t="str">
        <f>IFERROR(VLOOKUP(Proc[[#This Row],[App]],Table2[],3,0),"open")</f>
        <v>ok</v>
      </c>
      <c r="C3399" s="124" t="s">
        <v>369</v>
      </c>
      <c r="D3399" t="s">
        <v>5422</v>
      </c>
      <c r="E3399" t="s">
        <v>5446</v>
      </c>
      <c r="F3399" s="125" t="s">
        <v>5446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44" t="str">
        <f>IF(Proc[[#This Row],[Author]]="Marcela Urrego",VLOOKUP(LEFT(Proc[[#This Row],[Requested]],1),Table3[#All],2,0),VLOOKUP(Proc[[#This Row],[Author]],Table4[],2,0))</f>
        <v>MGF</v>
      </c>
      <c r="L3399" s="125" t="s">
        <v>4894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93</v>
      </c>
      <c r="R3399" s="115" t="s">
        <v>1459</v>
      </c>
      <c r="S3399" s="125"/>
    </row>
    <row r="3400" spans="1:19">
      <c r="A3400" s="124" t="s">
        <v>5478</v>
      </c>
      <c r="B3400" s="149" t="str">
        <f>IFERROR(VLOOKUP(Proc[[#This Row],[App]],Table2[],3,0),"open")</f>
        <v>ok</v>
      </c>
      <c r="C3400" s="124" t="s">
        <v>369</v>
      </c>
      <c r="D3400" t="s">
        <v>5423</v>
      </c>
      <c r="E3400" t="s">
        <v>5467</v>
      </c>
      <c r="F3400" s="125" t="s">
        <v>5467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44" t="str">
        <f>IF(Proc[[#This Row],[Author]]="Marcela Urrego",VLOOKUP(LEFT(Proc[[#This Row],[Requested]],1),Table3[#All],2,0),VLOOKUP(Proc[[#This Row],[Author]],Table4[],2,0))</f>
        <v>MGF</v>
      </c>
      <c r="L3400" s="125" t="s">
        <v>4894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93</v>
      </c>
      <c r="R3400" s="115" t="s">
        <v>1459</v>
      </c>
      <c r="S3400" s="125"/>
    </row>
    <row r="3401" spans="1:19">
      <c r="A3401" s="124" t="s">
        <v>5478</v>
      </c>
      <c r="B3401" s="149" t="str">
        <f>IFERROR(VLOOKUP(Proc[[#This Row],[App]],Table2[],3,0),"open")</f>
        <v>ok</v>
      </c>
      <c r="C3401" s="124" t="s">
        <v>369</v>
      </c>
      <c r="D3401" t="s">
        <v>5424</v>
      </c>
      <c r="E3401" t="s">
        <v>5445</v>
      </c>
      <c r="F3401" s="125" t="s">
        <v>5445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44" t="str">
        <f>IF(Proc[[#This Row],[Author]]="Marcela Urrego",VLOOKUP(LEFT(Proc[[#This Row],[Requested]],1),Table3[#All],2,0),VLOOKUP(Proc[[#This Row],[Author]],Table4[],2,0))</f>
        <v>MGF</v>
      </c>
      <c r="L3401" s="125" t="s">
        <v>4894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93</v>
      </c>
      <c r="R3401" s="115" t="s">
        <v>1459</v>
      </c>
      <c r="S3401" s="125"/>
    </row>
    <row r="3402" spans="1:19">
      <c r="A3402" s="124" t="s">
        <v>5478</v>
      </c>
      <c r="B3402" s="149" t="str">
        <f>IFERROR(VLOOKUP(Proc[[#This Row],[App]],Table2[],3,0),"open")</f>
        <v>ok</v>
      </c>
      <c r="C3402" s="124" t="s">
        <v>369</v>
      </c>
      <c r="D3402" t="s">
        <v>5425</v>
      </c>
      <c r="E3402" t="s">
        <v>5464</v>
      </c>
      <c r="F3402" s="125" t="s">
        <v>5464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44" t="str">
        <f>IF(Proc[[#This Row],[Author]]="Marcela Urrego",VLOOKUP(LEFT(Proc[[#This Row],[Requested]],1),Table3[#All],2,0),VLOOKUP(Proc[[#This Row],[Author]],Table4[],2,0))</f>
        <v>MGF</v>
      </c>
      <c r="L3402" s="125" t="s">
        <v>4894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93</v>
      </c>
      <c r="R3402" s="115" t="s">
        <v>1459</v>
      </c>
      <c r="S3402" s="125"/>
    </row>
    <row r="3403" spans="1:19">
      <c r="A3403" s="124" t="s">
        <v>5478</v>
      </c>
      <c r="B3403" s="149" t="str">
        <f>IFERROR(VLOOKUP(Proc[[#This Row],[App]],Table2[],3,0),"open")</f>
        <v>ok</v>
      </c>
      <c r="C3403" s="124" t="s">
        <v>369</v>
      </c>
      <c r="D3403" t="s">
        <v>5426</v>
      </c>
      <c r="E3403" t="s">
        <v>5473</v>
      </c>
      <c r="F3403" s="125" t="s">
        <v>5473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44" t="str">
        <f>IF(Proc[[#This Row],[Author]]="Marcela Urrego",VLOOKUP(LEFT(Proc[[#This Row],[Requested]],1),Table3[#All],2,0),VLOOKUP(Proc[[#This Row],[Author]],Table4[],2,0))</f>
        <v>MGF</v>
      </c>
      <c r="L3403" s="125" t="s">
        <v>4894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93</v>
      </c>
      <c r="R3403" s="115" t="s">
        <v>1459</v>
      </c>
      <c r="S3403" s="125"/>
    </row>
    <row r="3404" spans="1:19">
      <c r="A3404" s="124" t="s">
        <v>5478</v>
      </c>
      <c r="B3404" s="149" t="str">
        <f>IFERROR(VLOOKUP(Proc[[#This Row],[App]],Table2[],3,0),"open")</f>
        <v>ok</v>
      </c>
      <c r="C3404" s="124" t="s">
        <v>369</v>
      </c>
      <c r="D3404" t="s">
        <v>5427</v>
      </c>
      <c r="E3404" t="s">
        <v>5446</v>
      </c>
      <c r="F3404" s="125" t="s">
        <v>5446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44" t="str">
        <f>IF(Proc[[#This Row],[Author]]="Marcela Urrego",VLOOKUP(LEFT(Proc[[#This Row],[Requested]],1),Table3[#All],2,0),VLOOKUP(Proc[[#This Row],[Author]],Table4[],2,0))</f>
        <v>MGF</v>
      </c>
      <c r="L3404" s="125" t="s">
        <v>4894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93</v>
      </c>
      <c r="R3404" s="115" t="s">
        <v>1459</v>
      </c>
      <c r="S3404" s="125"/>
    </row>
    <row r="3405" spans="1:19">
      <c r="A3405" s="124" t="s">
        <v>5478</v>
      </c>
      <c r="B3405" s="149" t="str">
        <f>IFERROR(VLOOKUP(Proc[[#This Row],[App]],Table2[],3,0),"open")</f>
        <v>ok</v>
      </c>
      <c r="C3405" s="124" t="s">
        <v>369</v>
      </c>
      <c r="D3405" t="s">
        <v>5428</v>
      </c>
      <c r="E3405" t="s">
        <v>5453</v>
      </c>
      <c r="F3405" s="125" t="s">
        <v>5453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44" t="str">
        <f>IF(Proc[[#This Row],[Author]]="Marcela Urrego",VLOOKUP(LEFT(Proc[[#This Row],[Requested]],1),Table3[#All],2,0),VLOOKUP(Proc[[#This Row],[Author]],Table4[],2,0))</f>
        <v>MGF</v>
      </c>
      <c r="L3405" s="125" t="s">
        <v>4894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93</v>
      </c>
      <c r="R3405" s="115" t="s">
        <v>1459</v>
      </c>
      <c r="S3405" s="125"/>
    </row>
    <row r="3406" spans="1:19">
      <c r="A3406" s="124" t="s">
        <v>5478</v>
      </c>
      <c r="B3406" s="149" t="str">
        <f>IFERROR(VLOOKUP(Proc[[#This Row],[App]],Table2[],3,0),"open")</f>
        <v>ok</v>
      </c>
      <c r="C3406" s="124" t="s">
        <v>369</v>
      </c>
      <c r="D3406" t="s">
        <v>5429</v>
      </c>
      <c r="E3406" t="s">
        <v>5453</v>
      </c>
      <c r="F3406" s="125" t="s">
        <v>5453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44" t="str">
        <f>IF(Proc[[#This Row],[Author]]="Marcela Urrego",VLOOKUP(LEFT(Proc[[#This Row],[Requested]],1),Table3[#All],2,0),VLOOKUP(Proc[[#This Row],[Author]],Table4[],2,0))</f>
        <v>MGF</v>
      </c>
      <c r="L3406" s="125" t="s">
        <v>4894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93</v>
      </c>
      <c r="R3406" s="115" t="s">
        <v>1459</v>
      </c>
      <c r="S3406" s="125"/>
    </row>
    <row r="3407" spans="1:19">
      <c r="A3407" s="124" t="s">
        <v>5478</v>
      </c>
      <c r="B3407" s="149" t="str">
        <f>IFERROR(VLOOKUP(Proc[[#This Row],[App]],Table2[],3,0),"open")</f>
        <v>ok</v>
      </c>
      <c r="C3407" s="124" t="s">
        <v>369</v>
      </c>
      <c r="D3407" t="s">
        <v>5430</v>
      </c>
      <c r="E3407" t="s">
        <v>5464</v>
      </c>
      <c r="F3407" s="125" t="s">
        <v>5464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44" t="str">
        <f>IF(Proc[[#This Row],[Author]]="Marcela Urrego",VLOOKUP(LEFT(Proc[[#This Row],[Requested]],1),Table3[#All],2,0),VLOOKUP(Proc[[#This Row],[Author]],Table4[],2,0))</f>
        <v>MGF</v>
      </c>
      <c r="L3407" s="125" t="s">
        <v>4894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93</v>
      </c>
      <c r="R3407" s="115" t="s">
        <v>1459</v>
      </c>
      <c r="S3407" s="125"/>
    </row>
    <row r="3408" spans="1:19">
      <c r="A3408" s="124" t="s">
        <v>5478</v>
      </c>
      <c r="B3408" s="149" t="str">
        <f>IFERROR(VLOOKUP(Proc[[#This Row],[App]],Table2[],3,0),"open")</f>
        <v>ok</v>
      </c>
      <c r="C3408" s="124" t="s">
        <v>369</v>
      </c>
      <c r="D3408" t="s">
        <v>5431</v>
      </c>
      <c r="E3408" t="s">
        <v>5453</v>
      </c>
      <c r="F3408" s="125" t="s">
        <v>5453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44" t="str">
        <f>IF(Proc[[#This Row],[Author]]="Marcela Urrego",VLOOKUP(LEFT(Proc[[#This Row],[Requested]],1),Table3[#All],2,0),VLOOKUP(Proc[[#This Row],[Author]],Table4[],2,0))</f>
        <v>MGF</v>
      </c>
      <c r="L3408" s="125" t="s">
        <v>4894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93</v>
      </c>
      <c r="R3408" s="115" t="s">
        <v>1459</v>
      </c>
      <c r="S3408" s="125"/>
    </row>
    <row r="3409" spans="1:19">
      <c r="A3409" s="124" t="s">
        <v>5478</v>
      </c>
      <c r="B3409" s="149" t="str">
        <f>IFERROR(VLOOKUP(Proc[[#This Row],[App]],Table2[],3,0),"open")</f>
        <v>ok</v>
      </c>
      <c r="C3409" s="124" t="s">
        <v>369</v>
      </c>
      <c r="D3409" t="s">
        <v>5432</v>
      </c>
      <c r="E3409" t="s">
        <v>5447</v>
      </c>
      <c r="F3409" s="125" t="s">
        <v>5447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44" t="str">
        <f>IF(Proc[[#This Row],[Author]]="Marcela Urrego",VLOOKUP(LEFT(Proc[[#This Row],[Requested]],1),Table3[#All],2,0),VLOOKUP(Proc[[#This Row],[Author]],Table4[],2,0))</f>
        <v>MGF</v>
      </c>
      <c r="L3409" s="125" t="s">
        <v>4894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93</v>
      </c>
      <c r="R3409" s="115" t="s">
        <v>1459</v>
      </c>
      <c r="S3409" s="125"/>
    </row>
    <row r="3410" spans="1:19">
      <c r="A3410" s="124" t="s">
        <v>5478</v>
      </c>
      <c r="B3410" s="149" t="str">
        <f>IFERROR(VLOOKUP(Proc[[#This Row],[App]],Table2[],3,0),"open")</f>
        <v>ok</v>
      </c>
      <c r="C3410" s="124" t="s">
        <v>369</v>
      </c>
      <c r="D3410" t="s">
        <v>5433</v>
      </c>
      <c r="E3410" t="s">
        <v>5447</v>
      </c>
      <c r="F3410" s="125" t="s">
        <v>5447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44" t="str">
        <f>IF(Proc[[#This Row],[Author]]="Marcela Urrego",VLOOKUP(LEFT(Proc[[#This Row],[Requested]],1),Table3[#All],2,0),VLOOKUP(Proc[[#This Row],[Author]],Table4[],2,0))</f>
        <v>MGF</v>
      </c>
      <c r="L3410" s="125" t="s">
        <v>4894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93</v>
      </c>
      <c r="R3410" s="115" t="s">
        <v>1459</v>
      </c>
      <c r="S3410" s="125"/>
    </row>
    <row r="3411" spans="1:19">
      <c r="A3411" s="124" t="s">
        <v>5478</v>
      </c>
      <c r="B3411" s="149" t="str">
        <f>IFERROR(VLOOKUP(Proc[[#This Row],[App]],Table2[],3,0),"open")</f>
        <v>ok</v>
      </c>
      <c r="C3411" s="124" t="s">
        <v>369</v>
      </c>
      <c r="D3411" t="s">
        <v>5434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44" t="str">
        <f>IF(Proc[[#This Row],[Author]]="Marcela Urrego",VLOOKUP(LEFT(Proc[[#This Row],[Requested]],1),Table3[#All],2,0),VLOOKUP(Proc[[#This Row],[Author]],Table4[],2,0))</f>
        <v>MGF</v>
      </c>
      <c r="L3411" s="125" t="s">
        <v>4894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93</v>
      </c>
      <c r="R3411" s="115" t="s">
        <v>1459</v>
      </c>
      <c r="S3411" s="125"/>
    </row>
    <row r="3412" spans="1:19">
      <c r="A3412" s="124" t="s">
        <v>5478</v>
      </c>
      <c r="B3412" s="149" t="str">
        <f>IFERROR(VLOOKUP(Proc[[#This Row],[App]],Table2[],3,0),"open")</f>
        <v>ok</v>
      </c>
      <c r="C3412" s="124" t="s">
        <v>369</v>
      </c>
      <c r="D3412" t="s">
        <v>5435</v>
      </c>
      <c r="E3412" t="s">
        <v>5446</v>
      </c>
      <c r="F3412" s="125" t="s">
        <v>5446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44" t="str">
        <f>IF(Proc[[#This Row],[Author]]="Marcela Urrego",VLOOKUP(LEFT(Proc[[#This Row],[Requested]],1),Table3[#All],2,0),VLOOKUP(Proc[[#This Row],[Author]],Table4[],2,0))</f>
        <v>MGF</v>
      </c>
      <c r="L3412" s="125" t="s">
        <v>4894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93</v>
      </c>
      <c r="R3412" s="115" t="s">
        <v>1459</v>
      </c>
      <c r="S3412" s="125"/>
    </row>
    <row r="3413" spans="1:19">
      <c r="A3413" s="124" t="s">
        <v>5478</v>
      </c>
      <c r="B3413" s="149" t="str">
        <f>IFERROR(VLOOKUP(Proc[[#This Row],[App]],Table2[],3,0),"open")</f>
        <v>ok</v>
      </c>
      <c r="C3413" s="124" t="s">
        <v>369</v>
      </c>
      <c r="D3413" t="s">
        <v>5436</v>
      </c>
      <c r="E3413" t="s">
        <v>5476</v>
      </c>
      <c r="F3413" s="125" t="s">
        <v>5476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44" t="str">
        <f>IF(Proc[[#This Row],[Author]]="Marcela Urrego",VLOOKUP(LEFT(Proc[[#This Row],[Requested]],1),Table3[#All],2,0),VLOOKUP(Proc[[#This Row],[Author]],Table4[],2,0))</f>
        <v>MGF</v>
      </c>
      <c r="L3413" s="125" t="s">
        <v>4894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93</v>
      </c>
      <c r="R3413" s="115" t="s">
        <v>1459</v>
      </c>
      <c r="S3413" s="125"/>
    </row>
    <row r="3414" spans="1:19">
      <c r="A3414" s="124" t="s">
        <v>5478</v>
      </c>
      <c r="B3414" s="149" t="str">
        <f>IFERROR(VLOOKUP(Proc[[#This Row],[App]],Table2[],3,0),"open")</f>
        <v>ok</v>
      </c>
      <c r="C3414" s="124" t="s">
        <v>369</v>
      </c>
      <c r="D3414" t="s">
        <v>5437</v>
      </c>
      <c r="E3414" t="s">
        <v>5477</v>
      </c>
      <c r="F3414" s="125" t="s">
        <v>5477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44" t="str">
        <f>IF(Proc[[#This Row],[Author]]="Marcela Urrego",VLOOKUP(LEFT(Proc[[#This Row],[Requested]],1),Table3[#All],2,0),VLOOKUP(Proc[[#This Row],[Author]],Table4[],2,0))</f>
        <v>MGF</v>
      </c>
      <c r="L3414" s="125" t="s">
        <v>4894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93</v>
      </c>
      <c r="R3414" s="115" t="s">
        <v>1459</v>
      </c>
      <c r="S3414" s="125"/>
    </row>
    <row r="3415" spans="1:19">
      <c r="A3415" s="124" t="s">
        <v>5478</v>
      </c>
      <c r="B3415" s="149" t="str">
        <f>IFERROR(VLOOKUP(Proc[[#This Row],[App]],Table2[],3,0),"open")</f>
        <v>ok</v>
      </c>
      <c r="C3415" s="124" t="s">
        <v>369</v>
      </c>
      <c r="D3415" t="s">
        <v>5438</v>
      </c>
      <c r="E3415" t="s">
        <v>5476</v>
      </c>
      <c r="F3415" s="125" t="s">
        <v>5476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44" t="str">
        <f>IF(Proc[[#This Row],[Author]]="Marcela Urrego",VLOOKUP(LEFT(Proc[[#This Row],[Requested]],1),Table3[#All],2,0),VLOOKUP(Proc[[#This Row],[Author]],Table4[],2,0))</f>
        <v>MGF</v>
      </c>
      <c r="L3415" s="125" t="s">
        <v>4894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93</v>
      </c>
      <c r="R3415" s="115" t="s">
        <v>1459</v>
      </c>
      <c r="S3415" s="125"/>
    </row>
    <row r="3416" spans="1:19">
      <c r="A3416" s="124" t="s">
        <v>5478</v>
      </c>
      <c r="B3416" s="149" t="str">
        <f>IFERROR(VLOOKUP(Proc[[#This Row],[App]],Table2[],3,0),"open")</f>
        <v>ok</v>
      </c>
      <c r="C3416" s="124" t="s">
        <v>369</v>
      </c>
      <c r="D3416" t="s">
        <v>5439</v>
      </c>
      <c r="E3416" t="s">
        <v>5476</v>
      </c>
      <c r="F3416" s="125" t="s">
        <v>5476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44" t="str">
        <f>IF(Proc[[#This Row],[Author]]="Marcela Urrego",VLOOKUP(LEFT(Proc[[#This Row],[Requested]],1),Table3[#All],2,0),VLOOKUP(Proc[[#This Row],[Author]],Table4[],2,0))</f>
        <v>MGF</v>
      </c>
      <c r="L3416" s="125" t="s">
        <v>4894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93</v>
      </c>
      <c r="R3416" s="115" t="s">
        <v>1459</v>
      </c>
      <c r="S3416" s="125"/>
    </row>
    <row r="3417" spans="1:19">
      <c r="A3417" s="124" t="s">
        <v>5478</v>
      </c>
      <c r="B3417" s="149" t="str">
        <f>IFERROR(VLOOKUP(Proc[[#This Row],[App]],Table2[],3,0),"open")</f>
        <v>ok</v>
      </c>
      <c r="C3417" s="124" t="s">
        <v>369</v>
      </c>
      <c r="D3417" t="s">
        <v>5440</v>
      </c>
      <c r="E3417" t="s">
        <v>5476</v>
      </c>
      <c r="F3417" s="125" t="s">
        <v>5476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44" t="str">
        <f>IF(Proc[[#This Row],[Author]]="Marcela Urrego",VLOOKUP(LEFT(Proc[[#This Row],[Requested]],1),Table3[#All],2,0),VLOOKUP(Proc[[#This Row],[Author]],Table4[],2,0))</f>
        <v>MGF</v>
      </c>
      <c r="L3417" s="125" t="s">
        <v>4894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93</v>
      </c>
      <c r="R3417" s="115" t="s">
        <v>1459</v>
      </c>
      <c r="S3417" s="125"/>
    </row>
    <row r="3418" spans="1:19">
      <c r="A3418" s="124" t="s">
        <v>5478</v>
      </c>
      <c r="B3418" s="149" t="str">
        <f>IFERROR(VLOOKUP(Proc[[#This Row],[App]],Table2[],3,0),"open")</f>
        <v>ok</v>
      </c>
      <c r="C3418" s="124" t="s">
        <v>369</v>
      </c>
      <c r="D3418" t="s">
        <v>5441</v>
      </c>
      <c r="E3418" t="s">
        <v>5476</v>
      </c>
      <c r="F3418" s="125" t="s">
        <v>5476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44" t="str">
        <f>IF(Proc[[#This Row],[Author]]="Marcela Urrego",VLOOKUP(LEFT(Proc[[#This Row],[Requested]],1),Table3[#All],2,0),VLOOKUP(Proc[[#This Row],[Author]],Table4[],2,0))</f>
        <v>MGF</v>
      </c>
      <c r="L3418" s="125" t="s">
        <v>4894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93</v>
      </c>
      <c r="R3418" s="115" t="s">
        <v>1459</v>
      </c>
      <c r="S3418" s="125"/>
    </row>
    <row r="3419" spans="1:19">
      <c r="A3419" s="124" t="s">
        <v>5478</v>
      </c>
      <c r="B3419" s="149" t="str">
        <f>IFERROR(VLOOKUP(Proc[[#This Row],[App]],Table2[],3,0),"open")</f>
        <v>ok</v>
      </c>
      <c r="C3419" s="124" t="s">
        <v>369</v>
      </c>
      <c r="D3419" t="s">
        <v>5442</v>
      </c>
      <c r="E3419" t="s">
        <v>5476</v>
      </c>
      <c r="F3419" s="125" t="s">
        <v>5476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44" t="str">
        <f>IF(Proc[[#This Row],[Author]]="Marcela Urrego",VLOOKUP(LEFT(Proc[[#This Row],[Requested]],1),Table3[#All],2,0),VLOOKUP(Proc[[#This Row],[Author]],Table4[],2,0))</f>
        <v>MGF</v>
      </c>
      <c r="L3419" s="125" t="s">
        <v>4894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93</v>
      </c>
      <c r="R3419" s="115" t="s">
        <v>1459</v>
      </c>
      <c r="S3419" s="125"/>
    </row>
    <row r="3420" spans="1:19">
      <c r="A3420" s="124" t="s">
        <v>5478</v>
      </c>
      <c r="B3420" s="149" t="str">
        <f>IFERROR(VLOOKUP(Proc[[#This Row],[App]],Table2[],3,0),"open")</f>
        <v>ok</v>
      </c>
      <c r="C3420" s="124" t="s">
        <v>369</v>
      </c>
      <c r="D3420" t="s">
        <v>5443</v>
      </c>
      <c r="E3420" t="s">
        <v>5476</v>
      </c>
      <c r="F3420" s="125" t="s">
        <v>5476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44" t="str">
        <f>IF(Proc[[#This Row],[Author]]="Marcela Urrego",VLOOKUP(LEFT(Proc[[#This Row],[Requested]],1),Table3[#All],2,0),VLOOKUP(Proc[[#This Row],[Author]],Table4[],2,0))</f>
        <v>MGF</v>
      </c>
      <c r="L3420" s="125" t="s">
        <v>4894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93</v>
      </c>
      <c r="R3420" s="115" t="s">
        <v>1459</v>
      </c>
      <c r="S3420" s="125"/>
    </row>
    <row r="3421" spans="1:19">
      <c r="A3421" t="s">
        <v>5493</v>
      </c>
      <c r="B3421" s="149" t="str">
        <f>IFERROR(VLOOKUP(Proc[[#This Row],[App]],Table2[],3,0),"open")</f>
        <v>ok</v>
      </c>
      <c r="C3421" s="124" t="s">
        <v>369</v>
      </c>
      <c r="D3421" t="s">
        <v>5480</v>
      </c>
      <c r="E3421" t="s">
        <v>5494</v>
      </c>
      <c r="F3421" s="125" t="s">
        <v>5494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44" t="str">
        <f>IF(Proc[[#This Row],[Author]]="Marcela Urrego",VLOOKUP(LEFT(Proc[[#This Row],[Requested]],1),Table3[#All],2,0),VLOOKUP(Proc[[#This Row],[Author]],Table4[],2,0))</f>
        <v>HC</v>
      </c>
      <c r="L3421" s="125" t="s">
        <v>4894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93</v>
      </c>
      <c r="R3421" s="115" t="s">
        <v>1013</v>
      </c>
      <c r="S3421" s="125"/>
    </row>
    <row r="3422" spans="1:19">
      <c r="A3422" s="124" t="s">
        <v>5493</v>
      </c>
      <c r="B3422" s="149" t="str">
        <f>IFERROR(VLOOKUP(Proc[[#This Row],[App]],Table2[],3,0),"open")</f>
        <v>ok</v>
      </c>
      <c r="C3422" s="124" t="s">
        <v>369</v>
      </c>
      <c r="D3422" t="s">
        <v>5481</v>
      </c>
      <c r="E3422" t="s">
        <v>5495</v>
      </c>
      <c r="F3422" s="125" t="s">
        <v>5495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44" t="str">
        <f>IF(Proc[[#This Row],[Author]]="Marcela Urrego",VLOOKUP(LEFT(Proc[[#This Row],[Requested]],1),Table3[#All],2,0),VLOOKUP(Proc[[#This Row],[Author]],Table4[],2,0))</f>
        <v>HC</v>
      </c>
      <c r="L3422" s="125" t="s">
        <v>4894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93</v>
      </c>
      <c r="R3422" s="115" t="s">
        <v>1013</v>
      </c>
      <c r="S3422" s="125"/>
    </row>
    <row r="3423" spans="1:19">
      <c r="A3423" s="124" t="s">
        <v>5493</v>
      </c>
      <c r="B3423" s="149" t="str">
        <f>IFERROR(VLOOKUP(Proc[[#This Row],[App]],Table2[],3,0),"open")</f>
        <v>ok</v>
      </c>
      <c r="C3423" s="124" t="s">
        <v>369</v>
      </c>
      <c r="D3423" t="s">
        <v>5482</v>
      </c>
      <c r="E3423" t="s">
        <v>5496</v>
      </c>
      <c r="F3423" s="125" t="s">
        <v>5496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44" t="str">
        <f>IF(Proc[[#This Row],[Author]]="Marcela Urrego",VLOOKUP(LEFT(Proc[[#This Row],[Requested]],1),Table3[#All],2,0),VLOOKUP(Proc[[#This Row],[Author]],Table4[],2,0))</f>
        <v>HC</v>
      </c>
      <c r="L3423" s="125" t="s">
        <v>4894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93</v>
      </c>
      <c r="R3423" s="115" t="s">
        <v>1013</v>
      </c>
      <c r="S3423" s="125"/>
    </row>
    <row r="3424" spans="1:19">
      <c r="A3424" s="124" t="s">
        <v>5493</v>
      </c>
      <c r="B3424" s="149" t="str">
        <f>IFERROR(VLOOKUP(Proc[[#This Row],[App]],Table2[],3,0),"open")</f>
        <v>ok</v>
      </c>
      <c r="C3424" s="124" t="s">
        <v>369</v>
      </c>
      <c r="D3424" t="s">
        <v>5483</v>
      </c>
      <c r="E3424" t="s">
        <v>5497</v>
      </c>
      <c r="F3424" s="125" t="s">
        <v>5497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44" t="str">
        <f>IF(Proc[[#This Row],[Author]]="Marcela Urrego",VLOOKUP(LEFT(Proc[[#This Row],[Requested]],1),Table3[#All],2,0),VLOOKUP(Proc[[#This Row],[Author]],Table4[],2,0))</f>
        <v>HC</v>
      </c>
      <c r="L3424" s="125" t="s">
        <v>4894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93</v>
      </c>
      <c r="R3424" s="115" t="s">
        <v>1013</v>
      </c>
      <c r="S3424" s="125"/>
    </row>
    <row r="3425" spans="1:19">
      <c r="A3425" s="124" t="s">
        <v>5493</v>
      </c>
      <c r="B3425" s="149" t="str">
        <f>IFERROR(VLOOKUP(Proc[[#This Row],[App]],Table2[],3,0),"open")</f>
        <v>ok</v>
      </c>
      <c r="C3425" s="124" t="s">
        <v>369</v>
      </c>
      <c r="D3425" t="s">
        <v>5484</v>
      </c>
      <c r="E3425" t="s">
        <v>5497</v>
      </c>
      <c r="F3425" s="125" t="s">
        <v>5497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44" t="str">
        <f>IF(Proc[[#This Row],[Author]]="Marcela Urrego",VLOOKUP(LEFT(Proc[[#This Row],[Requested]],1),Table3[#All],2,0),VLOOKUP(Proc[[#This Row],[Author]],Table4[],2,0))</f>
        <v>HC</v>
      </c>
      <c r="L3425" s="125" t="s">
        <v>4894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93</v>
      </c>
      <c r="R3425" s="115" t="s">
        <v>1013</v>
      </c>
      <c r="S3425" s="125"/>
    </row>
    <row r="3426" spans="1:19">
      <c r="A3426" s="124" t="s">
        <v>5493</v>
      </c>
      <c r="B3426" s="149" t="str">
        <f>IFERROR(VLOOKUP(Proc[[#This Row],[App]],Table2[],3,0),"open")</f>
        <v>ok</v>
      </c>
      <c r="C3426" s="124" t="s">
        <v>369</v>
      </c>
      <c r="D3426" t="s">
        <v>5485</v>
      </c>
      <c r="E3426" t="s">
        <v>5494</v>
      </c>
      <c r="F3426" s="125" t="s">
        <v>5494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44" t="str">
        <f>IF(Proc[[#This Row],[Author]]="Marcela Urrego",VLOOKUP(LEFT(Proc[[#This Row],[Requested]],1),Table3[#All],2,0),VLOOKUP(Proc[[#This Row],[Author]],Table4[],2,0))</f>
        <v>HC</v>
      </c>
      <c r="L3426" s="125" t="s">
        <v>4894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93</v>
      </c>
      <c r="R3426" s="115" t="s">
        <v>1013</v>
      </c>
      <c r="S3426" s="125"/>
    </row>
    <row r="3427" spans="1:19">
      <c r="A3427" s="124" t="s">
        <v>5493</v>
      </c>
      <c r="B3427" s="149" t="str">
        <f>IFERROR(VLOOKUP(Proc[[#This Row],[App]],Table2[],3,0),"open")</f>
        <v>ok</v>
      </c>
      <c r="C3427" s="124" t="s">
        <v>369</v>
      </c>
      <c r="D3427" t="s">
        <v>5486</v>
      </c>
      <c r="E3427" t="s">
        <v>5495</v>
      </c>
      <c r="F3427" s="125" t="s">
        <v>5495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44" t="str">
        <f>IF(Proc[[#This Row],[Author]]="Marcela Urrego",VLOOKUP(LEFT(Proc[[#This Row],[Requested]],1),Table3[#All],2,0),VLOOKUP(Proc[[#This Row],[Author]],Table4[],2,0))</f>
        <v>HC</v>
      </c>
      <c r="L3427" s="125" t="s">
        <v>4894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93</v>
      </c>
      <c r="R3427" s="115" t="s">
        <v>1013</v>
      </c>
      <c r="S3427" s="125"/>
    </row>
    <row r="3428" spans="1:19">
      <c r="A3428" s="124" t="s">
        <v>5493</v>
      </c>
      <c r="B3428" s="149" t="str">
        <f>IFERROR(VLOOKUP(Proc[[#This Row],[App]],Table2[],3,0),"open")</f>
        <v>ok</v>
      </c>
      <c r="C3428" s="124" t="s">
        <v>369</v>
      </c>
      <c r="D3428" t="s">
        <v>5487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44" t="str">
        <f>IF(Proc[[#This Row],[Author]]="Marcela Urrego",VLOOKUP(LEFT(Proc[[#This Row],[Requested]],1),Table3[#All],2,0),VLOOKUP(Proc[[#This Row],[Author]],Table4[],2,0))</f>
        <v>HC</v>
      </c>
      <c r="L3428" s="125" t="s">
        <v>4894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93</v>
      </c>
      <c r="R3428" s="115" t="s">
        <v>1013</v>
      </c>
      <c r="S3428" s="125"/>
    </row>
    <row r="3429" spans="1:19">
      <c r="A3429" s="124" t="s">
        <v>5493</v>
      </c>
      <c r="B3429" s="149" t="str">
        <f>IFERROR(VLOOKUP(Proc[[#This Row],[App]],Table2[],3,0),"open")</f>
        <v>ok</v>
      </c>
      <c r="C3429" s="124" t="s">
        <v>369</v>
      </c>
      <c r="D3429" t="s">
        <v>5488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44" t="str">
        <f>IF(Proc[[#This Row],[Author]]="Marcela Urrego",VLOOKUP(LEFT(Proc[[#This Row],[Requested]],1),Table3[#All],2,0),VLOOKUP(Proc[[#This Row],[Author]],Table4[],2,0))</f>
        <v>HC</v>
      </c>
      <c r="L3429" s="125" t="s">
        <v>4894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93</v>
      </c>
      <c r="R3429" s="115" t="s">
        <v>1013</v>
      </c>
      <c r="S3429" s="125"/>
    </row>
    <row r="3430" spans="1:19">
      <c r="A3430" s="124" t="s">
        <v>5493</v>
      </c>
      <c r="B3430" s="149" t="str">
        <f>IFERROR(VLOOKUP(Proc[[#This Row],[App]],Table2[],3,0),"open")</f>
        <v>ok</v>
      </c>
      <c r="C3430" s="124" t="s">
        <v>369</v>
      </c>
      <c r="D3430" t="s">
        <v>5489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44" t="str">
        <f>IF(Proc[[#This Row],[Author]]="Marcela Urrego",VLOOKUP(LEFT(Proc[[#This Row],[Requested]],1),Table3[#All],2,0),VLOOKUP(Proc[[#This Row],[Author]],Table4[],2,0))</f>
        <v>HC</v>
      </c>
      <c r="L3430" s="125" t="s">
        <v>4894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93</v>
      </c>
      <c r="R3430" s="115" t="s">
        <v>1013</v>
      </c>
      <c r="S3430" s="125"/>
    </row>
    <row r="3431" spans="1:19">
      <c r="A3431" s="124" t="s">
        <v>5493</v>
      </c>
      <c r="B3431" s="149" t="str">
        <f>IFERROR(VLOOKUP(Proc[[#This Row],[App]],Table2[],3,0),"open")</f>
        <v>ok</v>
      </c>
      <c r="C3431" s="124" t="s">
        <v>369</v>
      </c>
      <c r="D3431" t="s">
        <v>5490</v>
      </c>
      <c r="E3431" t="s">
        <v>5497</v>
      </c>
      <c r="F3431" s="125" t="s">
        <v>5497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44" t="str">
        <f>IF(Proc[[#This Row],[Author]]="Marcela Urrego",VLOOKUP(LEFT(Proc[[#This Row],[Requested]],1),Table3[#All],2,0),VLOOKUP(Proc[[#This Row],[Author]],Table4[],2,0))</f>
        <v>HC</v>
      </c>
      <c r="L3431" s="125" t="s">
        <v>4894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93</v>
      </c>
      <c r="R3431" s="115" t="s">
        <v>1013</v>
      </c>
      <c r="S3431" s="125"/>
    </row>
    <row r="3432" spans="1:19">
      <c r="A3432" s="124" t="s">
        <v>5493</v>
      </c>
      <c r="B3432" s="149" t="str">
        <f>IFERROR(VLOOKUP(Proc[[#This Row],[App]],Table2[],3,0),"open")</f>
        <v>ok</v>
      </c>
      <c r="C3432" s="124" t="s">
        <v>369</v>
      </c>
      <c r="D3432" t="s">
        <v>5491</v>
      </c>
      <c r="E3432" t="s">
        <v>5497</v>
      </c>
      <c r="F3432" s="125" t="s">
        <v>5497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44" t="str">
        <f>IF(Proc[[#This Row],[Author]]="Marcela Urrego",VLOOKUP(LEFT(Proc[[#This Row],[Requested]],1),Table3[#All],2,0),VLOOKUP(Proc[[#This Row],[Author]],Table4[],2,0))</f>
        <v>HC</v>
      </c>
      <c r="L3432" s="125" t="s">
        <v>4894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93</v>
      </c>
      <c r="R3432" s="115" t="s">
        <v>1013</v>
      </c>
      <c r="S3432" s="125"/>
    </row>
    <row r="3433" spans="1:19">
      <c r="A3433" s="124" t="s">
        <v>5493</v>
      </c>
      <c r="B3433" s="149" t="str">
        <f>IFERROR(VLOOKUP(Proc[[#This Row],[App]],Table2[],3,0),"open")</f>
        <v>ok</v>
      </c>
      <c r="C3433" s="124" t="s">
        <v>369</v>
      </c>
      <c r="D3433" t="s">
        <v>5492</v>
      </c>
      <c r="E3433" t="s">
        <v>5498</v>
      </c>
      <c r="F3433" s="125" t="s">
        <v>5498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44" t="str">
        <f>IF(Proc[[#This Row],[Author]]="Marcela Urrego",VLOOKUP(LEFT(Proc[[#This Row],[Requested]],1),Table3[#All],2,0),VLOOKUP(Proc[[#This Row],[Author]],Table4[],2,0))</f>
        <v>HC</v>
      </c>
      <c r="L3433" s="125" t="s">
        <v>4894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93</v>
      </c>
      <c r="R3433" s="115" t="s">
        <v>1013</v>
      </c>
      <c r="S3433" s="125"/>
    </row>
    <row r="3434" spans="1:19">
      <c r="A3434" t="s">
        <v>5499</v>
      </c>
      <c r="B3434" s="149" t="str">
        <f>IFERROR(VLOOKUP(Proc[[#This Row],[App]],Table2[],3,0),"open")</f>
        <v>ok</v>
      </c>
      <c r="C3434" s="124" t="s">
        <v>369</v>
      </c>
      <c r="D3434" t="s">
        <v>5544</v>
      </c>
      <c r="E3434" t="s">
        <v>5500</v>
      </c>
      <c r="F3434" s="125" t="s">
        <v>5500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44" t="str">
        <f>IF(Proc[[#This Row],[Author]]="Marcela Urrego",VLOOKUP(LEFT(Proc[[#This Row],[Requested]],1),Table3[#All],2,0),VLOOKUP(Proc[[#This Row],[Author]],Table4[],2,0))</f>
        <v>EL</v>
      </c>
      <c r="L3434" s="125" t="s">
        <v>4894</v>
      </c>
      <c r="M3434" s="127">
        <v>45877</v>
      </c>
      <c r="N3434" s="127"/>
      <c r="O3434" s="127"/>
      <c r="P3434" s="115" t="str">
        <f ca="1">IF(Proc[[#This Row],[DaysAgeing]]&gt;5,"yep","on track")</f>
        <v>yep</v>
      </c>
      <c r="Q3434" s="3">
        <f ca="1">IF(Proc[[#This Row],[DateClosed]]="",ABS(NETWORKDAYS(Proc[[#This Row],[DateOpened]],TODAY()))-1,ABS(NETWORKDAYS(Proc[[#This Row],[DateOpened]],Proc[[#This Row],[DateClosed]]))-1)</f>
        <v>90</v>
      </c>
      <c r="R3434" s="115" t="s">
        <v>5501</v>
      </c>
      <c r="S3434" s="125"/>
    </row>
    <row r="3435" spans="1:19">
      <c r="A3435" s="124" t="s">
        <v>5499</v>
      </c>
      <c r="B3435" s="149" t="str">
        <f>IFERROR(VLOOKUP(Proc[[#This Row],[App]],Table2[],3,0),"open")</f>
        <v>ok</v>
      </c>
      <c r="C3435" s="124" t="s">
        <v>369</v>
      </c>
      <c r="D3435" t="s">
        <v>5545</v>
      </c>
      <c r="E3435" t="s">
        <v>5500</v>
      </c>
      <c r="F3435" s="125" t="s">
        <v>5500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44" t="str">
        <f>IF(Proc[[#This Row],[Author]]="Marcela Urrego",VLOOKUP(LEFT(Proc[[#This Row],[Requested]],1),Table3[#All],2,0),VLOOKUP(Proc[[#This Row],[Author]],Table4[],2,0))</f>
        <v>EL</v>
      </c>
      <c r="L3435" s="125" t="s">
        <v>4894</v>
      </c>
      <c r="M3435" s="127">
        <v>45877</v>
      </c>
      <c r="N3435" s="127"/>
      <c r="O3435" s="127"/>
      <c r="P3435" s="115" t="str">
        <f ca="1">IF(Proc[[#This Row],[DaysAgeing]]&gt;5,"yep","on track")</f>
        <v>yep</v>
      </c>
      <c r="Q3435" s="3">
        <f ca="1">IF(Proc[[#This Row],[DateClosed]]="",ABS(NETWORKDAYS(Proc[[#This Row],[DateOpened]],TODAY()))-1,ABS(NETWORKDAYS(Proc[[#This Row],[DateOpened]],Proc[[#This Row],[DateClosed]]))-1)</f>
        <v>90</v>
      </c>
      <c r="R3435" s="115" t="s">
        <v>5501</v>
      </c>
      <c r="S3435" s="125"/>
    </row>
    <row r="3436" spans="1:19">
      <c r="A3436" t="s">
        <v>5502</v>
      </c>
      <c r="B3436" s="149" t="str">
        <f>IFERROR(VLOOKUP(Proc[[#This Row],[App]],Table2[],3,0),"open")</f>
        <v>ok</v>
      </c>
      <c r="C3436" s="124" t="s">
        <v>369</v>
      </c>
      <c r="D3436" t="s">
        <v>5503</v>
      </c>
      <c r="E3436" t="s">
        <v>5551</v>
      </c>
      <c r="F3436" s="125" t="s">
        <v>5551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44" t="str">
        <f>IF(Proc[[#This Row],[Author]]="Marcela Urrego",VLOOKUP(LEFT(Proc[[#This Row],[Requested]],1),Table3[#All],2,0),VLOOKUP(Proc[[#This Row],[Author]],Table4[],2,0))</f>
        <v>LS</v>
      </c>
      <c r="L3436" s="125" t="s">
        <v>4894</v>
      </c>
      <c r="M3436" s="127">
        <v>45877</v>
      </c>
      <c r="N3436" s="127"/>
      <c r="O3436" s="127"/>
      <c r="P3436" s="115" t="str">
        <f ca="1">IF(Proc[[#This Row],[DaysAgeing]]&gt;5,"yep","on track")</f>
        <v>yep</v>
      </c>
      <c r="Q3436" s="3">
        <f ca="1">IF(Proc[[#This Row],[DateClosed]]="",ABS(NETWORKDAYS(Proc[[#This Row],[DateOpened]],TODAY()))-1,ABS(NETWORKDAYS(Proc[[#This Row],[DateOpened]],Proc[[#This Row],[DateClosed]]))-1)</f>
        <v>90</v>
      </c>
      <c r="R3436" s="115" t="s">
        <v>489</v>
      </c>
      <c r="S3436" s="125"/>
    </row>
    <row r="3437" spans="1:19">
      <c r="A3437" s="124" t="s">
        <v>5502</v>
      </c>
      <c r="B3437" s="149" t="str">
        <f>IFERROR(VLOOKUP(Proc[[#This Row],[App]],Table2[],3,0),"open")</f>
        <v>ok</v>
      </c>
      <c r="C3437" s="124" t="s">
        <v>369</v>
      </c>
      <c r="D3437" t="s">
        <v>5504</v>
      </c>
      <c r="E3437" t="s">
        <v>5551</v>
      </c>
      <c r="F3437" s="125" t="s">
        <v>5551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44" t="str">
        <f>IF(Proc[[#This Row],[Author]]="Marcela Urrego",VLOOKUP(LEFT(Proc[[#This Row],[Requested]],1),Table3[#All],2,0),VLOOKUP(Proc[[#This Row],[Author]],Table4[],2,0))</f>
        <v>LS</v>
      </c>
      <c r="L3437" s="125" t="s">
        <v>4894</v>
      </c>
      <c r="M3437" s="127">
        <v>45877</v>
      </c>
      <c r="N3437" s="127"/>
      <c r="O3437" s="127"/>
      <c r="P3437" s="115" t="str">
        <f ca="1">IF(Proc[[#This Row],[DaysAgeing]]&gt;5,"yep","on track")</f>
        <v>yep</v>
      </c>
      <c r="Q3437" s="3">
        <f ca="1">IF(Proc[[#This Row],[DateClosed]]="",ABS(NETWORKDAYS(Proc[[#This Row],[DateOpened]],TODAY()))-1,ABS(NETWORKDAYS(Proc[[#This Row],[DateOpened]],Proc[[#This Row],[DateClosed]]))-1)</f>
        <v>90</v>
      </c>
      <c r="R3437" s="115" t="s">
        <v>489</v>
      </c>
      <c r="S3437" s="125"/>
    </row>
    <row r="3438" spans="1:19">
      <c r="A3438" s="124" t="s">
        <v>5502</v>
      </c>
      <c r="B3438" s="149" t="str">
        <f>IFERROR(VLOOKUP(Proc[[#This Row],[App]],Table2[],3,0),"open")</f>
        <v>ok</v>
      </c>
      <c r="C3438" s="124" t="s">
        <v>369</v>
      </c>
      <c r="D3438" t="s">
        <v>5505</v>
      </c>
      <c r="E3438" t="s">
        <v>5551</v>
      </c>
      <c r="F3438" s="125" t="s">
        <v>5551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44" t="str">
        <f>IF(Proc[[#This Row],[Author]]="Marcela Urrego",VLOOKUP(LEFT(Proc[[#This Row],[Requested]],1),Table3[#All],2,0),VLOOKUP(Proc[[#This Row],[Author]],Table4[],2,0))</f>
        <v>LS</v>
      </c>
      <c r="L3438" s="125" t="s">
        <v>4894</v>
      </c>
      <c r="M3438" s="127">
        <v>45877</v>
      </c>
      <c r="N3438" s="127"/>
      <c r="O3438" s="127"/>
      <c r="P3438" s="115" t="str">
        <f ca="1">IF(Proc[[#This Row],[DaysAgeing]]&gt;5,"yep","on track")</f>
        <v>yep</v>
      </c>
      <c r="Q3438" s="3">
        <f ca="1">IF(Proc[[#This Row],[DateClosed]]="",ABS(NETWORKDAYS(Proc[[#This Row],[DateOpened]],TODAY()))-1,ABS(NETWORKDAYS(Proc[[#This Row],[DateOpened]],Proc[[#This Row],[DateClosed]]))-1)</f>
        <v>90</v>
      </c>
      <c r="R3438" s="115" t="s">
        <v>489</v>
      </c>
      <c r="S3438" s="125"/>
    </row>
    <row r="3439" spans="1:19">
      <c r="A3439" s="124" t="s">
        <v>5502</v>
      </c>
      <c r="B3439" s="149" t="str">
        <f>IFERROR(VLOOKUP(Proc[[#This Row],[App]],Table2[],3,0),"open")</f>
        <v>ok</v>
      </c>
      <c r="C3439" s="124" t="s">
        <v>369</v>
      </c>
      <c r="D3439" t="s">
        <v>5506</v>
      </c>
      <c r="E3439" t="s">
        <v>5551</v>
      </c>
      <c r="F3439" s="125" t="s">
        <v>5551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44" t="str">
        <f>IF(Proc[[#This Row],[Author]]="Marcela Urrego",VLOOKUP(LEFT(Proc[[#This Row],[Requested]],1),Table3[#All],2,0),VLOOKUP(Proc[[#This Row],[Author]],Table4[],2,0))</f>
        <v>LS</v>
      </c>
      <c r="L3439" s="125" t="s">
        <v>4894</v>
      </c>
      <c r="M3439" s="127">
        <v>45877</v>
      </c>
      <c r="N3439" s="127"/>
      <c r="O3439" s="127"/>
      <c r="P3439" s="115" t="str">
        <f ca="1">IF(Proc[[#This Row],[DaysAgeing]]&gt;5,"yep","on track")</f>
        <v>yep</v>
      </c>
      <c r="Q3439" s="3">
        <f ca="1">IF(Proc[[#This Row],[DateClosed]]="",ABS(NETWORKDAYS(Proc[[#This Row],[DateOpened]],TODAY()))-1,ABS(NETWORKDAYS(Proc[[#This Row],[DateOpened]],Proc[[#This Row],[DateClosed]]))-1)</f>
        <v>90</v>
      </c>
      <c r="R3439" s="115" t="s">
        <v>489</v>
      </c>
      <c r="S3439" s="125"/>
    </row>
    <row r="3440" spans="1:19">
      <c r="A3440" s="124" t="s">
        <v>5502</v>
      </c>
      <c r="B3440" s="149" t="str">
        <f>IFERROR(VLOOKUP(Proc[[#This Row],[App]],Table2[],3,0),"open")</f>
        <v>ok</v>
      </c>
      <c r="C3440" s="124" t="s">
        <v>369</v>
      </c>
      <c r="D3440" t="s">
        <v>5507</v>
      </c>
      <c r="E3440" t="s">
        <v>5551</v>
      </c>
      <c r="F3440" s="125" t="s">
        <v>5551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44" t="str">
        <f>IF(Proc[[#This Row],[Author]]="Marcela Urrego",VLOOKUP(LEFT(Proc[[#This Row],[Requested]],1),Table3[#All],2,0),VLOOKUP(Proc[[#This Row],[Author]],Table4[],2,0))</f>
        <v>LS</v>
      </c>
      <c r="L3440" s="125" t="s">
        <v>4894</v>
      </c>
      <c r="M3440" s="127">
        <v>45877</v>
      </c>
      <c r="N3440" s="127"/>
      <c r="O3440" s="127"/>
      <c r="P3440" s="115" t="str">
        <f ca="1">IF(Proc[[#This Row],[DaysAgeing]]&gt;5,"yep","on track")</f>
        <v>yep</v>
      </c>
      <c r="Q3440" s="3">
        <f ca="1">IF(Proc[[#This Row],[DateClosed]]="",ABS(NETWORKDAYS(Proc[[#This Row],[DateOpened]],TODAY()))-1,ABS(NETWORKDAYS(Proc[[#This Row],[DateOpened]],Proc[[#This Row],[DateClosed]]))-1)</f>
        <v>90</v>
      </c>
      <c r="R3440" s="115" t="s">
        <v>489</v>
      </c>
      <c r="S3440" s="125"/>
    </row>
    <row r="3441" spans="1:19">
      <c r="A3441" s="124" t="s">
        <v>5502</v>
      </c>
      <c r="B3441" s="149" t="str">
        <f>IFERROR(VLOOKUP(Proc[[#This Row],[App]],Table2[],3,0),"open")</f>
        <v>ok</v>
      </c>
      <c r="C3441" s="124" t="s">
        <v>369</v>
      </c>
      <c r="D3441" t="s">
        <v>5508</v>
      </c>
      <c r="E3441" t="s">
        <v>5551</v>
      </c>
      <c r="F3441" s="125" t="s">
        <v>5551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44" t="str">
        <f>IF(Proc[[#This Row],[Author]]="Marcela Urrego",VLOOKUP(LEFT(Proc[[#This Row],[Requested]],1),Table3[#All],2,0),VLOOKUP(Proc[[#This Row],[Author]],Table4[],2,0))</f>
        <v>LS</v>
      </c>
      <c r="L3441" s="125" t="s">
        <v>4894</v>
      </c>
      <c r="M3441" s="127">
        <v>45877</v>
      </c>
      <c r="N3441" s="127"/>
      <c r="O3441" s="127"/>
      <c r="P3441" s="115" t="str">
        <f ca="1">IF(Proc[[#This Row],[DaysAgeing]]&gt;5,"yep","on track")</f>
        <v>yep</v>
      </c>
      <c r="Q3441" s="3">
        <f ca="1">IF(Proc[[#This Row],[DateClosed]]="",ABS(NETWORKDAYS(Proc[[#This Row],[DateOpened]],TODAY()))-1,ABS(NETWORKDAYS(Proc[[#This Row],[DateOpened]],Proc[[#This Row],[DateClosed]]))-1)</f>
        <v>90</v>
      </c>
      <c r="R3441" s="115" t="s">
        <v>489</v>
      </c>
      <c r="S3441" s="125"/>
    </row>
    <row r="3442" spans="1:19">
      <c r="A3442" s="124" t="s">
        <v>5502</v>
      </c>
      <c r="B3442" s="149" t="str">
        <f>IFERROR(VLOOKUP(Proc[[#This Row],[App]],Table2[],3,0),"open")</f>
        <v>ok</v>
      </c>
      <c r="C3442" s="124" t="s">
        <v>369</v>
      </c>
      <c r="D3442" t="s">
        <v>5509</v>
      </c>
      <c r="E3442" t="s">
        <v>5551</v>
      </c>
      <c r="F3442" s="125" t="s">
        <v>5551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44" t="str">
        <f>IF(Proc[[#This Row],[Author]]="Marcela Urrego",VLOOKUP(LEFT(Proc[[#This Row],[Requested]],1),Table3[#All],2,0),VLOOKUP(Proc[[#This Row],[Author]],Table4[],2,0))</f>
        <v>LS</v>
      </c>
      <c r="L3442" s="125" t="s">
        <v>4894</v>
      </c>
      <c r="M3442" s="127">
        <v>45877</v>
      </c>
      <c r="N3442" s="127"/>
      <c r="O3442" s="127"/>
      <c r="P3442" s="115" t="str">
        <f ca="1">IF(Proc[[#This Row],[DaysAgeing]]&gt;5,"yep","on track")</f>
        <v>yep</v>
      </c>
      <c r="Q3442" s="3">
        <f ca="1">IF(Proc[[#This Row],[DateClosed]]="",ABS(NETWORKDAYS(Proc[[#This Row],[DateOpened]],TODAY()))-1,ABS(NETWORKDAYS(Proc[[#This Row],[DateOpened]],Proc[[#This Row],[DateClosed]]))-1)</f>
        <v>90</v>
      </c>
      <c r="R3442" s="115" t="s">
        <v>489</v>
      </c>
      <c r="S3442" s="125"/>
    </row>
    <row r="3443" spans="1:19">
      <c r="A3443" s="124" t="s">
        <v>5502</v>
      </c>
      <c r="B3443" s="149" t="str">
        <f>IFERROR(VLOOKUP(Proc[[#This Row],[App]],Table2[],3,0),"open")</f>
        <v>ok</v>
      </c>
      <c r="C3443" s="124" t="s">
        <v>369</v>
      </c>
      <c r="D3443" t="s">
        <v>5510</v>
      </c>
      <c r="E3443" t="s">
        <v>5551</v>
      </c>
      <c r="F3443" s="125" t="s">
        <v>5551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44" t="str">
        <f>IF(Proc[[#This Row],[Author]]="Marcela Urrego",VLOOKUP(LEFT(Proc[[#This Row],[Requested]],1),Table3[#All],2,0),VLOOKUP(Proc[[#This Row],[Author]],Table4[],2,0))</f>
        <v>LS</v>
      </c>
      <c r="L3443" s="125" t="s">
        <v>4894</v>
      </c>
      <c r="M3443" s="127">
        <v>45877</v>
      </c>
      <c r="N3443" s="127"/>
      <c r="O3443" s="127"/>
      <c r="P3443" s="115" t="str">
        <f ca="1">IF(Proc[[#This Row],[DaysAgeing]]&gt;5,"yep","on track")</f>
        <v>yep</v>
      </c>
      <c r="Q3443" s="3">
        <f ca="1">IF(Proc[[#This Row],[DateClosed]]="",ABS(NETWORKDAYS(Proc[[#This Row],[DateOpened]],TODAY()))-1,ABS(NETWORKDAYS(Proc[[#This Row],[DateOpened]],Proc[[#This Row],[DateClosed]]))-1)</f>
        <v>90</v>
      </c>
      <c r="R3443" s="115" t="s">
        <v>489</v>
      </c>
      <c r="S3443" s="125"/>
    </row>
    <row r="3444" spans="1:19">
      <c r="A3444" s="124" t="s">
        <v>5502</v>
      </c>
      <c r="B3444" s="149" t="str">
        <f>IFERROR(VLOOKUP(Proc[[#This Row],[App]],Table2[],3,0),"open")</f>
        <v>ok</v>
      </c>
      <c r="C3444" s="124" t="s">
        <v>369</v>
      </c>
      <c r="D3444" t="s">
        <v>5511</v>
      </c>
      <c r="E3444" t="s">
        <v>5551</v>
      </c>
      <c r="F3444" s="125" t="s">
        <v>5551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44" t="str">
        <f>IF(Proc[[#This Row],[Author]]="Marcela Urrego",VLOOKUP(LEFT(Proc[[#This Row],[Requested]],1),Table3[#All],2,0),VLOOKUP(Proc[[#This Row],[Author]],Table4[],2,0))</f>
        <v>LS</v>
      </c>
      <c r="L3444" s="125" t="s">
        <v>4894</v>
      </c>
      <c r="M3444" s="127">
        <v>45877</v>
      </c>
      <c r="N3444" s="127"/>
      <c r="O3444" s="127"/>
      <c r="P3444" s="115" t="str">
        <f ca="1">IF(Proc[[#This Row],[DaysAgeing]]&gt;5,"yep","on track")</f>
        <v>yep</v>
      </c>
      <c r="Q3444" s="3">
        <f ca="1">IF(Proc[[#This Row],[DateClosed]]="",ABS(NETWORKDAYS(Proc[[#This Row],[DateOpened]],TODAY()))-1,ABS(NETWORKDAYS(Proc[[#This Row],[DateOpened]],Proc[[#This Row],[DateClosed]]))-1)</f>
        <v>90</v>
      </c>
      <c r="R3444" s="115" t="s">
        <v>489</v>
      </c>
      <c r="S3444" s="125"/>
    </row>
    <row r="3445" spans="1:19">
      <c r="A3445" s="124" t="s">
        <v>5502</v>
      </c>
      <c r="B3445" s="149" t="str">
        <f>IFERROR(VLOOKUP(Proc[[#This Row],[App]],Table2[],3,0),"open")</f>
        <v>ok</v>
      </c>
      <c r="C3445" s="124" t="s">
        <v>369</v>
      </c>
      <c r="D3445" t="s">
        <v>5512</v>
      </c>
      <c r="E3445" t="s">
        <v>5551</v>
      </c>
      <c r="F3445" s="125" t="s">
        <v>5551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44" t="str">
        <f>IF(Proc[[#This Row],[Author]]="Marcela Urrego",VLOOKUP(LEFT(Proc[[#This Row],[Requested]],1),Table3[#All],2,0),VLOOKUP(Proc[[#This Row],[Author]],Table4[],2,0))</f>
        <v>LS</v>
      </c>
      <c r="L3445" s="125" t="s">
        <v>4894</v>
      </c>
      <c r="M3445" s="127">
        <v>45877</v>
      </c>
      <c r="N3445" s="127"/>
      <c r="O3445" s="127"/>
      <c r="P3445" s="115" t="str">
        <f ca="1">IF(Proc[[#This Row],[DaysAgeing]]&gt;5,"yep","on track")</f>
        <v>yep</v>
      </c>
      <c r="Q3445" s="3">
        <f ca="1">IF(Proc[[#This Row],[DateClosed]]="",ABS(NETWORKDAYS(Proc[[#This Row],[DateOpened]],TODAY()))-1,ABS(NETWORKDAYS(Proc[[#This Row],[DateOpened]],Proc[[#This Row],[DateClosed]]))-1)</f>
        <v>90</v>
      </c>
      <c r="R3445" s="115" t="s">
        <v>489</v>
      </c>
      <c r="S3445" s="125"/>
    </row>
    <row r="3446" spans="1:19">
      <c r="A3446" s="124" t="s">
        <v>5502</v>
      </c>
      <c r="B3446" s="149" t="str">
        <f>IFERROR(VLOOKUP(Proc[[#This Row],[App]],Table2[],3,0),"open")</f>
        <v>ok</v>
      </c>
      <c r="C3446" s="124" t="s">
        <v>369</v>
      </c>
      <c r="D3446" t="s">
        <v>5513</v>
      </c>
      <c r="E3446" t="s">
        <v>5551</v>
      </c>
      <c r="F3446" s="125" t="s">
        <v>5551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44" t="str">
        <f>IF(Proc[[#This Row],[Author]]="Marcela Urrego",VLOOKUP(LEFT(Proc[[#This Row],[Requested]],1),Table3[#All],2,0),VLOOKUP(Proc[[#This Row],[Author]],Table4[],2,0))</f>
        <v>LS</v>
      </c>
      <c r="L3446" s="125" t="s">
        <v>4894</v>
      </c>
      <c r="M3446" s="127">
        <v>45877</v>
      </c>
      <c r="N3446" s="127"/>
      <c r="O3446" s="127"/>
      <c r="P3446" s="115" t="str">
        <f ca="1">IF(Proc[[#This Row],[DaysAgeing]]&gt;5,"yep","on track")</f>
        <v>yep</v>
      </c>
      <c r="Q3446" s="3">
        <f ca="1">IF(Proc[[#This Row],[DateClosed]]="",ABS(NETWORKDAYS(Proc[[#This Row],[DateOpened]],TODAY()))-1,ABS(NETWORKDAYS(Proc[[#This Row],[DateOpened]],Proc[[#This Row],[DateClosed]]))-1)</f>
        <v>90</v>
      </c>
      <c r="R3446" s="115" t="s">
        <v>489</v>
      </c>
      <c r="S3446" s="125"/>
    </row>
    <row r="3447" spans="1:19">
      <c r="A3447" s="124" t="s">
        <v>5502</v>
      </c>
      <c r="B3447" s="149" t="str">
        <f>IFERROR(VLOOKUP(Proc[[#This Row],[App]],Table2[],3,0),"open")</f>
        <v>ok</v>
      </c>
      <c r="C3447" s="124" t="s">
        <v>369</v>
      </c>
      <c r="D3447" t="s">
        <v>5514</v>
      </c>
      <c r="E3447" t="s">
        <v>5551</v>
      </c>
      <c r="F3447" s="125" t="s">
        <v>5551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44" t="str">
        <f>IF(Proc[[#This Row],[Author]]="Marcela Urrego",VLOOKUP(LEFT(Proc[[#This Row],[Requested]],1),Table3[#All],2,0),VLOOKUP(Proc[[#This Row],[Author]],Table4[],2,0))</f>
        <v>LS</v>
      </c>
      <c r="L3447" s="125" t="s">
        <v>4894</v>
      </c>
      <c r="M3447" s="127">
        <v>45877</v>
      </c>
      <c r="N3447" s="127"/>
      <c r="O3447" s="127"/>
      <c r="P3447" s="115" t="str">
        <f ca="1">IF(Proc[[#This Row],[DaysAgeing]]&gt;5,"yep","on track")</f>
        <v>yep</v>
      </c>
      <c r="Q3447" s="3">
        <f ca="1">IF(Proc[[#This Row],[DateClosed]]="",ABS(NETWORKDAYS(Proc[[#This Row],[DateOpened]],TODAY()))-1,ABS(NETWORKDAYS(Proc[[#This Row],[DateOpened]],Proc[[#This Row],[DateClosed]]))-1)</f>
        <v>90</v>
      </c>
      <c r="R3447" s="115" t="s">
        <v>489</v>
      </c>
      <c r="S3447" s="125"/>
    </row>
    <row r="3448" spans="1:19">
      <c r="A3448" s="124" t="s">
        <v>5502</v>
      </c>
      <c r="B3448" s="149" t="str">
        <f>IFERROR(VLOOKUP(Proc[[#This Row],[App]],Table2[],3,0),"open")</f>
        <v>ok</v>
      </c>
      <c r="C3448" s="124" t="s">
        <v>369</v>
      </c>
      <c r="D3448" t="s">
        <v>5515</v>
      </c>
      <c r="E3448" t="s">
        <v>5551</v>
      </c>
      <c r="F3448" s="125" t="s">
        <v>5551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44" t="str">
        <f>IF(Proc[[#This Row],[Author]]="Marcela Urrego",VLOOKUP(LEFT(Proc[[#This Row],[Requested]],1),Table3[#All],2,0),VLOOKUP(Proc[[#This Row],[Author]],Table4[],2,0))</f>
        <v>LS</v>
      </c>
      <c r="L3448" s="125" t="s">
        <v>4894</v>
      </c>
      <c r="M3448" s="127">
        <v>45877</v>
      </c>
      <c r="N3448" s="127"/>
      <c r="O3448" s="127"/>
      <c r="P3448" s="115" t="str">
        <f ca="1">IF(Proc[[#This Row],[DaysAgeing]]&gt;5,"yep","on track")</f>
        <v>yep</v>
      </c>
      <c r="Q3448" s="3">
        <f ca="1">IF(Proc[[#This Row],[DateClosed]]="",ABS(NETWORKDAYS(Proc[[#This Row],[DateOpened]],TODAY()))-1,ABS(NETWORKDAYS(Proc[[#This Row],[DateOpened]],Proc[[#This Row],[DateClosed]]))-1)</f>
        <v>90</v>
      </c>
      <c r="R3448" s="115" t="s">
        <v>489</v>
      </c>
      <c r="S3448" s="125"/>
    </row>
    <row r="3449" spans="1:19">
      <c r="A3449" s="124" t="s">
        <v>5502</v>
      </c>
      <c r="B3449" s="149" t="str">
        <f>IFERROR(VLOOKUP(Proc[[#This Row],[App]],Table2[],3,0),"open")</f>
        <v>ok</v>
      </c>
      <c r="C3449" s="124" t="s">
        <v>369</v>
      </c>
      <c r="D3449" t="s">
        <v>5516</v>
      </c>
      <c r="E3449" t="s">
        <v>5551</v>
      </c>
      <c r="F3449" s="125" t="s">
        <v>5551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44" t="str">
        <f>IF(Proc[[#This Row],[Author]]="Marcela Urrego",VLOOKUP(LEFT(Proc[[#This Row],[Requested]],1),Table3[#All],2,0),VLOOKUP(Proc[[#This Row],[Author]],Table4[],2,0))</f>
        <v>LS</v>
      </c>
      <c r="L3449" s="125" t="s">
        <v>4894</v>
      </c>
      <c r="M3449" s="127">
        <v>45877</v>
      </c>
      <c r="N3449" s="127"/>
      <c r="O3449" s="127"/>
      <c r="P3449" s="115" t="str">
        <f ca="1">IF(Proc[[#This Row],[DaysAgeing]]&gt;5,"yep","on track")</f>
        <v>yep</v>
      </c>
      <c r="Q3449" s="3">
        <f ca="1">IF(Proc[[#This Row],[DateClosed]]="",ABS(NETWORKDAYS(Proc[[#This Row],[DateOpened]],TODAY()))-1,ABS(NETWORKDAYS(Proc[[#This Row],[DateOpened]],Proc[[#This Row],[DateClosed]]))-1)</f>
        <v>90</v>
      </c>
      <c r="R3449" s="115" t="s">
        <v>489</v>
      </c>
      <c r="S3449" s="125"/>
    </row>
    <row r="3450" spans="1:19">
      <c r="A3450" s="124" t="s">
        <v>5502</v>
      </c>
      <c r="B3450" s="149" t="str">
        <f>IFERROR(VLOOKUP(Proc[[#This Row],[App]],Table2[],3,0),"open")</f>
        <v>ok</v>
      </c>
      <c r="C3450" s="124" t="s">
        <v>369</v>
      </c>
      <c r="D3450" t="s">
        <v>5517</v>
      </c>
      <c r="E3450" t="s">
        <v>5551</v>
      </c>
      <c r="F3450" s="125" t="s">
        <v>5551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44" t="str">
        <f>IF(Proc[[#This Row],[Author]]="Marcela Urrego",VLOOKUP(LEFT(Proc[[#This Row],[Requested]],1),Table3[#All],2,0),VLOOKUP(Proc[[#This Row],[Author]],Table4[],2,0))</f>
        <v>LS</v>
      </c>
      <c r="L3450" s="125" t="s">
        <v>4894</v>
      </c>
      <c r="M3450" s="127">
        <v>45877</v>
      </c>
      <c r="N3450" s="127"/>
      <c r="O3450" s="127"/>
      <c r="P3450" s="115" t="str">
        <f ca="1">IF(Proc[[#This Row],[DaysAgeing]]&gt;5,"yep","on track")</f>
        <v>yep</v>
      </c>
      <c r="Q3450" s="3">
        <f ca="1">IF(Proc[[#This Row],[DateClosed]]="",ABS(NETWORKDAYS(Proc[[#This Row],[DateOpened]],TODAY()))-1,ABS(NETWORKDAYS(Proc[[#This Row],[DateOpened]],Proc[[#This Row],[DateClosed]]))-1)</f>
        <v>90</v>
      </c>
      <c r="R3450" s="115" t="s">
        <v>489</v>
      </c>
      <c r="S3450" s="125"/>
    </row>
    <row r="3451" spans="1:19">
      <c r="A3451" s="124" t="s">
        <v>5502</v>
      </c>
      <c r="B3451" s="149" t="str">
        <f>IFERROR(VLOOKUP(Proc[[#This Row],[App]],Table2[],3,0),"open")</f>
        <v>ok</v>
      </c>
      <c r="C3451" s="124" t="s">
        <v>369</v>
      </c>
      <c r="D3451" t="s">
        <v>5518</v>
      </c>
      <c r="E3451" t="s">
        <v>5551</v>
      </c>
      <c r="F3451" s="125" t="s">
        <v>5551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44" t="str">
        <f>IF(Proc[[#This Row],[Author]]="Marcela Urrego",VLOOKUP(LEFT(Proc[[#This Row],[Requested]],1),Table3[#All],2,0),VLOOKUP(Proc[[#This Row],[Author]],Table4[],2,0))</f>
        <v>LS</v>
      </c>
      <c r="L3451" s="125" t="s">
        <v>4894</v>
      </c>
      <c r="M3451" s="127">
        <v>45877</v>
      </c>
      <c r="N3451" s="127"/>
      <c r="O3451" s="127"/>
      <c r="P3451" s="115" t="str">
        <f ca="1">IF(Proc[[#This Row],[DaysAgeing]]&gt;5,"yep","on track")</f>
        <v>yep</v>
      </c>
      <c r="Q3451" s="3">
        <f ca="1">IF(Proc[[#This Row],[DateClosed]]="",ABS(NETWORKDAYS(Proc[[#This Row],[DateOpened]],TODAY()))-1,ABS(NETWORKDAYS(Proc[[#This Row],[DateOpened]],Proc[[#This Row],[DateClosed]]))-1)</f>
        <v>90</v>
      </c>
      <c r="R3451" s="115" t="s">
        <v>489</v>
      </c>
      <c r="S3451" s="125"/>
    </row>
    <row r="3452" spans="1:19">
      <c r="A3452" s="124" t="s">
        <v>5502</v>
      </c>
      <c r="B3452" s="149" t="str">
        <f>IFERROR(VLOOKUP(Proc[[#This Row],[App]],Table2[],3,0),"open")</f>
        <v>ok</v>
      </c>
      <c r="C3452" s="124" t="s">
        <v>369</v>
      </c>
      <c r="D3452" t="s">
        <v>5519</v>
      </c>
      <c r="E3452" t="s">
        <v>5551</v>
      </c>
      <c r="F3452" s="125" t="s">
        <v>5551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44" t="str">
        <f>IF(Proc[[#This Row],[Author]]="Marcela Urrego",VLOOKUP(LEFT(Proc[[#This Row],[Requested]],1),Table3[#All],2,0),VLOOKUP(Proc[[#This Row],[Author]],Table4[],2,0))</f>
        <v>LS</v>
      </c>
      <c r="L3452" s="125" t="s">
        <v>4894</v>
      </c>
      <c r="M3452" s="127">
        <v>45877</v>
      </c>
      <c r="N3452" s="127"/>
      <c r="O3452" s="127"/>
      <c r="P3452" s="115" t="str">
        <f ca="1">IF(Proc[[#This Row],[DaysAgeing]]&gt;5,"yep","on track")</f>
        <v>yep</v>
      </c>
      <c r="Q3452" s="3">
        <f ca="1">IF(Proc[[#This Row],[DateClosed]]="",ABS(NETWORKDAYS(Proc[[#This Row],[DateOpened]],TODAY()))-1,ABS(NETWORKDAYS(Proc[[#This Row],[DateOpened]],Proc[[#This Row],[DateClosed]]))-1)</f>
        <v>90</v>
      </c>
      <c r="R3452" s="115" t="s">
        <v>489</v>
      </c>
      <c r="S3452" s="125"/>
    </row>
    <row r="3453" spans="1:19">
      <c r="A3453" s="124" t="s">
        <v>5502</v>
      </c>
      <c r="B3453" s="149" t="str">
        <f>IFERROR(VLOOKUP(Proc[[#This Row],[App]],Table2[],3,0),"open")</f>
        <v>ok</v>
      </c>
      <c r="C3453" s="124" t="s">
        <v>369</v>
      </c>
      <c r="D3453" t="s">
        <v>5520</v>
      </c>
      <c r="E3453" t="s">
        <v>5551</v>
      </c>
      <c r="F3453" s="125" t="s">
        <v>5551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44" t="str">
        <f>IF(Proc[[#This Row],[Author]]="Marcela Urrego",VLOOKUP(LEFT(Proc[[#This Row],[Requested]],1),Table3[#All],2,0),VLOOKUP(Proc[[#This Row],[Author]],Table4[],2,0))</f>
        <v>LS</v>
      </c>
      <c r="L3453" s="125" t="s">
        <v>4894</v>
      </c>
      <c r="M3453" s="127">
        <v>45877</v>
      </c>
      <c r="N3453" s="127"/>
      <c r="O3453" s="127"/>
      <c r="P3453" s="115" t="str">
        <f ca="1">IF(Proc[[#This Row],[DaysAgeing]]&gt;5,"yep","on track")</f>
        <v>yep</v>
      </c>
      <c r="Q3453" s="3">
        <f ca="1">IF(Proc[[#This Row],[DateClosed]]="",ABS(NETWORKDAYS(Proc[[#This Row],[DateOpened]],TODAY()))-1,ABS(NETWORKDAYS(Proc[[#This Row],[DateOpened]],Proc[[#This Row],[DateClosed]]))-1)</f>
        <v>90</v>
      </c>
      <c r="R3453" s="115" t="s">
        <v>489</v>
      </c>
      <c r="S3453" s="125"/>
    </row>
    <row r="3454" spans="1:19">
      <c r="A3454" s="124" t="s">
        <v>5502</v>
      </c>
      <c r="B3454" s="149" t="str">
        <f>IFERROR(VLOOKUP(Proc[[#This Row],[App]],Table2[],3,0),"open")</f>
        <v>ok</v>
      </c>
      <c r="C3454" s="124" t="s">
        <v>369</v>
      </c>
      <c r="D3454" t="s">
        <v>5521</v>
      </c>
      <c r="E3454" t="s">
        <v>5551</v>
      </c>
      <c r="F3454" s="125" t="s">
        <v>5551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44" t="str">
        <f>IF(Proc[[#This Row],[Author]]="Marcela Urrego",VLOOKUP(LEFT(Proc[[#This Row],[Requested]],1),Table3[#All],2,0),VLOOKUP(Proc[[#This Row],[Author]],Table4[],2,0))</f>
        <v>LS</v>
      </c>
      <c r="L3454" s="125" t="s">
        <v>4894</v>
      </c>
      <c r="M3454" s="127">
        <v>45877</v>
      </c>
      <c r="N3454" s="127"/>
      <c r="O3454" s="127"/>
      <c r="P3454" s="115" t="str">
        <f ca="1">IF(Proc[[#This Row],[DaysAgeing]]&gt;5,"yep","on track")</f>
        <v>yep</v>
      </c>
      <c r="Q3454" s="3">
        <f ca="1">IF(Proc[[#This Row],[DateClosed]]="",ABS(NETWORKDAYS(Proc[[#This Row],[DateOpened]],TODAY()))-1,ABS(NETWORKDAYS(Proc[[#This Row],[DateOpened]],Proc[[#This Row],[DateClosed]]))-1)</f>
        <v>90</v>
      </c>
      <c r="R3454" s="115" t="s">
        <v>489</v>
      </c>
      <c r="S3454" s="125"/>
    </row>
    <row r="3455" spans="1:19">
      <c r="A3455" t="s">
        <v>5522</v>
      </c>
      <c r="B3455" s="149" t="str">
        <f>IFERROR(VLOOKUP(Proc[[#This Row],[App]],Table2[],3,0),"open")</f>
        <v>ok</v>
      </c>
      <c r="C3455" s="124" t="s">
        <v>369</v>
      </c>
      <c r="D3455" t="s">
        <v>5523</v>
      </c>
      <c r="E3455" t="s">
        <v>1251</v>
      </c>
      <c r="F3455" s="125" t="s">
        <v>1251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44" t="str">
        <f>IF(Proc[[#This Row],[Author]]="Marcela Urrego",VLOOKUP(LEFT(Proc[[#This Row],[Requested]],1),Table3[#All],2,0),VLOOKUP(Proc[[#This Row],[Author]],Table4[],2,0))</f>
        <v>MGF</v>
      </c>
      <c r="L3455" s="125" t="s">
        <v>4894</v>
      </c>
      <c r="M3455" s="127">
        <v>45877</v>
      </c>
      <c r="N3455" s="127"/>
      <c r="O3455" s="127"/>
      <c r="P3455" s="115" t="str">
        <f ca="1">IF(Proc[[#This Row],[DaysAgeing]]&gt;5,"yep","on track")</f>
        <v>yep</v>
      </c>
      <c r="Q3455" s="3">
        <f ca="1">IF(Proc[[#This Row],[DateClosed]]="",ABS(NETWORKDAYS(Proc[[#This Row],[DateOpened]],TODAY()))-1,ABS(NETWORKDAYS(Proc[[#This Row],[DateOpened]],Proc[[#This Row],[DateClosed]]))-1)</f>
        <v>90</v>
      </c>
      <c r="R3455" s="115" t="s">
        <v>1459</v>
      </c>
      <c r="S3455" s="125"/>
    </row>
    <row r="3456" spans="1:19">
      <c r="A3456" t="s">
        <v>5524</v>
      </c>
      <c r="B3456" s="149" t="str">
        <f>IFERROR(VLOOKUP(Proc[[#This Row],[App]],Table2[],3,0),"open")</f>
        <v>ok</v>
      </c>
      <c r="C3456" s="124" t="s">
        <v>369</v>
      </c>
      <c r="D3456" t="s">
        <v>5525</v>
      </c>
      <c r="E3456" t="s">
        <v>5527</v>
      </c>
      <c r="F3456" s="124" t="s">
        <v>5527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44" t="str">
        <f>IF(Proc[[#This Row],[Author]]="Marcela Urrego",VLOOKUP(LEFT(Proc[[#This Row],[Requested]],1),Table3[#All],2,0),VLOOKUP(Proc[[#This Row],[Author]],Table4[],2,0))</f>
        <v>LS</v>
      </c>
      <c r="L3456" s="125" t="s">
        <v>4894</v>
      </c>
      <c r="M3456" s="127">
        <v>45877</v>
      </c>
      <c r="N3456" s="127"/>
      <c r="O3456" s="127"/>
      <c r="P3456" s="115" t="str">
        <f ca="1">IF(Proc[[#This Row],[DaysAgeing]]&gt;5,"yep","on track")</f>
        <v>yep</v>
      </c>
      <c r="Q3456" s="3">
        <f ca="1">IF(Proc[[#This Row],[DateClosed]]="",ABS(NETWORKDAYS(Proc[[#This Row],[DateOpened]],TODAY()))-1,ABS(NETWORKDAYS(Proc[[#This Row],[DateOpened]],Proc[[#This Row],[DateClosed]]))-1)</f>
        <v>90</v>
      </c>
      <c r="R3456" s="115" t="s">
        <v>489</v>
      </c>
      <c r="S3456" s="125"/>
    </row>
    <row r="3457" spans="1:19">
      <c r="A3457" s="124" t="s">
        <v>5524</v>
      </c>
      <c r="B3457" s="149" t="str">
        <f>IFERROR(VLOOKUP(Proc[[#This Row],[App]],Table2[],3,0),"open")</f>
        <v>ok</v>
      </c>
      <c r="C3457" s="124" t="s">
        <v>369</v>
      </c>
      <c r="D3457" t="s">
        <v>5526</v>
      </c>
      <c r="E3457" t="s">
        <v>5528</v>
      </c>
      <c r="F3457" s="124" t="s">
        <v>5528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44" t="str">
        <f>IF(Proc[[#This Row],[Author]]="Marcela Urrego",VLOOKUP(LEFT(Proc[[#This Row],[Requested]],1),Table3[#All],2,0),VLOOKUP(Proc[[#This Row],[Author]],Table4[],2,0))</f>
        <v>LS</v>
      </c>
      <c r="L3457" s="125" t="s">
        <v>4894</v>
      </c>
      <c r="M3457" s="127">
        <v>45877</v>
      </c>
      <c r="N3457" s="127"/>
      <c r="O3457" s="127"/>
      <c r="P3457" s="115" t="str">
        <f ca="1">IF(Proc[[#This Row],[DaysAgeing]]&gt;5,"yep","on track")</f>
        <v>yep</v>
      </c>
      <c r="Q3457" s="3">
        <f ca="1">IF(Proc[[#This Row],[DateClosed]]="",ABS(NETWORKDAYS(Proc[[#This Row],[DateOpened]],TODAY()))-1,ABS(NETWORKDAYS(Proc[[#This Row],[DateOpened]],Proc[[#This Row],[DateClosed]]))-1)</f>
        <v>90</v>
      </c>
      <c r="R3457" s="115" t="s">
        <v>489</v>
      </c>
      <c r="S3457" s="125"/>
    </row>
    <row r="3458" spans="1:19">
      <c r="A3458" t="s">
        <v>5529</v>
      </c>
      <c r="B3458" s="149" t="str">
        <f>IFERROR(VLOOKUP(Proc[[#This Row],[App]],Table2[],3,0),"open")</f>
        <v>ok</v>
      </c>
      <c r="C3458" s="124" t="s">
        <v>369</v>
      </c>
      <c r="D3458" t="s">
        <v>4321</v>
      </c>
      <c r="E3458" t="s">
        <v>5552</v>
      </c>
      <c r="F3458" s="125" t="s">
        <v>5552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44" t="str">
        <f>IF(Proc[[#This Row],[Author]]="Marcela Urrego",VLOOKUP(LEFT(Proc[[#This Row],[Requested]],1),Table3[#All],2,0),VLOOKUP(Proc[[#This Row],[Author]],Table4[],2,0))</f>
        <v>LS</v>
      </c>
      <c r="L3458" s="125" t="s">
        <v>4894</v>
      </c>
      <c r="M3458" s="127">
        <v>45877</v>
      </c>
      <c r="N3458" s="127"/>
      <c r="O3458" s="127"/>
      <c r="P3458" s="115" t="str">
        <f ca="1">IF(Proc[[#This Row],[DaysAgeing]]&gt;5,"yep","on track")</f>
        <v>yep</v>
      </c>
      <c r="Q3458" s="3">
        <f ca="1">IF(Proc[[#This Row],[DateClosed]]="",ABS(NETWORKDAYS(Proc[[#This Row],[DateOpened]],TODAY()))-1,ABS(NETWORKDAYS(Proc[[#This Row],[DateOpened]],Proc[[#This Row],[DateClosed]]))-1)</f>
        <v>90</v>
      </c>
      <c r="R3458" s="115" t="s">
        <v>489</v>
      </c>
      <c r="S3458" s="125"/>
    </row>
    <row r="3459" spans="1:19">
      <c r="A3459" t="s">
        <v>5530</v>
      </c>
      <c r="B3459" s="149" t="str">
        <f>IFERROR(VLOOKUP(Proc[[#This Row],[App]],Table2[],3,0),"open")</f>
        <v>ok</v>
      </c>
      <c r="C3459" s="124" t="s">
        <v>369</v>
      </c>
      <c r="D3459" t="s">
        <v>5557</v>
      </c>
      <c r="E3459" t="s">
        <v>5552</v>
      </c>
      <c r="F3459" s="125" t="s">
        <v>5552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44" t="str">
        <f>IF(Proc[[#This Row],[Author]]="Marcela Urrego",VLOOKUP(LEFT(Proc[[#This Row],[Requested]],1),Table3[#All],2,0),VLOOKUP(Proc[[#This Row],[Author]],Table4[],2,0))</f>
        <v>LS</v>
      </c>
      <c r="L3459" s="125" t="s">
        <v>4894</v>
      </c>
      <c r="M3459" s="127">
        <v>45877</v>
      </c>
      <c r="N3459" s="127"/>
      <c r="O3459" s="127"/>
      <c r="P3459" s="115" t="str">
        <f ca="1">IF(Proc[[#This Row],[DaysAgeing]]&gt;5,"yep","on track")</f>
        <v>yep</v>
      </c>
      <c r="Q3459" s="3">
        <f ca="1">IF(Proc[[#This Row],[DateClosed]]="",ABS(NETWORKDAYS(Proc[[#This Row],[DateOpened]],TODAY()))-1,ABS(NETWORKDAYS(Proc[[#This Row],[DateOpened]],Proc[[#This Row],[DateClosed]]))-1)</f>
        <v>90</v>
      </c>
      <c r="R3459" s="115" t="s">
        <v>489</v>
      </c>
      <c r="S3459" s="125"/>
    </row>
    <row r="3460" spans="1:19">
      <c r="A3460" s="124" t="s">
        <v>5530</v>
      </c>
      <c r="B3460" s="149" t="str">
        <f>IFERROR(VLOOKUP(Proc[[#This Row],[App]],Table2[],3,0),"open")</f>
        <v>ok</v>
      </c>
      <c r="C3460" s="124" t="s">
        <v>369</v>
      </c>
      <c r="D3460" t="s">
        <v>5558</v>
      </c>
      <c r="E3460" t="s">
        <v>5552</v>
      </c>
      <c r="F3460" s="125" t="s">
        <v>5552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44" t="str">
        <f>IF(Proc[[#This Row],[Author]]="Marcela Urrego",VLOOKUP(LEFT(Proc[[#This Row],[Requested]],1),Table3[#All],2,0),VLOOKUP(Proc[[#This Row],[Author]],Table4[],2,0))</f>
        <v>LS</v>
      </c>
      <c r="L3460" s="125" t="s">
        <v>4894</v>
      </c>
      <c r="M3460" s="127">
        <v>45877</v>
      </c>
      <c r="N3460" s="127"/>
      <c r="O3460" s="127"/>
      <c r="P3460" s="115" t="str">
        <f ca="1">IF(Proc[[#This Row],[DaysAgeing]]&gt;5,"yep","on track")</f>
        <v>yep</v>
      </c>
      <c r="Q3460" s="3">
        <f ca="1">IF(Proc[[#This Row],[DateClosed]]="",ABS(NETWORKDAYS(Proc[[#This Row],[DateOpened]],TODAY()))-1,ABS(NETWORKDAYS(Proc[[#This Row],[DateOpened]],Proc[[#This Row],[DateClosed]]))-1)</f>
        <v>90</v>
      </c>
      <c r="R3460" s="115" t="s">
        <v>489</v>
      </c>
      <c r="S3460" s="125"/>
    </row>
    <row r="3461" spans="1:19">
      <c r="A3461" s="124" t="s">
        <v>5530</v>
      </c>
      <c r="B3461" s="149" t="str">
        <f>IFERROR(VLOOKUP(Proc[[#This Row],[App]],Table2[],3,0),"open")</f>
        <v>ok</v>
      </c>
      <c r="C3461" s="124" t="s">
        <v>369</v>
      </c>
      <c r="D3461" t="s">
        <v>5559</v>
      </c>
      <c r="E3461" t="s">
        <v>5552</v>
      </c>
      <c r="F3461" s="125" t="s">
        <v>5552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44" t="str">
        <f>IF(Proc[[#This Row],[Author]]="Marcela Urrego",VLOOKUP(LEFT(Proc[[#This Row],[Requested]],1),Table3[#All],2,0),VLOOKUP(Proc[[#This Row],[Author]],Table4[],2,0))</f>
        <v>LS</v>
      </c>
      <c r="L3461" s="125" t="s">
        <v>4894</v>
      </c>
      <c r="M3461" s="127">
        <v>45877</v>
      </c>
      <c r="N3461" s="127"/>
      <c r="O3461" s="127"/>
      <c r="P3461" s="115" t="str">
        <f ca="1">IF(Proc[[#This Row],[DaysAgeing]]&gt;5,"yep","on track")</f>
        <v>yep</v>
      </c>
      <c r="Q3461" s="3">
        <f ca="1">IF(Proc[[#This Row],[DateClosed]]="",ABS(NETWORKDAYS(Proc[[#This Row],[DateOpened]],TODAY()))-1,ABS(NETWORKDAYS(Proc[[#This Row],[DateOpened]],Proc[[#This Row],[DateClosed]]))-1)</f>
        <v>90</v>
      </c>
      <c r="R3461" s="115" t="s">
        <v>489</v>
      </c>
      <c r="S3461" s="125"/>
    </row>
    <row r="3462" spans="1:19">
      <c r="A3462" s="124" t="s">
        <v>5530</v>
      </c>
      <c r="B3462" s="149" t="str">
        <f>IFERROR(VLOOKUP(Proc[[#This Row],[App]],Table2[],3,0),"open")</f>
        <v>ok</v>
      </c>
      <c r="C3462" s="124" t="s">
        <v>369</v>
      </c>
      <c r="D3462" t="s">
        <v>5560</v>
      </c>
      <c r="E3462" t="s">
        <v>5552</v>
      </c>
      <c r="F3462" s="125" t="s">
        <v>5552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44" t="str">
        <f>IF(Proc[[#This Row],[Author]]="Marcela Urrego",VLOOKUP(LEFT(Proc[[#This Row],[Requested]],1),Table3[#All],2,0),VLOOKUP(Proc[[#This Row],[Author]],Table4[],2,0))</f>
        <v>LS</v>
      </c>
      <c r="L3462" s="125" t="s">
        <v>4894</v>
      </c>
      <c r="M3462" s="127">
        <v>45877</v>
      </c>
      <c r="N3462" s="127"/>
      <c r="O3462" s="127"/>
      <c r="P3462" s="115" t="str">
        <f ca="1">IF(Proc[[#This Row],[DaysAgeing]]&gt;5,"yep","on track")</f>
        <v>yep</v>
      </c>
      <c r="Q3462" s="3">
        <f ca="1">IF(Proc[[#This Row],[DateClosed]]="",ABS(NETWORKDAYS(Proc[[#This Row],[DateOpened]],TODAY()))-1,ABS(NETWORKDAYS(Proc[[#This Row],[DateOpened]],Proc[[#This Row],[DateClosed]]))-1)</f>
        <v>90</v>
      </c>
      <c r="R3462" s="115" t="s">
        <v>489</v>
      </c>
      <c r="S3462" s="125"/>
    </row>
    <row r="3463" spans="1:19">
      <c r="A3463" s="124" t="s">
        <v>5530</v>
      </c>
      <c r="B3463" s="149" t="str">
        <f>IFERROR(VLOOKUP(Proc[[#This Row],[App]],Table2[],3,0),"open")</f>
        <v>ok</v>
      </c>
      <c r="C3463" s="124" t="s">
        <v>369</v>
      </c>
      <c r="D3463" t="s">
        <v>5561</v>
      </c>
      <c r="E3463" t="s">
        <v>5552</v>
      </c>
      <c r="F3463" s="125" t="s">
        <v>5552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44" t="str">
        <f>IF(Proc[[#This Row],[Author]]="Marcela Urrego",VLOOKUP(LEFT(Proc[[#This Row],[Requested]],1),Table3[#All],2,0),VLOOKUP(Proc[[#This Row],[Author]],Table4[],2,0))</f>
        <v>LS</v>
      </c>
      <c r="L3463" s="125" t="s">
        <v>4894</v>
      </c>
      <c r="M3463" s="127">
        <v>45877</v>
      </c>
      <c r="N3463" s="127"/>
      <c r="O3463" s="127"/>
      <c r="P3463" s="115" t="str">
        <f ca="1">IF(Proc[[#This Row],[DaysAgeing]]&gt;5,"yep","on track")</f>
        <v>yep</v>
      </c>
      <c r="Q3463" s="3">
        <f ca="1">IF(Proc[[#This Row],[DateClosed]]="",ABS(NETWORKDAYS(Proc[[#This Row],[DateOpened]],TODAY()))-1,ABS(NETWORKDAYS(Proc[[#This Row],[DateOpened]],Proc[[#This Row],[DateClosed]]))-1)</f>
        <v>90</v>
      </c>
      <c r="R3463" s="115" t="s">
        <v>489</v>
      </c>
      <c r="S3463" s="125"/>
    </row>
    <row r="3464" spans="1:19">
      <c r="A3464" s="124" t="s">
        <v>5530</v>
      </c>
      <c r="B3464" s="149" t="str">
        <f>IFERROR(VLOOKUP(Proc[[#This Row],[App]],Table2[],3,0),"open")</f>
        <v>ok</v>
      </c>
      <c r="C3464" s="124" t="s">
        <v>369</v>
      </c>
      <c r="D3464" t="s">
        <v>5562</v>
      </c>
      <c r="E3464" t="s">
        <v>5552</v>
      </c>
      <c r="F3464" s="125" t="s">
        <v>5552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44" t="str">
        <f>IF(Proc[[#This Row],[Author]]="Marcela Urrego",VLOOKUP(LEFT(Proc[[#This Row],[Requested]],1),Table3[#All],2,0),VLOOKUP(Proc[[#This Row],[Author]],Table4[],2,0))</f>
        <v>LS</v>
      </c>
      <c r="L3464" s="125" t="s">
        <v>4894</v>
      </c>
      <c r="M3464" s="127">
        <v>45877</v>
      </c>
      <c r="N3464" s="127"/>
      <c r="O3464" s="127"/>
      <c r="P3464" s="115" t="str">
        <f ca="1">IF(Proc[[#This Row],[DaysAgeing]]&gt;5,"yep","on track")</f>
        <v>yep</v>
      </c>
      <c r="Q3464" s="3">
        <f ca="1">IF(Proc[[#This Row],[DateClosed]]="",ABS(NETWORKDAYS(Proc[[#This Row],[DateOpened]],TODAY()))-1,ABS(NETWORKDAYS(Proc[[#This Row],[DateOpened]],Proc[[#This Row],[DateClosed]]))-1)</f>
        <v>90</v>
      </c>
      <c r="R3464" s="115" t="s">
        <v>489</v>
      </c>
      <c r="S3464" s="125"/>
    </row>
    <row r="3465" spans="1:19">
      <c r="A3465" s="124" t="s">
        <v>5530</v>
      </c>
      <c r="B3465" s="149" t="str">
        <f>IFERROR(VLOOKUP(Proc[[#This Row],[App]],Table2[],3,0),"open")</f>
        <v>ok</v>
      </c>
      <c r="C3465" s="124" t="s">
        <v>369</v>
      </c>
      <c r="D3465" t="s">
        <v>5563</v>
      </c>
      <c r="E3465" t="s">
        <v>5531</v>
      </c>
      <c r="F3465" s="125" t="s">
        <v>5531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44" t="str">
        <f>IF(Proc[[#This Row],[Author]]="Marcela Urrego",VLOOKUP(LEFT(Proc[[#This Row],[Requested]],1),Table3[#All],2,0),VLOOKUP(Proc[[#This Row],[Author]],Table4[],2,0))</f>
        <v>LS</v>
      </c>
      <c r="L3465" s="125" t="s">
        <v>4894</v>
      </c>
      <c r="M3465" s="127">
        <v>45877</v>
      </c>
      <c r="N3465" s="127"/>
      <c r="O3465" s="127"/>
      <c r="P3465" s="115" t="str">
        <f ca="1">IF(Proc[[#This Row],[DaysAgeing]]&gt;5,"yep","on track")</f>
        <v>yep</v>
      </c>
      <c r="Q3465" s="3">
        <f ca="1">IF(Proc[[#This Row],[DateClosed]]="",ABS(NETWORKDAYS(Proc[[#This Row],[DateOpened]],TODAY()))-1,ABS(NETWORKDAYS(Proc[[#This Row],[DateOpened]],Proc[[#This Row],[DateClosed]]))-1)</f>
        <v>90</v>
      </c>
      <c r="R3465" s="115" t="s">
        <v>489</v>
      </c>
      <c r="S3465" s="125"/>
    </row>
    <row r="3466" spans="1:19">
      <c r="A3466" s="124" t="s">
        <v>5530</v>
      </c>
      <c r="B3466" s="149" t="str">
        <f>IFERROR(VLOOKUP(Proc[[#This Row],[App]],Table2[],3,0),"open")</f>
        <v>ok</v>
      </c>
      <c r="C3466" s="124" t="s">
        <v>369</v>
      </c>
      <c r="D3466" t="s">
        <v>5564</v>
      </c>
      <c r="E3466" t="s">
        <v>5531</v>
      </c>
      <c r="F3466" s="125" t="s">
        <v>5531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44" t="str">
        <f>IF(Proc[[#This Row],[Author]]="Marcela Urrego",VLOOKUP(LEFT(Proc[[#This Row],[Requested]],1),Table3[#All],2,0),VLOOKUP(Proc[[#This Row],[Author]],Table4[],2,0))</f>
        <v>LS</v>
      </c>
      <c r="L3466" s="125" t="s">
        <v>4894</v>
      </c>
      <c r="M3466" s="127">
        <v>45877</v>
      </c>
      <c r="N3466" s="127"/>
      <c r="O3466" s="127"/>
      <c r="P3466" s="115" t="str">
        <f ca="1">IF(Proc[[#This Row],[DaysAgeing]]&gt;5,"yep","on track")</f>
        <v>yep</v>
      </c>
      <c r="Q3466" s="3">
        <f ca="1">IF(Proc[[#This Row],[DateClosed]]="",ABS(NETWORKDAYS(Proc[[#This Row],[DateOpened]],TODAY()))-1,ABS(NETWORKDAYS(Proc[[#This Row],[DateOpened]],Proc[[#This Row],[DateClosed]]))-1)</f>
        <v>90</v>
      </c>
      <c r="R3466" s="115" t="s">
        <v>489</v>
      </c>
      <c r="S3466" s="125"/>
    </row>
    <row r="3467" spans="1:19">
      <c r="A3467" t="s">
        <v>5533</v>
      </c>
      <c r="B3467" s="149" t="str">
        <f>IFERROR(VLOOKUP(Proc[[#This Row],[App]],Table2[],3,0),"open")</f>
        <v>ok</v>
      </c>
      <c r="C3467" s="124" t="s">
        <v>369</v>
      </c>
      <c r="D3467" t="s">
        <v>5534</v>
      </c>
      <c r="E3467" t="s">
        <v>5532</v>
      </c>
      <c r="F3467" s="125" t="s">
        <v>5532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44" t="str">
        <f>IF(Proc[[#This Row],[Author]]="Marcela Urrego",VLOOKUP(LEFT(Proc[[#This Row],[Requested]],1),Table3[#All],2,0),VLOOKUP(Proc[[#This Row],[Author]],Table4[],2,0))</f>
        <v>HC</v>
      </c>
      <c r="L3467" s="125" t="s">
        <v>4894</v>
      </c>
      <c r="M3467" s="127">
        <v>45877</v>
      </c>
      <c r="N3467" s="127"/>
      <c r="O3467" s="127"/>
      <c r="P3467" s="115" t="str">
        <f ca="1">IF(Proc[[#This Row],[DaysAgeing]]&gt;5,"yep","on track")</f>
        <v>yep</v>
      </c>
      <c r="Q3467" s="3">
        <f ca="1">IF(Proc[[#This Row],[DateClosed]]="",ABS(NETWORKDAYS(Proc[[#This Row],[DateOpened]],TODAY()))-1,ABS(NETWORKDAYS(Proc[[#This Row],[DateOpened]],Proc[[#This Row],[DateClosed]]))-1)</f>
        <v>90</v>
      </c>
      <c r="R3467" s="115" t="s">
        <v>415</v>
      </c>
      <c r="S3467" s="125"/>
    </row>
    <row r="3468" spans="1:19">
      <c r="A3468" s="124" t="s">
        <v>5533</v>
      </c>
      <c r="B3468" s="149" t="str">
        <f>IFERROR(VLOOKUP(Proc[[#This Row],[App]],Table2[],3,0),"open")</f>
        <v>ok</v>
      </c>
      <c r="C3468" s="124" t="s">
        <v>369</v>
      </c>
      <c r="D3468" t="s">
        <v>5535</v>
      </c>
      <c r="E3468" t="s">
        <v>5532</v>
      </c>
      <c r="F3468" s="125" t="s">
        <v>5532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44" t="str">
        <f>IF(Proc[[#This Row],[Author]]="Marcela Urrego",VLOOKUP(LEFT(Proc[[#This Row],[Requested]],1),Table3[#All],2,0),VLOOKUP(Proc[[#This Row],[Author]],Table4[],2,0))</f>
        <v>HC</v>
      </c>
      <c r="L3468" s="125" t="s">
        <v>4894</v>
      </c>
      <c r="M3468" s="127">
        <v>45877</v>
      </c>
      <c r="N3468" s="127"/>
      <c r="O3468" s="127"/>
      <c r="P3468" s="115" t="str">
        <f ca="1">IF(Proc[[#This Row],[DaysAgeing]]&gt;5,"yep","on track")</f>
        <v>yep</v>
      </c>
      <c r="Q3468" s="3">
        <f ca="1">IF(Proc[[#This Row],[DateClosed]]="",ABS(NETWORKDAYS(Proc[[#This Row],[DateOpened]],TODAY()))-1,ABS(NETWORKDAYS(Proc[[#This Row],[DateOpened]],Proc[[#This Row],[DateClosed]]))-1)</f>
        <v>90</v>
      </c>
      <c r="R3468" s="115" t="s">
        <v>415</v>
      </c>
      <c r="S3468" s="125"/>
    </row>
    <row r="3469" spans="1:19">
      <c r="A3469" s="124" t="s">
        <v>5533</v>
      </c>
      <c r="B3469" s="149" t="str">
        <f>IFERROR(VLOOKUP(Proc[[#This Row],[App]],Table2[],3,0),"open")</f>
        <v>ok</v>
      </c>
      <c r="C3469" s="124" t="s">
        <v>369</v>
      </c>
      <c r="D3469" t="s">
        <v>5536</v>
      </c>
      <c r="E3469" t="s">
        <v>5532</v>
      </c>
      <c r="F3469" s="125" t="s">
        <v>5532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44" t="str">
        <f>IF(Proc[[#This Row],[Author]]="Marcela Urrego",VLOOKUP(LEFT(Proc[[#This Row],[Requested]],1),Table3[#All],2,0),VLOOKUP(Proc[[#This Row],[Author]],Table4[],2,0))</f>
        <v>HC</v>
      </c>
      <c r="L3469" s="125" t="s">
        <v>4894</v>
      </c>
      <c r="M3469" s="127">
        <v>45877</v>
      </c>
      <c r="N3469" s="127"/>
      <c r="O3469" s="127"/>
      <c r="P3469" s="115" t="str">
        <f ca="1">IF(Proc[[#This Row],[DaysAgeing]]&gt;5,"yep","on track")</f>
        <v>yep</v>
      </c>
      <c r="Q3469" s="3">
        <f ca="1">IF(Proc[[#This Row],[DateClosed]]="",ABS(NETWORKDAYS(Proc[[#This Row],[DateOpened]],TODAY()))-1,ABS(NETWORKDAYS(Proc[[#This Row],[DateOpened]],Proc[[#This Row],[DateClosed]]))-1)</f>
        <v>90</v>
      </c>
      <c r="R3469" s="115" t="s">
        <v>415</v>
      </c>
      <c r="S3469" s="125"/>
    </row>
    <row r="3470" spans="1:19">
      <c r="A3470" s="124" t="s">
        <v>5533</v>
      </c>
      <c r="B3470" s="149" t="str">
        <f>IFERROR(VLOOKUP(Proc[[#This Row],[App]],Table2[],3,0),"open")</f>
        <v>ok</v>
      </c>
      <c r="C3470" s="124" t="s">
        <v>369</v>
      </c>
      <c r="D3470" t="s">
        <v>5537</v>
      </c>
      <c r="E3470" t="s">
        <v>5532</v>
      </c>
      <c r="F3470" s="125" t="s">
        <v>5532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44" t="str">
        <f>IF(Proc[[#This Row],[Author]]="Marcela Urrego",VLOOKUP(LEFT(Proc[[#This Row],[Requested]],1),Table3[#All],2,0),VLOOKUP(Proc[[#This Row],[Author]],Table4[],2,0))</f>
        <v>HC</v>
      </c>
      <c r="L3470" s="125" t="s">
        <v>4894</v>
      </c>
      <c r="M3470" s="127">
        <v>45877</v>
      </c>
      <c r="N3470" s="127"/>
      <c r="O3470" s="127"/>
      <c r="P3470" s="115" t="str">
        <f ca="1">IF(Proc[[#This Row],[DaysAgeing]]&gt;5,"yep","on track")</f>
        <v>yep</v>
      </c>
      <c r="Q3470" s="3">
        <f ca="1">IF(Proc[[#This Row],[DateClosed]]="",ABS(NETWORKDAYS(Proc[[#This Row],[DateOpened]],TODAY()))-1,ABS(NETWORKDAYS(Proc[[#This Row],[DateOpened]],Proc[[#This Row],[DateClosed]]))-1)</f>
        <v>90</v>
      </c>
      <c r="R3470" s="115" t="s">
        <v>415</v>
      </c>
      <c r="S3470" s="125"/>
    </row>
    <row r="3471" spans="1:19">
      <c r="A3471" s="124" t="s">
        <v>5533</v>
      </c>
      <c r="B3471" s="149" t="str">
        <f>IFERROR(VLOOKUP(Proc[[#This Row],[App]],Table2[],3,0),"open")</f>
        <v>ok</v>
      </c>
      <c r="C3471" s="124" t="s">
        <v>369</v>
      </c>
      <c r="D3471" t="s">
        <v>5538</v>
      </c>
      <c r="E3471" t="s">
        <v>5532</v>
      </c>
      <c r="F3471" s="125" t="s">
        <v>5532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44" t="str">
        <f>IF(Proc[[#This Row],[Author]]="Marcela Urrego",VLOOKUP(LEFT(Proc[[#This Row],[Requested]],1),Table3[#All],2,0),VLOOKUP(Proc[[#This Row],[Author]],Table4[],2,0))</f>
        <v>HC</v>
      </c>
      <c r="L3471" s="125" t="s">
        <v>4894</v>
      </c>
      <c r="M3471" s="127">
        <v>45877</v>
      </c>
      <c r="N3471" s="127"/>
      <c r="O3471" s="127"/>
      <c r="P3471" s="115" t="str">
        <f ca="1">IF(Proc[[#This Row],[DaysAgeing]]&gt;5,"yep","on track")</f>
        <v>yep</v>
      </c>
      <c r="Q3471" s="3">
        <f ca="1">IF(Proc[[#This Row],[DateClosed]]="",ABS(NETWORKDAYS(Proc[[#This Row],[DateOpened]],TODAY()))-1,ABS(NETWORKDAYS(Proc[[#This Row],[DateOpened]],Proc[[#This Row],[DateClosed]]))-1)</f>
        <v>90</v>
      </c>
      <c r="R3471" s="115" t="s">
        <v>415</v>
      </c>
      <c r="S3471" s="125"/>
    </row>
    <row r="3472" spans="1:19">
      <c r="A3472" s="124" t="s">
        <v>5533</v>
      </c>
      <c r="B3472" s="149" t="str">
        <f>IFERROR(VLOOKUP(Proc[[#This Row],[App]],Table2[],3,0),"open")</f>
        <v>ok</v>
      </c>
      <c r="C3472" s="124" t="s">
        <v>369</v>
      </c>
      <c r="D3472" t="s">
        <v>5539</v>
      </c>
      <c r="E3472" t="s">
        <v>5532</v>
      </c>
      <c r="F3472" s="125" t="s">
        <v>5532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44" t="str">
        <f>IF(Proc[[#This Row],[Author]]="Marcela Urrego",VLOOKUP(LEFT(Proc[[#This Row],[Requested]],1),Table3[#All],2,0),VLOOKUP(Proc[[#This Row],[Author]],Table4[],2,0))</f>
        <v>HC</v>
      </c>
      <c r="L3472" s="125" t="s">
        <v>4894</v>
      </c>
      <c r="M3472" s="127">
        <v>45877</v>
      </c>
      <c r="N3472" s="127"/>
      <c r="O3472" s="127"/>
      <c r="P3472" s="115" t="str">
        <f ca="1">IF(Proc[[#This Row],[DaysAgeing]]&gt;5,"yep","on track")</f>
        <v>yep</v>
      </c>
      <c r="Q3472" s="3">
        <f ca="1">IF(Proc[[#This Row],[DateClosed]]="",ABS(NETWORKDAYS(Proc[[#This Row],[DateOpened]],TODAY()))-1,ABS(NETWORKDAYS(Proc[[#This Row],[DateOpened]],Proc[[#This Row],[DateClosed]]))-1)</f>
        <v>90</v>
      </c>
      <c r="R3472" s="115" t="s">
        <v>415</v>
      </c>
      <c r="S3472" s="125"/>
    </row>
    <row r="3473" spans="1:19">
      <c r="A3473" s="124" t="s">
        <v>5533</v>
      </c>
      <c r="B3473" s="149" t="str">
        <f>IFERROR(VLOOKUP(Proc[[#This Row],[App]],Table2[],3,0),"open")</f>
        <v>ok</v>
      </c>
      <c r="C3473" s="124" t="s">
        <v>369</v>
      </c>
      <c r="D3473" t="s">
        <v>5540</v>
      </c>
      <c r="E3473" t="s">
        <v>5532</v>
      </c>
      <c r="F3473" s="125" t="s">
        <v>5532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44" t="str">
        <f>IF(Proc[[#This Row],[Author]]="Marcela Urrego",VLOOKUP(LEFT(Proc[[#This Row],[Requested]],1),Table3[#All],2,0),VLOOKUP(Proc[[#This Row],[Author]],Table4[],2,0))</f>
        <v>HC</v>
      </c>
      <c r="L3473" s="125" t="s">
        <v>4894</v>
      </c>
      <c r="M3473" s="127">
        <v>45877</v>
      </c>
      <c r="N3473" s="127"/>
      <c r="O3473" s="127"/>
      <c r="P3473" s="115" t="str">
        <f ca="1">IF(Proc[[#This Row],[DaysAgeing]]&gt;5,"yep","on track")</f>
        <v>yep</v>
      </c>
      <c r="Q3473" s="3">
        <f ca="1">IF(Proc[[#This Row],[DateClosed]]="",ABS(NETWORKDAYS(Proc[[#This Row],[DateOpened]],TODAY()))-1,ABS(NETWORKDAYS(Proc[[#This Row],[DateOpened]],Proc[[#This Row],[DateClosed]]))-1)</f>
        <v>90</v>
      </c>
      <c r="R3473" s="115" t="s">
        <v>415</v>
      </c>
      <c r="S3473" s="125"/>
    </row>
    <row r="3474" spans="1:19">
      <c r="A3474" s="124" t="s">
        <v>5533</v>
      </c>
      <c r="B3474" s="149" t="str">
        <f>IFERROR(VLOOKUP(Proc[[#This Row],[App]],Table2[],3,0),"open")</f>
        <v>ok</v>
      </c>
      <c r="C3474" s="124" t="s">
        <v>369</v>
      </c>
      <c r="D3474" t="s">
        <v>5541</v>
      </c>
      <c r="E3474" t="s">
        <v>5532</v>
      </c>
      <c r="F3474" s="125" t="s">
        <v>5532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44" t="str">
        <f>IF(Proc[[#This Row],[Author]]="Marcela Urrego",VLOOKUP(LEFT(Proc[[#This Row],[Requested]],1),Table3[#All],2,0),VLOOKUP(Proc[[#This Row],[Author]],Table4[],2,0))</f>
        <v>HC</v>
      </c>
      <c r="L3474" s="125" t="s">
        <v>4894</v>
      </c>
      <c r="M3474" s="127">
        <v>45877</v>
      </c>
      <c r="N3474" s="127"/>
      <c r="O3474" s="127"/>
      <c r="P3474" s="115" t="str">
        <f ca="1">IF(Proc[[#This Row],[DaysAgeing]]&gt;5,"yep","on track")</f>
        <v>yep</v>
      </c>
      <c r="Q3474" s="3">
        <f ca="1">IF(Proc[[#This Row],[DateClosed]]="",ABS(NETWORKDAYS(Proc[[#This Row],[DateOpened]],TODAY()))-1,ABS(NETWORKDAYS(Proc[[#This Row],[DateOpened]],Proc[[#This Row],[DateClosed]]))-1)</f>
        <v>90</v>
      </c>
      <c r="R3474" s="115" t="s">
        <v>415</v>
      </c>
      <c r="S3474" s="125"/>
    </row>
    <row r="3475" spans="1:19">
      <c r="A3475" s="124" t="s">
        <v>5533</v>
      </c>
      <c r="B3475" s="149" t="str">
        <f>IFERROR(VLOOKUP(Proc[[#This Row],[App]],Table2[],3,0),"open")</f>
        <v>ok</v>
      </c>
      <c r="C3475" s="124" t="s">
        <v>369</v>
      </c>
      <c r="D3475" t="s">
        <v>5542</v>
      </c>
      <c r="E3475" t="s">
        <v>5532</v>
      </c>
      <c r="F3475" s="125" t="s">
        <v>5532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44" t="str">
        <f>IF(Proc[[#This Row],[Author]]="Marcela Urrego",VLOOKUP(LEFT(Proc[[#This Row],[Requested]],1),Table3[#All],2,0),VLOOKUP(Proc[[#This Row],[Author]],Table4[],2,0))</f>
        <v>HC</v>
      </c>
      <c r="L3475" s="125" t="s">
        <v>4894</v>
      </c>
      <c r="M3475" s="127">
        <v>45877</v>
      </c>
      <c r="N3475" s="127"/>
      <c r="O3475" s="127"/>
      <c r="P3475" s="115" t="str">
        <f ca="1">IF(Proc[[#This Row],[DaysAgeing]]&gt;5,"yep","on track")</f>
        <v>yep</v>
      </c>
      <c r="Q3475" s="3">
        <f ca="1">IF(Proc[[#This Row],[DateClosed]]="",ABS(NETWORKDAYS(Proc[[#This Row],[DateOpened]],TODAY()))-1,ABS(NETWORKDAYS(Proc[[#This Row],[DateOpened]],Proc[[#This Row],[DateClosed]]))-1)</f>
        <v>90</v>
      </c>
      <c r="R3475" s="115" t="s">
        <v>415</v>
      </c>
      <c r="S3475" s="125"/>
    </row>
    <row r="3476" spans="1:19">
      <c r="A3476" s="124" t="s">
        <v>5533</v>
      </c>
      <c r="B3476" s="149" t="str">
        <f>IFERROR(VLOOKUP(Proc[[#This Row],[App]],Table2[],3,0),"open")</f>
        <v>ok</v>
      </c>
      <c r="C3476" s="124" t="s">
        <v>369</v>
      </c>
      <c r="D3476" t="s">
        <v>5543</v>
      </c>
      <c r="E3476" t="s">
        <v>5532</v>
      </c>
      <c r="F3476" s="125" t="s">
        <v>5532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44" t="str">
        <f>IF(Proc[[#This Row],[Author]]="Marcela Urrego",VLOOKUP(LEFT(Proc[[#This Row],[Requested]],1),Table3[#All],2,0),VLOOKUP(Proc[[#This Row],[Author]],Table4[],2,0))</f>
        <v>HC</v>
      </c>
      <c r="L3476" s="125" t="s">
        <v>4894</v>
      </c>
      <c r="M3476" s="127">
        <v>45877</v>
      </c>
      <c r="N3476" s="127"/>
      <c r="O3476" s="127"/>
      <c r="P3476" s="115" t="str">
        <f ca="1">IF(Proc[[#This Row],[DaysAgeing]]&gt;5,"yep","on track")</f>
        <v>yep</v>
      </c>
      <c r="Q3476" s="3">
        <f ca="1">IF(Proc[[#This Row],[DateClosed]]="",ABS(NETWORKDAYS(Proc[[#This Row],[DateOpened]],TODAY()))-1,ABS(NETWORKDAYS(Proc[[#This Row],[DateOpened]],Proc[[#This Row],[DateClosed]]))-1)</f>
        <v>90</v>
      </c>
      <c r="R3476" s="115" t="s">
        <v>415</v>
      </c>
      <c r="S3476" s="125"/>
    </row>
    <row r="3477" spans="1:19">
      <c r="A3477" t="s">
        <v>5546</v>
      </c>
      <c r="B3477" s="149" t="str">
        <f>IFERROR(VLOOKUP(Proc[[#This Row],[App]],Table2[],3,0),"open")</f>
        <v>ok</v>
      </c>
      <c r="C3477" s="124" t="s">
        <v>369</v>
      </c>
      <c r="D3477" t="s">
        <v>5547</v>
      </c>
      <c r="E3477" s="124" t="s">
        <v>5548</v>
      </c>
      <c r="F3477" s="125" t="s">
        <v>5548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44" t="str">
        <f>IF(Proc[[#This Row],[Author]]="Marcela Urrego",VLOOKUP(LEFT(Proc[[#This Row],[Requested]],1),Table3[#All],2,0),VLOOKUP(Proc[[#This Row],[Author]],Table4[],2,0))</f>
        <v>HC</v>
      </c>
      <c r="L3477" s="125" t="s">
        <v>4894</v>
      </c>
      <c r="M3477" s="127">
        <v>45880</v>
      </c>
      <c r="N3477" s="127"/>
      <c r="O3477" s="127"/>
      <c r="P3477" s="115" t="str">
        <f ca="1">IF(Proc[[#This Row],[DaysAgeing]]&gt;5,"yep","on track")</f>
        <v>yep</v>
      </c>
      <c r="Q3477" s="3">
        <f ca="1">IF(Proc[[#This Row],[DateClosed]]="",ABS(NETWORKDAYS(Proc[[#This Row],[DateOpened]],TODAY()))-1,ABS(NETWORKDAYS(Proc[[#This Row],[DateOpened]],Proc[[#This Row],[DateClosed]]))-1)</f>
        <v>89</v>
      </c>
      <c r="R3477" s="115" t="s">
        <v>410</v>
      </c>
      <c r="S3477" s="125"/>
    </row>
    <row r="3478" spans="1:19">
      <c r="A3478" t="s">
        <v>5549</v>
      </c>
      <c r="B3478" s="149" t="str">
        <f>IFERROR(VLOOKUP(Proc[[#This Row],[App]],Table2[],3,0),"open")</f>
        <v>ok</v>
      </c>
      <c r="C3478" s="124" t="s">
        <v>369</v>
      </c>
      <c r="D3478" t="s">
        <v>5550</v>
      </c>
      <c r="E3478" t="s">
        <v>5553</v>
      </c>
      <c r="F3478" s="125" t="s">
        <v>5553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44" t="str">
        <f>IF(Proc[[#This Row],[Author]]="Marcela Urrego",VLOOKUP(LEFT(Proc[[#This Row],[Requested]],1),Table3[#All],2,0),VLOOKUP(Proc[[#This Row],[Author]],Table4[],2,0))</f>
        <v>MGF</v>
      </c>
      <c r="L3478" s="125" t="s">
        <v>4894</v>
      </c>
      <c r="M3478" s="127">
        <v>45880</v>
      </c>
      <c r="N3478" s="127"/>
      <c r="O3478" s="127"/>
      <c r="P3478" s="115" t="str">
        <f ca="1">IF(Proc[[#This Row],[DaysAgeing]]&gt;5,"yep","on track")</f>
        <v>yep</v>
      </c>
      <c r="Q3478" s="3">
        <f ca="1">IF(Proc[[#This Row],[DateClosed]]="",ABS(NETWORKDAYS(Proc[[#This Row],[DateOpened]],TODAY()))-1,ABS(NETWORKDAYS(Proc[[#This Row],[DateOpened]],Proc[[#This Row],[DateClosed]]))-1)</f>
        <v>89</v>
      </c>
      <c r="R3478" s="115" t="s">
        <v>515</v>
      </c>
      <c r="S3478" s="125"/>
    </row>
    <row r="3479" spans="1:19">
      <c r="A3479" t="s">
        <v>5554</v>
      </c>
      <c r="B3479" s="149" t="str">
        <f>IFERROR(VLOOKUP(Proc[[#This Row],[App]],Table2[],3,0),"open")</f>
        <v>ok</v>
      </c>
      <c r="C3479" t="s">
        <v>369</v>
      </c>
      <c r="D3479" t="s">
        <v>5565</v>
      </c>
      <c r="E3479" t="s">
        <v>5555</v>
      </c>
      <c r="F3479" s="129" t="s">
        <v>5555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1</v>
      </c>
      <c r="K3479" s="144" t="str">
        <f>IF(Proc[[#This Row],[Author]]="Marcela Urrego",VLOOKUP(LEFT(Proc[[#This Row],[Requested]],1),Table3[#All],2,0),VLOOKUP(Proc[[#This Row],[Author]],Table4[],2,0))</f>
        <v>HC</v>
      </c>
      <c r="L3479" s="129" t="s">
        <v>4894</v>
      </c>
      <c r="M3479" s="127">
        <v>45881</v>
      </c>
      <c r="N3479" s="127"/>
      <c r="O3479" s="127"/>
      <c r="P3479" s="115" t="str">
        <f ca="1">IF(Proc[[#This Row],[DaysAgeing]]&gt;5,"yep","on track")</f>
        <v>yep</v>
      </c>
      <c r="Q3479" s="3">
        <f ca="1">IF(Proc[[#This Row],[DateClosed]]="",ABS(NETWORKDAYS(Proc[[#This Row],[DateOpened]],TODAY()))-1,ABS(NETWORKDAYS(Proc[[#This Row],[DateOpened]],Proc[[#This Row],[DateClosed]]))-1)</f>
        <v>88</v>
      </c>
      <c r="R3479" s="115" t="s">
        <v>410</v>
      </c>
      <c r="S3479" s="125"/>
    </row>
    <row r="3480" spans="1:19">
      <c r="A3480" s="124" t="s">
        <v>5554</v>
      </c>
      <c r="B3480" s="149" t="str">
        <f>IFERROR(VLOOKUP(Proc[[#This Row],[App]],Table2[],3,0),"open")</f>
        <v>ok</v>
      </c>
      <c r="C3480" s="128" t="s">
        <v>369</v>
      </c>
      <c r="D3480" t="s">
        <v>5566</v>
      </c>
      <c r="E3480" t="s">
        <v>5555</v>
      </c>
      <c r="F3480" s="129" t="s">
        <v>5555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1</v>
      </c>
      <c r="K3480" s="144" t="str">
        <f>IF(Proc[[#This Row],[Author]]="Marcela Urrego",VLOOKUP(LEFT(Proc[[#This Row],[Requested]],1),Table3[#All],2,0),VLOOKUP(Proc[[#This Row],[Author]],Table4[],2,0))</f>
        <v>HC</v>
      </c>
      <c r="L3480" s="129" t="s">
        <v>4894</v>
      </c>
      <c r="M3480" s="127">
        <v>45881</v>
      </c>
      <c r="N3480" s="127"/>
      <c r="O3480" s="127"/>
      <c r="P3480" s="115" t="str">
        <f ca="1">IF(Proc[[#This Row],[DaysAgeing]]&gt;5,"yep","on track")</f>
        <v>yep</v>
      </c>
      <c r="Q3480" s="3">
        <f ca="1">IF(Proc[[#This Row],[DateClosed]]="",ABS(NETWORKDAYS(Proc[[#This Row],[DateOpened]],TODAY()))-1,ABS(NETWORKDAYS(Proc[[#This Row],[DateOpened]],Proc[[#This Row],[DateClosed]]))-1)</f>
        <v>88</v>
      </c>
      <c r="R3480" s="115" t="s">
        <v>410</v>
      </c>
      <c r="S3480" s="125"/>
    </row>
    <row r="3481" spans="1:19">
      <c r="A3481" s="124" t="s">
        <v>5554</v>
      </c>
      <c r="B3481" s="149" t="str">
        <f>IFERROR(VLOOKUP(Proc[[#This Row],[App]],Table2[],3,0),"open")</f>
        <v>ok</v>
      </c>
      <c r="C3481" s="128" t="s">
        <v>369</v>
      </c>
      <c r="D3481" t="s">
        <v>2394</v>
      </c>
      <c r="E3481" t="s">
        <v>2391</v>
      </c>
      <c r="F3481" s="129" t="s">
        <v>2391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1</v>
      </c>
      <c r="K3481" s="144" t="str">
        <f>IF(Proc[[#This Row],[Author]]="Marcela Urrego",VLOOKUP(LEFT(Proc[[#This Row],[Requested]],1),Table3[#All],2,0),VLOOKUP(Proc[[#This Row],[Author]],Table4[],2,0))</f>
        <v>HC</v>
      </c>
      <c r="L3481" s="129" t="s">
        <v>4894</v>
      </c>
      <c r="M3481" s="127">
        <v>45881</v>
      </c>
      <c r="N3481" s="127"/>
      <c r="O3481" s="127"/>
      <c r="P3481" s="115" t="str">
        <f ca="1">IF(Proc[[#This Row],[DaysAgeing]]&gt;5,"yep","on track")</f>
        <v>yep</v>
      </c>
      <c r="Q3481" s="3">
        <f ca="1">IF(Proc[[#This Row],[DateClosed]]="",ABS(NETWORKDAYS(Proc[[#This Row],[DateOpened]],TODAY()))-1,ABS(NETWORKDAYS(Proc[[#This Row],[DateOpened]],Proc[[#This Row],[DateClosed]]))-1)</f>
        <v>88</v>
      </c>
      <c r="R3481" s="115" t="s">
        <v>410</v>
      </c>
      <c r="S3481" s="125"/>
    </row>
    <row r="3482" spans="1:19">
      <c r="A3482" s="124" t="s">
        <v>5554</v>
      </c>
      <c r="B3482" s="149" t="str">
        <f>IFERROR(VLOOKUP(Proc[[#This Row],[App]],Table2[],3,0),"open")</f>
        <v>ok</v>
      </c>
      <c r="C3482" s="128" t="s">
        <v>369</v>
      </c>
      <c r="D3482" t="s">
        <v>2393</v>
      </c>
      <c r="E3482" t="s">
        <v>2391</v>
      </c>
      <c r="F3482" s="129" t="s">
        <v>2391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1</v>
      </c>
      <c r="K3482" s="144" t="str">
        <f>IF(Proc[[#This Row],[Author]]="Marcela Urrego",VLOOKUP(LEFT(Proc[[#This Row],[Requested]],1),Table3[#All],2,0),VLOOKUP(Proc[[#This Row],[Author]],Table4[],2,0))</f>
        <v>HC</v>
      </c>
      <c r="L3482" s="129" t="s">
        <v>4894</v>
      </c>
      <c r="M3482" s="127">
        <v>45881</v>
      </c>
      <c r="N3482" s="127"/>
      <c r="O3482" s="127"/>
      <c r="P3482" s="115" t="str">
        <f ca="1">IF(Proc[[#This Row],[DaysAgeing]]&gt;5,"yep","on track")</f>
        <v>yep</v>
      </c>
      <c r="Q3482" s="3">
        <f ca="1">IF(Proc[[#This Row],[DateClosed]]="",ABS(NETWORKDAYS(Proc[[#This Row],[DateOpened]],TODAY()))-1,ABS(NETWORKDAYS(Proc[[#This Row],[DateOpened]],Proc[[#This Row],[DateClosed]]))-1)</f>
        <v>88</v>
      </c>
      <c r="R3482" s="115" t="s">
        <v>410</v>
      </c>
      <c r="S3482" s="125"/>
    </row>
    <row r="3483" spans="1:19">
      <c r="A3483" s="124" t="s">
        <v>5554</v>
      </c>
      <c r="B3483" s="149" t="str">
        <f>IFERROR(VLOOKUP(Proc[[#This Row],[App]],Table2[],3,0),"open")</f>
        <v>ok</v>
      </c>
      <c r="C3483" s="128" t="s">
        <v>369</v>
      </c>
      <c r="D3483" t="s">
        <v>2392</v>
      </c>
      <c r="E3483" t="s">
        <v>2391</v>
      </c>
      <c r="F3483" s="129" t="s">
        <v>2391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1</v>
      </c>
      <c r="K3483" s="144" t="str">
        <f>IF(Proc[[#This Row],[Author]]="Marcela Urrego",VLOOKUP(LEFT(Proc[[#This Row],[Requested]],1),Table3[#All],2,0),VLOOKUP(Proc[[#This Row],[Author]],Table4[],2,0))</f>
        <v>HC</v>
      </c>
      <c r="L3483" s="129" t="s">
        <v>4894</v>
      </c>
      <c r="M3483" s="127">
        <v>45881</v>
      </c>
      <c r="N3483" s="127"/>
      <c r="O3483" s="127"/>
      <c r="P3483" s="115" t="str">
        <f ca="1">IF(Proc[[#This Row],[DaysAgeing]]&gt;5,"yep","on track")</f>
        <v>yep</v>
      </c>
      <c r="Q3483" s="3">
        <f ca="1">IF(Proc[[#This Row],[DateClosed]]="",ABS(NETWORKDAYS(Proc[[#This Row],[DateOpened]],TODAY()))-1,ABS(NETWORKDAYS(Proc[[#This Row],[DateOpened]],Proc[[#This Row],[DateClosed]]))-1)</f>
        <v>88</v>
      </c>
      <c r="R3483" s="115" t="s">
        <v>410</v>
      </c>
      <c r="S3483" s="125"/>
    </row>
    <row r="3484" spans="1:19">
      <c r="A3484" s="124" t="s">
        <v>5554</v>
      </c>
      <c r="B3484" s="149" t="str">
        <f>IFERROR(VLOOKUP(Proc[[#This Row],[App]],Table2[],3,0),"open")</f>
        <v>ok</v>
      </c>
      <c r="C3484" s="128" t="s">
        <v>369</v>
      </c>
      <c r="D3484" t="s">
        <v>5567</v>
      </c>
      <c r="E3484" t="s">
        <v>5556</v>
      </c>
      <c r="F3484" s="129" t="s">
        <v>5556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1</v>
      </c>
      <c r="K3484" s="144" t="str">
        <f>IF(Proc[[#This Row],[Author]]="Marcela Urrego",VLOOKUP(LEFT(Proc[[#This Row],[Requested]],1),Table3[#All],2,0),VLOOKUP(Proc[[#This Row],[Author]],Table4[],2,0))</f>
        <v>HC</v>
      </c>
      <c r="L3484" s="129" t="s">
        <v>4894</v>
      </c>
      <c r="M3484" s="127">
        <v>45881</v>
      </c>
      <c r="N3484" s="127"/>
      <c r="O3484" s="127"/>
      <c r="P3484" s="115" t="str">
        <f ca="1">IF(Proc[[#This Row],[DaysAgeing]]&gt;5,"yep","on track")</f>
        <v>yep</v>
      </c>
      <c r="Q3484" s="3">
        <f ca="1">IF(Proc[[#This Row],[DateClosed]]="",ABS(NETWORKDAYS(Proc[[#This Row],[DateOpened]],TODAY()))-1,ABS(NETWORKDAYS(Proc[[#This Row],[DateOpened]],Proc[[#This Row],[DateClosed]]))-1)</f>
        <v>88</v>
      </c>
      <c r="R3484" s="115" t="s">
        <v>410</v>
      </c>
      <c r="S3484" s="125"/>
    </row>
    <row r="3485" spans="1:19">
      <c r="A3485" s="124" t="s">
        <v>5554</v>
      </c>
      <c r="B3485" s="149" t="str">
        <f>IFERROR(VLOOKUP(Proc[[#This Row],[App]],Table2[],3,0),"open")</f>
        <v>ok</v>
      </c>
      <c r="C3485" s="128" t="s">
        <v>369</v>
      </c>
      <c r="D3485" t="s">
        <v>5568</v>
      </c>
      <c r="E3485" t="s">
        <v>5556</v>
      </c>
      <c r="F3485" s="129" t="s">
        <v>5556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1</v>
      </c>
      <c r="K3485" s="144" t="str">
        <f>IF(Proc[[#This Row],[Author]]="Marcela Urrego",VLOOKUP(LEFT(Proc[[#This Row],[Requested]],1),Table3[#All],2,0),VLOOKUP(Proc[[#This Row],[Author]],Table4[],2,0))</f>
        <v>HC</v>
      </c>
      <c r="L3485" s="129" t="s">
        <v>4894</v>
      </c>
      <c r="M3485" s="127">
        <v>45881</v>
      </c>
      <c r="N3485" s="127"/>
      <c r="O3485" s="127"/>
      <c r="P3485" s="115" t="str">
        <f ca="1">IF(Proc[[#This Row],[DaysAgeing]]&gt;5,"yep","on track")</f>
        <v>yep</v>
      </c>
      <c r="Q3485" s="3">
        <f ca="1">IF(Proc[[#This Row],[DateClosed]]="",ABS(NETWORKDAYS(Proc[[#This Row],[DateOpened]],TODAY()))-1,ABS(NETWORKDAYS(Proc[[#This Row],[DateOpened]],Proc[[#This Row],[DateClosed]]))-1)</f>
        <v>88</v>
      </c>
      <c r="R3485" s="115" t="s">
        <v>410</v>
      </c>
      <c r="S3485" s="125"/>
    </row>
    <row r="3486" spans="1:19">
      <c r="A3486" t="s">
        <v>5571</v>
      </c>
      <c r="B3486" s="149" t="str">
        <f>IFERROR(VLOOKUP(Proc[[#This Row],[App]],Table2[],3,0),"open")</f>
        <v>ok</v>
      </c>
      <c r="C3486" s="128" t="s">
        <v>369</v>
      </c>
      <c r="D3486" t="s">
        <v>5575</v>
      </c>
      <c r="E3486" s="128" t="s">
        <v>5570</v>
      </c>
      <c r="F3486" s="129" t="s">
        <v>5570</v>
      </c>
      <c r="G3486" t="s">
        <v>400</v>
      </c>
      <c r="H3486" s="125" t="str">
        <f>IF(Proc[[#This Row],[type]]="LFF (MDG-F)",MID(Proc[[#This Row],[Obj]],13,10),"")</f>
        <v/>
      </c>
      <c r="J3486" s="125" t="b">
        <f>Proc[[#This Row],[Requested]]=Proc[[#This Row],[CurrentParent]]</f>
        <v>1</v>
      </c>
      <c r="K3486" s="144" t="str">
        <f>IF(Proc[[#This Row],[Author]]="Marcela Urrego",VLOOKUP(LEFT(Proc[[#This Row],[Requested]],1),Table3[#All],2,0),VLOOKUP(Proc[[#This Row],[Author]],Table4[],2,0))</f>
        <v>LS</v>
      </c>
      <c r="L3486" s="129" t="s">
        <v>4894</v>
      </c>
      <c r="M3486" s="127">
        <v>45882</v>
      </c>
      <c r="N3486" s="127"/>
      <c r="O3486" s="127"/>
      <c r="P3486" s="115" t="str">
        <f ca="1">IF(Proc[[#This Row],[DaysAgeing]]&gt;5,"yep","on track")</f>
        <v>yep</v>
      </c>
      <c r="Q3486" s="3">
        <f ca="1">IF(Proc[[#This Row],[DateClosed]]="",ABS(NETWORKDAYS(Proc[[#This Row],[DateOpened]],TODAY()))-1,ABS(NETWORKDAYS(Proc[[#This Row],[DateOpened]],Proc[[#This Row],[DateClosed]]))-1)</f>
        <v>87</v>
      </c>
      <c r="R3486" s="115" t="s">
        <v>1262</v>
      </c>
      <c r="S3486" s="125"/>
    </row>
    <row r="3487" spans="1:19">
      <c r="A3487" t="s">
        <v>5574</v>
      </c>
      <c r="B3487" s="149" t="str">
        <f>IFERROR(VLOOKUP(Proc[[#This Row],[App]],Table2[],3,0),"open")</f>
        <v>ok</v>
      </c>
      <c r="C3487" s="128" t="s">
        <v>369</v>
      </c>
      <c r="D3487" t="s">
        <v>5572</v>
      </c>
      <c r="E3487" t="s">
        <v>2416</v>
      </c>
      <c r="F3487" s="129" t="s">
        <v>2416</v>
      </c>
      <c r="G3487" t="s">
        <v>406</v>
      </c>
      <c r="H3487" s="129" t="str">
        <f>IF(Proc[[#This Row],[type]]="LFF (MDG-F)",MID(Proc[[#This Row],[Obj]],13,10),"")</f>
        <v>DK50GEQ010</v>
      </c>
      <c r="J3487" s="129" t="b">
        <f>Proc[[#This Row],[Requested]]=Proc[[#This Row],[CurrentParent]]</f>
        <v>1</v>
      </c>
      <c r="K3487" s="144" t="str">
        <f>IF(Proc[[#This Row],[Author]]="Marcela Urrego",VLOOKUP(LEFT(Proc[[#This Row],[Requested]],1),Table3[#All],2,0),VLOOKUP(Proc[[#This Row],[Author]],Table4[],2,0))</f>
        <v>MGF</v>
      </c>
      <c r="L3487" s="129" t="s">
        <v>4894</v>
      </c>
      <c r="M3487" s="127">
        <v>45882</v>
      </c>
      <c r="N3487" s="127"/>
      <c r="O3487" s="127"/>
      <c r="P3487" s="115" t="str">
        <f ca="1">IF(Proc[[#This Row],[DaysAgeing]]&gt;5,"yep","on track")</f>
        <v>yep</v>
      </c>
      <c r="Q3487" s="3">
        <f ca="1">IF(Proc[[#This Row],[DateClosed]]="",ABS(NETWORKDAYS(Proc[[#This Row],[DateOpened]],TODAY()))-1,ABS(NETWORKDAYS(Proc[[#This Row],[DateOpened]],Proc[[#This Row],[DateClosed]]))-1)</f>
        <v>87</v>
      </c>
      <c r="R3487" s="115" t="s">
        <v>515</v>
      </c>
      <c r="S3487" s="129"/>
    </row>
    <row r="3488" spans="1:19">
      <c r="A3488" s="128" t="s">
        <v>5574</v>
      </c>
      <c r="B3488" s="149" t="str">
        <f>IFERROR(VLOOKUP(Proc[[#This Row],[App]],Table2[],3,0),"open")</f>
        <v>ok</v>
      </c>
      <c r="C3488" s="128" t="s">
        <v>369</v>
      </c>
      <c r="D3488" t="s">
        <v>5573</v>
      </c>
      <c r="E3488" t="s">
        <v>2416</v>
      </c>
      <c r="F3488" s="129" t="s">
        <v>2416</v>
      </c>
      <c r="G3488" s="128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44" t="str">
        <f>IF(Proc[[#This Row],[Author]]="Marcela Urrego",VLOOKUP(LEFT(Proc[[#This Row],[Requested]],1),Table3[#All],2,0),VLOOKUP(Proc[[#This Row],[Author]],Table4[],2,0))</f>
        <v>MGF</v>
      </c>
      <c r="L3488" s="129" t="s">
        <v>4894</v>
      </c>
      <c r="M3488" s="127">
        <v>45882</v>
      </c>
      <c r="N3488" s="127"/>
      <c r="O3488" s="127"/>
      <c r="P3488" s="115" t="str">
        <f ca="1">IF(Proc[[#This Row],[DaysAgeing]]&gt;5,"yep","on track")</f>
        <v>yep</v>
      </c>
      <c r="Q3488" s="3">
        <f ca="1">IF(Proc[[#This Row],[DateClosed]]="",ABS(NETWORKDAYS(Proc[[#This Row],[DateOpened]],TODAY()))-1,ABS(NETWORKDAYS(Proc[[#This Row],[DateOpened]],Proc[[#This Row],[DateClosed]]))-1)</f>
        <v>87</v>
      </c>
      <c r="R3488" s="115" t="s">
        <v>515</v>
      </c>
      <c r="S3488" s="129"/>
    </row>
    <row r="3489" spans="1:19">
      <c r="A3489" t="s">
        <v>5669</v>
      </c>
      <c r="B3489" s="149" t="str">
        <f>IFERROR(VLOOKUP(Proc[[#This Row],[App]],Table2[],3,0),"open")</f>
        <v>ok</v>
      </c>
      <c r="C3489" s="128" t="s">
        <v>369</v>
      </c>
      <c r="D3489" t="s">
        <v>5576</v>
      </c>
      <c r="E3489" t="s">
        <v>5668</v>
      </c>
      <c r="F3489" s="129" t="s">
        <v>5668</v>
      </c>
      <c r="G3489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1</v>
      </c>
      <c r="K3489" s="144" t="str">
        <f>IF(Proc[[#This Row],[Author]]="Marcela Urrego",VLOOKUP(LEFT(Proc[[#This Row],[Requested]],1),Table3[#All],2,0),VLOOKUP(Proc[[#This Row],[Author]],Table4[],2,0))</f>
        <v>MGF</v>
      </c>
      <c r="L3489" s="129" t="s">
        <v>4894</v>
      </c>
      <c r="M3489" s="127">
        <v>45883</v>
      </c>
      <c r="N3489" s="127"/>
      <c r="O3489" s="127"/>
      <c r="P3489" s="115" t="str">
        <f ca="1">IF(Proc[[#This Row],[DaysAgeing]]&gt;5,"yep","on track")</f>
        <v>yep</v>
      </c>
      <c r="Q3489" s="3">
        <f ca="1">IF(Proc[[#This Row],[DateClosed]]="",ABS(NETWORKDAYS(Proc[[#This Row],[DateOpened]],TODAY()))-1,ABS(NETWORKDAYS(Proc[[#This Row],[DateOpened]],Proc[[#This Row],[DateClosed]]))-1)</f>
        <v>86</v>
      </c>
      <c r="R3489" s="115" t="s">
        <v>515</v>
      </c>
      <c r="S3489" s="129"/>
    </row>
    <row r="3490" spans="1:19">
      <c r="A3490" s="128" t="s">
        <v>5669</v>
      </c>
      <c r="B3490" s="149" t="str">
        <f>IFERROR(VLOOKUP(Proc[[#This Row],[App]],Table2[],3,0),"open")</f>
        <v>ok</v>
      </c>
      <c r="C3490" s="128" t="s">
        <v>369</v>
      </c>
      <c r="D3490" t="s">
        <v>5577</v>
      </c>
      <c r="E3490" t="s">
        <v>5668</v>
      </c>
      <c r="F3490" s="129" t="s">
        <v>5668</v>
      </c>
      <c r="G3490" s="128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1</v>
      </c>
      <c r="K3490" s="144" t="str">
        <f>IF(Proc[[#This Row],[Author]]="Marcela Urrego",VLOOKUP(LEFT(Proc[[#This Row],[Requested]],1),Table3[#All],2,0),VLOOKUP(Proc[[#This Row],[Author]],Table4[],2,0))</f>
        <v>MGF</v>
      </c>
      <c r="L3490" s="129" t="s">
        <v>4894</v>
      </c>
      <c r="M3490" s="127">
        <v>45883</v>
      </c>
      <c r="N3490" s="127"/>
      <c r="O3490" s="127"/>
      <c r="P3490" s="115" t="str">
        <f ca="1">IF(Proc[[#This Row],[DaysAgeing]]&gt;5,"yep","on track")</f>
        <v>yep</v>
      </c>
      <c r="Q3490" s="3">
        <f ca="1">IF(Proc[[#This Row],[DateClosed]]="",ABS(NETWORKDAYS(Proc[[#This Row],[DateOpened]],TODAY()))-1,ABS(NETWORKDAYS(Proc[[#This Row],[DateOpened]],Proc[[#This Row],[DateClosed]]))-1)</f>
        <v>86</v>
      </c>
      <c r="R3490" s="115" t="s">
        <v>515</v>
      </c>
      <c r="S3490" s="129"/>
    </row>
    <row r="3491" spans="1:19">
      <c r="A3491" s="128" t="s">
        <v>5669</v>
      </c>
      <c r="B3491" s="149" t="str">
        <f>IFERROR(VLOOKUP(Proc[[#This Row],[App]],Table2[],3,0),"open")</f>
        <v>ok</v>
      </c>
      <c r="C3491" s="128" t="s">
        <v>369</v>
      </c>
      <c r="D3491" t="s">
        <v>5578</v>
      </c>
      <c r="E3491" t="s">
        <v>5668</v>
      </c>
      <c r="F3491" s="129" t="s">
        <v>5668</v>
      </c>
      <c r="G3491" s="128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1</v>
      </c>
      <c r="K3491" s="144" t="str">
        <f>IF(Proc[[#This Row],[Author]]="Marcela Urrego",VLOOKUP(LEFT(Proc[[#This Row],[Requested]],1),Table3[#All],2,0),VLOOKUP(Proc[[#This Row],[Author]],Table4[],2,0))</f>
        <v>MGF</v>
      </c>
      <c r="L3491" s="129" t="s">
        <v>4894</v>
      </c>
      <c r="M3491" s="127">
        <v>45883</v>
      </c>
      <c r="N3491" s="127"/>
      <c r="O3491" s="127"/>
      <c r="P3491" s="115" t="str">
        <f ca="1">IF(Proc[[#This Row],[DaysAgeing]]&gt;5,"yep","on track")</f>
        <v>yep</v>
      </c>
      <c r="Q3491" s="3">
        <f ca="1">IF(Proc[[#This Row],[DateClosed]]="",ABS(NETWORKDAYS(Proc[[#This Row],[DateOpened]],TODAY()))-1,ABS(NETWORKDAYS(Proc[[#This Row],[DateOpened]],Proc[[#This Row],[DateClosed]]))-1)</f>
        <v>86</v>
      </c>
      <c r="R3491" s="115" t="s">
        <v>515</v>
      </c>
      <c r="S3491" s="129"/>
    </row>
    <row r="3492" spans="1:19">
      <c r="A3492" s="128" t="s">
        <v>5669</v>
      </c>
      <c r="B3492" s="149" t="str">
        <f>IFERROR(VLOOKUP(Proc[[#This Row],[App]],Table2[],3,0),"open")</f>
        <v>ok</v>
      </c>
      <c r="C3492" s="128" t="s">
        <v>369</v>
      </c>
      <c r="D3492" t="s">
        <v>5579</v>
      </c>
      <c r="E3492" t="s">
        <v>5668</v>
      </c>
      <c r="F3492" s="129" t="s">
        <v>5668</v>
      </c>
      <c r="G3492" s="128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1</v>
      </c>
      <c r="K3492" s="144" t="str">
        <f>IF(Proc[[#This Row],[Author]]="Marcela Urrego",VLOOKUP(LEFT(Proc[[#This Row],[Requested]],1),Table3[#All],2,0),VLOOKUP(Proc[[#This Row],[Author]],Table4[],2,0))</f>
        <v>MGF</v>
      </c>
      <c r="L3492" s="129" t="s">
        <v>4894</v>
      </c>
      <c r="M3492" s="127">
        <v>45883</v>
      </c>
      <c r="N3492" s="127"/>
      <c r="O3492" s="127"/>
      <c r="P3492" s="115" t="str">
        <f ca="1">IF(Proc[[#This Row],[DaysAgeing]]&gt;5,"yep","on track")</f>
        <v>yep</v>
      </c>
      <c r="Q3492" s="3">
        <f ca="1">IF(Proc[[#This Row],[DateClosed]]="",ABS(NETWORKDAYS(Proc[[#This Row],[DateOpened]],TODAY()))-1,ABS(NETWORKDAYS(Proc[[#This Row],[DateOpened]],Proc[[#This Row],[DateClosed]]))-1)</f>
        <v>86</v>
      </c>
      <c r="R3492" s="115" t="s">
        <v>515</v>
      </c>
      <c r="S3492" s="129"/>
    </row>
    <row r="3493" spans="1:19">
      <c r="A3493" s="128" t="s">
        <v>5669</v>
      </c>
      <c r="B3493" s="149" t="str">
        <f>IFERROR(VLOOKUP(Proc[[#This Row],[App]],Table2[],3,0),"open")</f>
        <v>ok</v>
      </c>
      <c r="C3493" s="128" t="s">
        <v>369</v>
      </c>
      <c r="D3493" t="s">
        <v>5580</v>
      </c>
      <c r="E3493" t="s">
        <v>5668</v>
      </c>
      <c r="F3493" s="129" t="s">
        <v>5668</v>
      </c>
      <c r="G3493" s="128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1</v>
      </c>
      <c r="K3493" s="144" t="str">
        <f>IF(Proc[[#This Row],[Author]]="Marcela Urrego",VLOOKUP(LEFT(Proc[[#This Row],[Requested]],1),Table3[#All],2,0),VLOOKUP(Proc[[#This Row],[Author]],Table4[],2,0))</f>
        <v>MGF</v>
      </c>
      <c r="L3493" s="129" t="s">
        <v>4894</v>
      </c>
      <c r="M3493" s="127">
        <v>45883</v>
      </c>
      <c r="N3493" s="127"/>
      <c r="O3493" s="127"/>
      <c r="P3493" s="115" t="str">
        <f ca="1">IF(Proc[[#This Row],[DaysAgeing]]&gt;5,"yep","on track")</f>
        <v>yep</v>
      </c>
      <c r="Q3493" s="3">
        <f ca="1">IF(Proc[[#This Row],[DateClosed]]="",ABS(NETWORKDAYS(Proc[[#This Row],[DateOpened]],TODAY()))-1,ABS(NETWORKDAYS(Proc[[#This Row],[DateOpened]],Proc[[#This Row],[DateClosed]]))-1)</f>
        <v>86</v>
      </c>
      <c r="R3493" s="115" t="s">
        <v>515</v>
      </c>
      <c r="S3493" s="129"/>
    </row>
    <row r="3494" spans="1:19">
      <c r="A3494" s="128" t="s">
        <v>5669</v>
      </c>
      <c r="B3494" s="149" t="str">
        <f>IFERROR(VLOOKUP(Proc[[#This Row],[App]],Table2[],3,0),"open")</f>
        <v>ok</v>
      </c>
      <c r="C3494" s="128" t="s">
        <v>369</v>
      </c>
      <c r="D3494" t="s">
        <v>5581</v>
      </c>
      <c r="E3494" t="s">
        <v>5668</v>
      </c>
      <c r="F3494" s="129" t="s">
        <v>5668</v>
      </c>
      <c r="G3494" s="128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1</v>
      </c>
      <c r="K3494" s="144" t="str">
        <f>IF(Proc[[#This Row],[Author]]="Marcela Urrego",VLOOKUP(LEFT(Proc[[#This Row],[Requested]],1),Table3[#All],2,0),VLOOKUP(Proc[[#This Row],[Author]],Table4[],2,0))</f>
        <v>MGF</v>
      </c>
      <c r="L3494" s="129" t="s">
        <v>4894</v>
      </c>
      <c r="M3494" s="127">
        <v>45883</v>
      </c>
      <c r="N3494" s="127"/>
      <c r="O3494" s="127"/>
      <c r="P3494" s="115" t="str">
        <f ca="1">IF(Proc[[#This Row],[DaysAgeing]]&gt;5,"yep","on track")</f>
        <v>yep</v>
      </c>
      <c r="Q3494" s="3">
        <f ca="1">IF(Proc[[#This Row],[DateClosed]]="",ABS(NETWORKDAYS(Proc[[#This Row],[DateOpened]],TODAY()))-1,ABS(NETWORKDAYS(Proc[[#This Row],[DateOpened]],Proc[[#This Row],[DateClosed]]))-1)</f>
        <v>86</v>
      </c>
      <c r="R3494" s="115" t="s">
        <v>515</v>
      </c>
      <c r="S3494" s="129"/>
    </row>
    <row r="3495" spans="1:19">
      <c r="A3495" s="128" t="s">
        <v>5669</v>
      </c>
      <c r="B3495" s="149" t="str">
        <f>IFERROR(VLOOKUP(Proc[[#This Row],[App]],Table2[],3,0),"open")</f>
        <v>ok</v>
      </c>
      <c r="C3495" s="128" t="s">
        <v>369</v>
      </c>
      <c r="D3495" t="s">
        <v>5582</v>
      </c>
      <c r="E3495" t="s">
        <v>5668</v>
      </c>
      <c r="F3495" s="129" t="s">
        <v>5668</v>
      </c>
      <c r="G3495" s="128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1</v>
      </c>
      <c r="K3495" s="144" t="str">
        <f>IF(Proc[[#This Row],[Author]]="Marcela Urrego",VLOOKUP(LEFT(Proc[[#This Row],[Requested]],1),Table3[#All],2,0),VLOOKUP(Proc[[#This Row],[Author]],Table4[],2,0))</f>
        <v>MGF</v>
      </c>
      <c r="L3495" s="129" t="s">
        <v>4894</v>
      </c>
      <c r="M3495" s="127">
        <v>45883</v>
      </c>
      <c r="N3495" s="127"/>
      <c r="O3495" s="127"/>
      <c r="P3495" s="115" t="str">
        <f ca="1">IF(Proc[[#This Row],[DaysAgeing]]&gt;5,"yep","on track")</f>
        <v>yep</v>
      </c>
      <c r="Q3495" s="3">
        <f ca="1">IF(Proc[[#This Row],[DateClosed]]="",ABS(NETWORKDAYS(Proc[[#This Row],[DateOpened]],TODAY()))-1,ABS(NETWORKDAYS(Proc[[#This Row],[DateOpened]],Proc[[#This Row],[DateClosed]]))-1)</f>
        <v>86</v>
      </c>
      <c r="R3495" s="115" t="s">
        <v>515</v>
      </c>
      <c r="S3495" s="129"/>
    </row>
    <row r="3496" spans="1:19">
      <c r="A3496" s="128" t="s">
        <v>5669</v>
      </c>
      <c r="B3496" s="149" t="str">
        <f>IFERROR(VLOOKUP(Proc[[#This Row],[App]],Table2[],3,0),"open")</f>
        <v>ok</v>
      </c>
      <c r="C3496" s="128" t="s">
        <v>369</v>
      </c>
      <c r="D3496" t="s">
        <v>5583</v>
      </c>
      <c r="E3496" t="s">
        <v>5668</v>
      </c>
      <c r="F3496" s="129" t="s">
        <v>5668</v>
      </c>
      <c r="G3496" s="128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1</v>
      </c>
      <c r="K3496" s="144" t="str">
        <f>IF(Proc[[#This Row],[Author]]="Marcela Urrego",VLOOKUP(LEFT(Proc[[#This Row],[Requested]],1),Table3[#All],2,0),VLOOKUP(Proc[[#This Row],[Author]],Table4[],2,0))</f>
        <v>MGF</v>
      </c>
      <c r="L3496" s="129" t="s">
        <v>4894</v>
      </c>
      <c r="M3496" s="127">
        <v>45883</v>
      </c>
      <c r="N3496" s="127"/>
      <c r="O3496" s="127"/>
      <c r="P3496" s="115" t="str">
        <f ca="1">IF(Proc[[#This Row],[DaysAgeing]]&gt;5,"yep","on track")</f>
        <v>yep</v>
      </c>
      <c r="Q3496" s="3">
        <f ca="1">IF(Proc[[#This Row],[DateClosed]]="",ABS(NETWORKDAYS(Proc[[#This Row],[DateOpened]],TODAY()))-1,ABS(NETWORKDAYS(Proc[[#This Row],[DateOpened]],Proc[[#This Row],[DateClosed]]))-1)</f>
        <v>86</v>
      </c>
      <c r="R3496" s="115" t="s">
        <v>515</v>
      </c>
      <c r="S3496" s="129"/>
    </row>
    <row r="3497" spans="1:19">
      <c r="A3497" s="128" t="s">
        <v>5669</v>
      </c>
      <c r="B3497" s="149" t="str">
        <f>IFERROR(VLOOKUP(Proc[[#This Row],[App]],Table2[],3,0),"open")</f>
        <v>ok</v>
      </c>
      <c r="C3497" s="128" t="s">
        <v>369</v>
      </c>
      <c r="D3497" t="s">
        <v>5584</v>
      </c>
      <c r="E3497" t="s">
        <v>5668</v>
      </c>
      <c r="F3497" s="129" t="s">
        <v>5668</v>
      </c>
      <c r="G3497" s="128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1</v>
      </c>
      <c r="K3497" s="144" t="str">
        <f>IF(Proc[[#This Row],[Author]]="Marcela Urrego",VLOOKUP(LEFT(Proc[[#This Row],[Requested]],1),Table3[#All],2,0),VLOOKUP(Proc[[#This Row],[Author]],Table4[],2,0))</f>
        <v>MGF</v>
      </c>
      <c r="L3497" s="129" t="s">
        <v>4894</v>
      </c>
      <c r="M3497" s="127">
        <v>45883</v>
      </c>
      <c r="N3497" s="127"/>
      <c r="O3497" s="127"/>
      <c r="P3497" s="115" t="str">
        <f ca="1">IF(Proc[[#This Row],[DaysAgeing]]&gt;5,"yep","on track")</f>
        <v>yep</v>
      </c>
      <c r="Q3497" s="3">
        <f ca="1">IF(Proc[[#This Row],[DateClosed]]="",ABS(NETWORKDAYS(Proc[[#This Row],[DateOpened]],TODAY()))-1,ABS(NETWORKDAYS(Proc[[#This Row],[DateOpened]],Proc[[#This Row],[DateClosed]]))-1)</f>
        <v>86</v>
      </c>
      <c r="R3497" s="115" t="s">
        <v>515</v>
      </c>
      <c r="S3497" s="129"/>
    </row>
    <row r="3498" spans="1:19">
      <c r="A3498" s="128" t="s">
        <v>5669</v>
      </c>
      <c r="B3498" s="149" t="str">
        <f>IFERROR(VLOOKUP(Proc[[#This Row],[App]],Table2[],3,0),"open")</f>
        <v>ok</v>
      </c>
      <c r="C3498" s="128" t="s">
        <v>369</v>
      </c>
      <c r="D3498" t="s">
        <v>5585</v>
      </c>
      <c r="E3498" t="s">
        <v>5668</v>
      </c>
      <c r="F3498" s="129" t="s">
        <v>5668</v>
      </c>
      <c r="G3498" s="128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1</v>
      </c>
      <c r="K3498" s="144" t="str">
        <f>IF(Proc[[#This Row],[Author]]="Marcela Urrego",VLOOKUP(LEFT(Proc[[#This Row],[Requested]],1),Table3[#All],2,0),VLOOKUP(Proc[[#This Row],[Author]],Table4[],2,0))</f>
        <v>MGF</v>
      </c>
      <c r="L3498" s="129" t="s">
        <v>4894</v>
      </c>
      <c r="M3498" s="127">
        <v>45883</v>
      </c>
      <c r="N3498" s="127"/>
      <c r="O3498" s="127"/>
      <c r="P3498" s="115" t="str">
        <f ca="1">IF(Proc[[#This Row],[DaysAgeing]]&gt;5,"yep","on track")</f>
        <v>yep</v>
      </c>
      <c r="Q3498" s="3">
        <f ca="1">IF(Proc[[#This Row],[DateClosed]]="",ABS(NETWORKDAYS(Proc[[#This Row],[DateOpened]],TODAY()))-1,ABS(NETWORKDAYS(Proc[[#This Row],[DateOpened]],Proc[[#This Row],[DateClosed]]))-1)</f>
        <v>86</v>
      </c>
      <c r="R3498" s="115" t="s">
        <v>515</v>
      </c>
      <c r="S3498" s="129"/>
    </row>
    <row r="3499" spans="1:19">
      <c r="A3499" s="128" t="s">
        <v>5669</v>
      </c>
      <c r="B3499" s="149" t="str">
        <f>IFERROR(VLOOKUP(Proc[[#This Row],[App]],Table2[],3,0),"open")</f>
        <v>ok</v>
      </c>
      <c r="C3499" s="128" t="s">
        <v>369</v>
      </c>
      <c r="D3499" t="s">
        <v>5586</v>
      </c>
      <c r="E3499" t="s">
        <v>5668</v>
      </c>
      <c r="F3499" s="129" t="s">
        <v>5668</v>
      </c>
      <c r="G3499" s="128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1</v>
      </c>
      <c r="K3499" s="144" t="str">
        <f>IF(Proc[[#This Row],[Author]]="Marcela Urrego",VLOOKUP(LEFT(Proc[[#This Row],[Requested]],1),Table3[#All],2,0),VLOOKUP(Proc[[#This Row],[Author]],Table4[],2,0))</f>
        <v>MGF</v>
      </c>
      <c r="L3499" s="129" t="s">
        <v>4894</v>
      </c>
      <c r="M3499" s="127">
        <v>45883</v>
      </c>
      <c r="N3499" s="127"/>
      <c r="O3499" s="127"/>
      <c r="P3499" s="115" t="str">
        <f ca="1">IF(Proc[[#This Row],[DaysAgeing]]&gt;5,"yep","on track")</f>
        <v>yep</v>
      </c>
      <c r="Q3499" s="3">
        <f ca="1">IF(Proc[[#This Row],[DateClosed]]="",ABS(NETWORKDAYS(Proc[[#This Row],[DateOpened]],TODAY()))-1,ABS(NETWORKDAYS(Proc[[#This Row],[DateOpened]],Proc[[#This Row],[DateClosed]]))-1)</f>
        <v>86</v>
      </c>
      <c r="R3499" s="115" t="s">
        <v>515</v>
      </c>
      <c r="S3499" s="129"/>
    </row>
    <row r="3500" spans="1:19">
      <c r="A3500" s="128" t="s">
        <v>5669</v>
      </c>
      <c r="B3500" s="149" t="str">
        <f>IFERROR(VLOOKUP(Proc[[#This Row],[App]],Table2[],3,0),"open")</f>
        <v>ok</v>
      </c>
      <c r="C3500" s="128" t="s">
        <v>369</v>
      </c>
      <c r="D3500" t="s">
        <v>5587</v>
      </c>
      <c r="E3500" t="s">
        <v>5668</v>
      </c>
      <c r="F3500" s="129" t="s">
        <v>5668</v>
      </c>
      <c r="G3500" s="128" t="s">
        <v>400</v>
      </c>
      <c r="H3500" s="129" t="str">
        <f>IF(Proc[[#This Row],[type]]="LFF (MDG-F)",MID(Proc[[#This Row],[Obj]],13,10),"")</f>
        <v/>
      </c>
      <c r="J3500" s="129" t="b">
        <f>Proc[[#This Row],[Requested]]=Proc[[#This Row],[CurrentParent]]</f>
        <v>1</v>
      </c>
      <c r="K3500" s="144" t="str">
        <f>IF(Proc[[#This Row],[Author]]="Marcela Urrego",VLOOKUP(LEFT(Proc[[#This Row],[Requested]],1),Table3[#All],2,0),VLOOKUP(Proc[[#This Row],[Author]],Table4[],2,0))</f>
        <v>MGF</v>
      </c>
      <c r="L3500" s="129" t="s">
        <v>4894</v>
      </c>
      <c r="M3500" s="127">
        <v>45883</v>
      </c>
      <c r="N3500" s="127"/>
      <c r="O3500" s="127"/>
      <c r="P3500" s="115" t="str">
        <f ca="1">IF(Proc[[#This Row],[DaysAgeing]]&gt;5,"yep","on track")</f>
        <v>yep</v>
      </c>
      <c r="Q3500" s="3">
        <f ca="1">IF(Proc[[#This Row],[DateClosed]]="",ABS(NETWORKDAYS(Proc[[#This Row],[DateOpened]],TODAY()))-1,ABS(NETWORKDAYS(Proc[[#This Row],[DateOpened]],Proc[[#This Row],[DateClosed]]))-1)</f>
        <v>86</v>
      </c>
      <c r="R3500" s="115" t="s">
        <v>515</v>
      </c>
      <c r="S3500" s="129"/>
    </row>
    <row r="3501" spans="1:19">
      <c r="A3501" s="128" t="s">
        <v>5669</v>
      </c>
      <c r="B3501" s="149" t="str">
        <f>IFERROR(VLOOKUP(Proc[[#This Row],[App]],Table2[],3,0),"open")</f>
        <v>ok</v>
      </c>
      <c r="C3501" s="128" t="s">
        <v>369</v>
      </c>
      <c r="D3501" t="s">
        <v>5588</v>
      </c>
      <c r="E3501" t="s">
        <v>5668</v>
      </c>
      <c r="F3501" s="129" t="s">
        <v>5668</v>
      </c>
      <c r="G3501" s="128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1</v>
      </c>
      <c r="K3501" s="144" t="str">
        <f>IF(Proc[[#This Row],[Author]]="Marcela Urrego",VLOOKUP(LEFT(Proc[[#This Row],[Requested]],1),Table3[#All],2,0),VLOOKUP(Proc[[#This Row],[Author]],Table4[],2,0))</f>
        <v>MGF</v>
      </c>
      <c r="L3501" s="129" t="s">
        <v>4894</v>
      </c>
      <c r="M3501" s="127">
        <v>45883</v>
      </c>
      <c r="N3501" s="127"/>
      <c r="O3501" s="127"/>
      <c r="P3501" s="115" t="str">
        <f ca="1">IF(Proc[[#This Row],[DaysAgeing]]&gt;5,"yep","on track")</f>
        <v>yep</v>
      </c>
      <c r="Q3501" s="3">
        <f ca="1">IF(Proc[[#This Row],[DateClosed]]="",ABS(NETWORKDAYS(Proc[[#This Row],[DateOpened]],TODAY()))-1,ABS(NETWORKDAYS(Proc[[#This Row],[DateOpened]],Proc[[#This Row],[DateClosed]]))-1)</f>
        <v>86</v>
      </c>
      <c r="R3501" s="115" t="s">
        <v>515</v>
      </c>
      <c r="S3501" s="129"/>
    </row>
    <row r="3502" spans="1:19">
      <c r="A3502" s="128" t="s">
        <v>5669</v>
      </c>
      <c r="B3502" s="149" t="str">
        <f>IFERROR(VLOOKUP(Proc[[#This Row],[App]],Table2[],3,0),"open")</f>
        <v>ok</v>
      </c>
      <c r="C3502" s="128" t="s">
        <v>369</v>
      </c>
      <c r="D3502" t="s">
        <v>5589</v>
      </c>
      <c r="E3502" t="s">
        <v>5668</v>
      </c>
      <c r="F3502" s="129" t="s">
        <v>5668</v>
      </c>
      <c r="G3502" s="128" t="s">
        <v>400</v>
      </c>
      <c r="H3502" s="129" t="str">
        <f>IF(Proc[[#This Row],[type]]="LFF (MDG-F)",MID(Proc[[#This Row],[Obj]],13,10),"")</f>
        <v/>
      </c>
      <c r="J3502" s="129" t="b">
        <f>Proc[[#This Row],[Requested]]=Proc[[#This Row],[CurrentParent]]</f>
        <v>1</v>
      </c>
      <c r="K3502" s="144" t="str">
        <f>IF(Proc[[#This Row],[Author]]="Marcela Urrego",VLOOKUP(LEFT(Proc[[#This Row],[Requested]],1),Table3[#All],2,0),VLOOKUP(Proc[[#This Row],[Author]],Table4[],2,0))</f>
        <v>MGF</v>
      </c>
      <c r="L3502" s="129" t="s">
        <v>4894</v>
      </c>
      <c r="M3502" s="127">
        <v>45883</v>
      </c>
      <c r="N3502" s="127"/>
      <c r="O3502" s="127"/>
      <c r="P3502" s="115" t="str">
        <f ca="1">IF(Proc[[#This Row],[DaysAgeing]]&gt;5,"yep","on track")</f>
        <v>yep</v>
      </c>
      <c r="Q3502" s="3">
        <f ca="1">IF(Proc[[#This Row],[DateClosed]]="",ABS(NETWORKDAYS(Proc[[#This Row],[DateOpened]],TODAY()))-1,ABS(NETWORKDAYS(Proc[[#This Row],[DateOpened]],Proc[[#This Row],[DateClosed]]))-1)</f>
        <v>86</v>
      </c>
      <c r="R3502" s="115" t="s">
        <v>515</v>
      </c>
      <c r="S3502" s="129"/>
    </row>
    <row r="3503" spans="1:19">
      <c r="A3503" s="128" t="s">
        <v>5669</v>
      </c>
      <c r="B3503" s="149" t="str">
        <f>IFERROR(VLOOKUP(Proc[[#This Row],[App]],Table2[],3,0),"open")</f>
        <v>ok</v>
      </c>
      <c r="C3503" s="128" t="s">
        <v>369</v>
      </c>
      <c r="D3503" t="s">
        <v>5590</v>
      </c>
      <c r="E3503" t="s">
        <v>5668</v>
      </c>
      <c r="F3503" s="129" t="s">
        <v>5668</v>
      </c>
      <c r="G3503" s="128" t="s">
        <v>406</v>
      </c>
      <c r="H3503" s="129" t="str">
        <f>IF(Proc[[#This Row],[type]]="LFF (MDG-F)",MID(Proc[[#This Row],[Obj]],13,10),"")</f>
        <v>CH50GPO004</v>
      </c>
      <c r="J3503" s="129" t="b">
        <f>Proc[[#This Row],[Requested]]=Proc[[#This Row],[CurrentParent]]</f>
        <v>1</v>
      </c>
      <c r="K3503" s="144" t="str">
        <f>IF(Proc[[#This Row],[Author]]="Marcela Urrego",VLOOKUP(LEFT(Proc[[#This Row],[Requested]],1),Table3[#All],2,0),VLOOKUP(Proc[[#This Row],[Author]],Table4[],2,0))</f>
        <v>MGF</v>
      </c>
      <c r="L3503" s="129" t="s">
        <v>4894</v>
      </c>
      <c r="M3503" s="127">
        <v>45883</v>
      </c>
      <c r="N3503" s="127"/>
      <c r="O3503" s="127"/>
      <c r="P3503" s="115" t="str">
        <f ca="1">IF(Proc[[#This Row],[DaysAgeing]]&gt;5,"yep","on track")</f>
        <v>yep</v>
      </c>
      <c r="Q3503" s="3">
        <f ca="1">IF(Proc[[#This Row],[DateClosed]]="",ABS(NETWORKDAYS(Proc[[#This Row],[DateOpened]],TODAY()))-1,ABS(NETWORKDAYS(Proc[[#This Row],[DateOpened]],Proc[[#This Row],[DateClosed]]))-1)</f>
        <v>86</v>
      </c>
      <c r="R3503" s="115" t="s">
        <v>515</v>
      </c>
      <c r="S3503" s="129"/>
    </row>
    <row r="3504" spans="1:19">
      <c r="A3504" s="128" t="s">
        <v>5669</v>
      </c>
      <c r="B3504" s="149" t="str">
        <f>IFERROR(VLOOKUP(Proc[[#This Row],[App]],Table2[],3,0),"open")</f>
        <v>ok</v>
      </c>
      <c r="C3504" s="128" t="s">
        <v>369</v>
      </c>
      <c r="D3504" t="s">
        <v>5591</v>
      </c>
      <c r="E3504" t="s">
        <v>5668</v>
      </c>
      <c r="F3504" s="129" t="s">
        <v>5668</v>
      </c>
      <c r="G3504" s="128" t="s">
        <v>406</v>
      </c>
      <c r="H3504" s="129" t="str">
        <f>IF(Proc[[#This Row],[type]]="LFF (MDG-F)",MID(Proc[[#This Row],[Obj]],13,10),"")</f>
        <v>CH50GPO101</v>
      </c>
      <c r="J3504" s="129" t="b">
        <f>Proc[[#This Row],[Requested]]=Proc[[#This Row],[CurrentParent]]</f>
        <v>1</v>
      </c>
      <c r="K3504" s="144" t="str">
        <f>IF(Proc[[#This Row],[Author]]="Marcela Urrego",VLOOKUP(LEFT(Proc[[#This Row],[Requested]],1),Table3[#All],2,0),VLOOKUP(Proc[[#This Row],[Author]],Table4[],2,0))</f>
        <v>MGF</v>
      </c>
      <c r="L3504" s="129" t="s">
        <v>4894</v>
      </c>
      <c r="M3504" s="127">
        <v>45883</v>
      </c>
      <c r="N3504" s="127"/>
      <c r="O3504" s="127"/>
      <c r="P3504" s="115" t="str">
        <f ca="1">IF(Proc[[#This Row],[DaysAgeing]]&gt;5,"yep","on track")</f>
        <v>yep</v>
      </c>
      <c r="Q3504" s="3">
        <f ca="1">IF(Proc[[#This Row],[DateClosed]]="",ABS(NETWORKDAYS(Proc[[#This Row],[DateOpened]],TODAY()))-1,ABS(NETWORKDAYS(Proc[[#This Row],[DateOpened]],Proc[[#This Row],[DateClosed]]))-1)</f>
        <v>86</v>
      </c>
      <c r="R3504" s="115" t="s">
        <v>515</v>
      </c>
      <c r="S3504" s="129"/>
    </row>
    <row r="3505" spans="1:19">
      <c r="A3505" s="128" t="s">
        <v>5669</v>
      </c>
      <c r="B3505" s="149" t="str">
        <f>IFERROR(VLOOKUP(Proc[[#This Row],[App]],Table2[],3,0),"open")</f>
        <v>ok</v>
      </c>
      <c r="C3505" s="128" t="s">
        <v>369</v>
      </c>
      <c r="D3505" t="s">
        <v>5592</v>
      </c>
      <c r="E3505" t="s">
        <v>5668</v>
      </c>
      <c r="F3505" s="129" t="s">
        <v>5668</v>
      </c>
      <c r="G3505" s="128" t="s">
        <v>406</v>
      </c>
      <c r="H3505" s="129" t="str">
        <f>IF(Proc[[#This Row],[type]]="LFF (MDG-F)",MID(Proc[[#This Row],[Obj]],13,10),"")</f>
        <v>CH50GPO204</v>
      </c>
      <c r="J3505" s="129" t="b">
        <f>Proc[[#This Row],[Requested]]=Proc[[#This Row],[CurrentParent]]</f>
        <v>1</v>
      </c>
      <c r="K3505" s="144" t="str">
        <f>IF(Proc[[#This Row],[Author]]="Marcela Urrego",VLOOKUP(LEFT(Proc[[#This Row],[Requested]],1),Table3[#All],2,0),VLOOKUP(Proc[[#This Row],[Author]],Table4[],2,0))</f>
        <v>MGF</v>
      </c>
      <c r="L3505" s="129" t="s">
        <v>4894</v>
      </c>
      <c r="M3505" s="127">
        <v>45883</v>
      </c>
      <c r="N3505" s="127"/>
      <c r="O3505" s="127"/>
      <c r="P3505" s="115" t="str">
        <f ca="1">IF(Proc[[#This Row],[DaysAgeing]]&gt;5,"yep","on track")</f>
        <v>yep</v>
      </c>
      <c r="Q3505" s="3">
        <f ca="1">IF(Proc[[#This Row],[DateClosed]]="",ABS(NETWORKDAYS(Proc[[#This Row],[DateOpened]],TODAY()))-1,ABS(NETWORKDAYS(Proc[[#This Row],[DateOpened]],Proc[[#This Row],[DateClosed]]))-1)</f>
        <v>86</v>
      </c>
      <c r="R3505" s="115" t="s">
        <v>515</v>
      </c>
      <c r="S3505" s="129"/>
    </row>
    <row r="3506" spans="1:19">
      <c r="A3506" s="128" t="s">
        <v>5669</v>
      </c>
      <c r="B3506" s="149" t="str">
        <f>IFERROR(VLOOKUP(Proc[[#This Row],[App]],Table2[],3,0),"open")</f>
        <v>ok</v>
      </c>
      <c r="C3506" s="128" t="s">
        <v>369</v>
      </c>
      <c r="D3506" t="s">
        <v>5593</v>
      </c>
      <c r="E3506" t="s">
        <v>5668</v>
      </c>
      <c r="F3506" s="129" t="s">
        <v>5668</v>
      </c>
      <c r="G3506" s="128" t="s">
        <v>406</v>
      </c>
      <c r="H3506" s="129" t="str">
        <f>IF(Proc[[#This Row],[type]]="LFF (MDG-F)",MID(Proc[[#This Row],[Obj]],13,10),"")</f>
        <v>CH65GPO001</v>
      </c>
      <c r="J3506" s="129" t="b">
        <f>Proc[[#This Row],[Requested]]=Proc[[#This Row],[CurrentParent]]</f>
        <v>1</v>
      </c>
      <c r="K3506" s="144" t="str">
        <f>IF(Proc[[#This Row],[Author]]="Marcela Urrego",VLOOKUP(LEFT(Proc[[#This Row],[Requested]],1),Table3[#All],2,0),VLOOKUP(Proc[[#This Row],[Author]],Table4[],2,0))</f>
        <v>MGF</v>
      </c>
      <c r="L3506" s="129" t="s">
        <v>4894</v>
      </c>
      <c r="M3506" s="127">
        <v>45883</v>
      </c>
      <c r="N3506" s="127"/>
      <c r="O3506" s="127"/>
      <c r="P3506" s="115" t="str">
        <f ca="1">IF(Proc[[#This Row],[DaysAgeing]]&gt;5,"yep","on track")</f>
        <v>yep</v>
      </c>
      <c r="Q3506" s="3">
        <f ca="1">IF(Proc[[#This Row],[DateClosed]]="",ABS(NETWORKDAYS(Proc[[#This Row],[DateOpened]],TODAY()))-1,ABS(NETWORKDAYS(Proc[[#This Row],[DateOpened]],Proc[[#This Row],[DateClosed]]))-1)</f>
        <v>86</v>
      </c>
      <c r="R3506" s="115" t="s">
        <v>515</v>
      </c>
      <c r="S3506" s="129"/>
    </row>
    <row r="3507" spans="1:19">
      <c r="A3507" s="128" t="s">
        <v>5669</v>
      </c>
      <c r="B3507" s="149" t="str">
        <f>IFERROR(VLOOKUP(Proc[[#This Row],[App]],Table2[],3,0),"open")</f>
        <v>ok</v>
      </c>
      <c r="C3507" s="128" t="s">
        <v>369</v>
      </c>
      <c r="D3507" t="s">
        <v>5594</v>
      </c>
      <c r="E3507" t="s">
        <v>5668</v>
      </c>
      <c r="F3507" s="129" t="s">
        <v>5668</v>
      </c>
      <c r="G3507" s="128" t="s">
        <v>406</v>
      </c>
      <c r="H3507" s="129" t="str">
        <f>IF(Proc[[#This Row],[type]]="LFF (MDG-F)",MID(Proc[[#This Row],[Obj]],13,10),"")</f>
        <v>CN90GPO005</v>
      </c>
      <c r="J3507" s="129" t="b">
        <f>Proc[[#This Row],[Requested]]=Proc[[#This Row],[CurrentParent]]</f>
        <v>1</v>
      </c>
      <c r="K3507" s="144" t="str">
        <f>IF(Proc[[#This Row],[Author]]="Marcela Urrego",VLOOKUP(LEFT(Proc[[#This Row],[Requested]],1),Table3[#All],2,0),VLOOKUP(Proc[[#This Row],[Author]],Table4[],2,0))</f>
        <v>MGF</v>
      </c>
      <c r="L3507" s="129" t="s">
        <v>4894</v>
      </c>
      <c r="M3507" s="127">
        <v>45883</v>
      </c>
      <c r="N3507" s="127"/>
      <c r="O3507" s="127"/>
      <c r="P3507" s="115" t="str">
        <f ca="1">IF(Proc[[#This Row],[DaysAgeing]]&gt;5,"yep","on track")</f>
        <v>yep</v>
      </c>
      <c r="Q3507" s="3">
        <f ca="1">IF(Proc[[#This Row],[DateClosed]]="",ABS(NETWORKDAYS(Proc[[#This Row],[DateOpened]],TODAY()))-1,ABS(NETWORKDAYS(Proc[[#This Row],[DateOpened]],Proc[[#This Row],[DateClosed]]))-1)</f>
        <v>86</v>
      </c>
      <c r="R3507" s="115" t="s">
        <v>515</v>
      </c>
      <c r="S3507" s="129"/>
    </row>
    <row r="3508" spans="1:19">
      <c r="A3508" s="128" t="s">
        <v>5669</v>
      </c>
      <c r="B3508" s="149" t="str">
        <f>IFERROR(VLOOKUP(Proc[[#This Row],[App]],Table2[],3,0),"open")</f>
        <v>ok</v>
      </c>
      <c r="C3508" s="128" t="s">
        <v>369</v>
      </c>
      <c r="D3508" t="s">
        <v>5595</v>
      </c>
      <c r="E3508" t="s">
        <v>5668</v>
      </c>
      <c r="F3508" s="129" t="s">
        <v>5668</v>
      </c>
      <c r="G3508" s="128" t="s">
        <v>406</v>
      </c>
      <c r="H3508" s="129" t="str">
        <f>IF(Proc[[#This Row],[type]]="LFF (MDG-F)",MID(Proc[[#This Row],[Obj]],13,10),"")</f>
        <v>DE10560000</v>
      </c>
      <c r="J3508" s="129" t="b">
        <f>Proc[[#This Row],[Requested]]=Proc[[#This Row],[CurrentParent]]</f>
        <v>1</v>
      </c>
      <c r="K3508" s="144" t="str">
        <f>IF(Proc[[#This Row],[Author]]="Marcela Urrego",VLOOKUP(LEFT(Proc[[#This Row],[Requested]],1),Table3[#All],2,0),VLOOKUP(Proc[[#This Row],[Author]],Table4[],2,0))</f>
        <v>MGF</v>
      </c>
      <c r="L3508" s="129" t="s">
        <v>4894</v>
      </c>
      <c r="M3508" s="127">
        <v>45883</v>
      </c>
      <c r="N3508" s="127"/>
      <c r="O3508" s="127"/>
      <c r="P3508" s="115" t="str">
        <f ca="1">IF(Proc[[#This Row],[DaysAgeing]]&gt;5,"yep","on track")</f>
        <v>yep</v>
      </c>
      <c r="Q3508" s="3">
        <f ca="1">IF(Proc[[#This Row],[DateClosed]]="",ABS(NETWORKDAYS(Proc[[#This Row],[DateOpened]],TODAY()))-1,ABS(NETWORKDAYS(Proc[[#This Row],[DateOpened]],Proc[[#This Row],[DateClosed]]))-1)</f>
        <v>86</v>
      </c>
      <c r="R3508" s="115" t="s">
        <v>515</v>
      </c>
      <c r="S3508" s="129"/>
    </row>
    <row r="3509" spans="1:19">
      <c r="A3509" s="128" t="s">
        <v>5669</v>
      </c>
      <c r="B3509" s="149" t="str">
        <f>IFERROR(VLOOKUP(Proc[[#This Row],[App]],Table2[],3,0),"open")</f>
        <v>ok</v>
      </c>
      <c r="C3509" s="128" t="s">
        <v>369</v>
      </c>
      <c r="D3509" t="s">
        <v>5596</v>
      </c>
      <c r="E3509" t="s">
        <v>5668</v>
      </c>
      <c r="F3509" s="129" t="s">
        <v>5668</v>
      </c>
      <c r="G3509" s="128" t="s">
        <v>406</v>
      </c>
      <c r="H3509" s="129" t="str">
        <f>IF(Proc[[#This Row],[type]]="LFF (MDG-F)",MID(Proc[[#This Row],[Obj]],13,10),"")</f>
        <v>DE10661200</v>
      </c>
      <c r="J3509" s="129" t="b">
        <f>Proc[[#This Row],[Requested]]=Proc[[#This Row],[CurrentParent]]</f>
        <v>1</v>
      </c>
      <c r="K3509" s="144" t="str">
        <f>IF(Proc[[#This Row],[Author]]="Marcela Urrego",VLOOKUP(LEFT(Proc[[#This Row],[Requested]],1),Table3[#All],2,0),VLOOKUP(Proc[[#This Row],[Author]],Table4[],2,0))</f>
        <v>MGF</v>
      </c>
      <c r="L3509" s="129" t="s">
        <v>4894</v>
      </c>
      <c r="M3509" s="127">
        <v>45883</v>
      </c>
      <c r="N3509" s="127"/>
      <c r="O3509" s="127"/>
      <c r="P3509" s="115" t="str">
        <f ca="1">IF(Proc[[#This Row],[DaysAgeing]]&gt;5,"yep","on track")</f>
        <v>yep</v>
      </c>
      <c r="Q3509" s="3">
        <f ca="1">IF(Proc[[#This Row],[DateClosed]]="",ABS(NETWORKDAYS(Proc[[#This Row],[DateOpened]],TODAY()))-1,ABS(NETWORKDAYS(Proc[[#This Row],[DateOpened]],Proc[[#This Row],[DateClosed]]))-1)</f>
        <v>86</v>
      </c>
      <c r="R3509" s="115" t="s">
        <v>515</v>
      </c>
      <c r="S3509" s="129"/>
    </row>
    <row r="3510" spans="1:19">
      <c r="A3510" s="128" t="s">
        <v>5669</v>
      </c>
      <c r="B3510" s="149" t="str">
        <f>IFERROR(VLOOKUP(Proc[[#This Row],[App]],Table2[],3,0),"open")</f>
        <v>ok</v>
      </c>
      <c r="C3510" s="128" t="s">
        <v>369</v>
      </c>
      <c r="D3510" t="s">
        <v>5597</v>
      </c>
      <c r="E3510" t="s">
        <v>5668</v>
      </c>
      <c r="F3510" s="129" t="s">
        <v>5668</v>
      </c>
      <c r="G3510" s="128" t="s">
        <v>406</v>
      </c>
      <c r="H3510" s="129" t="str">
        <f>IF(Proc[[#This Row],[type]]="LFF (MDG-F)",MID(Proc[[#This Row],[Obj]],13,10),"")</f>
        <v>DE10667900</v>
      </c>
      <c r="J3510" s="129" t="b">
        <f>Proc[[#This Row],[Requested]]=Proc[[#This Row],[CurrentParent]]</f>
        <v>1</v>
      </c>
      <c r="K3510" s="144" t="str">
        <f>IF(Proc[[#This Row],[Author]]="Marcela Urrego",VLOOKUP(LEFT(Proc[[#This Row],[Requested]],1),Table3[#All],2,0),VLOOKUP(Proc[[#This Row],[Author]],Table4[],2,0))</f>
        <v>MGF</v>
      </c>
      <c r="L3510" s="129" t="s">
        <v>4894</v>
      </c>
      <c r="M3510" s="127">
        <v>45883</v>
      </c>
      <c r="N3510" s="127"/>
      <c r="O3510" s="127"/>
      <c r="P3510" s="115" t="str">
        <f ca="1">IF(Proc[[#This Row],[DaysAgeing]]&gt;5,"yep","on track")</f>
        <v>yep</v>
      </c>
      <c r="Q3510" s="3">
        <f ca="1">IF(Proc[[#This Row],[DateClosed]]="",ABS(NETWORKDAYS(Proc[[#This Row],[DateOpened]],TODAY()))-1,ABS(NETWORKDAYS(Proc[[#This Row],[DateOpened]],Proc[[#This Row],[DateClosed]]))-1)</f>
        <v>86</v>
      </c>
      <c r="R3510" s="115" t="s">
        <v>515</v>
      </c>
      <c r="S3510" s="129"/>
    </row>
    <row r="3511" spans="1:19">
      <c r="A3511" s="128" t="s">
        <v>5669</v>
      </c>
      <c r="B3511" s="149" t="str">
        <f>IFERROR(VLOOKUP(Proc[[#This Row],[App]],Table2[],3,0),"open")</f>
        <v>ok</v>
      </c>
      <c r="C3511" s="128" t="s">
        <v>369</v>
      </c>
      <c r="D3511" t="s">
        <v>5598</v>
      </c>
      <c r="E3511" t="s">
        <v>5668</v>
      </c>
      <c r="F3511" s="129" t="s">
        <v>5668</v>
      </c>
      <c r="G3511" s="128" t="s">
        <v>406</v>
      </c>
      <c r="H3511" s="129" t="str">
        <f>IF(Proc[[#This Row],[type]]="LFF (MDG-F)",MID(Proc[[#This Row],[Obj]],13,10),"")</f>
        <v>DE10672010</v>
      </c>
      <c r="J3511" s="129" t="b">
        <f>Proc[[#This Row],[Requested]]=Proc[[#This Row],[CurrentParent]]</f>
        <v>1</v>
      </c>
      <c r="K3511" s="144" t="str">
        <f>IF(Proc[[#This Row],[Author]]="Marcela Urrego",VLOOKUP(LEFT(Proc[[#This Row],[Requested]],1),Table3[#All],2,0),VLOOKUP(Proc[[#This Row],[Author]],Table4[],2,0))</f>
        <v>MGF</v>
      </c>
      <c r="L3511" s="129" t="s">
        <v>4894</v>
      </c>
      <c r="M3511" s="127">
        <v>45883</v>
      </c>
      <c r="N3511" s="127"/>
      <c r="O3511" s="127"/>
      <c r="P3511" s="115" t="str">
        <f ca="1">IF(Proc[[#This Row],[DaysAgeing]]&gt;5,"yep","on track")</f>
        <v>yep</v>
      </c>
      <c r="Q3511" s="3">
        <f ca="1">IF(Proc[[#This Row],[DateClosed]]="",ABS(NETWORKDAYS(Proc[[#This Row],[DateOpened]],TODAY()))-1,ABS(NETWORKDAYS(Proc[[#This Row],[DateOpened]],Proc[[#This Row],[DateClosed]]))-1)</f>
        <v>86</v>
      </c>
      <c r="R3511" s="115" t="s">
        <v>515</v>
      </c>
      <c r="S3511" s="129"/>
    </row>
    <row r="3512" spans="1:19">
      <c r="A3512" s="128" t="s">
        <v>5669</v>
      </c>
      <c r="B3512" s="149" t="str">
        <f>IFERROR(VLOOKUP(Proc[[#This Row],[App]],Table2[],3,0),"open")</f>
        <v>ok</v>
      </c>
      <c r="C3512" s="128" t="s">
        <v>369</v>
      </c>
      <c r="D3512" t="s">
        <v>5599</v>
      </c>
      <c r="E3512" t="s">
        <v>5668</v>
      </c>
      <c r="F3512" s="129" t="s">
        <v>5668</v>
      </c>
      <c r="G3512" s="128" t="s">
        <v>406</v>
      </c>
      <c r="H3512" s="129" t="str">
        <f>IF(Proc[[#This Row],[type]]="LFF (MDG-F)",MID(Proc[[#This Row],[Obj]],13,10),"")</f>
        <v>DE65GPO001</v>
      </c>
      <c r="J3512" s="129" t="b">
        <f>Proc[[#This Row],[Requested]]=Proc[[#This Row],[CurrentParent]]</f>
        <v>1</v>
      </c>
      <c r="K3512" s="144" t="str">
        <f>IF(Proc[[#This Row],[Author]]="Marcela Urrego",VLOOKUP(LEFT(Proc[[#This Row],[Requested]],1),Table3[#All],2,0),VLOOKUP(Proc[[#This Row],[Author]],Table4[],2,0))</f>
        <v>MGF</v>
      </c>
      <c r="L3512" s="129" t="s">
        <v>4894</v>
      </c>
      <c r="M3512" s="127">
        <v>45883</v>
      </c>
      <c r="N3512" s="127"/>
      <c r="O3512" s="127"/>
      <c r="P3512" s="115" t="str">
        <f ca="1">IF(Proc[[#This Row],[DaysAgeing]]&gt;5,"yep","on track")</f>
        <v>yep</v>
      </c>
      <c r="Q3512" s="3">
        <f ca="1">IF(Proc[[#This Row],[DateClosed]]="",ABS(NETWORKDAYS(Proc[[#This Row],[DateOpened]],TODAY()))-1,ABS(NETWORKDAYS(Proc[[#This Row],[DateOpened]],Proc[[#This Row],[DateClosed]]))-1)</f>
        <v>86</v>
      </c>
      <c r="R3512" s="115" t="s">
        <v>515</v>
      </c>
      <c r="S3512" s="129"/>
    </row>
    <row r="3513" spans="1:19">
      <c r="A3513" s="128" t="s">
        <v>5669</v>
      </c>
      <c r="B3513" s="149" t="str">
        <f>IFERROR(VLOOKUP(Proc[[#This Row],[App]],Table2[],3,0),"open")</f>
        <v>ok</v>
      </c>
      <c r="C3513" s="128" t="s">
        <v>369</v>
      </c>
      <c r="D3513" t="s">
        <v>5600</v>
      </c>
      <c r="E3513" t="s">
        <v>5668</v>
      </c>
      <c r="F3513" s="129" t="s">
        <v>5668</v>
      </c>
      <c r="G3513" s="128" t="s">
        <v>406</v>
      </c>
      <c r="H3513" s="129" t="str">
        <f>IF(Proc[[#This Row],[type]]="LFF (MDG-F)",MID(Proc[[#This Row],[Obj]],13,10),"")</f>
        <v>DK50GPO004</v>
      </c>
      <c r="J3513" s="129" t="b">
        <f>Proc[[#This Row],[Requested]]=Proc[[#This Row],[CurrentParent]]</f>
        <v>1</v>
      </c>
      <c r="K3513" s="144" t="str">
        <f>IF(Proc[[#This Row],[Author]]="Marcela Urrego",VLOOKUP(LEFT(Proc[[#This Row],[Requested]],1),Table3[#All],2,0),VLOOKUP(Proc[[#This Row],[Author]],Table4[],2,0))</f>
        <v>MGF</v>
      </c>
      <c r="L3513" s="129" t="s">
        <v>4894</v>
      </c>
      <c r="M3513" s="127">
        <v>45883</v>
      </c>
      <c r="N3513" s="127"/>
      <c r="O3513" s="127"/>
      <c r="P3513" s="115" t="str">
        <f ca="1">IF(Proc[[#This Row],[DaysAgeing]]&gt;5,"yep","on track")</f>
        <v>yep</v>
      </c>
      <c r="Q3513" s="3">
        <f ca="1">IF(Proc[[#This Row],[DateClosed]]="",ABS(NETWORKDAYS(Proc[[#This Row],[DateOpened]],TODAY()))-1,ABS(NETWORKDAYS(Proc[[#This Row],[DateOpened]],Proc[[#This Row],[DateClosed]]))-1)</f>
        <v>86</v>
      </c>
      <c r="R3513" s="115" t="s">
        <v>515</v>
      </c>
      <c r="S3513" s="129"/>
    </row>
    <row r="3514" spans="1:19">
      <c r="A3514" s="128" t="s">
        <v>5669</v>
      </c>
      <c r="B3514" s="149" t="str">
        <f>IFERROR(VLOOKUP(Proc[[#This Row],[App]],Table2[],3,0),"open")</f>
        <v>ok</v>
      </c>
      <c r="C3514" s="128" t="s">
        <v>369</v>
      </c>
      <c r="D3514" t="s">
        <v>5601</v>
      </c>
      <c r="E3514" t="s">
        <v>5668</v>
      </c>
      <c r="F3514" s="129" t="s">
        <v>5668</v>
      </c>
      <c r="G3514" s="128" t="s">
        <v>406</v>
      </c>
      <c r="H3514" s="129" t="str">
        <f>IF(Proc[[#This Row],[type]]="LFF (MDG-F)",MID(Proc[[#This Row],[Obj]],13,10),"")</f>
        <v>ES50GPO792</v>
      </c>
      <c r="J3514" s="129" t="b">
        <f>Proc[[#This Row],[Requested]]=Proc[[#This Row],[CurrentParent]]</f>
        <v>1</v>
      </c>
      <c r="K3514" s="144" t="str">
        <f>IF(Proc[[#This Row],[Author]]="Marcela Urrego",VLOOKUP(LEFT(Proc[[#This Row],[Requested]],1),Table3[#All],2,0),VLOOKUP(Proc[[#This Row],[Author]],Table4[],2,0))</f>
        <v>MGF</v>
      </c>
      <c r="L3514" s="129" t="s">
        <v>4894</v>
      </c>
      <c r="M3514" s="127">
        <v>45883</v>
      </c>
      <c r="N3514" s="127"/>
      <c r="O3514" s="127"/>
      <c r="P3514" s="115" t="str">
        <f ca="1">IF(Proc[[#This Row],[DaysAgeing]]&gt;5,"yep","on track")</f>
        <v>yep</v>
      </c>
      <c r="Q3514" s="3">
        <f ca="1">IF(Proc[[#This Row],[DateClosed]]="",ABS(NETWORKDAYS(Proc[[#This Row],[DateOpened]],TODAY()))-1,ABS(NETWORKDAYS(Proc[[#This Row],[DateOpened]],Proc[[#This Row],[DateClosed]]))-1)</f>
        <v>86</v>
      </c>
      <c r="R3514" s="115" t="s">
        <v>515</v>
      </c>
      <c r="S3514" s="129"/>
    </row>
    <row r="3515" spans="1:19">
      <c r="A3515" s="128" t="s">
        <v>5669</v>
      </c>
      <c r="B3515" s="149" t="str">
        <f>IFERROR(VLOOKUP(Proc[[#This Row],[App]],Table2[],3,0),"open")</f>
        <v>ok</v>
      </c>
      <c r="C3515" s="128" t="s">
        <v>369</v>
      </c>
      <c r="D3515" t="s">
        <v>5602</v>
      </c>
      <c r="E3515" t="s">
        <v>5668</v>
      </c>
      <c r="F3515" s="129" t="s">
        <v>5668</v>
      </c>
      <c r="G3515" s="128" t="s">
        <v>406</v>
      </c>
      <c r="H3515" s="129" t="str">
        <f>IF(Proc[[#This Row],[type]]="LFF (MDG-F)",MID(Proc[[#This Row],[Obj]],13,10),"")</f>
        <v>FR01GPO004</v>
      </c>
      <c r="J3515" s="129" t="b">
        <f>Proc[[#This Row],[Requested]]=Proc[[#This Row],[CurrentParent]]</f>
        <v>1</v>
      </c>
      <c r="K3515" s="144" t="str">
        <f>IF(Proc[[#This Row],[Author]]="Marcela Urrego",VLOOKUP(LEFT(Proc[[#This Row],[Requested]],1),Table3[#All],2,0),VLOOKUP(Proc[[#This Row],[Author]],Table4[],2,0))</f>
        <v>MGF</v>
      </c>
      <c r="L3515" s="129" t="s">
        <v>4894</v>
      </c>
      <c r="M3515" s="127">
        <v>45883</v>
      </c>
      <c r="N3515" s="127"/>
      <c r="O3515" s="127"/>
      <c r="P3515" s="115" t="str">
        <f ca="1">IF(Proc[[#This Row],[DaysAgeing]]&gt;5,"yep","on track")</f>
        <v>yep</v>
      </c>
      <c r="Q3515" s="3">
        <f ca="1">IF(Proc[[#This Row],[DateClosed]]="",ABS(NETWORKDAYS(Proc[[#This Row],[DateOpened]],TODAY()))-1,ABS(NETWORKDAYS(Proc[[#This Row],[DateOpened]],Proc[[#This Row],[DateClosed]]))-1)</f>
        <v>86</v>
      </c>
      <c r="R3515" s="115" t="s">
        <v>515</v>
      </c>
      <c r="S3515" s="129"/>
    </row>
    <row r="3516" spans="1:19">
      <c r="A3516" s="128" t="s">
        <v>5669</v>
      </c>
      <c r="B3516" s="149" t="str">
        <f>IFERROR(VLOOKUP(Proc[[#This Row],[App]],Table2[],3,0),"open")</f>
        <v>ok</v>
      </c>
      <c r="C3516" s="128" t="s">
        <v>369</v>
      </c>
      <c r="D3516" t="s">
        <v>5603</v>
      </c>
      <c r="E3516" t="s">
        <v>5668</v>
      </c>
      <c r="F3516" s="129" t="s">
        <v>5668</v>
      </c>
      <c r="G3516" s="128" t="s">
        <v>406</v>
      </c>
      <c r="H3516" s="129" t="str">
        <f>IF(Proc[[#This Row],[type]]="LFF (MDG-F)",MID(Proc[[#This Row],[Obj]],13,10),"")</f>
        <v>IT50GPO004</v>
      </c>
      <c r="J3516" s="129" t="b">
        <f>Proc[[#This Row],[Requested]]=Proc[[#This Row],[CurrentParent]]</f>
        <v>1</v>
      </c>
      <c r="K3516" s="144" t="str">
        <f>IF(Proc[[#This Row],[Author]]="Marcela Urrego",VLOOKUP(LEFT(Proc[[#This Row],[Requested]],1),Table3[#All],2,0),VLOOKUP(Proc[[#This Row],[Author]],Table4[],2,0))</f>
        <v>MGF</v>
      </c>
      <c r="L3516" s="129" t="s">
        <v>4894</v>
      </c>
      <c r="M3516" s="127">
        <v>45883</v>
      </c>
      <c r="N3516" s="127"/>
      <c r="O3516" s="127"/>
      <c r="P3516" s="115" t="str">
        <f ca="1">IF(Proc[[#This Row],[DaysAgeing]]&gt;5,"yep","on track")</f>
        <v>yep</v>
      </c>
      <c r="Q3516" s="3">
        <f ca="1">IF(Proc[[#This Row],[DateClosed]]="",ABS(NETWORKDAYS(Proc[[#This Row],[DateOpened]],TODAY()))-1,ABS(NETWORKDAYS(Proc[[#This Row],[DateOpened]],Proc[[#This Row],[DateClosed]]))-1)</f>
        <v>86</v>
      </c>
      <c r="R3516" s="115" t="s">
        <v>515</v>
      </c>
      <c r="S3516" s="129"/>
    </row>
    <row r="3517" spans="1:19">
      <c r="A3517" s="128" t="s">
        <v>5669</v>
      </c>
      <c r="B3517" s="149" t="str">
        <f>IFERROR(VLOOKUP(Proc[[#This Row],[App]],Table2[],3,0),"open")</f>
        <v>ok</v>
      </c>
      <c r="C3517" s="128" t="s">
        <v>369</v>
      </c>
      <c r="D3517" t="s">
        <v>5604</v>
      </c>
      <c r="E3517" t="s">
        <v>5668</v>
      </c>
      <c r="F3517" s="129" t="s">
        <v>5668</v>
      </c>
      <c r="G3517" s="128" t="s">
        <v>406</v>
      </c>
      <c r="H3517" s="129" t="str">
        <f>IF(Proc[[#This Row],[type]]="LFF (MDG-F)",MID(Proc[[#This Row],[Obj]],13,10),"")</f>
        <v>IT50GPO0C3</v>
      </c>
      <c r="J3517" s="129" t="b">
        <f>Proc[[#This Row],[Requested]]=Proc[[#This Row],[CurrentParent]]</f>
        <v>1</v>
      </c>
      <c r="K3517" s="144" t="str">
        <f>IF(Proc[[#This Row],[Author]]="Marcela Urrego",VLOOKUP(LEFT(Proc[[#This Row],[Requested]],1),Table3[#All],2,0),VLOOKUP(Proc[[#This Row],[Author]],Table4[],2,0))</f>
        <v>MGF</v>
      </c>
      <c r="L3517" s="129" t="s">
        <v>4894</v>
      </c>
      <c r="M3517" s="127">
        <v>45883</v>
      </c>
      <c r="N3517" s="127"/>
      <c r="O3517" s="127"/>
      <c r="P3517" s="115" t="str">
        <f ca="1">IF(Proc[[#This Row],[DaysAgeing]]&gt;5,"yep","on track")</f>
        <v>yep</v>
      </c>
      <c r="Q3517" s="3">
        <f ca="1">IF(Proc[[#This Row],[DateClosed]]="",ABS(NETWORKDAYS(Proc[[#This Row],[DateOpened]],TODAY()))-1,ABS(NETWORKDAYS(Proc[[#This Row],[DateOpened]],Proc[[#This Row],[DateClosed]]))-1)</f>
        <v>86</v>
      </c>
      <c r="R3517" s="115" t="s">
        <v>515</v>
      </c>
      <c r="S3517" s="129"/>
    </row>
    <row r="3518" spans="1:19">
      <c r="A3518" s="128" t="s">
        <v>5669</v>
      </c>
      <c r="B3518" s="149" t="str">
        <f>IFERROR(VLOOKUP(Proc[[#This Row],[App]],Table2[],3,0),"open")</f>
        <v>ok</v>
      </c>
      <c r="C3518" s="128" t="s">
        <v>369</v>
      </c>
      <c r="D3518" t="s">
        <v>5605</v>
      </c>
      <c r="E3518" t="s">
        <v>5668</v>
      </c>
      <c r="F3518" s="129" t="s">
        <v>5668</v>
      </c>
      <c r="G3518" s="128" t="s">
        <v>406</v>
      </c>
      <c r="H3518" s="129" t="str">
        <f>IF(Proc[[#This Row],[type]]="LFF (MDG-F)",MID(Proc[[#This Row],[Obj]],13,10),"")</f>
        <v>JP01GPO302</v>
      </c>
      <c r="J3518" s="129" t="b">
        <f>Proc[[#This Row],[Requested]]=Proc[[#This Row],[CurrentParent]]</f>
        <v>1</v>
      </c>
      <c r="K3518" s="144" t="str">
        <f>IF(Proc[[#This Row],[Author]]="Marcela Urrego",VLOOKUP(LEFT(Proc[[#This Row],[Requested]],1),Table3[#All],2,0),VLOOKUP(Proc[[#This Row],[Author]],Table4[],2,0))</f>
        <v>MGF</v>
      </c>
      <c r="L3518" s="129" t="s">
        <v>4894</v>
      </c>
      <c r="M3518" s="127">
        <v>45883</v>
      </c>
      <c r="N3518" s="127"/>
      <c r="O3518" s="127"/>
      <c r="P3518" s="115" t="str">
        <f ca="1">IF(Proc[[#This Row],[DaysAgeing]]&gt;5,"yep","on track")</f>
        <v>yep</v>
      </c>
      <c r="Q3518" s="3">
        <f ca="1">IF(Proc[[#This Row],[DateClosed]]="",ABS(NETWORKDAYS(Proc[[#This Row],[DateOpened]],TODAY()))-1,ABS(NETWORKDAYS(Proc[[#This Row],[DateOpened]],Proc[[#This Row],[DateClosed]]))-1)</f>
        <v>86</v>
      </c>
      <c r="R3518" s="115" t="s">
        <v>515</v>
      </c>
      <c r="S3518" s="129"/>
    </row>
    <row r="3519" spans="1:19">
      <c r="A3519" s="128" t="s">
        <v>5669</v>
      </c>
      <c r="B3519" s="149" t="str">
        <f>IFERROR(VLOOKUP(Proc[[#This Row],[App]],Table2[],3,0),"open")</f>
        <v>ok</v>
      </c>
      <c r="C3519" s="128" t="s">
        <v>369</v>
      </c>
      <c r="D3519" t="s">
        <v>5606</v>
      </c>
      <c r="E3519" t="s">
        <v>5668</v>
      </c>
      <c r="F3519" s="129" t="s">
        <v>5668</v>
      </c>
      <c r="G3519" s="128" t="s">
        <v>406</v>
      </c>
      <c r="H3519" s="129" t="str">
        <f>IF(Proc[[#This Row],[type]]="LFF (MDG-F)",MID(Proc[[#This Row],[Obj]],13,10),"")</f>
        <v>JP02GPO302</v>
      </c>
      <c r="J3519" s="129" t="b">
        <f>Proc[[#This Row],[Requested]]=Proc[[#This Row],[CurrentParent]]</f>
        <v>1</v>
      </c>
      <c r="K3519" s="144" t="str">
        <f>IF(Proc[[#This Row],[Author]]="Marcela Urrego",VLOOKUP(LEFT(Proc[[#This Row],[Requested]],1),Table3[#All],2,0),VLOOKUP(Proc[[#This Row],[Author]],Table4[],2,0))</f>
        <v>MGF</v>
      </c>
      <c r="L3519" s="129" t="s">
        <v>4894</v>
      </c>
      <c r="M3519" s="127">
        <v>45883</v>
      </c>
      <c r="N3519" s="127"/>
      <c r="O3519" s="127"/>
      <c r="P3519" s="115" t="str">
        <f ca="1">IF(Proc[[#This Row],[DaysAgeing]]&gt;5,"yep","on track")</f>
        <v>yep</v>
      </c>
      <c r="Q3519" s="3">
        <f ca="1">IF(Proc[[#This Row],[DateClosed]]="",ABS(NETWORKDAYS(Proc[[#This Row],[DateOpened]],TODAY()))-1,ABS(NETWORKDAYS(Proc[[#This Row],[DateOpened]],Proc[[#This Row],[DateClosed]]))-1)</f>
        <v>86</v>
      </c>
      <c r="R3519" s="115" t="s">
        <v>515</v>
      </c>
      <c r="S3519" s="129"/>
    </row>
    <row r="3520" spans="1:19">
      <c r="A3520" s="128" t="s">
        <v>5669</v>
      </c>
      <c r="B3520" s="149" t="str">
        <f>IFERROR(VLOOKUP(Proc[[#This Row],[App]],Table2[],3,0),"open")</f>
        <v>ok</v>
      </c>
      <c r="C3520" s="128" t="s">
        <v>369</v>
      </c>
      <c r="D3520" t="s">
        <v>5607</v>
      </c>
      <c r="E3520" t="s">
        <v>5668</v>
      </c>
      <c r="F3520" s="129" t="s">
        <v>5668</v>
      </c>
      <c r="G3520" s="128" t="s">
        <v>406</v>
      </c>
      <c r="H3520" s="129" t="str">
        <f>IF(Proc[[#This Row],[type]]="LFF (MDG-F)",MID(Proc[[#This Row],[Obj]],13,10),"")</f>
        <v>KE50GPO004</v>
      </c>
      <c r="J3520" s="129" t="b">
        <f>Proc[[#This Row],[Requested]]=Proc[[#This Row],[CurrentParent]]</f>
        <v>1</v>
      </c>
      <c r="K3520" s="144" t="str">
        <f>IF(Proc[[#This Row],[Author]]="Marcela Urrego",VLOOKUP(LEFT(Proc[[#This Row],[Requested]],1),Table3[#All],2,0),VLOOKUP(Proc[[#This Row],[Author]],Table4[],2,0))</f>
        <v>MGF</v>
      </c>
      <c r="L3520" s="129" t="s">
        <v>4894</v>
      </c>
      <c r="M3520" s="127">
        <v>45883</v>
      </c>
      <c r="N3520" s="127"/>
      <c r="O3520" s="127"/>
      <c r="P3520" s="115" t="str">
        <f ca="1">IF(Proc[[#This Row],[DaysAgeing]]&gt;5,"yep","on track")</f>
        <v>yep</v>
      </c>
      <c r="Q3520" s="3">
        <f ca="1">IF(Proc[[#This Row],[DateClosed]]="",ABS(NETWORKDAYS(Proc[[#This Row],[DateOpened]],TODAY()))-1,ABS(NETWORKDAYS(Proc[[#This Row],[DateOpened]],Proc[[#This Row],[DateClosed]]))-1)</f>
        <v>86</v>
      </c>
      <c r="R3520" s="115" t="s">
        <v>515</v>
      </c>
      <c r="S3520" s="129"/>
    </row>
    <row r="3521" spans="1:19">
      <c r="A3521" s="128" t="s">
        <v>5669</v>
      </c>
      <c r="B3521" s="149" t="str">
        <f>IFERROR(VLOOKUP(Proc[[#This Row],[App]],Table2[],3,0),"open")</f>
        <v>ok</v>
      </c>
      <c r="C3521" s="128" t="s">
        <v>369</v>
      </c>
      <c r="D3521" t="s">
        <v>5608</v>
      </c>
      <c r="E3521" t="s">
        <v>5668</v>
      </c>
      <c r="F3521" s="129" t="s">
        <v>5668</v>
      </c>
      <c r="G3521" s="128" t="s">
        <v>406</v>
      </c>
      <c r="H3521" s="129" t="str">
        <f>IF(Proc[[#This Row],[type]]="LFF (MDG-F)",MID(Proc[[#This Row],[Obj]],13,10),"")</f>
        <v>KR02GPO001</v>
      </c>
      <c r="J3521" s="129" t="b">
        <f>Proc[[#This Row],[Requested]]=Proc[[#This Row],[CurrentParent]]</f>
        <v>1</v>
      </c>
      <c r="K3521" s="144" t="str">
        <f>IF(Proc[[#This Row],[Author]]="Marcela Urrego",VLOOKUP(LEFT(Proc[[#This Row],[Requested]],1),Table3[#All],2,0),VLOOKUP(Proc[[#This Row],[Author]],Table4[],2,0))</f>
        <v>MGF</v>
      </c>
      <c r="L3521" s="129" t="s">
        <v>4894</v>
      </c>
      <c r="M3521" s="127">
        <v>45883</v>
      </c>
      <c r="N3521" s="127"/>
      <c r="O3521" s="127"/>
      <c r="P3521" s="115" t="str">
        <f ca="1">IF(Proc[[#This Row],[DaysAgeing]]&gt;5,"yep","on track")</f>
        <v>yep</v>
      </c>
      <c r="Q3521" s="3">
        <f ca="1">IF(Proc[[#This Row],[DateClosed]]="",ABS(NETWORKDAYS(Proc[[#This Row],[DateOpened]],TODAY()))-1,ABS(NETWORKDAYS(Proc[[#This Row],[DateOpened]],Proc[[#This Row],[DateClosed]]))-1)</f>
        <v>86</v>
      </c>
      <c r="R3521" s="115" t="s">
        <v>515</v>
      </c>
      <c r="S3521" s="129"/>
    </row>
    <row r="3522" spans="1:19">
      <c r="A3522" s="128" t="s">
        <v>5669</v>
      </c>
      <c r="B3522" s="149" t="str">
        <f>IFERROR(VLOOKUP(Proc[[#This Row],[App]],Table2[],3,0),"open")</f>
        <v>ok</v>
      </c>
      <c r="C3522" s="128" t="s">
        <v>369</v>
      </c>
      <c r="D3522" t="s">
        <v>5609</v>
      </c>
      <c r="E3522" t="s">
        <v>5668</v>
      </c>
      <c r="F3522" s="129" t="s">
        <v>5668</v>
      </c>
      <c r="G3522" s="128" t="s">
        <v>406</v>
      </c>
      <c r="H3522" s="129" t="str">
        <f>IF(Proc[[#This Row],[type]]="LFF (MDG-F)",MID(Proc[[#This Row],[Obj]],13,10),"")</f>
        <v>TW02GPO004</v>
      </c>
      <c r="J3522" s="129" t="b">
        <f>Proc[[#This Row],[Requested]]=Proc[[#This Row],[CurrentParent]]</f>
        <v>1</v>
      </c>
      <c r="K3522" s="144" t="str">
        <f>IF(Proc[[#This Row],[Author]]="Marcela Urrego",VLOOKUP(LEFT(Proc[[#This Row],[Requested]],1),Table3[#All],2,0),VLOOKUP(Proc[[#This Row],[Author]],Table4[],2,0))</f>
        <v>MGF</v>
      </c>
      <c r="L3522" s="129" t="s">
        <v>4894</v>
      </c>
      <c r="M3522" s="127">
        <v>45883</v>
      </c>
      <c r="N3522" s="127"/>
      <c r="O3522" s="127"/>
      <c r="P3522" s="115" t="str">
        <f ca="1">IF(Proc[[#This Row],[DaysAgeing]]&gt;5,"yep","on track")</f>
        <v>yep</v>
      </c>
      <c r="Q3522" s="3">
        <f ca="1">IF(Proc[[#This Row],[DateClosed]]="",ABS(NETWORKDAYS(Proc[[#This Row],[DateOpened]],TODAY()))-1,ABS(NETWORKDAYS(Proc[[#This Row],[DateOpened]],Proc[[#This Row],[DateClosed]]))-1)</f>
        <v>86</v>
      </c>
      <c r="R3522" s="115" t="s">
        <v>515</v>
      </c>
      <c r="S3522" s="129"/>
    </row>
    <row r="3523" spans="1:19">
      <c r="A3523" s="128" t="s">
        <v>5669</v>
      </c>
      <c r="B3523" s="149" t="str">
        <f>IFERROR(VLOOKUP(Proc[[#This Row],[App]],Table2[],3,0),"open")</f>
        <v>ok</v>
      </c>
      <c r="C3523" s="128" t="s">
        <v>369</v>
      </c>
      <c r="D3523" t="s">
        <v>5610</v>
      </c>
      <c r="E3523" t="s">
        <v>5668</v>
      </c>
      <c r="F3523" s="129" t="s">
        <v>5668</v>
      </c>
      <c r="G3523" s="128" t="s">
        <v>406</v>
      </c>
      <c r="H3523" s="129" t="str">
        <f>IF(Proc[[#This Row],[type]]="LFF (MDG-F)",MID(Proc[[#This Row],[Obj]],13,10),"")</f>
        <v>TW03GPO005</v>
      </c>
      <c r="J3523" s="129" t="b">
        <f>Proc[[#This Row],[Requested]]=Proc[[#This Row],[CurrentParent]]</f>
        <v>1</v>
      </c>
      <c r="K3523" s="144" t="str">
        <f>IF(Proc[[#This Row],[Author]]="Marcela Urrego",VLOOKUP(LEFT(Proc[[#This Row],[Requested]],1),Table3[#All],2,0),VLOOKUP(Proc[[#This Row],[Author]],Table4[],2,0))</f>
        <v>MGF</v>
      </c>
      <c r="L3523" s="129" t="s">
        <v>4894</v>
      </c>
      <c r="M3523" s="127">
        <v>45883</v>
      </c>
      <c r="N3523" s="127"/>
      <c r="O3523" s="127"/>
      <c r="P3523" s="115" t="str">
        <f ca="1">IF(Proc[[#This Row],[DaysAgeing]]&gt;5,"yep","on track")</f>
        <v>yep</v>
      </c>
      <c r="Q3523" s="3">
        <f ca="1">IF(Proc[[#This Row],[DateClosed]]="",ABS(NETWORKDAYS(Proc[[#This Row],[DateOpened]],TODAY()))-1,ABS(NETWORKDAYS(Proc[[#This Row],[DateOpened]],Proc[[#This Row],[DateClosed]]))-1)</f>
        <v>86</v>
      </c>
      <c r="R3523" s="115" t="s">
        <v>515</v>
      </c>
      <c r="S3523" s="129"/>
    </row>
    <row r="3524" spans="1:19">
      <c r="A3524" s="128" t="s">
        <v>5669</v>
      </c>
      <c r="B3524" s="149" t="str">
        <f>IFERROR(VLOOKUP(Proc[[#This Row],[App]],Table2[],3,0),"open")</f>
        <v>ok</v>
      </c>
      <c r="C3524" s="128" t="s">
        <v>369</v>
      </c>
      <c r="D3524" t="s">
        <v>5611</v>
      </c>
      <c r="E3524" t="s">
        <v>5668</v>
      </c>
      <c r="F3524" s="129" t="s">
        <v>5668</v>
      </c>
      <c r="G3524" s="128" t="s">
        <v>406</v>
      </c>
      <c r="H3524" s="129" t="str">
        <f>IF(Proc[[#This Row],[type]]="LFF (MDG-F)",MID(Proc[[#This Row],[Obj]],13,10),"")</f>
        <v>US01GPO004</v>
      </c>
      <c r="J3524" s="129" t="b">
        <f>Proc[[#This Row],[Requested]]=Proc[[#This Row],[CurrentParent]]</f>
        <v>1</v>
      </c>
      <c r="K3524" s="144" t="str">
        <f>IF(Proc[[#This Row],[Author]]="Marcela Urrego",VLOOKUP(LEFT(Proc[[#This Row],[Requested]],1),Table3[#All],2,0),VLOOKUP(Proc[[#This Row],[Author]],Table4[],2,0))</f>
        <v>MGF</v>
      </c>
      <c r="L3524" s="129" t="s">
        <v>4894</v>
      </c>
      <c r="M3524" s="127">
        <v>45883</v>
      </c>
      <c r="N3524" s="127"/>
      <c r="O3524" s="127"/>
      <c r="P3524" s="115" t="str">
        <f ca="1">IF(Proc[[#This Row],[DaysAgeing]]&gt;5,"yep","on track")</f>
        <v>yep</v>
      </c>
      <c r="Q3524" s="3">
        <f ca="1">IF(Proc[[#This Row],[DateClosed]]="",ABS(NETWORKDAYS(Proc[[#This Row],[DateOpened]],TODAY()))-1,ABS(NETWORKDAYS(Proc[[#This Row],[DateOpened]],Proc[[#This Row],[DateClosed]]))-1)</f>
        <v>86</v>
      </c>
      <c r="R3524" s="115" t="s">
        <v>515</v>
      </c>
      <c r="S3524" s="129"/>
    </row>
    <row r="3525" spans="1:19">
      <c r="A3525" s="128" t="s">
        <v>5669</v>
      </c>
      <c r="B3525" s="149" t="str">
        <f>IFERROR(VLOOKUP(Proc[[#This Row],[App]],Table2[],3,0),"open")</f>
        <v>ok</v>
      </c>
      <c r="C3525" s="128" t="s">
        <v>369</v>
      </c>
      <c r="D3525" t="s">
        <v>5612</v>
      </c>
      <c r="E3525" t="s">
        <v>5668</v>
      </c>
      <c r="F3525" s="129" t="s">
        <v>5668</v>
      </c>
      <c r="G3525" s="128" t="s">
        <v>406</v>
      </c>
      <c r="H3525" s="129" t="str">
        <f>IF(Proc[[#This Row],[type]]="LFF (MDG-F)",MID(Proc[[#This Row],[Obj]],13,10),"")</f>
        <v>US01GPO101</v>
      </c>
      <c r="J3525" s="129" t="b">
        <f>Proc[[#This Row],[Requested]]=Proc[[#This Row],[CurrentParent]]</f>
        <v>1</v>
      </c>
      <c r="K3525" s="144" t="str">
        <f>IF(Proc[[#This Row],[Author]]="Marcela Urrego",VLOOKUP(LEFT(Proc[[#This Row],[Requested]],1),Table3[#All],2,0),VLOOKUP(Proc[[#This Row],[Author]],Table4[],2,0))</f>
        <v>MGF</v>
      </c>
      <c r="L3525" s="129" t="s">
        <v>4894</v>
      </c>
      <c r="M3525" s="127">
        <v>45883</v>
      </c>
      <c r="N3525" s="127"/>
      <c r="O3525" s="127"/>
      <c r="P3525" s="115" t="str">
        <f ca="1">IF(Proc[[#This Row],[DaysAgeing]]&gt;5,"yep","on track")</f>
        <v>yep</v>
      </c>
      <c r="Q3525" s="3">
        <f ca="1">IF(Proc[[#This Row],[DateClosed]]="",ABS(NETWORKDAYS(Proc[[#This Row],[DateOpened]],TODAY()))-1,ABS(NETWORKDAYS(Proc[[#This Row],[DateOpened]],Proc[[#This Row],[DateClosed]]))-1)</f>
        <v>86</v>
      </c>
      <c r="R3525" s="115" t="s">
        <v>515</v>
      </c>
      <c r="S3525" s="129"/>
    </row>
    <row r="3526" spans="1:19">
      <c r="A3526" s="128" t="s">
        <v>5669</v>
      </c>
      <c r="B3526" s="149" t="str">
        <f>IFERROR(VLOOKUP(Proc[[#This Row],[App]],Table2[],3,0),"open")</f>
        <v>ok</v>
      </c>
      <c r="C3526" s="128" t="s">
        <v>369</v>
      </c>
      <c r="D3526" t="s">
        <v>5613</v>
      </c>
      <c r="E3526" t="s">
        <v>5668</v>
      </c>
      <c r="F3526" s="129" t="s">
        <v>5668</v>
      </c>
      <c r="G3526" s="128" t="s">
        <v>406</v>
      </c>
      <c r="H3526" s="129" t="str">
        <f>IF(Proc[[#This Row],[type]]="LFF (MDG-F)",MID(Proc[[#This Row],[Obj]],13,10),"")</f>
        <v>US01GPO401</v>
      </c>
      <c r="J3526" s="129" t="b">
        <f>Proc[[#This Row],[Requested]]=Proc[[#This Row],[CurrentParent]]</f>
        <v>1</v>
      </c>
      <c r="K3526" s="144" t="str">
        <f>IF(Proc[[#This Row],[Author]]="Marcela Urrego",VLOOKUP(LEFT(Proc[[#This Row],[Requested]],1),Table3[#All],2,0),VLOOKUP(Proc[[#This Row],[Author]],Table4[],2,0))</f>
        <v>MGF</v>
      </c>
      <c r="L3526" s="129" t="s">
        <v>4894</v>
      </c>
      <c r="M3526" s="127">
        <v>45883</v>
      </c>
      <c r="N3526" s="127"/>
      <c r="O3526" s="127"/>
      <c r="P3526" s="115" t="str">
        <f ca="1">IF(Proc[[#This Row],[DaysAgeing]]&gt;5,"yep","on track")</f>
        <v>yep</v>
      </c>
      <c r="Q3526" s="3">
        <f ca="1">IF(Proc[[#This Row],[DateClosed]]="",ABS(NETWORKDAYS(Proc[[#This Row],[DateOpened]],TODAY()))-1,ABS(NETWORKDAYS(Proc[[#This Row],[DateOpened]],Proc[[#This Row],[DateClosed]]))-1)</f>
        <v>86</v>
      </c>
      <c r="R3526" s="115" t="s">
        <v>515</v>
      </c>
      <c r="S3526" s="129"/>
    </row>
    <row r="3527" spans="1:19">
      <c r="A3527" s="128" t="s">
        <v>5669</v>
      </c>
      <c r="B3527" s="149" t="str">
        <f>IFERROR(VLOOKUP(Proc[[#This Row],[App]],Table2[],3,0),"open")</f>
        <v>ok</v>
      </c>
      <c r="C3527" s="128" t="s">
        <v>369</v>
      </c>
      <c r="D3527" t="s">
        <v>5614</v>
      </c>
      <c r="E3527" t="s">
        <v>5668</v>
      </c>
      <c r="F3527" s="129" t="s">
        <v>5668</v>
      </c>
      <c r="G3527" s="128" t="s">
        <v>406</v>
      </c>
      <c r="H3527" s="129" t="str">
        <f>IF(Proc[[#This Row],[type]]="LFF (MDG-F)",MID(Proc[[#This Row],[Obj]],13,10),"")</f>
        <v>VN50GPO005</v>
      </c>
      <c r="J3527" s="129" t="b">
        <f>Proc[[#This Row],[Requested]]=Proc[[#This Row],[CurrentParent]]</f>
        <v>1</v>
      </c>
      <c r="K3527" s="144" t="str">
        <f>IF(Proc[[#This Row],[Author]]="Marcela Urrego",VLOOKUP(LEFT(Proc[[#This Row],[Requested]],1),Table3[#All],2,0),VLOOKUP(Proc[[#This Row],[Author]],Table4[],2,0))</f>
        <v>MGF</v>
      </c>
      <c r="L3527" s="129" t="s">
        <v>4894</v>
      </c>
      <c r="M3527" s="127">
        <v>45883</v>
      </c>
      <c r="N3527" s="127"/>
      <c r="O3527" s="127"/>
      <c r="P3527" s="115" t="str">
        <f ca="1">IF(Proc[[#This Row],[DaysAgeing]]&gt;5,"yep","on track")</f>
        <v>yep</v>
      </c>
      <c r="Q3527" s="3">
        <f ca="1">IF(Proc[[#This Row],[DateClosed]]="",ABS(NETWORKDAYS(Proc[[#This Row],[DateOpened]],TODAY()))-1,ABS(NETWORKDAYS(Proc[[#This Row],[DateOpened]],Proc[[#This Row],[DateClosed]]))-1)</f>
        <v>86</v>
      </c>
      <c r="R3527" s="115" t="s">
        <v>515</v>
      </c>
      <c r="S3527" s="129"/>
    </row>
    <row r="3528" spans="1:19">
      <c r="A3528" s="128" t="s">
        <v>5669</v>
      </c>
      <c r="B3528" s="149" t="str">
        <f>IFERROR(VLOOKUP(Proc[[#This Row],[App]],Table2[],3,0),"open")</f>
        <v>ok</v>
      </c>
      <c r="C3528" s="128" t="s">
        <v>369</v>
      </c>
      <c r="D3528" t="s">
        <v>5615</v>
      </c>
      <c r="E3528" t="s">
        <v>5668</v>
      </c>
      <c r="F3528" s="129" t="s">
        <v>5668</v>
      </c>
      <c r="G3528" s="128" t="s">
        <v>406</v>
      </c>
      <c r="H3528" s="129" t="str">
        <f>IF(Proc[[#This Row],[type]]="LFF (MDG-F)",MID(Proc[[#This Row],[Obj]],13,10),"")</f>
        <v>ZA50GPO004</v>
      </c>
      <c r="J3528" s="129" t="b">
        <f>Proc[[#This Row],[Requested]]=Proc[[#This Row],[CurrentParent]]</f>
        <v>1</v>
      </c>
      <c r="K3528" s="144" t="str">
        <f>IF(Proc[[#This Row],[Author]]="Marcela Urrego",VLOOKUP(LEFT(Proc[[#This Row],[Requested]],1),Table3[#All],2,0),VLOOKUP(Proc[[#This Row],[Author]],Table4[],2,0))</f>
        <v>MGF</v>
      </c>
      <c r="L3528" s="129" t="s">
        <v>4894</v>
      </c>
      <c r="M3528" s="127">
        <v>45883</v>
      </c>
      <c r="N3528" s="127"/>
      <c r="O3528" s="127"/>
      <c r="P3528" s="115" t="str">
        <f ca="1">IF(Proc[[#This Row],[DaysAgeing]]&gt;5,"yep","on track")</f>
        <v>yep</v>
      </c>
      <c r="Q3528" s="3">
        <f ca="1">IF(Proc[[#This Row],[DateClosed]]="",ABS(NETWORKDAYS(Proc[[#This Row],[DateOpened]],TODAY()))-1,ABS(NETWORKDAYS(Proc[[#This Row],[DateOpened]],Proc[[#This Row],[DateClosed]]))-1)</f>
        <v>86</v>
      </c>
      <c r="R3528" s="115" t="s">
        <v>515</v>
      </c>
      <c r="S3528" s="129"/>
    </row>
    <row r="3529" spans="1:19">
      <c r="A3529" s="128" t="s">
        <v>5669</v>
      </c>
      <c r="B3529" s="149" t="str">
        <f>IFERROR(VLOOKUP(Proc[[#This Row],[App]],Table2[],3,0),"open")</f>
        <v>ok</v>
      </c>
      <c r="C3529" s="128" t="s">
        <v>369</v>
      </c>
      <c r="D3529" t="s">
        <v>5616</v>
      </c>
      <c r="E3529" t="s">
        <v>5668</v>
      </c>
      <c r="F3529" s="129" t="s">
        <v>5668</v>
      </c>
      <c r="G3529" s="128" t="s">
        <v>406</v>
      </c>
      <c r="H3529" s="129" t="str">
        <f>IF(Proc[[#This Row],[type]]="LFF (MDG-F)",MID(Proc[[#This Row],[Obj]],13,10),"")</f>
        <v>2031GPO004</v>
      </c>
      <c r="J3529" s="129" t="b">
        <f>Proc[[#This Row],[Requested]]=Proc[[#This Row],[CurrentParent]]</f>
        <v>1</v>
      </c>
      <c r="K3529" s="144" t="str">
        <f>IF(Proc[[#This Row],[Author]]="Marcela Urrego",VLOOKUP(LEFT(Proc[[#This Row],[Requested]],1),Table3[#All],2,0),VLOOKUP(Proc[[#This Row],[Author]],Table4[],2,0))</f>
        <v>MGF</v>
      </c>
      <c r="L3529" s="129" t="s">
        <v>4894</v>
      </c>
      <c r="M3529" s="127">
        <v>45883</v>
      </c>
      <c r="N3529" s="127"/>
      <c r="O3529" s="127"/>
      <c r="P3529" s="115" t="str">
        <f ca="1">IF(Proc[[#This Row],[DaysAgeing]]&gt;5,"yep","on track")</f>
        <v>yep</v>
      </c>
      <c r="Q3529" s="3">
        <f ca="1">IF(Proc[[#This Row],[DateClosed]]="",ABS(NETWORKDAYS(Proc[[#This Row],[DateOpened]],TODAY()))-1,ABS(NETWORKDAYS(Proc[[#This Row],[DateOpened]],Proc[[#This Row],[DateClosed]]))-1)</f>
        <v>86</v>
      </c>
      <c r="R3529" s="115" t="s">
        <v>515</v>
      </c>
      <c r="S3529" s="129"/>
    </row>
    <row r="3530" spans="1:19">
      <c r="A3530" s="128" t="s">
        <v>5669</v>
      </c>
      <c r="B3530" s="149" t="str">
        <f>IFERROR(VLOOKUP(Proc[[#This Row],[App]],Table2[],3,0),"open")</f>
        <v>ok</v>
      </c>
      <c r="C3530" s="128" t="s">
        <v>369</v>
      </c>
      <c r="D3530" t="s">
        <v>5617</v>
      </c>
      <c r="E3530" t="s">
        <v>5668</v>
      </c>
      <c r="F3530" s="129" t="s">
        <v>5668</v>
      </c>
      <c r="G3530" s="128" t="s">
        <v>406</v>
      </c>
      <c r="H3530" s="129" t="str">
        <f>IF(Proc[[#This Row],[type]]="LFF (MDG-F)",MID(Proc[[#This Row],[Obj]],13,10),"")</f>
        <v>2057GPO008</v>
      </c>
      <c r="J3530" s="129" t="b">
        <f>Proc[[#This Row],[Requested]]=Proc[[#This Row],[CurrentParent]]</f>
        <v>1</v>
      </c>
      <c r="K3530" s="144" t="str">
        <f>IF(Proc[[#This Row],[Author]]="Marcela Urrego",VLOOKUP(LEFT(Proc[[#This Row],[Requested]],1),Table3[#All],2,0),VLOOKUP(Proc[[#This Row],[Author]],Table4[],2,0))</f>
        <v>MGF</v>
      </c>
      <c r="L3530" s="129" t="s">
        <v>4894</v>
      </c>
      <c r="M3530" s="127">
        <v>45883</v>
      </c>
      <c r="N3530" s="127"/>
      <c r="O3530" s="127"/>
      <c r="P3530" s="115" t="str">
        <f ca="1">IF(Proc[[#This Row],[DaysAgeing]]&gt;5,"yep","on track")</f>
        <v>yep</v>
      </c>
      <c r="Q3530" s="3">
        <f ca="1">IF(Proc[[#This Row],[DateClosed]]="",ABS(NETWORKDAYS(Proc[[#This Row],[DateOpened]],TODAY()))-1,ABS(NETWORKDAYS(Proc[[#This Row],[DateOpened]],Proc[[#This Row],[DateClosed]]))-1)</f>
        <v>86</v>
      </c>
      <c r="R3530" s="115" t="s">
        <v>515</v>
      </c>
      <c r="S3530" s="129"/>
    </row>
    <row r="3531" spans="1:19">
      <c r="A3531" s="128" t="s">
        <v>5669</v>
      </c>
      <c r="B3531" s="149" t="str">
        <f>IFERROR(VLOOKUP(Proc[[#This Row],[App]],Table2[],3,0),"open")</f>
        <v>ok</v>
      </c>
      <c r="C3531" s="128" t="s">
        <v>369</v>
      </c>
      <c r="D3531" t="s">
        <v>5618</v>
      </c>
      <c r="E3531" t="s">
        <v>5668</v>
      </c>
      <c r="F3531" s="129" t="s">
        <v>5668</v>
      </c>
      <c r="G3531" s="128" t="s">
        <v>406</v>
      </c>
      <c r="H3531" s="129" t="str">
        <f>IF(Proc[[#This Row],[type]]="LFF (MDG-F)",MID(Proc[[#This Row],[Obj]],13,10),"")</f>
        <v>2102GPO003</v>
      </c>
      <c r="J3531" s="129" t="b">
        <f>Proc[[#This Row],[Requested]]=Proc[[#This Row],[CurrentParent]]</f>
        <v>1</v>
      </c>
      <c r="K3531" s="144" t="str">
        <f>IF(Proc[[#This Row],[Author]]="Marcela Urrego",VLOOKUP(LEFT(Proc[[#This Row],[Requested]],1),Table3[#All],2,0),VLOOKUP(Proc[[#This Row],[Author]],Table4[],2,0))</f>
        <v>MGF</v>
      </c>
      <c r="L3531" s="129" t="s">
        <v>4894</v>
      </c>
      <c r="M3531" s="127">
        <v>45883</v>
      </c>
      <c r="N3531" s="127"/>
      <c r="O3531" s="127"/>
      <c r="P3531" s="115" t="str">
        <f ca="1">IF(Proc[[#This Row],[DaysAgeing]]&gt;5,"yep","on track")</f>
        <v>yep</v>
      </c>
      <c r="Q3531" s="3">
        <f ca="1">IF(Proc[[#This Row],[DateClosed]]="",ABS(NETWORKDAYS(Proc[[#This Row],[DateOpened]],TODAY()))-1,ABS(NETWORKDAYS(Proc[[#This Row],[DateOpened]],Proc[[#This Row],[DateClosed]]))-1)</f>
        <v>86</v>
      </c>
      <c r="R3531" s="115" t="s">
        <v>515</v>
      </c>
      <c r="S3531" s="129"/>
    </row>
    <row r="3532" spans="1:19">
      <c r="A3532" s="128" t="s">
        <v>5669</v>
      </c>
      <c r="B3532" s="149" t="str">
        <f>IFERROR(VLOOKUP(Proc[[#This Row],[App]],Table2[],3,0),"open")</f>
        <v>ok</v>
      </c>
      <c r="C3532" s="128" t="s">
        <v>369</v>
      </c>
      <c r="D3532" t="s">
        <v>5619</v>
      </c>
      <c r="E3532" t="s">
        <v>5668</v>
      </c>
      <c r="F3532" s="129" t="s">
        <v>5668</v>
      </c>
      <c r="G3532" s="128" t="s">
        <v>406</v>
      </c>
      <c r="H3532" s="129" t="str">
        <f>IF(Proc[[#This Row],[type]]="LFF (MDG-F)",MID(Proc[[#This Row],[Obj]],13,10),"")</f>
        <v>2123GPO001</v>
      </c>
      <c r="J3532" s="129" t="b">
        <f>Proc[[#This Row],[Requested]]=Proc[[#This Row],[CurrentParent]]</f>
        <v>1</v>
      </c>
      <c r="K3532" s="144" t="str">
        <f>IF(Proc[[#This Row],[Author]]="Marcela Urrego",VLOOKUP(LEFT(Proc[[#This Row],[Requested]],1),Table3[#All],2,0),VLOOKUP(Proc[[#This Row],[Author]],Table4[],2,0))</f>
        <v>MGF</v>
      </c>
      <c r="L3532" s="129" t="s">
        <v>4894</v>
      </c>
      <c r="M3532" s="127">
        <v>45883</v>
      </c>
      <c r="N3532" s="127"/>
      <c r="O3532" s="127"/>
      <c r="P3532" s="115" t="str">
        <f ca="1">IF(Proc[[#This Row],[DaysAgeing]]&gt;5,"yep","on track")</f>
        <v>yep</v>
      </c>
      <c r="Q3532" s="3">
        <f ca="1">IF(Proc[[#This Row],[DateClosed]]="",ABS(NETWORKDAYS(Proc[[#This Row],[DateOpened]],TODAY()))-1,ABS(NETWORKDAYS(Proc[[#This Row],[DateOpened]],Proc[[#This Row],[DateClosed]]))-1)</f>
        <v>86</v>
      </c>
      <c r="R3532" s="115" t="s">
        <v>515</v>
      </c>
      <c r="S3532" s="129"/>
    </row>
    <row r="3533" spans="1:19">
      <c r="A3533" s="128" t="s">
        <v>5669</v>
      </c>
      <c r="B3533" s="149" t="str">
        <f>IFERROR(VLOOKUP(Proc[[#This Row],[App]],Table2[],3,0),"open")</f>
        <v>ok</v>
      </c>
      <c r="C3533" s="128" t="s">
        <v>369</v>
      </c>
      <c r="D3533" t="s">
        <v>5620</v>
      </c>
      <c r="E3533" t="s">
        <v>5668</v>
      </c>
      <c r="F3533" s="129" t="s">
        <v>5668</v>
      </c>
      <c r="G3533" s="128" t="s">
        <v>406</v>
      </c>
      <c r="H3533" s="129" t="str">
        <f>IF(Proc[[#This Row],[type]]="LFF (MDG-F)",MID(Proc[[#This Row],[Obj]],13,10),"")</f>
        <v>2128L40014</v>
      </c>
      <c r="J3533" s="129" t="b">
        <f>Proc[[#This Row],[Requested]]=Proc[[#This Row],[CurrentParent]]</f>
        <v>1</v>
      </c>
      <c r="K3533" s="144" t="str">
        <f>IF(Proc[[#This Row],[Author]]="Marcela Urrego",VLOOKUP(LEFT(Proc[[#This Row],[Requested]],1),Table3[#All],2,0),VLOOKUP(Proc[[#This Row],[Author]],Table4[],2,0))</f>
        <v>MGF</v>
      </c>
      <c r="L3533" s="129" t="s">
        <v>4894</v>
      </c>
      <c r="M3533" s="127">
        <v>45883</v>
      </c>
      <c r="N3533" s="127"/>
      <c r="O3533" s="127"/>
      <c r="P3533" s="115" t="str">
        <f ca="1">IF(Proc[[#This Row],[DaysAgeing]]&gt;5,"yep","on track")</f>
        <v>yep</v>
      </c>
      <c r="Q3533" s="3">
        <f ca="1">IF(Proc[[#This Row],[DateClosed]]="",ABS(NETWORKDAYS(Proc[[#This Row],[DateOpened]],TODAY()))-1,ABS(NETWORKDAYS(Proc[[#This Row],[DateOpened]],Proc[[#This Row],[DateClosed]]))-1)</f>
        <v>86</v>
      </c>
      <c r="R3533" s="115" t="s">
        <v>515</v>
      </c>
      <c r="S3533" s="129"/>
    </row>
    <row r="3534" spans="1:19">
      <c r="A3534" s="128" t="s">
        <v>5669</v>
      </c>
      <c r="B3534" s="149" t="str">
        <f>IFERROR(VLOOKUP(Proc[[#This Row],[App]],Table2[],3,0),"open")</f>
        <v>ok</v>
      </c>
      <c r="C3534" s="128" t="s">
        <v>369</v>
      </c>
      <c r="D3534" t="s">
        <v>5621</v>
      </c>
      <c r="E3534" t="s">
        <v>5668</v>
      </c>
      <c r="F3534" s="129" t="s">
        <v>5668</v>
      </c>
      <c r="G3534" s="128" t="s">
        <v>406</v>
      </c>
      <c r="H3534" s="129" t="str">
        <f>IF(Proc[[#This Row],[type]]="LFF (MDG-F)",MID(Proc[[#This Row],[Obj]],13,10),"")</f>
        <v>2131GPO821</v>
      </c>
      <c r="J3534" s="129" t="b">
        <f>Proc[[#This Row],[Requested]]=Proc[[#This Row],[CurrentParent]]</f>
        <v>1</v>
      </c>
      <c r="K3534" s="144" t="str">
        <f>IF(Proc[[#This Row],[Author]]="Marcela Urrego",VLOOKUP(LEFT(Proc[[#This Row],[Requested]],1),Table3[#All],2,0),VLOOKUP(Proc[[#This Row],[Author]],Table4[],2,0))</f>
        <v>MGF</v>
      </c>
      <c r="L3534" s="129" t="s">
        <v>4894</v>
      </c>
      <c r="M3534" s="127">
        <v>45883</v>
      </c>
      <c r="N3534" s="127"/>
      <c r="O3534" s="127"/>
      <c r="P3534" s="115" t="str">
        <f ca="1">IF(Proc[[#This Row],[DaysAgeing]]&gt;5,"yep","on track")</f>
        <v>yep</v>
      </c>
      <c r="Q3534" s="3">
        <f ca="1">IF(Proc[[#This Row],[DateClosed]]="",ABS(NETWORKDAYS(Proc[[#This Row],[DateOpened]],TODAY()))-1,ABS(NETWORKDAYS(Proc[[#This Row],[DateOpened]],Proc[[#This Row],[DateClosed]]))-1)</f>
        <v>86</v>
      </c>
      <c r="R3534" s="115" t="s">
        <v>515</v>
      </c>
      <c r="S3534" s="129"/>
    </row>
    <row r="3535" spans="1:19">
      <c r="A3535" s="128" t="s">
        <v>5669</v>
      </c>
      <c r="B3535" s="149" t="str">
        <f>IFERROR(VLOOKUP(Proc[[#This Row],[App]],Table2[],3,0),"open")</f>
        <v>ok</v>
      </c>
      <c r="C3535" s="128" t="s">
        <v>369</v>
      </c>
      <c r="D3535" t="s">
        <v>5622</v>
      </c>
      <c r="E3535" t="s">
        <v>5668</v>
      </c>
      <c r="F3535" s="129" t="s">
        <v>5668</v>
      </c>
      <c r="G3535" s="128" t="s">
        <v>406</v>
      </c>
      <c r="H3535" s="129" t="str">
        <f>IF(Proc[[#This Row],[type]]="LFF (MDG-F)",MID(Proc[[#This Row],[Obj]],13,10),"")</f>
        <v>KR03GPO001</v>
      </c>
      <c r="J3535" s="129" t="b">
        <f>Proc[[#This Row],[Requested]]=Proc[[#This Row],[CurrentParent]]</f>
        <v>1</v>
      </c>
      <c r="K3535" s="144" t="str">
        <f>IF(Proc[[#This Row],[Author]]="Marcela Urrego",VLOOKUP(LEFT(Proc[[#This Row],[Requested]],1),Table3[#All],2,0),VLOOKUP(Proc[[#This Row],[Author]],Table4[],2,0))</f>
        <v>MGF</v>
      </c>
      <c r="L3535" s="129" t="s">
        <v>4894</v>
      </c>
      <c r="M3535" s="127">
        <v>45883</v>
      </c>
      <c r="N3535" s="127"/>
      <c r="O3535" s="127"/>
      <c r="P3535" s="115" t="str">
        <f ca="1">IF(Proc[[#This Row],[DaysAgeing]]&gt;5,"yep","on track")</f>
        <v>yep</v>
      </c>
      <c r="Q3535" s="3">
        <f ca="1">IF(Proc[[#This Row],[DateClosed]]="",ABS(NETWORKDAYS(Proc[[#This Row],[DateOpened]],TODAY()))-1,ABS(NETWORKDAYS(Proc[[#This Row],[DateOpened]],Proc[[#This Row],[DateClosed]]))-1)</f>
        <v>86</v>
      </c>
      <c r="R3535" s="115" t="s">
        <v>515</v>
      </c>
      <c r="S3535" s="129"/>
    </row>
    <row r="3536" spans="1:19">
      <c r="A3536" s="128" t="s">
        <v>5669</v>
      </c>
      <c r="B3536" s="149" t="str">
        <f>IFERROR(VLOOKUP(Proc[[#This Row],[App]],Table2[],3,0),"open")</f>
        <v>ok</v>
      </c>
      <c r="C3536" s="128" t="s">
        <v>369</v>
      </c>
      <c r="D3536" t="s">
        <v>5735</v>
      </c>
      <c r="E3536" t="s">
        <v>5668</v>
      </c>
      <c r="F3536" s="133" t="s">
        <v>5668</v>
      </c>
      <c r="G3536" s="128" t="s">
        <v>406</v>
      </c>
      <c r="H3536" s="129" t="str">
        <f>IF(Proc[[#This Row],[type]]="LFF (MDG-F)",MID(Proc[[#This Row],[Obj]],13,10),"")</f>
        <v>TW91GPO013</v>
      </c>
      <c r="J3536" s="129" t="b">
        <f>Proc[[#This Row],[Requested]]=Proc[[#This Row],[CurrentParent]]</f>
        <v>1</v>
      </c>
      <c r="K3536" s="144" t="str">
        <f>IF(Proc[[#This Row],[Author]]="Marcela Urrego",VLOOKUP(LEFT(Proc[[#This Row],[Requested]],1),Table3[#All],2,0),VLOOKUP(Proc[[#This Row],[Author]],Table4[],2,0))</f>
        <v>MGF</v>
      </c>
      <c r="L3536" s="129" t="s">
        <v>4894</v>
      </c>
      <c r="M3536" s="127">
        <v>45883</v>
      </c>
      <c r="N3536" s="127"/>
      <c r="O3536" s="127"/>
      <c r="P3536" s="115" t="str">
        <f ca="1">IF(Proc[[#This Row],[DaysAgeing]]&gt;5,"yep","on track")</f>
        <v>yep</v>
      </c>
      <c r="Q3536" s="3">
        <f ca="1">IF(Proc[[#This Row],[DateClosed]]="",ABS(NETWORKDAYS(Proc[[#This Row],[DateOpened]],TODAY()))-1,ABS(NETWORKDAYS(Proc[[#This Row],[DateOpened]],Proc[[#This Row],[DateClosed]]))-1)</f>
        <v>86</v>
      </c>
      <c r="R3536" s="115" t="s">
        <v>515</v>
      </c>
      <c r="S3536" s="129"/>
    </row>
    <row r="3537" spans="1:19">
      <c r="A3537" s="128" t="s">
        <v>5669</v>
      </c>
      <c r="B3537" s="149" t="str">
        <f>IFERROR(VLOOKUP(Proc[[#This Row],[App]],Table2[],3,0),"open")</f>
        <v>ok</v>
      </c>
      <c r="C3537" s="133" t="s">
        <v>369</v>
      </c>
      <c r="D3537" t="s">
        <v>5623</v>
      </c>
      <c r="E3537" t="s">
        <v>5668</v>
      </c>
      <c r="F3537" s="129" t="s">
        <v>5668</v>
      </c>
      <c r="G3537" s="128" t="s">
        <v>406</v>
      </c>
      <c r="H3537" s="129" t="str">
        <f>IF(Proc[[#This Row],[type]]="LFF (MDG-F)",MID(Proc[[#This Row],[Obj]],13,10),"")</f>
        <v>US10GPO022</v>
      </c>
      <c r="J3537" s="129" t="b">
        <f>Proc[[#This Row],[Requested]]=Proc[[#This Row],[CurrentParent]]</f>
        <v>1</v>
      </c>
      <c r="K3537" s="144" t="str">
        <f>IF(Proc[[#This Row],[Author]]="Marcela Urrego",VLOOKUP(LEFT(Proc[[#This Row],[Requested]],1),Table3[#All],2,0),VLOOKUP(Proc[[#This Row],[Author]],Table4[],2,0))</f>
        <v>MGF</v>
      </c>
      <c r="L3537" s="129" t="s">
        <v>4894</v>
      </c>
      <c r="M3537" s="127">
        <v>45883</v>
      </c>
      <c r="N3537" s="127"/>
      <c r="O3537" s="127"/>
      <c r="P3537" s="115" t="str">
        <f ca="1">IF(Proc[[#This Row],[DaysAgeing]]&gt;5,"yep","on track")</f>
        <v>yep</v>
      </c>
      <c r="Q3537" s="3">
        <f ca="1">IF(Proc[[#This Row],[DateClosed]]="",ABS(NETWORKDAYS(Proc[[#This Row],[DateOpened]],TODAY()))-1,ABS(NETWORKDAYS(Proc[[#This Row],[DateOpened]],Proc[[#This Row],[DateClosed]]))-1)</f>
        <v>86</v>
      </c>
      <c r="R3537" s="115" t="s">
        <v>515</v>
      </c>
      <c r="S3537" s="129"/>
    </row>
    <row r="3538" spans="1:19">
      <c r="A3538" s="128" t="s">
        <v>5669</v>
      </c>
      <c r="B3538" s="149" t="str">
        <f>IFERROR(VLOOKUP(Proc[[#This Row],[App]],Table2[],3,0),"open")</f>
        <v>ok</v>
      </c>
      <c r="C3538" s="133" t="s">
        <v>369</v>
      </c>
      <c r="D3538" t="s">
        <v>5624</v>
      </c>
      <c r="E3538" t="s">
        <v>5668</v>
      </c>
      <c r="F3538" s="129" t="s">
        <v>5668</v>
      </c>
      <c r="G3538" s="128" t="s">
        <v>406</v>
      </c>
      <c r="H3538" s="129" t="str">
        <f>IF(Proc[[#This Row],[type]]="LFF (MDG-F)",MID(Proc[[#This Row],[Obj]],13,10),"")</f>
        <v>US10GPO024</v>
      </c>
      <c r="J3538" s="129" t="b">
        <f>Proc[[#This Row],[Requested]]=Proc[[#This Row],[CurrentParent]]</f>
        <v>1</v>
      </c>
      <c r="K3538" s="144" t="str">
        <f>IF(Proc[[#This Row],[Author]]="Marcela Urrego",VLOOKUP(LEFT(Proc[[#This Row],[Requested]],1),Table3[#All],2,0),VLOOKUP(Proc[[#This Row],[Author]],Table4[],2,0))</f>
        <v>MGF</v>
      </c>
      <c r="L3538" s="129" t="s">
        <v>4894</v>
      </c>
      <c r="M3538" s="127">
        <v>45883</v>
      </c>
      <c r="N3538" s="127"/>
      <c r="O3538" s="127"/>
      <c r="P3538" s="115" t="str">
        <f ca="1">IF(Proc[[#This Row],[DaysAgeing]]&gt;5,"yep","on track")</f>
        <v>yep</v>
      </c>
      <c r="Q3538" s="3">
        <f ca="1">IF(Proc[[#This Row],[DateClosed]]="",ABS(NETWORKDAYS(Proc[[#This Row],[DateOpened]],TODAY()))-1,ABS(NETWORKDAYS(Proc[[#This Row],[DateOpened]],Proc[[#This Row],[DateClosed]]))-1)</f>
        <v>86</v>
      </c>
      <c r="R3538" s="115" t="s">
        <v>515</v>
      </c>
      <c r="S3538" s="129"/>
    </row>
    <row r="3539" spans="1:19">
      <c r="A3539" s="128" t="s">
        <v>5669</v>
      </c>
      <c r="B3539" s="149" t="str">
        <f>IFERROR(VLOOKUP(Proc[[#This Row],[App]],Table2[],3,0),"open")</f>
        <v>ok</v>
      </c>
      <c r="C3539" s="128" t="s">
        <v>369</v>
      </c>
      <c r="D3539" t="s">
        <v>5625</v>
      </c>
      <c r="E3539" t="s">
        <v>5668</v>
      </c>
      <c r="F3539" s="129" t="s">
        <v>5668</v>
      </c>
      <c r="G3539" s="128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1</v>
      </c>
      <c r="K3539" s="144" t="str">
        <f>IF(Proc[[#This Row],[Author]]="Marcela Urrego",VLOOKUP(LEFT(Proc[[#This Row],[Requested]],1),Table3[#All],2,0),VLOOKUP(Proc[[#This Row],[Author]],Table4[],2,0))</f>
        <v>MGF</v>
      </c>
      <c r="L3539" s="129" t="s">
        <v>4894</v>
      </c>
      <c r="M3539" s="127">
        <v>45883</v>
      </c>
      <c r="N3539" s="127"/>
      <c r="O3539" s="127"/>
      <c r="P3539" s="115" t="str">
        <f ca="1">IF(Proc[[#This Row],[DaysAgeing]]&gt;5,"yep","on track")</f>
        <v>yep</v>
      </c>
      <c r="Q3539" s="3">
        <f ca="1">IF(Proc[[#This Row],[DateClosed]]="",ABS(NETWORKDAYS(Proc[[#This Row],[DateOpened]],TODAY()))-1,ABS(NETWORKDAYS(Proc[[#This Row],[DateOpened]],Proc[[#This Row],[DateClosed]]))-1)</f>
        <v>86</v>
      </c>
      <c r="R3539" s="115" t="s">
        <v>515</v>
      </c>
      <c r="S3539" s="129"/>
    </row>
    <row r="3540" spans="1:19">
      <c r="A3540" s="128" t="s">
        <v>5669</v>
      </c>
      <c r="B3540" s="149" t="str">
        <f>IFERROR(VLOOKUP(Proc[[#This Row],[App]],Table2[],3,0),"open")</f>
        <v>ok</v>
      </c>
      <c r="C3540" s="128" t="s">
        <v>369</v>
      </c>
      <c r="D3540" t="s">
        <v>5626</v>
      </c>
      <c r="E3540" t="s">
        <v>5668</v>
      </c>
      <c r="F3540" s="129" t="s">
        <v>5668</v>
      </c>
      <c r="G3540" s="128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1</v>
      </c>
      <c r="K3540" s="144" t="str">
        <f>IF(Proc[[#This Row],[Author]]="Marcela Urrego",VLOOKUP(LEFT(Proc[[#This Row],[Requested]],1),Table3[#All],2,0),VLOOKUP(Proc[[#This Row],[Author]],Table4[],2,0))</f>
        <v>MGF</v>
      </c>
      <c r="L3540" s="129" t="s">
        <v>4894</v>
      </c>
      <c r="M3540" s="127">
        <v>45883</v>
      </c>
      <c r="N3540" s="127"/>
      <c r="O3540" s="127"/>
      <c r="P3540" s="115" t="str">
        <f ca="1">IF(Proc[[#This Row],[DaysAgeing]]&gt;5,"yep","on track")</f>
        <v>yep</v>
      </c>
      <c r="Q3540" s="3">
        <f ca="1">IF(Proc[[#This Row],[DateClosed]]="",ABS(NETWORKDAYS(Proc[[#This Row],[DateOpened]],TODAY()))-1,ABS(NETWORKDAYS(Proc[[#This Row],[DateOpened]],Proc[[#This Row],[DateClosed]]))-1)</f>
        <v>86</v>
      </c>
      <c r="R3540" s="115" t="s">
        <v>515</v>
      </c>
      <c r="S3540" s="129"/>
    </row>
    <row r="3541" spans="1:19">
      <c r="A3541" s="128" t="s">
        <v>5669</v>
      </c>
      <c r="B3541" s="149" t="str">
        <f>IFERROR(VLOOKUP(Proc[[#This Row],[App]],Table2[],3,0),"open")</f>
        <v>ok</v>
      </c>
      <c r="C3541" s="128" t="s">
        <v>369</v>
      </c>
      <c r="D3541" t="s">
        <v>5627</v>
      </c>
      <c r="E3541" t="s">
        <v>5668</v>
      </c>
      <c r="F3541" s="129" t="s">
        <v>5668</v>
      </c>
      <c r="G3541" s="128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1</v>
      </c>
      <c r="K3541" s="144" t="str">
        <f>IF(Proc[[#This Row],[Author]]="Marcela Urrego",VLOOKUP(LEFT(Proc[[#This Row],[Requested]],1),Table3[#All],2,0),VLOOKUP(Proc[[#This Row],[Author]],Table4[],2,0))</f>
        <v>MGF</v>
      </c>
      <c r="L3541" s="129" t="s">
        <v>4894</v>
      </c>
      <c r="M3541" s="127">
        <v>45883</v>
      </c>
      <c r="N3541" s="127"/>
      <c r="O3541" s="127"/>
      <c r="P3541" s="115" t="str">
        <f ca="1">IF(Proc[[#This Row],[DaysAgeing]]&gt;5,"yep","on track")</f>
        <v>yep</v>
      </c>
      <c r="Q3541" s="3">
        <f ca="1">IF(Proc[[#This Row],[DateClosed]]="",ABS(NETWORKDAYS(Proc[[#This Row],[DateOpened]],TODAY()))-1,ABS(NETWORKDAYS(Proc[[#This Row],[DateOpened]],Proc[[#This Row],[DateClosed]]))-1)</f>
        <v>86</v>
      </c>
      <c r="R3541" s="115" t="s">
        <v>515</v>
      </c>
      <c r="S3541" s="129"/>
    </row>
    <row r="3542" spans="1:19">
      <c r="A3542" s="128" t="s">
        <v>5669</v>
      </c>
      <c r="B3542" s="149" t="str">
        <f>IFERROR(VLOOKUP(Proc[[#This Row],[App]],Table2[],3,0),"open")</f>
        <v>ok</v>
      </c>
      <c r="C3542" s="128" t="s">
        <v>369</v>
      </c>
      <c r="D3542" t="s">
        <v>5628</v>
      </c>
      <c r="E3542" t="s">
        <v>5668</v>
      </c>
      <c r="F3542" s="129" t="s">
        <v>5668</v>
      </c>
      <c r="G3542" s="128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1</v>
      </c>
      <c r="K3542" s="144" t="str">
        <f>IF(Proc[[#This Row],[Author]]="Marcela Urrego",VLOOKUP(LEFT(Proc[[#This Row],[Requested]],1),Table3[#All],2,0),VLOOKUP(Proc[[#This Row],[Author]],Table4[],2,0))</f>
        <v>MGF</v>
      </c>
      <c r="L3542" s="129" t="s">
        <v>4894</v>
      </c>
      <c r="M3542" s="127">
        <v>45883</v>
      </c>
      <c r="N3542" s="127"/>
      <c r="O3542" s="127"/>
      <c r="P3542" s="115" t="str">
        <f ca="1">IF(Proc[[#This Row],[DaysAgeing]]&gt;5,"yep","on track")</f>
        <v>yep</v>
      </c>
      <c r="Q3542" s="3">
        <f ca="1">IF(Proc[[#This Row],[DateClosed]]="",ABS(NETWORKDAYS(Proc[[#This Row],[DateOpened]],TODAY()))-1,ABS(NETWORKDAYS(Proc[[#This Row],[DateOpened]],Proc[[#This Row],[DateClosed]]))-1)</f>
        <v>86</v>
      </c>
      <c r="R3542" s="115" t="s">
        <v>515</v>
      </c>
      <c r="S3542" s="129"/>
    </row>
    <row r="3543" spans="1:19">
      <c r="A3543" s="128" t="s">
        <v>5669</v>
      </c>
      <c r="B3543" s="149" t="str">
        <f>IFERROR(VLOOKUP(Proc[[#This Row],[App]],Table2[],3,0),"open")</f>
        <v>ok</v>
      </c>
      <c r="C3543" s="128" t="s">
        <v>369</v>
      </c>
      <c r="D3543" t="s">
        <v>5629</v>
      </c>
      <c r="E3543" t="s">
        <v>5668</v>
      </c>
      <c r="F3543" s="129" t="s">
        <v>5668</v>
      </c>
      <c r="G3543" s="128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1</v>
      </c>
      <c r="K3543" s="144" t="str">
        <f>IF(Proc[[#This Row],[Author]]="Marcela Urrego",VLOOKUP(LEFT(Proc[[#This Row],[Requested]],1),Table3[#All],2,0),VLOOKUP(Proc[[#This Row],[Author]],Table4[],2,0))</f>
        <v>MGF</v>
      </c>
      <c r="L3543" s="129" t="s">
        <v>4894</v>
      </c>
      <c r="M3543" s="127">
        <v>45883</v>
      </c>
      <c r="N3543" s="127"/>
      <c r="O3543" s="127"/>
      <c r="P3543" s="115" t="str">
        <f ca="1">IF(Proc[[#This Row],[DaysAgeing]]&gt;5,"yep","on track")</f>
        <v>yep</v>
      </c>
      <c r="Q3543" s="3">
        <f ca="1">IF(Proc[[#This Row],[DateClosed]]="",ABS(NETWORKDAYS(Proc[[#This Row],[DateOpened]],TODAY()))-1,ABS(NETWORKDAYS(Proc[[#This Row],[DateOpened]],Proc[[#This Row],[DateClosed]]))-1)</f>
        <v>86</v>
      </c>
      <c r="R3543" s="115" t="s">
        <v>515</v>
      </c>
      <c r="S3543" s="129"/>
    </row>
    <row r="3544" spans="1:19">
      <c r="A3544" s="128" t="s">
        <v>5669</v>
      </c>
      <c r="B3544" s="149" t="str">
        <f>IFERROR(VLOOKUP(Proc[[#This Row],[App]],Table2[],3,0),"open")</f>
        <v>ok</v>
      </c>
      <c r="C3544" s="128" t="s">
        <v>369</v>
      </c>
      <c r="D3544" t="s">
        <v>5630</v>
      </c>
      <c r="E3544" t="s">
        <v>5668</v>
      </c>
      <c r="F3544" s="129" t="s">
        <v>5668</v>
      </c>
      <c r="G3544" s="128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1</v>
      </c>
      <c r="K3544" s="144" t="str">
        <f>IF(Proc[[#This Row],[Author]]="Marcela Urrego",VLOOKUP(LEFT(Proc[[#This Row],[Requested]],1),Table3[#All],2,0),VLOOKUP(Proc[[#This Row],[Author]],Table4[],2,0))</f>
        <v>MGF</v>
      </c>
      <c r="L3544" s="129" t="s">
        <v>4894</v>
      </c>
      <c r="M3544" s="127">
        <v>45883</v>
      </c>
      <c r="N3544" s="127"/>
      <c r="O3544" s="127"/>
      <c r="P3544" s="115" t="str">
        <f ca="1">IF(Proc[[#This Row],[DaysAgeing]]&gt;5,"yep","on track")</f>
        <v>yep</v>
      </c>
      <c r="Q3544" s="3">
        <f ca="1">IF(Proc[[#This Row],[DateClosed]]="",ABS(NETWORKDAYS(Proc[[#This Row],[DateOpened]],TODAY()))-1,ABS(NETWORKDAYS(Proc[[#This Row],[DateOpened]],Proc[[#This Row],[DateClosed]]))-1)</f>
        <v>86</v>
      </c>
      <c r="R3544" s="115" t="s">
        <v>515</v>
      </c>
      <c r="S3544" s="129"/>
    </row>
    <row r="3545" spans="1:19">
      <c r="A3545" s="128" t="s">
        <v>5669</v>
      </c>
      <c r="B3545" s="149" t="str">
        <f>IFERROR(VLOOKUP(Proc[[#This Row],[App]],Table2[],3,0),"open")</f>
        <v>ok</v>
      </c>
      <c r="C3545" s="128" t="s">
        <v>369</v>
      </c>
      <c r="D3545" t="s">
        <v>5631</v>
      </c>
      <c r="E3545" t="s">
        <v>5668</v>
      </c>
      <c r="F3545" s="129" t="s">
        <v>5668</v>
      </c>
      <c r="G3545" s="128" t="s">
        <v>400</v>
      </c>
      <c r="H3545" s="129" t="str">
        <f>IF(Proc[[#This Row],[type]]="LFF (MDG-F)",MID(Proc[[#This Row],[Obj]],13,10),"")</f>
        <v/>
      </c>
      <c r="J3545" s="129" t="b">
        <f>Proc[[#This Row],[Requested]]=Proc[[#This Row],[CurrentParent]]</f>
        <v>1</v>
      </c>
      <c r="K3545" s="144" t="str">
        <f>IF(Proc[[#This Row],[Author]]="Marcela Urrego",VLOOKUP(LEFT(Proc[[#This Row],[Requested]],1),Table3[#All],2,0),VLOOKUP(Proc[[#This Row],[Author]],Table4[],2,0))</f>
        <v>MGF</v>
      </c>
      <c r="L3545" s="129" t="s">
        <v>4894</v>
      </c>
      <c r="M3545" s="127">
        <v>45883</v>
      </c>
      <c r="N3545" s="127"/>
      <c r="O3545" s="127"/>
      <c r="P3545" s="115" t="str">
        <f ca="1">IF(Proc[[#This Row],[DaysAgeing]]&gt;5,"yep","on track")</f>
        <v>yep</v>
      </c>
      <c r="Q3545" s="3">
        <f ca="1">IF(Proc[[#This Row],[DateClosed]]="",ABS(NETWORKDAYS(Proc[[#This Row],[DateOpened]],TODAY()))-1,ABS(NETWORKDAYS(Proc[[#This Row],[DateOpened]],Proc[[#This Row],[DateClosed]]))-1)</f>
        <v>86</v>
      </c>
      <c r="R3545" s="115" t="s">
        <v>515</v>
      </c>
      <c r="S3545" s="129"/>
    </row>
    <row r="3546" spans="1:19">
      <c r="A3546" s="128" t="s">
        <v>5669</v>
      </c>
      <c r="B3546" s="149" t="str">
        <f>IFERROR(VLOOKUP(Proc[[#This Row],[App]],Table2[],3,0),"open")</f>
        <v>ok</v>
      </c>
      <c r="C3546" s="128" t="s">
        <v>369</v>
      </c>
      <c r="D3546" t="s">
        <v>5632</v>
      </c>
      <c r="E3546" t="s">
        <v>5668</v>
      </c>
      <c r="F3546" s="129" t="s">
        <v>5668</v>
      </c>
      <c r="G3546" s="128" t="s">
        <v>400</v>
      </c>
      <c r="H3546" s="129" t="str">
        <f>IF(Proc[[#This Row],[type]]="LFF (MDG-F)",MID(Proc[[#This Row],[Obj]],13,10),"")</f>
        <v/>
      </c>
      <c r="J3546" s="129" t="b">
        <f>Proc[[#This Row],[Requested]]=Proc[[#This Row],[CurrentParent]]</f>
        <v>1</v>
      </c>
      <c r="K3546" s="144" t="str">
        <f>IF(Proc[[#This Row],[Author]]="Marcela Urrego",VLOOKUP(LEFT(Proc[[#This Row],[Requested]],1),Table3[#All],2,0),VLOOKUP(Proc[[#This Row],[Author]],Table4[],2,0))</f>
        <v>MGF</v>
      </c>
      <c r="L3546" s="129" t="s">
        <v>4894</v>
      </c>
      <c r="M3546" s="127">
        <v>45883</v>
      </c>
      <c r="N3546" s="127"/>
      <c r="O3546" s="127"/>
      <c r="P3546" s="115" t="str">
        <f ca="1">IF(Proc[[#This Row],[DaysAgeing]]&gt;5,"yep","on track")</f>
        <v>yep</v>
      </c>
      <c r="Q3546" s="3">
        <f ca="1">IF(Proc[[#This Row],[DateClosed]]="",ABS(NETWORKDAYS(Proc[[#This Row],[DateOpened]],TODAY()))-1,ABS(NETWORKDAYS(Proc[[#This Row],[DateOpened]],Proc[[#This Row],[DateClosed]]))-1)</f>
        <v>86</v>
      </c>
      <c r="R3546" s="115" t="s">
        <v>515</v>
      </c>
      <c r="S3546" s="129"/>
    </row>
    <row r="3547" spans="1:19">
      <c r="A3547" s="128" t="s">
        <v>5669</v>
      </c>
      <c r="B3547" s="149" t="str">
        <f>IFERROR(VLOOKUP(Proc[[#This Row],[App]],Table2[],3,0),"open")</f>
        <v>ok</v>
      </c>
      <c r="C3547" s="128" t="s">
        <v>369</v>
      </c>
      <c r="D3547" t="s">
        <v>5633</v>
      </c>
      <c r="E3547" t="s">
        <v>5668</v>
      </c>
      <c r="F3547" s="129" t="s">
        <v>5668</v>
      </c>
      <c r="G3547" s="128" t="s">
        <v>400</v>
      </c>
      <c r="H3547" s="129" t="str">
        <f>IF(Proc[[#This Row],[type]]="LFF (MDG-F)",MID(Proc[[#This Row],[Obj]],13,10),"")</f>
        <v/>
      </c>
      <c r="J3547" s="129" t="b">
        <f>Proc[[#This Row],[Requested]]=Proc[[#This Row],[CurrentParent]]</f>
        <v>1</v>
      </c>
      <c r="K3547" s="144" t="str">
        <f>IF(Proc[[#This Row],[Author]]="Marcela Urrego",VLOOKUP(LEFT(Proc[[#This Row],[Requested]],1),Table3[#All],2,0),VLOOKUP(Proc[[#This Row],[Author]],Table4[],2,0))</f>
        <v>MGF</v>
      </c>
      <c r="L3547" s="129" t="s">
        <v>4894</v>
      </c>
      <c r="M3547" s="127">
        <v>45883</v>
      </c>
      <c r="N3547" s="127"/>
      <c r="O3547" s="127"/>
      <c r="P3547" s="115" t="str">
        <f ca="1">IF(Proc[[#This Row],[DaysAgeing]]&gt;5,"yep","on track")</f>
        <v>yep</v>
      </c>
      <c r="Q3547" s="3">
        <f ca="1">IF(Proc[[#This Row],[DateClosed]]="",ABS(NETWORKDAYS(Proc[[#This Row],[DateOpened]],TODAY()))-1,ABS(NETWORKDAYS(Proc[[#This Row],[DateOpened]],Proc[[#This Row],[DateClosed]]))-1)</f>
        <v>86</v>
      </c>
      <c r="R3547" s="115" t="s">
        <v>515</v>
      </c>
      <c r="S3547" s="129"/>
    </row>
    <row r="3548" spans="1:19">
      <c r="A3548" s="128" t="s">
        <v>5669</v>
      </c>
      <c r="B3548" s="149" t="str">
        <f>IFERROR(VLOOKUP(Proc[[#This Row],[App]],Table2[],3,0),"open")</f>
        <v>ok</v>
      </c>
      <c r="C3548" s="128" t="s">
        <v>369</v>
      </c>
      <c r="D3548" t="s">
        <v>5634</v>
      </c>
      <c r="E3548" t="s">
        <v>5668</v>
      </c>
      <c r="F3548" s="129" t="s">
        <v>5668</v>
      </c>
      <c r="G3548" s="128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1</v>
      </c>
      <c r="K3548" s="144" t="str">
        <f>IF(Proc[[#This Row],[Author]]="Marcela Urrego",VLOOKUP(LEFT(Proc[[#This Row],[Requested]],1),Table3[#All],2,0),VLOOKUP(Proc[[#This Row],[Author]],Table4[],2,0))</f>
        <v>MGF</v>
      </c>
      <c r="L3548" s="129" t="s">
        <v>4894</v>
      </c>
      <c r="M3548" s="127">
        <v>45883</v>
      </c>
      <c r="N3548" s="127"/>
      <c r="O3548" s="127"/>
      <c r="P3548" s="115" t="str">
        <f ca="1">IF(Proc[[#This Row],[DaysAgeing]]&gt;5,"yep","on track")</f>
        <v>yep</v>
      </c>
      <c r="Q3548" s="3">
        <f ca="1">IF(Proc[[#This Row],[DateClosed]]="",ABS(NETWORKDAYS(Proc[[#This Row],[DateOpened]],TODAY()))-1,ABS(NETWORKDAYS(Proc[[#This Row],[DateOpened]],Proc[[#This Row],[DateClosed]]))-1)</f>
        <v>86</v>
      </c>
      <c r="R3548" s="115" t="s">
        <v>515</v>
      </c>
      <c r="S3548" s="129"/>
    </row>
    <row r="3549" spans="1:19">
      <c r="A3549" s="128" t="s">
        <v>5669</v>
      </c>
      <c r="B3549" s="149" t="str">
        <f>IFERROR(VLOOKUP(Proc[[#This Row],[App]],Table2[],3,0),"open")</f>
        <v>ok</v>
      </c>
      <c r="C3549" s="128" t="s">
        <v>369</v>
      </c>
      <c r="D3549" t="s">
        <v>5635</v>
      </c>
      <c r="E3549" t="s">
        <v>5668</v>
      </c>
      <c r="F3549" s="129" t="s">
        <v>5668</v>
      </c>
      <c r="G3549" s="128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1</v>
      </c>
      <c r="K3549" s="144" t="str">
        <f>IF(Proc[[#This Row],[Author]]="Marcela Urrego",VLOOKUP(LEFT(Proc[[#This Row],[Requested]],1),Table3[#All],2,0),VLOOKUP(Proc[[#This Row],[Author]],Table4[],2,0))</f>
        <v>MGF</v>
      </c>
      <c r="L3549" s="129" t="s">
        <v>4894</v>
      </c>
      <c r="M3549" s="127">
        <v>45883</v>
      </c>
      <c r="N3549" s="127"/>
      <c r="O3549" s="127"/>
      <c r="P3549" s="115" t="str">
        <f ca="1">IF(Proc[[#This Row],[DaysAgeing]]&gt;5,"yep","on track")</f>
        <v>yep</v>
      </c>
      <c r="Q3549" s="3">
        <f ca="1">IF(Proc[[#This Row],[DateClosed]]="",ABS(NETWORKDAYS(Proc[[#This Row],[DateOpened]],TODAY()))-1,ABS(NETWORKDAYS(Proc[[#This Row],[DateOpened]],Proc[[#This Row],[DateClosed]]))-1)</f>
        <v>86</v>
      </c>
      <c r="R3549" s="115" t="s">
        <v>515</v>
      </c>
      <c r="S3549" s="129"/>
    </row>
    <row r="3550" spans="1:19">
      <c r="A3550" s="128" t="s">
        <v>5669</v>
      </c>
      <c r="B3550" s="149" t="str">
        <f>IFERROR(VLOOKUP(Proc[[#This Row],[App]],Table2[],3,0),"open")</f>
        <v>ok</v>
      </c>
      <c r="C3550" s="128" t="s">
        <v>369</v>
      </c>
      <c r="D3550" t="s">
        <v>5636</v>
      </c>
      <c r="E3550" t="s">
        <v>5668</v>
      </c>
      <c r="F3550" s="129" t="s">
        <v>5668</v>
      </c>
      <c r="G3550" s="128" t="s">
        <v>400</v>
      </c>
      <c r="H3550" s="129" t="str">
        <f>IF(Proc[[#This Row],[type]]="LFF (MDG-F)",MID(Proc[[#This Row],[Obj]],13,10),"")</f>
        <v/>
      </c>
      <c r="J3550" s="129" t="b">
        <f>Proc[[#This Row],[Requested]]=Proc[[#This Row],[CurrentParent]]</f>
        <v>1</v>
      </c>
      <c r="K3550" s="144" t="str">
        <f>IF(Proc[[#This Row],[Author]]="Marcela Urrego",VLOOKUP(LEFT(Proc[[#This Row],[Requested]],1),Table3[#All],2,0),VLOOKUP(Proc[[#This Row],[Author]],Table4[],2,0))</f>
        <v>MGF</v>
      </c>
      <c r="L3550" s="129" t="s">
        <v>4894</v>
      </c>
      <c r="M3550" s="127">
        <v>45883</v>
      </c>
      <c r="N3550" s="127"/>
      <c r="O3550" s="127"/>
      <c r="P3550" s="115" t="str">
        <f ca="1">IF(Proc[[#This Row],[DaysAgeing]]&gt;5,"yep","on track")</f>
        <v>yep</v>
      </c>
      <c r="Q3550" s="3">
        <f ca="1">IF(Proc[[#This Row],[DateClosed]]="",ABS(NETWORKDAYS(Proc[[#This Row],[DateOpened]],TODAY()))-1,ABS(NETWORKDAYS(Proc[[#This Row],[DateOpened]],Proc[[#This Row],[DateClosed]]))-1)</f>
        <v>86</v>
      </c>
      <c r="R3550" s="115" t="s">
        <v>515</v>
      </c>
      <c r="S3550" s="129"/>
    </row>
    <row r="3551" spans="1:19">
      <c r="A3551" s="128" t="s">
        <v>5669</v>
      </c>
      <c r="B3551" s="149" t="str">
        <f>IFERROR(VLOOKUP(Proc[[#This Row],[App]],Table2[],3,0),"open")</f>
        <v>ok</v>
      </c>
      <c r="C3551" s="128" t="s">
        <v>369</v>
      </c>
      <c r="D3551" t="s">
        <v>5637</v>
      </c>
      <c r="E3551" t="s">
        <v>5668</v>
      </c>
      <c r="F3551" s="129" t="s">
        <v>5668</v>
      </c>
      <c r="G3551" s="128" t="s">
        <v>400</v>
      </c>
      <c r="H3551" s="129" t="str">
        <f>IF(Proc[[#This Row],[type]]="LFF (MDG-F)",MID(Proc[[#This Row],[Obj]],13,10),"")</f>
        <v/>
      </c>
      <c r="J3551" s="129" t="b">
        <f>Proc[[#This Row],[Requested]]=Proc[[#This Row],[CurrentParent]]</f>
        <v>1</v>
      </c>
      <c r="K3551" s="144" t="str">
        <f>IF(Proc[[#This Row],[Author]]="Marcela Urrego",VLOOKUP(LEFT(Proc[[#This Row],[Requested]],1),Table3[#All],2,0),VLOOKUP(Proc[[#This Row],[Author]],Table4[],2,0))</f>
        <v>MGF</v>
      </c>
      <c r="L3551" s="129" t="s">
        <v>4894</v>
      </c>
      <c r="M3551" s="127">
        <v>45883</v>
      </c>
      <c r="N3551" s="127"/>
      <c r="O3551" s="127"/>
      <c r="P3551" s="115" t="str">
        <f ca="1">IF(Proc[[#This Row],[DaysAgeing]]&gt;5,"yep","on track")</f>
        <v>yep</v>
      </c>
      <c r="Q3551" s="3">
        <f ca="1">IF(Proc[[#This Row],[DateClosed]]="",ABS(NETWORKDAYS(Proc[[#This Row],[DateOpened]],TODAY()))-1,ABS(NETWORKDAYS(Proc[[#This Row],[DateOpened]],Proc[[#This Row],[DateClosed]]))-1)</f>
        <v>86</v>
      </c>
      <c r="R3551" s="115" t="s">
        <v>515</v>
      </c>
      <c r="S3551" s="129"/>
    </row>
    <row r="3552" spans="1:19">
      <c r="A3552" s="128" t="s">
        <v>5669</v>
      </c>
      <c r="B3552" s="149" t="str">
        <f>IFERROR(VLOOKUP(Proc[[#This Row],[App]],Table2[],3,0),"open")</f>
        <v>ok</v>
      </c>
      <c r="C3552" s="128" t="s">
        <v>369</v>
      </c>
      <c r="D3552" t="s">
        <v>5638</v>
      </c>
      <c r="E3552" t="s">
        <v>5668</v>
      </c>
      <c r="F3552" s="129" t="s">
        <v>5668</v>
      </c>
      <c r="G3552" s="128" t="s">
        <v>400</v>
      </c>
      <c r="H3552" s="129" t="str">
        <f>IF(Proc[[#This Row],[type]]="LFF (MDG-F)",MID(Proc[[#This Row],[Obj]],13,10),"")</f>
        <v/>
      </c>
      <c r="J3552" s="129" t="b">
        <f>Proc[[#This Row],[Requested]]=Proc[[#This Row],[CurrentParent]]</f>
        <v>1</v>
      </c>
      <c r="K3552" s="144" t="str">
        <f>IF(Proc[[#This Row],[Author]]="Marcela Urrego",VLOOKUP(LEFT(Proc[[#This Row],[Requested]],1),Table3[#All],2,0),VLOOKUP(Proc[[#This Row],[Author]],Table4[],2,0))</f>
        <v>MGF</v>
      </c>
      <c r="L3552" s="129" t="s">
        <v>4894</v>
      </c>
      <c r="M3552" s="127">
        <v>45883</v>
      </c>
      <c r="N3552" s="127"/>
      <c r="O3552" s="127"/>
      <c r="P3552" s="115" t="str">
        <f ca="1">IF(Proc[[#This Row],[DaysAgeing]]&gt;5,"yep","on track")</f>
        <v>yep</v>
      </c>
      <c r="Q3552" s="3">
        <f ca="1">IF(Proc[[#This Row],[DateClosed]]="",ABS(NETWORKDAYS(Proc[[#This Row],[DateOpened]],TODAY()))-1,ABS(NETWORKDAYS(Proc[[#This Row],[DateOpened]],Proc[[#This Row],[DateClosed]]))-1)</f>
        <v>86</v>
      </c>
      <c r="R3552" s="115" t="s">
        <v>515</v>
      </c>
      <c r="S3552" s="129"/>
    </row>
    <row r="3553" spans="1:19">
      <c r="A3553" s="128" t="s">
        <v>5669</v>
      </c>
      <c r="B3553" s="149" t="str">
        <f>IFERROR(VLOOKUP(Proc[[#This Row],[App]],Table2[],3,0),"open")</f>
        <v>ok</v>
      </c>
      <c r="C3553" s="128" t="s">
        <v>369</v>
      </c>
      <c r="D3553" t="s">
        <v>5639</v>
      </c>
      <c r="E3553" t="s">
        <v>5668</v>
      </c>
      <c r="F3553" s="129" t="s">
        <v>5668</v>
      </c>
      <c r="G3553" s="128" t="s">
        <v>400</v>
      </c>
      <c r="H3553" s="129" t="str">
        <f>IF(Proc[[#This Row],[type]]="LFF (MDG-F)",MID(Proc[[#This Row],[Obj]],13,10),"")</f>
        <v/>
      </c>
      <c r="J3553" s="129" t="b">
        <f>Proc[[#This Row],[Requested]]=Proc[[#This Row],[CurrentParent]]</f>
        <v>1</v>
      </c>
      <c r="K3553" s="144" t="str">
        <f>IF(Proc[[#This Row],[Author]]="Marcela Urrego",VLOOKUP(LEFT(Proc[[#This Row],[Requested]],1),Table3[#All],2,0),VLOOKUP(Proc[[#This Row],[Author]],Table4[],2,0))</f>
        <v>MGF</v>
      </c>
      <c r="L3553" s="129" t="s">
        <v>4894</v>
      </c>
      <c r="M3553" s="127">
        <v>45883</v>
      </c>
      <c r="N3553" s="127"/>
      <c r="O3553" s="127"/>
      <c r="P3553" s="115" t="str">
        <f ca="1">IF(Proc[[#This Row],[DaysAgeing]]&gt;5,"yep","on track")</f>
        <v>yep</v>
      </c>
      <c r="Q3553" s="3">
        <f ca="1">IF(Proc[[#This Row],[DateClosed]]="",ABS(NETWORKDAYS(Proc[[#This Row],[DateOpened]],TODAY()))-1,ABS(NETWORKDAYS(Proc[[#This Row],[DateOpened]],Proc[[#This Row],[DateClosed]]))-1)</f>
        <v>86</v>
      </c>
      <c r="R3553" s="115" t="s">
        <v>515</v>
      </c>
      <c r="S3553" s="129"/>
    </row>
    <row r="3554" spans="1:19">
      <c r="A3554" s="128" t="s">
        <v>5669</v>
      </c>
      <c r="B3554" s="149" t="str">
        <f>IFERROR(VLOOKUP(Proc[[#This Row],[App]],Table2[],3,0),"open")</f>
        <v>ok</v>
      </c>
      <c r="C3554" s="128" t="s">
        <v>369</v>
      </c>
      <c r="D3554" t="s">
        <v>5640</v>
      </c>
      <c r="E3554" t="s">
        <v>5668</v>
      </c>
      <c r="F3554" s="129" t="s">
        <v>5668</v>
      </c>
      <c r="G3554" s="128" t="s">
        <v>400</v>
      </c>
      <c r="H3554" s="129" t="str">
        <f>IF(Proc[[#This Row],[type]]="LFF (MDG-F)",MID(Proc[[#This Row],[Obj]],13,10),"")</f>
        <v/>
      </c>
      <c r="J3554" s="129" t="b">
        <f>Proc[[#This Row],[Requested]]=Proc[[#This Row],[CurrentParent]]</f>
        <v>1</v>
      </c>
      <c r="K3554" s="144" t="str">
        <f>IF(Proc[[#This Row],[Author]]="Marcela Urrego",VLOOKUP(LEFT(Proc[[#This Row],[Requested]],1),Table3[#All],2,0),VLOOKUP(Proc[[#This Row],[Author]],Table4[],2,0))</f>
        <v>MGF</v>
      </c>
      <c r="L3554" s="129" t="s">
        <v>4894</v>
      </c>
      <c r="M3554" s="127">
        <v>45883</v>
      </c>
      <c r="N3554" s="127"/>
      <c r="O3554" s="127"/>
      <c r="P3554" s="115" t="str">
        <f ca="1">IF(Proc[[#This Row],[DaysAgeing]]&gt;5,"yep","on track")</f>
        <v>yep</v>
      </c>
      <c r="Q3554" s="3">
        <f ca="1">IF(Proc[[#This Row],[DateClosed]]="",ABS(NETWORKDAYS(Proc[[#This Row],[DateOpened]],TODAY()))-1,ABS(NETWORKDAYS(Proc[[#This Row],[DateOpened]],Proc[[#This Row],[DateClosed]]))-1)</f>
        <v>86</v>
      </c>
      <c r="R3554" s="115" t="s">
        <v>515</v>
      </c>
      <c r="S3554" s="129"/>
    </row>
    <row r="3555" spans="1:19">
      <c r="A3555" s="128" t="s">
        <v>5669</v>
      </c>
      <c r="B3555" s="149" t="str">
        <f>IFERROR(VLOOKUP(Proc[[#This Row],[App]],Table2[],3,0),"open")</f>
        <v>ok</v>
      </c>
      <c r="C3555" s="128" t="s">
        <v>369</v>
      </c>
      <c r="D3555" t="s">
        <v>5641</v>
      </c>
      <c r="E3555" t="s">
        <v>5668</v>
      </c>
      <c r="F3555" s="129" t="s">
        <v>5668</v>
      </c>
      <c r="G3555" s="128" t="s">
        <v>400</v>
      </c>
      <c r="H3555" s="129" t="str">
        <f>IF(Proc[[#This Row],[type]]="LFF (MDG-F)",MID(Proc[[#This Row],[Obj]],13,10),"")</f>
        <v/>
      </c>
      <c r="J3555" s="129" t="b">
        <f>Proc[[#This Row],[Requested]]=Proc[[#This Row],[CurrentParent]]</f>
        <v>1</v>
      </c>
      <c r="K3555" s="144" t="str">
        <f>IF(Proc[[#This Row],[Author]]="Marcela Urrego",VLOOKUP(LEFT(Proc[[#This Row],[Requested]],1),Table3[#All],2,0),VLOOKUP(Proc[[#This Row],[Author]],Table4[],2,0))</f>
        <v>MGF</v>
      </c>
      <c r="L3555" s="129" t="s">
        <v>4894</v>
      </c>
      <c r="M3555" s="127">
        <v>45883</v>
      </c>
      <c r="N3555" s="127"/>
      <c r="O3555" s="127"/>
      <c r="P3555" s="115" t="str">
        <f ca="1">IF(Proc[[#This Row],[DaysAgeing]]&gt;5,"yep","on track")</f>
        <v>yep</v>
      </c>
      <c r="Q3555" s="3">
        <f ca="1">IF(Proc[[#This Row],[DateClosed]]="",ABS(NETWORKDAYS(Proc[[#This Row],[DateOpened]],TODAY()))-1,ABS(NETWORKDAYS(Proc[[#This Row],[DateOpened]],Proc[[#This Row],[DateClosed]]))-1)</f>
        <v>86</v>
      </c>
      <c r="R3555" s="115" t="s">
        <v>515</v>
      </c>
      <c r="S3555" s="129"/>
    </row>
    <row r="3556" spans="1:19">
      <c r="A3556" s="128" t="s">
        <v>5669</v>
      </c>
      <c r="B3556" s="149" t="str">
        <f>IFERROR(VLOOKUP(Proc[[#This Row],[App]],Table2[],3,0),"open")</f>
        <v>ok</v>
      </c>
      <c r="C3556" s="128" t="s">
        <v>369</v>
      </c>
      <c r="D3556" t="s">
        <v>5642</v>
      </c>
      <c r="E3556" t="s">
        <v>5668</v>
      </c>
      <c r="F3556" s="129" t="s">
        <v>5668</v>
      </c>
      <c r="G3556" s="128" t="s">
        <v>400</v>
      </c>
      <c r="H3556" s="129" t="str">
        <f>IF(Proc[[#This Row],[type]]="LFF (MDG-F)",MID(Proc[[#This Row],[Obj]],13,10),"")</f>
        <v/>
      </c>
      <c r="J3556" s="129" t="b">
        <f>Proc[[#This Row],[Requested]]=Proc[[#This Row],[CurrentParent]]</f>
        <v>1</v>
      </c>
      <c r="K3556" s="144" t="str">
        <f>IF(Proc[[#This Row],[Author]]="Marcela Urrego",VLOOKUP(LEFT(Proc[[#This Row],[Requested]],1),Table3[#All],2,0),VLOOKUP(Proc[[#This Row],[Author]],Table4[],2,0))</f>
        <v>MGF</v>
      </c>
      <c r="L3556" s="129" t="s">
        <v>4894</v>
      </c>
      <c r="M3556" s="127">
        <v>45883</v>
      </c>
      <c r="N3556" s="127"/>
      <c r="O3556" s="127"/>
      <c r="P3556" s="115" t="str">
        <f ca="1">IF(Proc[[#This Row],[DaysAgeing]]&gt;5,"yep","on track")</f>
        <v>yep</v>
      </c>
      <c r="Q3556" s="3">
        <f ca="1">IF(Proc[[#This Row],[DateClosed]]="",ABS(NETWORKDAYS(Proc[[#This Row],[DateOpened]],TODAY()))-1,ABS(NETWORKDAYS(Proc[[#This Row],[DateOpened]],Proc[[#This Row],[DateClosed]]))-1)</f>
        <v>86</v>
      </c>
      <c r="R3556" s="115" t="s">
        <v>515</v>
      </c>
      <c r="S3556" s="129"/>
    </row>
    <row r="3557" spans="1:19">
      <c r="A3557" s="128" t="s">
        <v>5669</v>
      </c>
      <c r="B3557" s="149" t="str">
        <f>IFERROR(VLOOKUP(Proc[[#This Row],[App]],Table2[],3,0),"open")</f>
        <v>ok</v>
      </c>
      <c r="C3557" s="128" t="s">
        <v>369</v>
      </c>
      <c r="D3557" t="s">
        <v>5643</v>
      </c>
      <c r="E3557" t="s">
        <v>5668</v>
      </c>
      <c r="F3557" s="129" t="s">
        <v>5668</v>
      </c>
      <c r="G3557" s="128" t="s">
        <v>400</v>
      </c>
      <c r="H3557" s="129" t="str">
        <f>IF(Proc[[#This Row],[type]]="LFF (MDG-F)",MID(Proc[[#This Row],[Obj]],13,10),"")</f>
        <v/>
      </c>
      <c r="J3557" s="129" t="b">
        <f>Proc[[#This Row],[Requested]]=Proc[[#This Row],[CurrentParent]]</f>
        <v>1</v>
      </c>
      <c r="K3557" s="144" t="str">
        <f>IF(Proc[[#This Row],[Author]]="Marcela Urrego",VLOOKUP(LEFT(Proc[[#This Row],[Requested]],1),Table3[#All],2,0),VLOOKUP(Proc[[#This Row],[Author]],Table4[],2,0))</f>
        <v>MGF</v>
      </c>
      <c r="L3557" s="129" t="s">
        <v>4894</v>
      </c>
      <c r="M3557" s="127">
        <v>45883</v>
      </c>
      <c r="N3557" s="127"/>
      <c r="O3557" s="127"/>
      <c r="P3557" s="115" t="str">
        <f ca="1">IF(Proc[[#This Row],[DaysAgeing]]&gt;5,"yep","on track")</f>
        <v>yep</v>
      </c>
      <c r="Q3557" s="3">
        <f ca="1">IF(Proc[[#This Row],[DateClosed]]="",ABS(NETWORKDAYS(Proc[[#This Row],[DateOpened]],TODAY()))-1,ABS(NETWORKDAYS(Proc[[#This Row],[DateOpened]],Proc[[#This Row],[DateClosed]]))-1)</f>
        <v>86</v>
      </c>
      <c r="R3557" s="115" t="s">
        <v>515</v>
      </c>
      <c r="S3557" s="129"/>
    </row>
    <row r="3558" spans="1:19">
      <c r="A3558" s="128" t="s">
        <v>5669</v>
      </c>
      <c r="B3558" s="149" t="str">
        <f>IFERROR(VLOOKUP(Proc[[#This Row],[App]],Table2[],3,0),"open")</f>
        <v>ok</v>
      </c>
      <c r="C3558" s="128" t="s">
        <v>369</v>
      </c>
      <c r="D3558" t="s">
        <v>5644</v>
      </c>
      <c r="E3558" t="s">
        <v>5668</v>
      </c>
      <c r="F3558" s="129" t="s">
        <v>5668</v>
      </c>
      <c r="G3558" s="128" t="s">
        <v>400</v>
      </c>
      <c r="H3558" s="129" t="str">
        <f>IF(Proc[[#This Row],[type]]="LFF (MDG-F)",MID(Proc[[#This Row],[Obj]],13,10),"")</f>
        <v/>
      </c>
      <c r="J3558" s="129" t="b">
        <f>Proc[[#This Row],[Requested]]=Proc[[#This Row],[CurrentParent]]</f>
        <v>1</v>
      </c>
      <c r="K3558" s="144" t="str">
        <f>IF(Proc[[#This Row],[Author]]="Marcela Urrego",VLOOKUP(LEFT(Proc[[#This Row],[Requested]],1),Table3[#All],2,0),VLOOKUP(Proc[[#This Row],[Author]],Table4[],2,0))</f>
        <v>MGF</v>
      </c>
      <c r="L3558" s="129" t="s">
        <v>4894</v>
      </c>
      <c r="M3558" s="127">
        <v>45883</v>
      </c>
      <c r="N3558" s="127"/>
      <c r="O3558" s="127"/>
      <c r="P3558" s="115" t="str">
        <f ca="1">IF(Proc[[#This Row],[DaysAgeing]]&gt;5,"yep","on track")</f>
        <v>yep</v>
      </c>
      <c r="Q3558" s="3">
        <f ca="1">IF(Proc[[#This Row],[DateClosed]]="",ABS(NETWORKDAYS(Proc[[#This Row],[DateOpened]],TODAY()))-1,ABS(NETWORKDAYS(Proc[[#This Row],[DateOpened]],Proc[[#This Row],[DateClosed]]))-1)</f>
        <v>86</v>
      </c>
      <c r="R3558" s="115" t="s">
        <v>515</v>
      </c>
      <c r="S3558" s="129"/>
    </row>
    <row r="3559" spans="1:19">
      <c r="A3559" s="128" t="s">
        <v>5669</v>
      </c>
      <c r="B3559" s="149" t="str">
        <f>IFERROR(VLOOKUP(Proc[[#This Row],[App]],Table2[],3,0),"open")</f>
        <v>ok</v>
      </c>
      <c r="C3559" s="128" t="s">
        <v>369</v>
      </c>
      <c r="D3559" t="s">
        <v>5645</v>
      </c>
      <c r="E3559" t="s">
        <v>5668</v>
      </c>
      <c r="F3559" s="129" t="s">
        <v>5668</v>
      </c>
      <c r="G3559" s="128" t="s">
        <v>400</v>
      </c>
      <c r="H3559" s="129" t="str">
        <f>IF(Proc[[#This Row],[type]]="LFF (MDG-F)",MID(Proc[[#This Row],[Obj]],13,10),"")</f>
        <v/>
      </c>
      <c r="J3559" s="129" t="b">
        <f>Proc[[#This Row],[Requested]]=Proc[[#This Row],[CurrentParent]]</f>
        <v>1</v>
      </c>
      <c r="K3559" s="144" t="str">
        <f>IF(Proc[[#This Row],[Author]]="Marcela Urrego",VLOOKUP(LEFT(Proc[[#This Row],[Requested]],1),Table3[#All],2,0),VLOOKUP(Proc[[#This Row],[Author]],Table4[],2,0))</f>
        <v>MGF</v>
      </c>
      <c r="L3559" s="129" t="s">
        <v>4894</v>
      </c>
      <c r="M3559" s="127">
        <v>45883</v>
      </c>
      <c r="N3559" s="127"/>
      <c r="O3559" s="127"/>
      <c r="P3559" s="115" t="str">
        <f ca="1">IF(Proc[[#This Row],[DaysAgeing]]&gt;5,"yep","on track")</f>
        <v>yep</v>
      </c>
      <c r="Q3559" s="3">
        <f ca="1">IF(Proc[[#This Row],[DateClosed]]="",ABS(NETWORKDAYS(Proc[[#This Row],[DateOpened]],TODAY()))-1,ABS(NETWORKDAYS(Proc[[#This Row],[DateOpened]],Proc[[#This Row],[DateClosed]]))-1)</f>
        <v>86</v>
      </c>
      <c r="R3559" s="115" t="s">
        <v>515</v>
      </c>
      <c r="S3559" s="129"/>
    </row>
    <row r="3560" spans="1:19">
      <c r="A3560" s="128" t="s">
        <v>5669</v>
      </c>
      <c r="B3560" s="149" t="str">
        <f>IFERROR(VLOOKUP(Proc[[#This Row],[App]],Table2[],3,0),"open")</f>
        <v>ok</v>
      </c>
      <c r="C3560" s="128" t="s">
        <v>369</v>
      </c>
      <c r="D3560" t="s">
        <v>5646</v>
      </c>
      <c r="E3560" t="s">
        <v>5668</v>
      </c>
      <c r="F3560" s="129" t="s">
        <v>5668</v>
      </c>
      <c r="G3560" s="128" t="s">
        <v>400</v>
      </c>
      <c r="H3560" s="129" t="str">
        <f>IF(Proc[[#This Row],[type]]="LFF (MDG-F)",MID(Proc[[#This Row],[Obj]],13,10),"")</f>
        <v/>
      </c>
      <c r="J3560" s="129" t="b">
        <f>Proc[[#This Row],[Requested]]=Proc[[#This Row],[CurrentParent]]</f>
        <v>1</v>
      </c>
      <c r="K3560" s="144" t="str">
        <f>IF(Proc[[#This Row],[Author]]="Marcela Urrego",VLOOKUP(LEFT(Proc[[#This Row],[Requested]],1),Table3[#All],2,0),VLOOKUP(Proc[[#This Row],[Author]],Table4[],2,0))</f>
        <v>MGF</v>
      </c>
      <c r="L3560" s="129" t="s">
        <v>4894</v>
      </c>
      <c r="M3560" s="127">
        <v>45883</v>
      </c>
      <c r="N3560" s="127"/>
      <c r="O3560" s="127"/>
      <c r="P3560" s="115" t="str">
        <f ca="1">IF(Proc[[#This Row],[DaysAgeing]]&gt;5,"yep","on track")</f>
        <v>yep</v>
      </c>
      <c r="Q3560" s="3">
        <f ca="1">IF(Proc[[#This Row],[DateClosed]]="",ABS(NETWORKDAYS(Proc[[#This Row],[DateOpened]],TODAY()))-1,ABS(NETWORKDAYS(Proc[[#This Row],[DateOpened]],Proc[[#This Row],[DateClosed]]))-1)</f>
        <v>86</v>
      </c>
      <c r="R3560" s="115" t="s">
        <v>515</v>
      </c>
      <c r="S3560" s="129"/>
    </row>
    <row r="3561" spans="1:19">
      <c r="A3561" s="128" t="s">
        <v>5669</v>
      </c>
      <c r="B3561" s="149" t="str">
        <f>IFERROR(VLOOKUP(Proc[[#This Row],[App]],Table2[],3,0),"open")</f>
        <v>ok</v>
      </c>
      <c r="C3561" s="128" t="s">
        <v>369</v>
      </c>
      <c r="D3561" t="s">
        <v>5647</v>
      </c>
      <c r="E3561" t="s">
        <v>5668</v>
      </c>
      <c r="F3561" s="129" t="s">
        <v>5668</v>
      </c>
      <c r="G3561" s="128" t="s">
        <v>400</v>
      </c>
      <c r="H3561" s="129" t="str">
        <f>IF(Proc[[#This Row],[type]]="LFF (MDG-F)",MID(Proc[[#This Row],[Obj]],13,10),"")</f>
        <v/>
      </c>
      <c r="J3561" s="129" t="b">
        <f>Proc[[#This Row],[Requested]]=Proc[[#This Row],[CurrentParent]]</f>
        <v>1</v>
      </c>
      <c r="K3561" s="144" t="str">
        <f>IF(Proc[[#This Row],[Author]]="Marcela Urrego",VLOOKUP(LEFT(Proc[[#This Row],[Requested]],1),Table3[#All],2,0),VLOOKUP(Proc[[#This Row],[Author]],Table4[],2,0))</f>
        <v>MGF</v>
      </c>
      <c r="L3561" s="129" t="s">
        <v>4894</v>
      </c>
      <c r="M3561" s="127">
        <v>45883</v>
      </c>
      <c r="N3561" s="127"/>
      <c r="O3561" s="127"/>
      <c r="P3561" s="115" t="str">
        <f ca="1">IF(Proc[[#This Row],[DaysAgeing]]&gt;5,"yep","on track")</f>
        <v>yep</v>
      </c>
      <c r="Q3561" s="3">
        <f ca="1">IF(Proc[[#This Row],[DateClosed]]="",ABS(NETWORKDAYS(Proc[[#This Row],[DateOpened]],TODAY()))-1,ABS(NETWORKDAYS(Proc[[#This Row],[DateOpened]],Proc[[#This Row],[DateClosed]]))-1)</f>
        <v>86</v>
      </c>
      <c r="R3561" s="115" t="s">
        <v>515</v>
      </c>
      <c r="S3561" s="129"/>
    </row>
    <row r="3562" spans="1:19">
      <c r="A3562" s="128" t="s">
        <v>5669</v>
      </c>
      <c r="B3562" s="149" t="str">
        <f>IFERROR(VLOOKUP(Proc[[#This Row],[App]],Table2[],3,0),"open")</f>
        <v>ok</v>
      </c>
      <c r="C3562" s="128" t="s">
        <v>369</v>
      </c>
      <c r="D3562" t="s">
        <v>5648</v>
      </c>
      <c r="E3562" t="s">
        <v>5668</v>
      </c>
      <c r="F3562" s="129" t="s">
        <v>5668</v>
      </c>
      <c r="G3562" s="128" t="s">
        <v>400</v>
      </c>
      <c r="H3562" s="129" t="str">
        <f>IF(Proc[[#This Row],[type]]="LFF (MDG-F)",MID(Proc[[#This Row],[Obj]],13,10),"")</f>
        <v/>
      </c>
      <c r="J3562" s="129" t="b">
        <f>Proc[[#This Row],[Requested]]=Proc[[#This Row],[CurrentParent]]</f>
        <v>1</v>
      </c>
      <c r="K3562" s="144" t="str">
        <f>IF(Proc[[#This Row],[Author]]="Marcela Urrego",VLOOKUP(LEFT(Proc[[#This Row],[Requested]],1),Table3[#All],2,0),VLOOKUP(Proc[[#This Row],[Author]],Table4[],2,0))</f>
        <v>MGF</v>
      </c>
      <c r="L3562" s="129" t="s">
        <v>4894</v>
      </c>
      <c r="M3562" s="127">
        <v>45883</v>
      </c>
      <c r="N3562" s="127"/>
      <c r="O3562" s="127"/>
      <c r="P3562" s="115" t="str">
        <f ca="1">IF(Proc[[#This Row],[DaysAgeing]]&gt;5,"yep","on track")</f>
        <v>yep</v>
      </c>
      <c r="Q3562" s="3">
        <f ca="1">IF(Proc[[#This Row],[DateClosed]]="",ABS(NETWORKDAYS(Proc[[#This Row],[DateOpened]],TODAY()))-1,ABS(NETWORKDAYS(Proc[[#This Row],[DateOpened]],Proc[[#This Row],[DateClosed]]))-1)</f>
        <v>86</v>
      </c>
      <c r="R3562" s="115" t="s">
        <v>515</v>
      </c>
      <c r="S3562" s="129"/>
    </row>
    <row r="3563" spans="1:19">
      <c r="A3563" s="128" t="s">
        <v>5669</v>
      </c>
      <c r="B3563" s="149" t="str">
        <f>IFERROR(VLOOKUP(Proc[[#This Row],[App]],Table2[],3,0),"open")</f>
        <v>ok</v>
      </c>
      <c r="C3563" s="128" t="s">
        <v>369</v>
      </c>
      <c r="D3563" t="s">
        <v>5649</v>
      </c>
      <c r="E3563" t="s">
        <v>5668</v>
      </c>
      <c r="F3563" s="129" t="s">
        <v>5668</v>
      </c>
      <c r="G3563" s="128" t="s">
        <v>400</v>
      </c>
      <c r="H3563" s="129" t="str">
        <f>IF(Proc[[#This Row],[type]]="LFF (MDG-F)",MID(Proc[[#This Row],[Obj]],13,10),"")</f>
        <v/>
      </c>
      <c r="J3563" s="129" t="b">
        <f>Proc[[#This Row],[Requested]]=Proc[[#This Row],[CurrentParent]]</f>
        <v>1</v>
      </c>
      <c r="K3563" s="144" t="str">
        <f>IF(Proc[[#This Row],[Author]]="Marcela Urrego",VLOOKUP(LEFT(Proc[[#This Row],[Requested]],1),Table3[#All],2,0),VLOOKUP(Proc[[#This Row],[Author]],Table4[],2,0))</f>
        <v>MGF</v>
      </c>
      <c r="L3563" s="129" t="s">
        <v>4894</v>
      </c>
      <c r="M3563" s="127">
        <v>45883</v>
      </c>
      <c r="N3563" s="127"/>
      <c r="O3563" s="127"/>
      <c r="P3563" s="115" t="str">
        <f ca="1">IF(Proc[[#This Row],[DaysAgeing]]&gt;5,"yep","on track")</f>
        <v>yep</v>
      </c>
      <c r="Q3563" s="3">
        <f ca="1">IF(Proc[[#This Row],[DateClosed]]="",ABS(NETWORKDAYS(Proc[[#This Row],[DateOpened]],TODAY()))-1,ABS(NETWORKDAYS(Proc[[#This Row],[DateOpened]],Proc[[#This Row],[DateClosed]]))-1)</f>
        <v>86</v>
      </c>
      <c r="R3563" s="115" t="s">
        <v>515</v>
      </c>
      <c r="S3563" s="129"/>
    </row>
    <row r="3564" spans="1:19">
      <c r="A3564" s="128" t="s">
        <v>5669</v>
      </c>
      <c r="B3564" s="149" t="str">
        <f>IFERROR(VLOOKUP(Proc[[#This Row],[App]],Table2[],3,0),"open")</f>
        <v>ok</v>
      </c>
      <c r="C3564" s="128" t="s">
        <v>369</v>
      </c>
      <c r="D3564" t="s">
        <v>5650</v>
      </c>
      <c r="E3564" t="s">
        <v>5668</v>
      </c>
      <c r="F3564" s="129" t="s">
        <v>5668</v>
      </c>
      <c r="G3564" s="128" t="s">
        <v>400</v>
      </c>
      <c r="H3564" s="129" t="str">
        <f>IF(Proc[[#This Row],[type]]="LFF (MDG-F)",MID(Proc[[#This Row],[Obj]],13,10),"")</f>
        <v/>
      </c>
      <c r="J3564" s="129" t="b">
        <f>Proc[[#This Row],[Requested]]=Proc[[#This Row],[CurrentParent]]</f>
        <v>1</v>
      </c>
      <c r="K3564" s="144" t="str">
        <f>IF(Proc[[#This Row],[Author]]="Marcela Urrego",VLOOKUP(LEFT(Proc[[#This Row],[Requested]],1),Table3[#All],2,0),VLOOKUP(Proc[[#This Row],[Author]],Table4[],2,0))</f>
        <v>MGF</v>
      </c>
      <c r="L3564" s="129" t="s">
        <v>4894</v>
      </c>
      <c r="M3564" s="127">
        <v>45883</v>
      </c>
      <c r="N3564" s="127"/>
      <c r="O3564" s="127"/>
      <c r="P3564" s="115" t="str">
        <f ca="1">IF(Proc[[#This Row],[DaysAgeing]]&gt;5,"yep","on track")</f>
        <v>yep</v>
      </c>
      <c r="Q3564" s="3">
        <f ca="1">IF(Proc[[#This Row],[DateClosed]]="",ABS(NETWORKDAYS(Proc[[#This Row],[DateOpened]],TODAY()))-1,ABS(NETWORKDAYS(Proc[[#This Row],[DateOpened]],Proc[[#This Row],[DateClosed]]))-1)</f>
        <v>86</v>
      </c>
      <c r="R3564" s="115" t="s">
        <v>515</v>
      </c>
      <c r="S3564" s="129"/>
    </row>
    <row r="3565" spans="1:19">
      <c r="A3565" s="128" t="s">
        <v>5669</v>
      </c>
      <c r="B3565" s="149" t="str">
        <f>IFERROR(VLOOKUP(Proc[[#This Row],[App]],Table2[],3,0),"open")</f>
        <v>ok</v>
      </c>
      <c r="C3565" s="128" t="s">
        <v>369</v>
      </c>
      <c r="D3565" t="s">
        <v>5651</v>
      </c>
      <c r="E3565" t="s">
        <v>5668</v>
      </c>
      <c r="F3565" s="129" t="s">
        <v>5668</v>
      </c>
      <c r="G3565" s="128" t="s">
        <v>400</v>
      </c>
      <c r="H3565" s="129" t="str">
        <f>IF(Proc[[#This Row],[type]]="LFF (MDG-F)",MID(Proc[[#This Row],[Obj]],13,10),"")</f>
        <v/>
      </c>
      <c r="J3565" s="129" t="b">
        <f>Proc[[#This Row],[Requested]]=Proc[[#This Row],[CurrentParent]]</f>
        <v>1</v>
      </c>
      <c r="K3565" s="144" t="str">
        <f>IF(Proc[[#This Row],[Author]]="Marcela Urrego",VLOOKUP(LEFT(Proc[[#This Row],[Requested]],1),Table3[#All],2,0),VLOOKUP(Proc[[#This Row],[Author]],Table4[],2,0))</f>
        <v>MGF</v>
      </c>
      <c r="L3565" s="129" t="s">
        <v>4894</v>
      </c>
      <c r="M3565" s="127">
        <v>45883</v>
      </c>
      <c r="N3565" s="127"/>
      <c r="O3565" s="127"/>
      <c r="P3565" s="115" t="str">
        <f ca="1">IF(Proc[[#This Row],[DaysAgeing]]&gt;5,"yep","on track")</f>
        <v>yep</v>
      </c>
      <c r="Q3565" s="3">
        <f ca="1">IF(Proc[[#This Row],[DateClosed]]="",ABS(NETWORKDAYS(Proc[[#This Row],[DateOpened]],TODAY()))-1,ABS(NETWORKDAYS(Proc[[#This Row],[DateOpened]],Proc[[#This Row],[DateClosed]]))-1)</f>
        <v>86</v>
      </c>
      <c r="R3565" s="115" t="s">
        <v>515</v>
      </c>
      <c r="S3565" s="129"/>
    </row>
    <row r="3566" spans="1:19">
      <c r="A3566" s="128" t="s">
        <v>5669</v>
      </c>
      <c r="B3566" s="149" t="str">
        <f>IFERROR(VLOOKUP(Proc[[#This Row],[App]],Table2[],3,0),"open")</f>
        <v>ok</v>
      </c>
      <c r="C3566" s="128" t="s">
        <v>369</v>
      </c>
      <c r="D3566" t="s">
        <v>5652</v>
      </c>
      <c r="E3566" t="s">
        <v>5668</v>
      </c>
      <c r="F3566" s="129" t="s">
        <v>5668</v>
      </c>
      <c r="G3566" s="128" t="s">
        <v>400</v>
      </c>
      <c r="H3566" s="129" t="str">
        <f>IF(Proc[[#This Row],[type]]="LFF (MDG-F)",MID(Proc[[#This Row],[Obj]],13,10),"")</f>
        <v/>
      </c>
      <c r="J3566" s="129" t="b">
        <f>Proc[[#This Row],[Requested]]=Proc[[#This Row],[CurrentParent]]</f>
        <v>1</v>
      </c>
      <c r="K3566" s="144" t="str">
        <f>IF(Proc[[#This Row],[Author]]="Marcela Urrego",VLOOKUP(LEFT(Proc[[#This Row],[Requested]],1),Table3[#All],2,0),VLOOKUP(Proc[[#This Row],[Author]],Table4[],2,0))</f>
        <v>MGF</v>
      </c>
      <c r="L3566" s="129" t="s">
        <v>4894</v>
      </c>
      <c r="M3566" s="127">
        <v>45883</v>
      </c>
      <c r="N3566" s="127"/>
      <c r="O3566" s="127"/>
      <c r="P3566" s="115" t="str">
        <f ca="1">IF(Proc[[#This Row],[DaysAgeing]]&gt;5,"yep","on track")</f>
        <v>yep</v>
      </c>
      <c r="Q3566" s="3">
        <f ca="1">IF(Proc[[#This Row],[DateClosed]]="",ABS(NETWORKDAYS(Proc[[#This Row],[DateOpened]],TODAY()))-1,ABS(NETWORKDAYS(Proc[[#This Row],[DateOpened]],Proc[[#This Row],[DateClosed]]))-1)</f>
        <v>86</v>
      </c>
      <c r="R3566" s="115" t="s">
        <v>515</v>
      </c>
      <c r="S3566" s="129"/>
    </row>
    <row r="3567" spans="1:19">
      <c r="A3567" s="128" t="s">
        <v>5669</v>
      </c>
      <c r="B3567" s="149" t="str">
        <f>IFERROR(VLOOKUP(Proc[[#This Row],[App]],Table2[],3,0),"open")</f>
        <v>ok</v>
      </c>
      <c r="C3567" s="128" t="s">
        <v>369</v>
      </c>
      <c r="D3567" t="s">
        <v>5653</v>
      </c>
      <c r="E3567" t="s">
        <v>5668</v>
      </c>
      <c r="F3567" s="129" t="s">
        <v>5668</v>
      </c>
      <c r="G3567" s="128" t="s">
        <v>400</v>
      </c>
      <c r="H3567" s="129" t="str">
        <f>IF(Proc[[#This Row],[type]]="LFF (MDG-F)",MID(Proc[[#This Row],[Obj]],13,10),"")</f>
        <v/>
      </c>
      <c r="J3567" s="129" t="b">
        <f>Proc[[#This Row],[Requested]]=Proc[[#This Row],[CurrentParent]]</f>
        <v>1</v>
      </c>
      <c r="K3567" s="144" t="str">
        <f>IF(Proc[[#This Row],[Author]]="Marcela Urrego",VLOOKUP(LEFT(Proc[[#This Row],[Requested]],1),Table3[#All],2,0),VLOOKUP(Proc[[#This Row],[Author]],Table4[],2,0))</f>
        <v>MGF</v>
      </c>
      <c r="L3567" s="129" t="s">
        <v>4894</v>
      </c>
      <c r="M3567" s="127">
        <v>45883</v>
      </c>
      <c r="N3567" s="127"/>
      <c r="O3567" s="127"/>
      <c r="P3567" s="115" t="str">
        <f ca="1">IF(Proc[[#This Row],[DaysAgeing]]&gt;5,"yep","on track")</f>
        <v>yep</v>
      </c>
      <c r="Q3567" s="3">
        <f ca="1">IF(Proc[[#This Row],[DateClosed]]="",ABS(NETWORKDAYS(Proc[[#This Row],[DateOpened]],TODAY()))-1,ABS(NETWORKDAYS(Proc[[#This Row],[DateOpened]],Proc[[#This Row],[DateClosed]]))-1)</f>
        <v>86</v>
      </c>
      <c r="R3567" s="115" t="s">
        <v>515</v>
      </c>
      <c r="S3567" s="129"/>
    </row>
    <row r="3568" spans="1:19">
      <c r="A3568" s="128" t="s">
        <v>5669</v>
      </c>
      <c r="B3568" s="149" t="str">
        <f>IFERROR(VLOOKUP(Proc[[#This Row],[App]],Table2[],3,0),"open")</f>
        <v>ok</v>
      </c>
      <c r="C3568" s="128" t="s">
        <v>369</v>
      </c>
      <c r="D3568" t="s">
        <v>5654</v>
      </c>
      <c r="E3568" t="s">
        <v>5668</v>
      </c>
      <c r="F3568" s="129" t="s">
        <v>5668</v>
      </c>
      <c r="G3568" s="128" t="s">
        <v>400</v>
      </c>
      <c r="H3568" s="129" t="str">
        <f>IF(Proc[[#This Row],[type]]="LFF (MDG-F)",MID(Proc[[#This Row],[Obj]],13,10),"")</f>
        <v/>
      </c>
      <c r="J3568" s="129" t="b">
        <f>Proc[[#This Row],[Requested]]=Proc[[#This Row],[CurrentParent]]</f>
        <v>1</v>
      </c>
      <c r="K3568" s="144" t="str">
        <f>IF(Proc[[#This Row],[Author]]="Marcela Urrego",VLOOKUP(LEFT(Proc[[#This Row],[Requested]],1),Table3[#All],2,0),VLOOKUP(Proc[[#This Row],[Author]],Table4[],2,0))</f>
        <v>MGF</v>
      </c>
      <c r="L3568" s="129" t="s">
        <v>4894</v>
      </c>
      <c r="M3568" s="127">
        <v>45883</v>
      </c>
      <c r="N3568" s="127"/>
      <c r="O3568" s="127"/>
      <c r="P3568" s="115" t="str">
        <f ca="1">IF(Proc[[#This Row],[DaysAgeing]]&gt;5,"yep","on track")</f>
        <v>yep</v>
      </c>
      <c r="Q3568" s="3">
        <f ca="1">IF(Proc[[#This Row],[DateClosed]]="",ABS(NETWORKDAYS(Proc[[#This Row],[DateOpened]],TODAY()))-1,ABS(NETWORKDAYS(Proc[[#This Row],[DateOpened]],Proc[[#This Row],[DateClosed]]))-1)</f>
        <v>86</v>
      </c>
      <c r="R3568" s="115" t="s">
        <v>515</v>
      </c>
      <c r="S3568" s="129"/>
    </row>
    <row r="3569" spans="1:19">
      <c r="A3569" s="128" t="s">
        <v>5669</v>
      </c>
      <c r="B3569" s="149" t="str">
        <f>IFERROR(VLOOKUP(Proc[[#This Row],[App]],Table2[],3,0),"open")</f>
        <v>ok</v>
      </c>
      <c r="C3569" s="128" t="s">
        <v>369</v>
      </c>
      <c r="D3569" t="s">
        <v>5655</v>
      </c>
      <c r="E3569" t="s">
        <v>5668</v>
      </c>
      <c r="F3569" s="129" t="s">
        <v>5668</v>
      </c>
      <c r="G3569" s="128" t="s">
        <v>400</v>
      </c>
      <c r="H3569" s="129" t="str">
        <f>IF(Proc[[#This Row],[type]]="LFF (MDG-F)",MID(Proc[[#This Row],[Obj]],13,10),"")</f>
        <v/>
      </c>
      <c r="J3569" s="129" t="b">
        <f>Proc[[#This Row],[Requested]]=Proc[[#This Row],[CurrentParent]]</f>
        <v>1</v>
      </c>
      <c r="K3569" s="144" t="str">
        <f>IF(Proc[[#This Row],[Author]]="Marcela Urrego",VLOOKUP(LEFT(Proc[[#This Row],[Requested]],1),Table3[#All],2,0),VLOOKUP(Proc[[#This Row],[Author]],Table4[],2,0))</f>
        <v>MGF</v>
      </c>
      <c r="L3569" s="129" t="s">
        <v>4894</v>
      </c>
      <c r="M3569" s="127">
        <v>45883</v>
      </c>
      <c r="N3569" s="127"/>
      <c r="O3569" s="127"/>
      <c r="P3569" s="115" t="str">
        <f ca="1">IF(Proc[[#This Row],[DaysAgeing]]&gt;5,"yep","on track")</f>
        <v>yep</v>
      </c>
      <c r="Q3569" s="3">
        <f ca="1">IF(Proc[[#This Row],[DateClosed]]="",ABS(NETWORKDAYS(Proc[[#This Row],[DateOpened]],TODAY()))-1,ABS(NETWORKDAYS(Proc[[#This Row],[DateOpened]],Proc[[#This Row],[DateClosed]]))-1)</f>
        <v>86</v>
      </c>
      <c r="R3569" s="115" t="s">
        <v>515</v>
      </c>
      <c r="S3569" s="129"/>
    </row>
    <row r="3570" spans="1:19">
      <c r="A3570" s="128" t="s">
        <v>5669</v>
      </c>
      <c r="B3570" s="149" t="str">
        <f>IFERROR(VLOOKUP(Proc[[#This Row],[App]],Table2[],3,0),"open")</f>
        <v>ok</v>
      </c>
      <c r="C3570" s="128" t="s">
        <v>369</v>
      </c>
      <c r="D3570" t="s">
        <v>5656</v>
      </c>
      <c r="E3570" t="s">
        <v>5668</v>
      </c>
      <c r="F3570" s="129" t="s">
        <v>5668</v>
      </c>
      <c r="G3570" s="128" t="s">
        <v>400</v>
      </c>
      <c r="H3570" s="129" t="str">
        <f>IF(Proc[[#This Row],[type]]="LFF (MDG-F)",MID(Proc[[#This Row],[Obj]],13,10),"")</f>
        <v/>
      </c>
      <c r="J3570" s="129" t="b">
        <f>Proc[[#This Row],[Requested]]=Proc[[#This Row],[CurrentParent]]</f>
        <v>1</v>
      </c>
      <c r="K3570" s="144" t="str">
        <f>IF(Proc[[#This Row],[Author]]="Marcela Urrego",VLOOKUP(LEFT(Proc[[#This Row],[Requested]],1),Table3[#All],2,0),VLOOKUP(Proc[[#This Row],[Author]],Table4[],2,0))</f>
        <v>MGF</v>
      </c>
      <c r="L3570" s="129" t="s">
        <v>4894</v>
      </c>
      <c r="M3570" s="127">
        <v>45883</v>
      </c>
      <c r="N3570" s="127"/>
      <c r="O3570" s="127"/>
      <c r="P3570" s="115" t="str">
        <f ca="1">IF(Proc[[#This Row],[DaysAgeing]]&gt;5,"yep","on track")</f>
        <v>yep</v>
      </c>
      <c r="Q3570" s="3">
        <f ca="1">IF(Proc[[#This Row],[DateClosed]]="",ABS(NETWORKDAYS(Proc[[#This Row],[DateOpened]],TODAY()))-1,ABS(NETWORKDAYS(Proc[[#This Row],[DateOpened]],Proc[[#This Row],[DateClosed]]))-1)</f>
        <v>86</v>
      </c>
      <c r="R3570" s="115" t="s">
        <v>515</v>
      </c>
      <c r="S3570" s="129"/>
    </row>
    <row r="3571" spans="1:19">
      <c r="A3571" s="128" t="s">
        <v>5669</v>
      </c>
      <c r="B3571" s="149" t="str">
        <f>IFERROR(VLOOKUP(Proc[[#This Row],[App]],Table2[],3,0),"open")</f>
        <v>ok</v>
      </c>
      <c r="C3571" s="128" t="s">
        <v>369</v>
      </c>
      <c r="D3571" t="s">
        <v>5657</v>
      </c>
      <c r="E3571" t="s">
        <v>5668</v>
      </c>
      <c r="F3571" s="129" t="s">
        <v>5668</v>
      </c>
      <c r="G3571" s="128" t="s">
        <v>400</v>
      </c>
      <c r="H3571" s="129" t="str">
        <f>IF(Proc[[#This Row],[type]]="LFF (MDG-F)",MID(Proc[[#This Row],[Obj]],13,10),"")</f>
        <v/>
      </c>
      <c r="J3571" s="129" t="b">
        <f>Proc[[#This Row],[Requested]]=Proc[[#This Row],[CurrentParent]]</f>
        <v>1</v>
      </c>
      <c r="K3571" s="144" t="str">
        <f>IF(Proc[[#This Row],[Author]]="Marcela Urrego",VLOOKUP(LEFT(Proc[[#This Row],[Requested]],1),Table3[#All],2,0),VLOOKUP(Proc[[#This Row],[Author]],Table4[],2,0))</f>
        <v>MGF</v>
      </c>
      <c r="L3571" s="129" t="s">
        <v>4894</v>
      </c>
      <c r="M3571" s="127">
        <v>45883</v>
      </c>
      <c r="N3571" s="127"/>
      <c r="O3571" s="127"/>
      <c r="P3571" s="115" t="str">
        <f ca="1">IF(Proc[[#This Row],[DaysAgeing]]&gt;5,"yep","on track")</f>
        <v>yep</v>
      </c>
      <c r="Q3571" s="3">
        <f ca="1">IF(Proc[[#This Row],[DateClosed]]="",ABS(NETWORKDAYS(Proc[[#This Row],[DateOpened]],TODAY()))-1,ABS(NETWORKDAYS(Proc[[#This Row],[DateOpened]],Proc[[#This Row],[DateClosed]]))-1)</f>
        <v>86</v>
      </c>
      <c r="R3571" s="115" t="s">
        <v>515</v>
      </c>
      <c r="S3571" s="129"/>
    </row>
    <row r="3572" spans="1:19">
      <c r="A3572" s="128" t="s">
        <v>5669</v>
      </c>
      <c r="B3572" s="149" t="str">
        <f>IFERROR(VLOOKUP(Proc[[#This Row],[App]],Table2[],3,0),"open")</f>
        <v>ok</v>
      </c>
      <c r="C3572" s="128" t="s">
        <v>369</v>
      </c>
      <c r="D3572" t="s">
        <v>5658</v>
      </c>
      <c r="E3572" t="s">
        <v>5668</v>
      </c>
      <c r="F3572" s="129" t="s">
        <v>5668</v>
      </c>
      <c r="G3572" s="128" t="s">
        <v>400</v>
      </c>
      <c r="H3572" s="129" t="str">
        <f>IF(Proc[[#This Row],[type]]="LFF (MDG-F)",MID(Proc[[#This Row],[Obj]],13,10),"")</f>
        <v/>
      </c>
      <c r="J3572" s="129" t="b">
        <f>Proc[[#This Row],[Requested]]=Proc[[#This Row],[CurrentParent]]</f>
        <v>1</v>
      </c>
      <c r="K3572" s="144" t="str">
        <f>IF(Proc[[#This Row],[Author]]="Marcela Urrego",VLOOKUP(LEFT(Proc[[#This Row],[Requested]],1),Table3[#All],2,0),VLOOKUP(Proc[[#This Row],[Author]],Table4[],2,0))</f>
        <v>MGF</v>
      </c>
      <c r="L3572" s="129" t="s">
        <v>4894</v>
      </c>
      <c r="M3572" s="127">
        <v>45883</v>
      </c>
      <c r="N3572" s="127"/>
      <c r="O3572" s="127"/>
      <c r="P3572" s="115" t="str">
        <f ca="1">IF(Proc[[#This Row],[DaysAgeing]]&gt;5,"yep","on track")</f>
        <v>yep</v>
      </c>
      <c r="Q3572" s="3">
        <f ca="1">IF(Proc[[#This Row],[DateClosed]]="",ABS(NETWORKDAYS(Proc[[#This Row],[DateOpened]],TODAY()))-1,ABS(NETWORKDAYS(Proc[[#This Row],[DateOpened]],Proc[[#This Row],[DateClosed]]))-1)</f>
        <v>86</v>
      </c>
      <c r="R3572" s="115" t="s">
        <v>515</v>
      </c>
      <c r="S3572" s="129"/>
    </row>
    <row r="3573" spans="1:19">
      <c r="A3573" s="128" t="s">
        <v>5669</v>
      </c>
      <c r="B3573" s="149" t="str">
        <f>IFERROR(VLOOKUP(Proc[[#This Row],[App]],Table2[],3,0),"open")</f>
        <v>ok</v>
      </c>
      <c r="C3573" s="128" t="s">
        <v>369</v>
      </c>
      <c r="D3573" t="s">
        <v>5659</v>
      </c>
      <c r="E3573" t="s">
        <v>5668</v>
      </c>
      <c r="F3573" s="129" t="s">
        <v>5668</v>
      </c>
      <c r="G3573" s="128" t="s">
        <v>400</v>
      </c>
      <c r="H3573" s="129" t="str">
        <f>IF(Proc[[#This Row],[type]]="LFF (MDG-F)",MID(Proc[[#This Row],[Obj]],13,10),"")</f>
        <v/>
      </c>
      <c r="J3573" s="129" t="b">
        <f>Proc[[#This Row],[Requested]]=Proc[[#This Row],[CurrentParent]]</f>
        <v>1</v>
      </c>
      <c r="K3573" s="144" t="str">
        <f>IF(Proc[[#This Row],[Author]]="Marcela Urrego",VLOOKUP(LEFT(Proc[[#This Row],[Requested]],1),Table3[#All],2,0),VLOOKUP(Proc[[#This Row],[Author]],Table4[],2,0))</f>
        <v>MGF</v>
      </c>
      <c r="L3573" s="129" t="s">
        <v>4894</v>
      </c>
      <c r="M3573" s="127">
        <v>45883</v>
      </c>
      <c r="N3573" s="127"/>
      <c r="O3573" s="127"/>
      <c r="P3573" s="115" t="str">
        <f ca="1">IF(Proc[[#This Row],[DaysAgeing]]&gt;5,"yep","on track")</f>
        <v>yep</v>
      </c>
      <c r="Q3573" s="3">
        <f ca="1">IF(Proc[[#This Row],[DateClosed]]="",ABS(NETWORKDAYS(Proc[[#This Row],[DateOpened]],TODAY()))-1,ABS(NETWORKDAYS(Proc[[#This Row],[DateOpened]],Proc[[#This Row],[DateClosed]]))-1)</f>
        <v>86</v>
      </c>
      <c r="R3573" s="115" t="s">
        <v>515</v>
      </c>
      <c r="S3573" s="129"/>
    </row>
    <row r="3574" spans="1:19">
      <c r="A3574" s="128" t="s">
        <v>5669</v>
      </c>
      <c r="B3574" s="149" t="str">
        <f>IFERROR(VLOOKUP(Proc[[#This Row],[App]],Table2[],3,0),"open")</f>
        <v>ok</v>
      </c>
      <c r="C3574" s="128" t="s">
        <v>369</v>
      </c>
      <c r="D3574" t="s">
        <v>5660</v>
      </c>
      <c r="E3574" t="s">
        <v>5668</v>
      </c>
      <c r="F3574" s="129" t="s">
        <v>5668</v>
      </c>
      <c r="G3574" s="128" t="s">
        <v>400</v>
      </c>
      <c r="H3574" s="129" t="str">
        <f>IF(Proc[[#This Row],[type]]="LFF (MDG-F)",MID(Proc[[#This Row],[Obj]],13,10),"")</f>
        <v/>
      </c>
      <c r="J3574" s="129" t="b">
        <f>Proc[[#This Row],[Requested]]=Proc[[#This Row],[CurrentParent]]</f>
        <v>1</v>
      </c>
      <c r="K3574" s="144" t="str">
        <f>IF(Proc[[#This Row],[Author]]="Marcela Urrego",VLOOKUP(LEFT(Proc[[#This Row],[Requested]],1),Table3[#All],2,0),VLOOKUP(Proc[[#This Row],[Author]],Table4[],2,0))</f>
        <v>MGF</v>
      </c>
      <c r="L3574" s="129" t="s">
        <v>4894</v>
      </c>
      <c r="M3574" s="127">
        <v>45883</v>
      </c>
      <c r="N3574" s="127"/>
      <c r="O3574" s="127"/>
      <c r="P3574" s="115" t="str">
        <f ca="1">IF(Proc[[#This Row],[DaysAgeing]]&gt;5,"yep","on track")</f>
        <v>yep</v>
      </c>
      <c r="Q3574" s="3">
        <f ca="1">IF(Proc[[#This Row],[DateClosed]]="",ABS(NETWORKDAYS(Proc[[#This Row],[DateOpened]],TODAY()))-1,ABS(NETWORKDAYS(Proc[[#This Row],[DateOpened]],Proc[[#This Row],[DateClosed]]))-1)</f>
        <v>86</v>
      </c>
      <c r="R3574" s="115" t="s">
        <v>515</v>
      </c>
      <c r="S3574" s="129"/>
    </row>
    <row r="3575" spans="1:19">
      <c r="A3575" s="128" t="s">
        <v>5669</v>
      </c>
      <c r="B3575" s="149" t="str">
        <f>IFERROR(VLOOKUP(Proc[[#This Row],[App]],Table2[],3,0),"open")</f>
        <v>ok</v>
      </c>
      <c r="C3575" s="128" t="s">
        <v>369</v>
      </c>
      <c r="D3575" t="s">
        <v>5661</v>
      </c>
      <c r="E3575" t="s">
        <v>5668</v>
      </c>
      <c r="F3575" s="129" t="s">
        <v>5668</v>
      </c>
      <c r="G3575" s="128" t="s">
        <v>400</v>
      </c>
      <c r="H3575" s="129" t="str">
        <f>IF(Proc[[#This Row],[type]]="LFF (MDG-F)",MID(Proc[[#This Row],[Obj]],13,10),"")</f>
        <v/>
      </c>
      <c r="J3575" s="129" t="b">
        <f>Proc[[#This Row],[Requested]]=Proc[[#This Row],[CurrentParent]]</f>
        <v>1</v>
      </c>
      <c r="K3575" s="144" t="str">
        <f>IF(Proc[[#This Row],[Author]]="Marcela Urrego",VLOOKUP(LEFT(Proc[[#This Row],[Requested]],1),Table3[#All],2,0),VLOOKUP(Proc[[#This Row],[Author]],Table4[],2,0))</f>
        <v>MGF</v>
      </c>
      <c r="L3575" s="129" t="s">
        <v>4894</v>
      </c>
      <c r="M3575" s="127">
        <v>45883</v>
      </c>
      <c r="N3575" s="127"/>
      <c r="O3575" s="127"/>
      <c r="P3575" s="115" t="str">
        <f ca="1">IF(Proc[[#This Row],[DaysAgeing]]&gt;5,"yep","on track")</f>
        <v>yep</v>
      </c>
      <c r="Q3575" s="3">
        <f ca="1">IF(Proc[[#This Row],[DateClosed]]="",ABS(NETWORKDAYS(Proc[[#This Row],[DateOpened]],TODAY()))-1,ABS(NETWORKDAYS(Proc[[#This Row],[DateOpened]],Proc[[#This Row],[DateClosed]]))-1)</f>
        <v>86</v>
      </c>
      <c r="R3575" s="115" t="s">
        <v>515</v>
      </c>
      <c r="S3575" s="129"/>
    </row>
    <row r="3576" spans="1:19">
      <c r="A3576" s="128" t="s">
        <v>5669</v>
      </c>
      <c r="B3576" s="149" t="str">
        <f>IFERROR(VLOOKUP(Proc[[#This Row],[App]],Table2[],3,0),"open")</f>
        <v>ok</v>
      </c>
      <c r="C3576" s="128" t="s">
        <v>369</v>
      </c>
      <c r="D3576" t="s">
        <v>5662</v>
      </c>
      <c r="E3576" t="s">
        <v>5668</v>
      </c>
      <c r="F3576" s="129" t="s">
        <v>5668</v>
      </c>
      <c r="G3576" s="128" t="s">
        <v>400</v>
      </c>
      <c r="H3576" s="129" t="str">
        <f>IF(Proc[[#This Row],[type]]="LFF (MDG-F)",MID(Proc[[#This Row],[Obj]],13,10),"")</f>
        <v/>
      </c>
      <c r="J3576" s="129" t="b">
        <f>Proc[[#This Row],[Requested]]=Proc[[#This Row],[CurrentParent]]</f>
        <v>1</v>
      </c>
      <c r="K3576" s="144" t="str">
        <f>IF(Proc[[#This Row],[Author]]="Marcela Urrego",VLOOKUP(LEFT(Proc[[#This Row],[Requested]],1),Table3[#All],2,0),VLOOKUP(Proc[[#This Row],[Author]],Table4[],2,0))</f>
        <v>MGF</v>
      </c>
      <c r="L3576" s="129" t="s">
        <v>4894</v>
      </c>
      <c r="M3576" s="127">
        <v>45883</v>
      </c>
      <c r="N3576" s="127"/>
      <c r="O3576" s="127"/>
      <c r="P3576" s="115" t="str">
        <f ca="1">IF(Proc[[#This Row],[DaysAgeing]]&gt;5,"yep","on track")</f>
        <v>yep</v>
      </c>
      <c r="Q3576" s="3">
        <f ca="1">IF(Proc[[#This Row],[DateClosed]]="",ABS(NETWORKDAYS(Proc[[#This Row],[DateOpened]],TODAY()))-1,ABS(NETWORKDAYS(Proc[[#This Row],[DateOpened]],Proc[[#This Row],[DateClosed]]))-1)</f>
        <v>86</v>
      </c>
      <c r="R3576" s="115" t="s">
        <v>515</v>
      </c>
      <c r="S3576" s="129"/>
    </row>
    <row r="3577" spans="1:19">
      <c r="A3577" s="128" t="s">
        <v>5669</v>
      </c>
      <c r="B3577" s="149" t="str">
        <f>IFERROR(VLOOKUP(Proc[[#This Row],[App]],Table2[],3,0),"open")</f>
        <v>ok</v>
      </c>
      <c r="C3577" s="128" t="s">
        <v>369</v>
      </c>
      <c r="D3577" t="s">
        <v>5663</v>
      </c>
      <c r="E3577" t="s">
        <v>5668</v>
      </c>
      <c r="F3577" s="129" t="s">
        <v>5668</v>
      </c>
      <c r="G3577" s="128" t="s">
        <v>400</v>
      </c>
      <c r="H3577" s="129" t="str">
        <f>IF(Proc[[#This Row],[type]]="LFF (MDG-F)",MID(Proc[[#This Row],[Obj]],13,10),"")</f>
        <v/>
      </c>
      <c r="J3577" s="129" t="b">
        <f>Proc[[#This Row],[Requested]]=Proc[[#This Row],[CurrentParent]]</f>
        <v>1</v>
      </c>
      <c r="K3577" s="144" t="str">
        <f>IF(Proc[[#This Row],[Author]]="Marcela Urrego",VLOOKUP(LEFT(Proc[[#This Row],[Requested]],1),Table3[#All],2,0),VLOOKUP(Proc[[#This Row],[Author]],Table4[],2,0))</f>
        <v>MGF</v>
      </c>
      <c r="L3577" s="129" t="s">
        <v>4894</v>
      </c>
      <c r="M3577" s="127">
        <v>45883</v>
      </c>
      <c r="N3577" s="127"/>
      <c r="O3577" s="127"/>
      <c r="P3577" s="115" t="str">
        <f ca="1">IF(Proc[[#This Row],[DaysAgeing]]&gt;5,"yep","on track")</f>
        <v>yep</v>
      </c>
      <c r="Q3577" s="3">
        <f ca="1">IF(Proc[[#This Row],[DateClosed]]="",ABS(NETWORKDAYS(Proc[[#This Row],[DateOpened]],TODAY()))-1,ABS(NETWORKDAYS(Proc[[#This Row],[DateOpened]],Proc[[#This Row],[DateClosed]]))-1)</f>
        <v>86</v>
      </c>
      <c r="R3577" s="115" t="s">
        <v>515</v>
      </c>
      <c r="S3577" s="129"/>
    </row>
    <row r="3578" spans="1:19">
      <c r="A3578" s="128" t="s">
        <v>5669</v>
      </c>
      <c r="B3578" s="149" t="str">
        <f>IFERROR(VLOOKUP(Proc[[#This Row],[App]],Table2[],3,0),"open")</f>
        <v>ok</v>
      </c>
      <c r="C3578" s="128" t="s">
        <v>369</v>
      </c>
      <c r="D3578" t="s">
        <v>5664</v>
      </c>
      <c r="E3578" t="s">
        <v>5668</v>
      </c>
      <c r="F3578" s="129" t="s">
        <v>5668</v>
      </c>
      <c r="G3578" s="128" t="s">
        <v>400</v>
      </c>
      <c r="H3578" s="129" t="str">
        <f>IF(Proc[[#This Row],[type]]="LFF (MDG-F)",MID(Proc[[#This Row],[Obj]],13,10),"")</f>
        <v/>
      </c>
      <c r="J3578" s="129" t="b">
        <f>Proc[[#This Row],[Requested]]=Proc[[#This Row],[CurrentParent]]</f>
        <v>1</v>
      </c>
      <c r="K3578" s="144" t="str">
        <f>IF(Proc[[#This Row],[Author]]="Marcela Urrego",VLOOKUP(LEFT(Proc[[#This Row],[Requested]],1),Table3[#All],2,0),VLOOKUP(Proc[[#This Row],[Author]],Table4[],2,0))</f>
        <v>MGF</v>
      </c>
      <c r="L3578" s="129" t="s">
        <v>4894</v>
      </c>
      <c r="M3578" s="127">
        <v>45883</v>
      </c>
      <c r="N3578" s="127"/>
      <c r="O3578" s="127"/>
      <c r="P3578" s="115" t="str">
        <f ca="1">IF(Proc[[#This Row],[DaysAgeing]]&gt;5,"yep","on track")</f>
        <v>yep</v>
      </c>
      <c r="Q3578" s="3">
        <f ca="1">IF(Proc[[#This Row],[DateClosed]]="",ABS(NETWORKDAYS(Proc[[#This Row],[DateOpened]],TODAY()))-1,ABS(NETWORKDAYS(Proc[[#This Row],[DateOpened]],Proc[[#This Row],[DateClosed]]))-1)</f>
        <v>86</v>
      </c>
      <c r="R3578" s="115" t="s">
        <v>515</v>
      </c>
      <c r="S3578" s="129"/>
    </row>
    <row r="3579" spans="1:19">
      <c r="A3579" s="128" t="s">
        <v>5669</v>
      </c>
      <c r="B3579" s="149" t="str">
        <f>IFERROR(VLOOKUP(Proc[[#This Row],[App]],Table2[],3,0),"open")</f>
        <v>ok</v>
      </c>
      <c r="C3579" s="128" t="s">
        <v>369</v>
      </c>
      <c r="D3579" t="s">
        <v>5665</v>
      </c>
      <c r="E3579" t="s">
        <v>5668</v>
      </c>
      <c r="F3579" s="129" t="s">
        <v>5668</v>
      </c>
      <c r="G3579" s="128" t="s">
        <v>400</v>
      </c>
      <c r="H3579" s="129" t="str">
        <f>IF(Proc[[#This Row],[type]]="LFF (MDG-F)",MID(Proc[[#This Row],[Obj]],13,10),"")</f>
        <v/>
      </c>
      <c r="J3579" s="129" t="b">
        <f>Proc[[#This Row],[Requested]]=Proc[[#This Row],[CurrentParent]]</f>
        <v>1</v>
      </c>
      <c r="K3579" s="144" t="str">
        <f>IF(Proc[[#This Row],[Author]]="Marcela Urrego",VLOOKUP(LEFT(Proc[[#This Row],[Requested]],1),Table3[#All],2,0),VLOOKUP(Proc[[#This Row],[Author]],Table4[],2,0))</f>
        <v>MGF</v>
      </c>
      <c r="L3579" s="129" t="s">
        <v>4894</v>
      </c>
      <c r="M3579" s="127">
        <v>45883</v>
      </c>
      <c r="N3579" s="127"/>
      <c r="O3579" s="127"/>
      <c r="P3579" s="115" t="str">
        <f ca="1">IF(Proc[[#This Row],[DaysAgeing]]&gt;5,"yep","on track")</f>
        <v>yep</v>
      </c>
      <c r="Q3579" s="3">
        <f ca="1">IF(Proc[[#This Row],[DateClosed]]="",ABS(NETWORKDAYS(Proc[[#This Row],[DateOpened]],TODAY()))-1,ABS(NETWORKDAYS(Proc[[#This Row],[DateOpened]],Proc[[#This Row],[DateClosed]]))-1)</f>
        <v>86</v>
      </c>
      <c r="R3579" s="115" t="s">
        <v>515</v>
      </c>
      <c r="S3579" s="129"/>
    </row>
    <row r="3580" spans="1:19">
      <c r="A3580" s="128" t="s">
        <v>5669</v>
      </c>
      <c r="B3580" s="149" t="str">
        <f>IFERROR(VLOOKUP(Proc[[#This Row],[App]],Table2[],3,0),"open")</f>
        <v>ok</v>
      </c>
      <c r="C3580" s="128" t="s">
        <v>369</v>
      </c>
      <c r="D3580" t="s">
        <v>5666</v>
      </c>
      <c r="E3580" t="s">
        <v>5668</v>
      </c>
      <c r="F3580" s="129" t="s">
        <v>5668</v>
      </c>
      <c r="G3580" s="128" t="s">
        <v>400</v>
      </c>
      <c r="H3580" s="129" t="str">
        <f>IF(Proc[[#This Row],[type]]="LFF (MDG-F)",MID(Proc[[#This Row],[Obj]],13,10),"")</f>
        <v/>
      </c>
      <c r="J3580" s="129" t="b">
        <f>Proc[[#This Row],[Requested]]=Proc[[#This Row],[CurrentParent]]</f>
        <v>1</v>
      </c>
      <c r="K3580" s="144" t="str">
        <f>IF(Proc[[#This Row],[Author]]="Marcela Urrego",VLOOKUP(LEFT(Proc[[#This Row],[Requested]],1),Table3[#All],2,0),VLOOKUP(Proc[[#This Row],[Author]],Table4[],2,0))</f>
        <v>MGF</v>
      </c>
      <c r="L3580" s="129" t="s">
        <v>4894</v>
      </c>
      <c r="M3580" s="127">
        <v>45883</v>
      </c>
      <c r="N3580" s="127"/>
      <c r="O3580" s="127"/>
      <c r="P3580" s="115" t="str">
        <f ca="1">IF(Proc[[#This Row],[DaysAgeing]]&gt;5,"yep","on track")</f>
        <v>yep</v>
      </c>
      <c r="Q3580" s="3">
        <f ca="1">IF(Proc[[#This Row],[DateClosed]]="",ABS(NETWORKDAYS(Proc[[#This Row],[DateOpened]],TODAY()))-1,ABS(NETWORKDAYS(Proc[[#This Row],[DateOpened]],Proc[[#This Row],[DateClosed]]))-1)</f>
        <v>86</v>
      </c>
      <c r="R3580" s="115" t="s">
        <v>515</v>
      </c>
      <c r="S3580" s="129"/>
    </row>
    <row r="3581" spans="1:19">
      <c r="A3581" s="128" t="s">
        <v>5669</v>
      </c>
      <c r="B3581" s="149" t="str">
        <f>IFERROR(VLOOKUP(Proc[[#This Row],[App]],Table2[],3,0),"open")</f>
        <v>ok</v>
      </c>
      <c r="C3581" s="128" t="s">
        <v>369</v>
      </c>
      <c r="D3581" t="s">
        <v>5667</v>
      </c>
      <c r="E3581" t="s">
        <v>5668</v>
      </c>
      <c r="F3581" s="129" t="s">
        <v>5668</v>
      </c>
      <c r="G3581" s="128" t="s">
        <v>400</v>
      </c>
      <c r="H3581" s="129" t="str">
        <f>IF(Proc[[#This Row],[type]]="LFF (MDG-F)",MID(Proc[[#This Row],[Obj]],13,10),"")</f>
        <v/>
      </c>
      <c r="J3581" s="129" t="b">
        <f>Proc[[#This Row],[Requested]]=Proc[[#This Row],[CurrentParent]]</f>
        <v>1</v>
      </c>
      <c r="K3581" s="144" t="str">
        <f>IF(Proc[[#This Row],[Author]]="Marcela Urrego",VLOOKUP(LEFT(Proc[[#This Row],[Requested]],1),Table3[#All],2,0),VLOOKUP(Proc[[#This Row],[Author]],Table4[],2,0))</f>
        <v>MGF</v>
      </c>
      <c r="L3581" s="129" t="s">
        <v>4894</v>
      </c>
      <c r="M3581" s="127">
        <v>45883</v>
      </c>
      <c r="N3581" s="127"/>
      <c r="O3581" s="127"/>
      <c r="P3581" s="115" t="str">
        <f ca="1">IF(Proc[[#This Row],[DaysAgeing]]&gt;5,"yep","on track")</f>
        <v>yep</v>
      </c>
      <c r="Q3581" s="3">
        <f ca="1">IF(Proc[[#This Row],[DateClosed]]="",ABS(NETWORKDAYS(Proc[[#This Row],[DateOpened]],TODAY()))-1,ABS(NETWORKDAYS(Proc[[#This Row],[DateOpened]],Proc[[#This Row],[DateClosed]]))-1)</f>
        <v>86</v>
      </c>
      <c r="R3581" s="115" t="s">
        <v>515</v>
      </c>
      <c r="S3581" s="129"/>
    </row>
    <row r="3582" spans="1:19">
      <c r="A3582" t="s">
        <v>5670</v>
      </c>
      <c r="B3582" s="149" t="str">
        <f>IFERROR(VLOOKUP(Proc[[#This Row],[App]],Table2[],3,0),"open")</f>
        <v>ok</v>
      </c>
      <c r="C3582" s="128" t="s">
        <v>369</v>
      </c>
      <c r="D3582" t="s">
        <v>5699</v>
      </c>
      <c r="E3582" t="s">
        <v>5671</v>
      </c>
      <c r="F3582" s="129" t="s">
        <v>5671</v>
      </c>
      <c r="G3582" s="128" t="s">
        <v>400</v>
      </c>
      <c r="H3582" s="129" t="str">
        <f>IF(Proc[[#This Row],[type]]="LFF (MDG-F)",MID(Proc[[#This Row],[Obj]],13,10),"")</f>
        <v/>
      </c>
      <c r="J3582" s="129" t="b">
        <f>Proc[[#This Row],[Requested]]=Proc[[#This Row],[CurrentParent]]</f>
        <v>1</v>
      </c>
      <c r="K3582" s="144" t="str">
        <f>IF(Proc[[#This Row],[Author]]="Marcela Urrego",VLOOKUP(LEFT(Proc[[#This Row],[Requested]],1),Table3[#All],2,0),VLOOKUP(Proc[[#This Row],[Author]],Table4[],2,0))</f>
        <v>LS</v>
      </c>
      <c r="L3582" s="129" t="s">
        <v>4894</v>
      </c>
      <c r="M3582" s="127">
        <v>45883</v>
      </c>
      <c r="N3582" s="127"/>
      <c r="O3582" s="127"/>
      <c r="P3582" s="115" t="str">
        <f ca="1">IF(Proc[[#This Row],[DaysAgeing]]&gt;5,"yep","on track")</f>
        <v>yep</v>
      </c>
      <c r="Q3582" s="3">
        <f ca="1">IF(Proc[[#This Row],[DateClosed]]="",ABS(NETWORKDAYS(Proc[[#This Row],[DateOpened]],TODAY()))-1,ABS(NETWORKDAYS(Proc[[#This Row],[DateOpened]],Proc[[#This Row],[DateClosed]]))-1)</f>
        <v>86</v>
      </c>
      <c r="R3582" s="115" t="s">
        <v>1262</v>
      </c>
      <c r="S3582" s="129"/>
    </row>
    <row r="3583" spans="1:19">
      <c r="A3583" t="s">
        <v>5672</v>
      </c>
      <c r="B3583" s="149" t="str">
        <f>IFERROR(VLOOKUP(Proc[[#This Row],[App]],Table2[],3,0),"open")</f>
        <v>ok</v>
      </c>
      <c r="C3583" s="128" t="s">
        <v>369</v>
      </c>
      <c r="D3583" t="s">
        <v>5673</v>
      </c>
      <c r="E3583" t="s">
        <v>5679</v>
      </c>
      <c r="F3583" s="129" t="s">
        <v>5679</v>
      </c>
      <c r="G3583" t="s">
        <v>400</v>
      </c>
      <c r="H3583" s="129" t="str">
        <f>IF(Proc[[#This Row],[type]]="LFF (MDG-F)",MID(Proc[[#This Row],[Obj]],13,10),"")</f>
        <v/>
      </c>
      <c r="J3583" s="129" t="b">
        <f>Proc[[#This Row],[Requested]]=Proc[[#This Row],[CurrentParent]]</f>
        <v>1</v>
      </c>
      <c r="K3583" s="144" t="str">
        <f>IF(Proc[[#This Row],[Author]]="Marcela Urrego",VLOOKUP(LEFT(Proc[[#This Row],[Requested]],1),Table3[#All],2,0),VLOOKUP(Proc[[#This Row],[Author]],Table4[],2,0))</f>
        <v>HC</v>
      </c>
      <c r="L3583" s="129" t="s">
        <v>4894</v>
      </c>
      <c r="M3583" s="127">
        <v>45884</v>
      </c>
      <c r="N3583" s="127"/>
      <c r="O3583" s="127"/>
      <c r="P3583" s="130" t="str">
        <f ca="1">IF(Proc[[#This Row],[DaysAgeing]]&gt;5,"yep","on track")</f>
        <v>yep</v>
      </c>
      <c r="Q3583" s="3">
        <f ca="1">IF(Proc[[#This Row],[DateClosed]]="",ABS(NETWORKDAYS(Proc[[#This Row],[DateOpened]],TODAY()))-1,ABS(NETWORKDAYS(Proc[[#This Row],[DateOpened]],Proc[[#This Row],[DateClosed]]))-1)</f>
        <v>85</v>
      </c>
      <c r="R3583" s="130" t="s">
        <v>5682</v>
      </c>
      <c r="S3583" s="129"/>
    </row>
    <row r="3584" spans="1:19">
      <c r="A3584" s="128" t="s">
        <v>5672</v>
      </c>
      <c r="B3584" s="149" t="str">
        <f>IFERROR(VLOOKUP(Proc[[#This Row],[App]],Table2[],3,0),"open")</f>
        <v>ok</v>
      </c>
      <c r="C3584" s="128" t="s">
        <v>369</v>
      </c>
      <c r="D3584" t="s">
        <v>5674</v>
      </c>
      <c r="E3584" t="s">
        <v>5680</v>
      </c>
      <c r="F3584" s="129" t="s">
        <v>5680</v>
      </c>
      <c r="G3584" s="128" t="s">
        <v>400</v>
      </c>
      <c r="H3584" s="129" t="str">
        <f>IF(Proc[[#This Row],[type]]="LFF (MDG-F)",MID(Proc[[#This Row],[Obj]],13,10),"")</f>
        <v/>
      </c>
      <c r="J3584" s="129" t="b">
        <f>Proc[[#This Row],[Requested]]=Proc[[#This Row],[CurrentParent]]</f>
        <v>1</v>
      </c>
      <c r="K3584" s="144" t="str">
        <f>IF(Proc[[#This Row],[Author]]="Marcela Urrego",VLOOKUP(LEFT(Proc[[#This Row],[Requested]],1),Table3[#All],2,0),VLOOKUP(Proc[[#This Row],[Author]],Table4[],2,0))</f>
        <v>HC</v>
      </c>
      <c r="L3584" s="129" t="s">
        <v>4894</v>
      </c>
      <c r="M3584" s="127">
        <v>45884</v>
      </c>
      <c r="N3584" s="127"/>
      <c r="O3584" s="127"/>
      <c r="P3584" s="130" t="str">
        <f ca="1">IF(Proc[[#This Row],[DaysAgeing]]&gt;5,"yep","on track")</f>
        <v>yep</v>
      </c>
      <c r="Q3584" s="3">
        <f ca="1">IF(Proc[[#This Row],[DateClosed]]="",ABS(NETWORKDAYS(Proc[[#This Row],[DateOpened]],TODAY()))-1,ABS(NETWORKDAYS(Proc[[#This Row],[DateOpened]],Proc[[#This Row],[DateClosed]]))-1)</f>
        <v>85</v>
      </c>
      <c r="R3584" s="130" t="s">
        <v>5682</v>
      </c>
      <c r="S3584" s="129"/>
    </row>
    <row r="3585" spans="1:19">
      <c r="A3585" s="128" t="s">
        <v>5672</v>
      </c>
      <c r="B3585" s="149" t="str">
        <f>IFERROR(VLOOKUP(Proc[[#This Row],[App]],Table2[],3,0),"open")</f>
        <v>ok</v>
      </c>
      <c r="C3585" s="128" t="s">
        <v>369</v>
      </c>
      <c r="D3585" t="s">
        <v>5675</v>
      </c>
      <c r="E3585" t="s">
        <v>5680</v>
      </c>
      <c r="F3585" s="129" t="s">
        <v>5680</v>
      </c>
      <c r="G3585" s="128" t="s">
        <v>400</v>
      </c>
      <c r="H3585" s="129" t="str">
        <f>IF(Proc[[#This Row],[type]]="LFF (MDG-F)",MID(Proc[[#This Row],[Obj]],13,10),"")</f>
        <v/>
      </c>
      <c r="J3585" s="129" t="b">
        <f>Proc[[#This Row],[Requested]]=Proc[[#This Row],[CurrentParent]]</f>
        <v>1</v>
      </c>
      <c r="K3585" s="144" t="str">
        <f>IF(Proc[[#This Row],[Author]]="Marcela Urrego",VLOOKUP(LEFT(Proc[[#This Row],[Requested]],1),Table3[#All],2,0),VLOOKUP(Proc[[#This Row],[Author]],Table4[],2,0))</f>
        <v>HC</v>
      </c>
      <c r="L3585" s="129" t="s">
        <v>4894</v>
      </c>
      <c r="M3585" s="127">
        <v>45884</v>
      </c>
      <c r="N3585" s="127"/>
      <c r="O3585" s="127"/>
      <c r="P3585" s="130" t="str">
        <f ca="1">IF(Proc[[#This Row],[DaysAgeing]]&gt;5,"yep","on track")</f>
        <v>yep</v>
      </c>
      <c r="Q3585" s="3">
        <f ca="1">IF(Proc[[#This Row],[DateClosed]]="",ABS(NETWORKDAYS(Proc[[#This Row],[DateOpened]],TODAY()))-1,ABS(NETWORKDAYS(Proc[[#This Row],[DateOpened]],Proc[[#This Row],[DateClosed]]))-1)</f>
        <v>85</v>
      </c>
      <c r="R3585" s="130" t="s">
        <v>5682</v>
      </c>
      <c r="S3585" s="129"/>
    </row>
    <row r="3586" spans="1:19">
      <c r="A3586" s="128" t="s">
        <v>5672</v>
      </c>
      <c r="B3586" s="149" t="str">
        <f>IFERROR(VLOOKUP(Proc[[#This Row],[App]],Table2[],3,0),"open")</f>
        <v>ok</v>
      </c>
      <c r="C3586" s="128" t="s">
        <v>369</v>
      </c>
      <c r="D3586" t="s">
        <v>5676</v>
      </c>
      <c r="E3586" t="s">
        <v>5681</v>
      </c>
      <c r="F3586" s="129" t="s">
        <v>5681</v>
      </c>
      <c r="G3586" s="128" t="s">
        <v>400</v>
      </c>
      <c r="H3586" s="129" t="str">
        <f>IF(Proc[[#This Row],[type]]="LFF (MDG-F)",MID(Proc[[#This Row],[Obj]],13,10),"")</f>
        <v/>
      </c>
      <c r="J3586" s="129" t="b">
        <f>Proc[[#This Row],[Requested]]=Proc[[#This Row],[CurrentParent]]</f>
        <v>1</v>
      </c>
      <c r="K3586" s="144" t="str">
        <f>IF(Proc[[#This Row],[Author]]="Marcela Urrego",VLOOKUP(LEFT(Proc[[#This Row],[Requested]],1),Table3[#All],2,0),VLOOKUP(Proc[[#This Row],[Author]],Table4[],2,0))</f>
        <v>HC</v>
      </c>
      <c r="L3586" s="129" t="s">
        <v>4894</v>
      </c>
      <c r="M3586" s="127">
        <v>45884</v>
      </c>
      <c r="N3586" s="127"/>
      <c r="O3586" s="127"/>
      <c r="P3586" s="130" t="str">
        <f ca="1">IF(Proc[[#This Row],[DaysAgeing]]&gt;5,"yep","on track")</f>
        <v>yep</v>
      </c>
      <c r="Q3586" s="3">
        <f ca="1">IF(Proc[[#This Row],[DateClosed]]="",ABS(NETWORKDAYS(Proc[[#This Row],[DateOpened]],TODAY()))-1,ABS(NETWORKDAYS(Proc[[#This Row],[DateOpened]],Proc[[#This Row],[DateClosed]]))-1)</f>
        <v>85</v>
      </c>
      <c r="R3586" s="130" t="s">
        <v>5682</v>
      </c>
      <c r="S3586" s="129"/>
    </row>
    <row r="3587" spans="1:19">
      <c r="A3587" s="128" t="s">
        <v>5672</v>
      </c>
      <c r="B3587" s="149" t="str">
        <f>IFERROR(VLOOKUP(Proc[[#This Row],[App]],Table2[],3,0),"open")</f>
        <v>ok</v>
      </c>
      <c r="C3587" s="128" t="s">
        <v>369</v>
      </c>
      <c r="D3587" t="s">
        <v>5677</v>
      </c>
      <c r="E3587" t="s">
        <v>5679</v>
      </c>
      <c r="F3587" s="129" t="s">
        <v>5679</v>
      </c>
      <c r="G3587" s="128" t="s">
        <v>400</v>
      </c>
      <c r="H3587" s="129" t="str">
        <f>IF(Proc[[#This Row],[type]]="LFF (MDG-F)",MID(Proc[[#This Row],[Obj]],13,10),"")</f>
        <v/>
      </c>
      <c r="J3587" s="129" t="b">
        <f>Proc[[#This Row],[Requested]]=Proc[[#This Row],[CurrentParent]]</f>
        <v>1</v>
      </c>
      <c r="K3587" s="144" t="str">
        <f>IF(Proc[[#This Row],[Author]]="Marcela Urrego",VLOOKUP(LEFT(Proc[[#This Row],[Requested]],1),Table3[#All],2,0),VLOOKUP(Proc[[#This Row],[Author]],Table4[],2,0))</f>
        <v>HC</v>
      </c>
      <c r="L3587" s="129" t="s">
        <v>4894</v>
      </c>
      <c r="M3587" s="127">
        <v>45884</v>
      </c>
      <c r="N3587" s="127"/>
      <c r="O3587" s="127"/>
      <c r="P3587" s="130" t="str">
        <f ca="1">IF(Proc[[#This Row],[DaysAgeing]]&gt;5,"yep","on track")</f>
        <v>yep</v>
      </c>
      <c r="Q3587" s="3">
        <f ca="1">IF(Proc[[#This Row],[DateClosed]]="",ABS(NETWORKDAYS(Proc[[#This Row],[DateOpened]],TODAY()))-1,ABS(NETWORKDAYS(Proc[[#This Row],[DateOpened]],Proc[[#This Row],[DateClosed]]))-1)</f>
        <v>85</v>
      </c>
      <c r="R3587" s="130" t="s">
        <v>5682</v>
      </c>
      <c r="S3587" s="129"/>
    </row>
    <row r="3588" spans="1:19">
      <c r="A3588" s="128" t="s">
        <v>5672</v>
      </c>
      <c r="B3588" s="149" t="str">
        <f>IFERROR(VLOOKUP(Proc[[#This Row],[App]],Table2[],3,0),"open")</f>
        <v>ok</v>
      </c>
      <c r="C3588" s="128" t="s">
        <v>369</v>
      </c>
      <c r="D3588" t="s">
        <v>5678</v>
      </c>
      <c r="E3588" t="s">
        <v>5679</v>
      </c>
      <c r="F3588" s="129" t="s">
        <v>5679</v>
      </c>
      <c r="G3588" s="128" t="s">
        <v>400</v>
      </c>
      <c r="H3588" s="129" t="str">
        <f>IF(Proc[[#This Row],[type]]="LFF (MDG-F)",MID(Proc[[#This Row],[Obj]],13,10),"")</f>
        <v/>
      </c>
      <c r="J3588" s="129" t="b">
        <f>Proc[[#This Row],[Requested]]=Proc[[#This Row],[CurrentParent]]</f>
        <v>1</v>
      </c>
      <c r="K3588" s="144" t="str">
        <f>IF(Proc[[#This Row],[Author]]="Marcela Urrego",VLOOKUP(LEFT(Proc[[#This Row],[Requested]],1),Table3[#All],2,0),VLOOKUP(Proc[[#This Row],[Author]],Table4[],2,0))</f>
        <v>HC</v>
      </c>
      <c r="L3588" s="129" t="s">
        <v>4894</v>
      </c>
      <c r="M3588" s="127">
        <v>45884</v>
      </c>
      <c r="N3588" s="127"/>
      <c r="O3588" s="127"/>
      <c r="P3588" s="130" t="str">
        <f ca="1">IF(Proc[[#This Row],[DaysAgeing]]&gt;5,"yep","on track")</f>
        <v>yep</v>
      </c>
      <c r="Q3588" s="3">
        <f ca="1">IF(Proc[[#This Row],[DateClosed]]="",ABS(NETWORKDAYS(Proc[[#This Row],[DateOpened]],TODAY()))-1,ABS(NETWORKDAYS(Proc[[#This Row],[DateOpened]],Proc[[#This Row],[DateClosed]]))-1)</f>
        <v>85</v>
      </c>
      <c r="R3588" s="130" t="s">
        <v>5682</v>
      </c>
      <c r="S3588" s="129"/>
    </row>
    <row r="3589" spans="1:19">
      <c r="A3589" t="s">
        <v>5683</v>
      </c>
      <c r="B3589" s="149" t="str">
        <f>IFERROR(VLOOKUP(Proc[[#This Row],[App]],Table2[],3,0),"open")</f>
        <v>ok</v>
      </c>
      <c r="C3589" s="128" t="s">
        <v>369</v>
      </c>
      <c r="D3589" t="s">
        <v>5684</v>
      </c>
      <c r="E3589" t="s">
        <v>2161</v>
      </c>
      <c r="F3589" s="129" t="s">
        <v>2161</v>
      </c>
      <c r="G3589" s="128" t="s">
        <v>400</v>
      </c>
      <c r="H3589" s="129" t="str">
        <f>IF(Proc[[#This Row],[type]]="LFF (MDG-F)",MID(Proc[[#This Row],[Obj]],13,10),"")</f>
        <v/>
      </c>
      <c r="J3589" s="129" t="b">
        <f>Proc[[#This Row],[Requested]]=Proc[[#This Row],[CurrentParent]]</f>
        <v>1</v>
      </c>
      <c r="K3589" s="144" t="str">
        <f>IF(Proc[[#This Row],[Author]]="Marcela Urrego",VLOOKUP(LEFT(Proc[[#This Row],[Requested]],1),Table3[#All],2,0),VLOOKUP(Proc[[#This Row],[Author]],Table4[],2,0))</f>
        <v>HC</v>
      </c>
      <c r="L3589" s="129" t="s">
        <v>4894</v>
      </c>
      <c r="M3589" s="127">
        <v>45884</v>
      </c>
      <c r="N3589" s="127"/>
      <c r="O3589" s="127"/>
      <c r="P3589" s="130" t="str">
        <f ca="1">IF(Proc[[#This Row],[DaysAgeing]]&gt;5,"yep","on track")</f>
        <v>yep</v>
      </c>
      <c r="Q3589" s="3">
        <f ca="1">IF(Proc[[#This Row],[DateClosed]]="",ABS(NETWORKDAYS(Proc[[#This Row],[DateOpened]],TODAY()))-1,ABS(NETWORKDAYS(Proc[[#This Row],[DateOpened]],Proc[[#This Row],[DateClosed]]))-1)</f>
        <v>85</v>
      </c>
      <c r="R3589" s="130" t="s">
        <v>5682</v>
      </c>
      <c r="S3589" s="129"/>
    </row>
    <row r="3590" spans="1:19">
      <c r="A3590" s="128" t="s">
        <v>5683</v>
      </c>
      <c r="B3590" s="149" t="str">
        <f>IFERROR(VLOOKUP(Proc[[#This Row],[App]],Table2[],3,0),"open")</f>
        <v>ok</v>
      </c>
      <c r="C3590" s="128" t="s">
        <v>369</v>
      </c>
      <c r="D3590" t="s">
        <v>5685</v>
      </c>
      <c r="E3590" t="s">
        <v>2161</v>
      </c>
      <c r="F3590" s="129" t="s">
        <v>2161</v>
      </c>
      <c r="G3590" s="128" t="s">
        <v>400</v>
      </c>
      <c r="H3590" s="129" t="str">
        <f>IF(Proc[[#This Row],[type]]="LFF (MDG-F)",MID(Proc[[#This Row],[Obj]],13,10),"")</f>
        <v/>
      </c>
      <c r="J3590" s="129" t="b">
        <f>Proc[[#This Row],[Requested]]=Proc[[#This Row],[CurrentParent]]</f>
        <v>1</v>
      </c>
      <c r="K3590" s="144" t="str">
        <f>IF(Proc[[#This Row],[Author]]="Marcela Urrego",VLOOKUP(LEFT(Proc[[#This Row],[Requested]],1),Table3[#All],2,0),VLOOKUP(Proc[[#This Row],[Author]],Table4[],2,0))</f>
        <v>HC</v>
      </c>
      <c r="L3590" s="129" t="s">
        <v>4894</v>
      </c>
      <c r="M3590" s="127">
        <v>45884</v>
      </c>
      <c r="N3590" s="127"/>
      <c r="O3590" s="127"/>
      <c r="P3590" s="130" t="str">
        <f ca="1">IF(Proc[[#This Row],[DaysAgeing]]&gt;5,"yep","on track")</f>
        <v>yep</v>
      </c>
      <c r="Q3590" s="3">
        <f ca="1">IF(Proc[[#This Row],[DateClosed]]="",ABS(NETWORKDAYS(Proc[[#This Row],[DateOpened]],TODAY()))-1,ABS(NETWORKDAYS(Proc[[#This Row],[DateOpened]],Proc[[#This Row],[DateClosed]]))-1)</f>
        <v>85</v>
      </c>
      <c r="R3590" s="130" t="s">
        <v>5682</v>
      </c>
      <c r="S3590" s="129"/>
    </row>
    <row r="3591" spans="1:19">
      <c r="A3591" s="128" t="s">
        <v>5683</v>
      </c>
      <c r="B3591" s="149" t="str">
        <f>IFERROR(VLOOKUP(Proc[[#This Row],[App]],Table2[],3,0),"open")</f>
        <v>ok</v>
      </c>
      <c r="C3591" s="128" t="s">
        <v>369</v>
      </c>
      <c r="D3591" t="s">
        <v>5686</v>
      </c>
      <c r="E3591" t="s">
        <v>2161</v>
      </c>
      <c r="F3591" s="129" t="s">
        <v>2161</v>
      </c>
      <c r="G3591" s="128" t="s">
        <v>400</v>
      </c>
      <c r="H3591" s="129" t="str">
        <f>IF(Proc[[#This Row],[type]]="LFF (MDG-F)",MID(Proc[[#This Row],[Obj]],13,10),"")</f>
        <v/>
      </c>
      <c r="J3591" s="129" t="b">
        <f>Proc[[#This Row],[Requested]]=Proc[[#This Row],[CurrentParent]]</f>
        <v>1</v>
      </c>
      <c r="K3591" s="144" t="str">
        <f>IF(Proc[[#This Row],[Author]]="Marcela Urrego",VLOOKUP(LEFT(Proc[[#This Row],[Requested]],1),Table3[#All],2,0),VLOOKUP(Proc[[#This Row],[Author]],Table4[],2,0))</f>
        <v>HC</v>
      </c>
      <c r="L3591" s="129" t="s">
        <v>4894</v>
      </c>
      <c r="M3591" s="127">
        <v>45884</v>
      </c>
      <c r="N3591" s="127"/>
      <c r="O3591" s="127"/>
      <c r="P3591" s="130" t="str">
        <f ca="1">IF(Proc[[#This Row],[DaysAgeing]]&gt;5,"yep","on track")</f>
        <v>yep</v>
      </c>
      <c r="Q3591" s="3">
        <f ca="1">IF(Proc[[#This Row],[DateClosed]]="",ABS(NETWORKDAYS(Proc[[#This Row],[DateOpened]],TODAY()))-1,ABS(NETWORKDAYS(Proc[[#This Row],[DateOpened]],Proc[[#This Row],[DateClosed]]))-1)</f>
        <v>85</v>
      </c>
      <c r="R3591" s="130" t="s">
        <v>5682</v>
      </c>
      <c r="S3591" s="129"/>
    </row>
    <row r="3592" spans="1:19">
      <c r="A3592" s="128" t="s">
        <v>5683</v>
      </c>
      <c r="B3592" s="149" t="str">
        <f>IFERROR(VLOOKUP(Proc[[#This Row],[App]],Table2[],3,0),"open")</f>
        <v>ok</v>
      </c>
      <c r="C3592" s="128" t="s">
        <v>369</v>
      </c>
      <c r="D3592" t="s">
        <v>5687</v>
      </c>
      <c r="E3592" t="s">
        <v>2161</v>
      </c>
      <c r="F3592" s="129" t="s">
        <v>2161</v>
      </c>
      <c r="G3592" s="128" t="s">
        <v>400</v>
      </c>
      <c r="H3592" s="129" t="str">
        <f>IF(Proc[[#This Row],[type]]="LFF (MDG-F)",MID(Proc[[#This Row],[Obj]],13,10),"")</f>
        <v/>
      </c>
      <c r="J3592" s="129" t="b">
        <f>Proc[[#This Row],[Requested]]=Proc[[#This Row],[CurrentParent]]</f>
        <v>1</v>
      </c>
      <c r="K3592" s="144" t="str">
        <f>IF(Proc[[#This Row],[Author]]="Marcela Urrego",VLOOKUP(LEFT(Proc[[#This Row],[Requested]],1),Table3[#All],2,0),VLOOKUP(Proc[[#This Row],[Author]],Table4[],2,0))</f>
        <v>HC</v>
      </c>
      <c r="L3592" s="129" t="s">
        <v>4894</v>
      </c>
      <c r="M3592" s="127">
        <v>45884</v>
      </c>
      <c r="N3592" s="127"/>
      <c r="O3592" s="127"/>
      <c r="P3592" s="130" t="str">
        <f ca="1">IF(Proc[[#This Row],[DaysAgeing]]&gt;5,"yep","on track")</f>
        <v>yep</v>
      </c>
      <c r="Q3592" s="3">
        <f ca="1">IF(Proc[[#This Row],[DateClosed]]="",ABS(NETWORKDAYS(Proc[[#This Row],[DateOpened]],TODAY()))-1,ABS(NETWORKDAYS(Proc[[#This Row],[DateOpened]],Proc[[#This Row],[DateClosed]]))-1)</f>
        <v>85</v>
      </c>
      <c r="R3592" s="130" t="s">
        <v>5682</v>
      </c>
      <c r="S3592" s="129"/>
    </row>
    <row r="3593" spans="1:19">
      <c r="A3593" s="128" t="s">
        <v>5683</v>
      </c>
      <c r="B3593" s="149" t="str">
        <f>IFERROR(VLOOKUP(Proc[[#This Row],[App]],Table2[],3,0),"open")</f>
        <v>ok</v>
      </c>
      <c r="C3593" s="128" t="s">
        <v>369</v>
      </c>
      <c r="D3593" t="s">
        <v>5688</v>
      </c>
      <c r="E3593" t="s">
        <v>2161</v>
      </c>
      <c r="F3593" s="129" t="s">
        <v>2161</v>
      </c>
      <c r="G3593" s="128" t="s">
        <v>400</v>
      </c>
      <c r="H3593" s="129" t="str">
        <f>IF(Proc[[#This Row],[type]]="LFF (MDG-F)",MID(Proc[[#This Row],[Obj]],13,10),"")</f>
        <v/>
      </c>
      <c r="J3593" s="129" t="b">
        <f>Proc[[#This Row],[Requested]]=Proc[[#This Row],[CurrentParent]]</f>
        <v>1</v>
      </c>
      <c r="K3593" s="144" t="str">
        <f>IF(Proc[[#This Row],[Author]]="Marcela Urrego",VLOOKUP(LEFT(Proc[[#This Row],[Requested]],1),Table3[#All],2,0),VLOOKUP(Proc[[#This Row],[Author]],Table4[],2,0))</f>
        <v>HC</v>
      </c>
      <c r="L3593" s="129" t="s">
        <v>4894</v>
      </c>
      <c r="M3593" s="127">
        <v>45884</v>
      </c>
      <c r="N3593" s="127"/>
      <c r="O3593" s="127"/>
      <c r="P3593" s="130" t="str">
        <f ca="1">IF(Proc[[#This Row],[DaysAgeing]]&gt;5,"yep","on track")</f>
        <v>yep</v>
      </c>
      <c r="Q3593" s="3">
        <f ca="1">IF(Proc[[#This Row],[DateClosed]]="",ABS(NETWORKDAYS(Proc[[#This Row],[DateOpened]],TODAY()))-1,ABS(NETWORKDAYS(Proc[[#This Row],[DateOpened]],Proc[[#This Row],[DateClosed]]))-1)</f>
        <v>85</v>
      </c>
      <c r="R3593" s="130" t="s">
        <v>5682</v>
      </c>
      <c r="S3593" s="129"/>
    </row>
    <row r="3594" spans="1:19">
      <c r="A3594" s="128" t="s">
        <v>5683</v>
      </c>
      <c r="B3594" s="149" t="str">
        <f>IFERROR(VLOOKUP(Proc[[#This Row],[App]],Table2[],3,0),"open")</f>
        <v>ok</v>
      </c>
      <c r="C3594" s="128" t="s">
        <v>369</v>
      </c>
      <c r="D3594" t="s">
        <v>5689</v>
      </c>
      <c r="E3594" t="s">
        <v>2161</v>
      </c>
      <c r="F3594" s="129" t="s">
        <v>2161</v>
      </c>
      <c r="G3594" s="128" t="s">
        <v>400</v>
      </c>
      <c r="H3594" s="129" t="str">
        <f>IF(Proc[[#This Row],[type]]="LFF (MDG-F)",MID(Proc[[#This Row],[Obj]],13,10),"")</f>
        <v/>
      </c>
      <c r="J3594" s="129" t="b">
        <f>Proc[[#This Row],[Requested]]=Proc[[#This Row],[CurrentParent]]</f>
        <v>1</v>
      </c>
      <c r="K3594" s="144" t="str">
        <f>IF(Proc[[#This Row],[Author]]="Marcela Urrego",VLOOKUP(LEFT(Proc[[#This Row],[Requested]],1),Table3[#All],2,0),VLOOKUP(Proc[[#This Row],[Author]],Table4[],2,0))</f>
        <v>HC</v>
      </c>
      <c r="L3594" s="129" t="s">
        <v>4894</v>
      </c>
      <c r="M3594" s="127">
        <v>45884</v>
      </c>
      <c r="N3594" s="127"/>
      <c r="O3594" s="127"/>
      <c r="P3594" s="130" t="str">
        <f ca="1">IF(Proc[[#This Row],[DaysAgeing]]&gt;5,"yep","on track")</f>
        <v>yep</v>
      </c>
      <c r="Q3594" s="3">
        <f ca="1">IF(Proc[[#This Row],[DateClosed]]="",ABS(NETWORKDAYS(Proc[[#This Row],[DateOpened]],TODAY()))-1,ABS(NETWORKDAYS(Proc[[#This Row],[DateOpened]],Proc[[#This Row],[DateClosed]]))-1)</f>
        <v>85</v>
      </c>
      <c r="R3594" s="130" t="s">
        <v>5682</v>
      </c>
      <c r="S3594" s="129"/>
    </row>
    <row r="3595" spans="1:19">
      <c r="A3595" s="128" t="s">
        <v>5683</v>
      </c>
      <c r="B3595" s="149" t="str">
        <f>IFERROR(VLOOKUP(Proc[[#This Row],[App]],Table2[],3,0),"open")</f>
        <v>ok</v>
      </c>
      <c r="C3595" s="128" t="s">
        <v>369</v>
      </c>
      <c r="D3595" t="s">
        <v>5690</v>
      </c>
      <c r="E3595" t="s">
        <v>2161</v>
      </c>
      <c r="F3595" s="129" t="s">
        <v>2161</v>
      </c>
      <c r="G3595" s="128" t="s">
        <v>400</v>
      </c>
      <c r="H3595" s="129" t="str">
        <f>IF(Proc[[#This Row],[type]]="LFF (MDG-F)",MID(Proc[[#This Row],[Obj]],13,10),"")</f>
        <v/>
      </c>
      <c r="J3595" s="129" t="b">
        <f>Proc[[#This Row],[Requested]]=Proc[[#This Row],[CurrentParent]]</f>
        <v>1</v>
      </c>
      <c r="K3595" s="144" t="str">
        <f>IF(Proc[[#This Row],[Author]]="Marcela Urrego",VLOOKUP(LEFT(Proc[[#This Row],[Requested]],1),Table3[#All],2,0),VLOOKUP(Proc[[#This Row],[Author]],Table4[],2,0))</f>
        <v>HC</v>
      </c>
      <c r="L3595" s="129" t="s">
        <v>4894</v>
      </c>
      <c r="M3595" s="127">
        <v>45884</v>
      </c>
      <c r="N3595" s="127"/>
      <c r="O3595" s="127"/>
      <c r="P3595" s="130" t="str">
        <f ca="1">IF(Proc[[#This Row],[DaysAgeing]]&gt;5,"yep","on track")</f>
        <v>yep</v>
      </c>
      <c r="Q3595" s="3">
        <f ca="1">IF(Proc[[#This Row],[DateClosed]]="",ABS(NETWORKDAYS(Proc[[#This Row],[DateOpened]],TODAY()))-1,ABS(NETWORKDAYS(Proc[[#This Row],[DateOpened]],Proc[[#This Row],[DateClosed]]))-1)</f>
        <v>85</v>
      </c>
      <c r="R3595" s="130" t="s">
        <v>5682</v>
      </c>
      <c r="S3595" s="129"/>
    </row>
    <row r="3596" spans="1:19">
      <c r="A3596" s="128" t="s">
        <v>5683</v>
      </c>
      <c r="B3596" s="149" t="str">
        <f>IFERROR(VLOOKUP(Proc[[#This Row],[App]],Table2[],3,0),"open")</f>
        <v>ok</v>
      </c>
      <c r="C3596" s="128" t="s">
        <v>369</v>
      </c>
      <c r="D3596" t="s">
        <v>5691</v>
      </c>
      <c r="E3596" t="s">
        <v>2161</v>
      </c>
      <c r="F3596" s="129" t="s">
        <v>2161</v>
      </c>
      <c r="G3596" s="128" t="s">
        <v>400</v>
      </c>
      <c r="H3596" s="129" t="str">
        <f>IF(Proc[[#This Row],[type]]="LFF (MDG-F)",MID(Proc[[#This Row],[Obj]],13,10),"")</f>
        <v/>
      </c>
      <c r="J3596" s="129" t="b">
        <f>Proc[[#This Row],[Requested]]=Proc[[#This Row],[CurrentParent]]</f>
        <v>1</v>
      </c>
      <c r="K3596" s="144" t="str">
        <f>IF(Proc[[#This Row],[Author]]="Marcela Urrego",VLOOKUP(LEFT(Proc[[#This Row],[Requested]],1),Table3[#All],2,0),VLOOKUP(Proc[[#This Row],[Author]],Table4[],2,0))</f>
        <v>HC</v>
      </c>
      <c r="L3596" s="129" t="s">
        <v>4894</v>
      </c>
      <c r="M3596" s="127">
        <v>45884</v>
      </c>
      <c r="N3596" s="127"/>
      <c r="O3596" s="127"/>
      <c r="P3596" s="130" t="str">
        <f ca="1">IF(Proc[[#This Row],[DaysAgeing]]&gt;5,"yep","on track")</f>
        <v>yep</v>
      </c>
      <c r="Q3596" s="3">
        <f ca="1">IF(Proc[[#This Row],[DateClosed]]="",ABS(NETWORKDAYS(Proc[[#This Row],[DateOpened]],TODAY()))-1,ABS(NETWORKDAYS(Proc[[#This Row],[DateOpened]],Proc[[#This Row],[DateClosed]]))-1)</f>
        <v>85</v>
      </c>
      <c r="R3596" s="130" t="s">
        <v>5682</v>
      </c>
      <c r="S3596" s="129"/>
    </row>
    <row r="3597" spans="1:19">
      <c r="A3597" s="128" t="s">
        <v>5683</v>
      </c>
      <c r="B3597" s="149" t="str">
        <f>IFERROR(VLOOKUP(Proc[[#This Row],[App]],Table2[],3,0),"open")</f>
        <v>ok</v>
      </c>
      <c r="C3597" s="128" t="s">
        <v>369</v>
      </c>
      <c r="D3597" t="s">
        <v>5692</v>
      </c>
      <c r="E3597" t="s">
        <v>2161</v>
      </c>
      <c r="F3597" s="129" t="s">
        <v>2161</v>
      </c>
      <c r="G3597" s="128" t="s">
        <v>400</v>
      </c>
      <c r="H3597" s="129" t="str">
        <f>IF(Proc[[#This Row],[type]]="LFF (MDG-F)",MID(Proc[[#This Row],[Obj]],13,10),"")</f>
        <v/>
      </c>
      <c r="J3597" s="129" t="b">
        <f>Proc[[#This Row],[Requested]]=Proc[[#This Row],[CurrentParent]]</f>
        <v>1</v>
      </c>
      <c r="K3597" s="144" t="str">
        <f>IF(Proc[[#This Row],[Author]]="Marcela Urrego",VLOOKUP(LEFT(Proc[[#This Row],[Requested]],1),Table3[#All],2,0),VLOOKUP(Proc[[#This Row],[Author]],Table4[],2,0))</f>
        <v>HC</v>
      </c>
      <c r="L3597" s="129" t="s">
        <v>4894</v>
      </c>
      <c r="M3597" s="127">
        <v>45884</v>
      </c>
      <c r="N3597" s="127"/>
      <c r="O3597" s="127"/>
      <c r="P3597" s="130" t="str">
        <f ca="1">IF(Proc[[#This Row],[DaysAgeing]]&gt;5,"yep","on track")</f>
        <v>yep</v>
      </c>
      <c r="Q3597" s="3">
        <f ca="1">IF(Proc[[#This Row],[DateClosed]]="",ABS(NETWORKDAYS(Proc[[#This Row],[DateOpened]],TODAY()))-1,ABS(NETWORKDAYS(Proc[[#This Row],[DateOpened]],Proc[[#This Row],[DateClosed]]))-1)</f>
        <v>85</v>
      </c>
      <c r="R3597" s="130" t="s">
        <v>5682</v>
      </c>
      <c r="S3597" s="129"/>
    </row>
    <row r="3598" spans="1:19">
      <c r="A3598" s="128" t="s">
        <v>5683</v>
      </c>
      <c r="B3598" s="149" t="str">
        <f>IFERROR(VLOOKUP(Proc[[#This Row],[App]],Table2[],3,0),"open")</f>
        <v>ok</v>
      </c>
      <c r="C3598" s="128" t="s">
        <v>369</v>
      </c>
      <c r="D3598" t="s">
        <v>5693</v>
      </c>
      <c r="E3598" t="s">
        <v>2161</v>
      </c>
      <c r="F3598" s="129" t="s">
        <v>2161</v>
      </c>
      <c r="G3598" s="128" t="s">
        <v>400</v>
      </c>
      <c r="H3598" s="129" t="str">
        <f>IF(Proc[[#This Row],[type]]="LFF (MDG-F)",MID(Proc[[#This Row],[Obj]],13,10),"")</f>
        <v/>
      </c>
      <c r="J3598" s="129" t="b">
        <f>Proc[[#This Row],[Requested]]=Proc[[#This Row],[CurrentParent]]</f>
        <v>1</v>
      </c>
      <c r="K3598" s="144" t="str">
        <f>IF(Proc[[#This Row],[Author]]="Marcela Urrego",VLOOKUP(LEFT(Proc[[#This Row],[Requested]],1),Table3[#All],2,0),VLOOKUP(Proc[[#This Row],[Author]],Table4[],2,0))</f>
        <v>HC</v>
      </c>
      <c r="L3598" s="129" t="s">
        <v>4894</v>
      </c>
      <c r="M3598" s="127">
        <v>45884</v>
      </c>
      <c r="N3598" s="127"/>
      <c r="O3598" s="127"/>
      <c r="P3598" s="130" t="str">
        <f ca="1">IF(Proc[[#This Row],[DaysAgeing]]&gt;5,"yep","on track")</f>
        <v>yep</v>
      </c>
      <c r="Q3598" s="3">
        <f ca="1">IF(Proc[[#This Row],[DateClosed]]="",ABS(NETWORKDAYS(Proc[[#This Row],[DateOpened]],TODAY()))-1,ABS(NETWORKDAYS(Proc[[#This Row],[DateOpened]],Proc[[#This Row],[DateClosed]]))-1)</f>
        <v>85</v>
      </c>
      <c r="R3598" s="130" t="s">
        <v>5682</v>
      </c>
      <c r="S3598" s="129"/>
    </row>
    <row r="3599" spans="1:19">
      <c r="A3599" s="128" t="s">
        <v>5683</v>
      </c>
      <c r="B3599" s="149" t="str">
        <f>IFERROR(VLOOKUP(Proc[[#This Row],[App]],Table2[],3,0),"open")</f>
        <v>ok</v>
      </c>
      <c r="C3599" s="128" t="s">
        <v>369</v>
      </c>
      <c r="D3599" t="s">
        <v>5694</v>
      </c>
      <c r="E3599" t="s">
        <v>2161</v>
      </c>
      <c r="F3599" s="129" t="s">
        <v>2161</v>
      </c>
      <c r="G3599" s="128" t="s">
        <v>400</v>
      </c>
      <c r="H3599" s="129" t="str">
        <f>IF(Proc[[#This Row],[type]]="LFF (MDG-F)",MID(Proc[[#This Row],[Obj]],13,10),"")</f>
        <v/>
      </c>
      <c r="J3599" s="129" t="b">
        <f>Proc[[#This Row],[Requested]]=Proc[[#This Row],[CurrentParent]]</f>
        <v>1</v>
      </c>
      <c r="K3599" s="144" t="str">
        <f>IF(Proc[[#This Row],[Author]]="Marcela Urrego",VLOOKUP(LEFT(Proc[[#This Row],[Requested]],1),Table3[#All],2,0),VLOOKUP(Proc[[#This Row],[Author]],Table4[],2,0))</f>
        <v>HC</v>
      </c>
      <c r="L3599" s="129" t="s">
        <v>4894</v>
      </c>
      <c r="M3599" s="127">
        <v>45884</v>
      </c>
      <c r="N3599" s="127"/>
      <c r="O3599" s="127"/>
      <c r="P3599" s="130" t="str">
        <f ca="1">IF(Proc[[#This Row],[DaysAgeing]]&gt;5,"yep","on track")</f>
        <v>yep</v>
      </c>
      <c r="Q3599" s="3">
        <f ca="1">IF(Proc[[#This Row],[DateClosed]]="",ABS(NETWORKDAYS(Proc[[#This Row],[DateOpened]],TODAY()))-1,ABS(NETWORKDAYS(Proc[[#This Row],[DateOpened]],Proc[[#This Row],[DateClosed]]))-1)</f>
        <v>85</v>
      </c>
      <c r="R3599" s="130" t="s">
        <v>5682</v>
      </c>
      <c r="S3599" s="129"/>
    </row>
    <row r="3600" spans="1:19">
      <c r="A3600" s="128" t="s">
        <v>5683</v>
      </c>
      <c r="B3600" s="149" t="str">
        <f>IFERROR(VLOOKUP(Proc[[#This Row],[App]],Table2[],3,0),"open")</f>
        <v>ok</v>
      </c>
      <c r="C3600" s="128" t="s">
        <v>369</v>
      </c>
      <c r="D3600" t="s">
        <v>5695</v>
      </c>
      <c r="E3600" t="s">
        <v>2161</v>
      </c>
      <c r="F3600" s="129" t="s">
        <v>2161</v>
      </c>
      <c r="G3600" s="128" t="s">
        <v>400</v>
      </c>
      <c r="H3600" s="129" t="str">
        <f>IF(Proc[[#This Row],[type]]="LFF (MDG-F)",MID(Proc[[#This Row],[Obj]],13,10),"")</f>
        <v/>
      </c>
      <c r="J3600" s="129" t="b">
        <f>Proc[[#This Row],[Requested]]=Proc[[#This Row],[CurrentParent]]</f>
        <v>1</v>
      </c>
      <c r="K3600" s="144" t="str">
        <f>IF(Proc[[#This Row],[Author]]="Marcela Urrego",VLOOKUP(LEFT(Proc[[#This Row],[Requested]],1),Table3[#All],2,0),VLOOKUP(Proc[[#This Row],[Author]],Table4[],2,0))</f>
        <v>HC</v>
      </c>
      <c r="L3600" s="129" t="s">
        <v>4894</v>
      </c>
      <c r="M3600" s="127">
        <v>45884</v>
      </c>
      <c r="N3600" s="127"/>
      <c r="O3600" s="127"/>
      <c r="P3600" s="130" t="str">
        <f ca="1">IF(Proc[[#This Row],[DaysAgeing]]&gt;5,"yep","on track")</f>
        <v>yep</v>
      </c>
      <c r="Q3600" s="3">
        <f ca="1">IF(Proc[[#This Row],[DateClosed]]="",ABS(NETWORKDAYS(Proc[[#This Row],[DateOpened]],TODAY()))-1,ABS(NETWORKDAYS(Proc[[#This Row],[DateOpened]],Proc[[#This Row],[DateClosed]]))-1)</f>
        <v>85</v>
      </c>
      <c r="R3600" s="130" t="s">
        <v>5682</v>
      </c>
      <c r="S3600" s="129"/>
    </row>
    <row r="3601" spans="1:19">
      <c r="A3601" t="s">
        <v>5696</v>
      </c>
      <c r="B3601" s="149" t="str">
        <f>IFERROR(VLOOKUP(Proc[[#This Row],[App]],Table2[],3,0),"open")</f>
        <v>ok</v>
      </c>
      <c r="C3601" s="128" t="s">
        <v>369</v>
      </c>
      <c r="D3601" t="s">
        <v>5697</v>
      </c>
      <c r="E3601" t="s">
        <v>5698</v>
      </c>
      <c r="F3601" s="129" t="s">
        <v>5698</v>
      </c>
      <c r="G3601" s="128" t="s">
        <v>400</v>
      </c>
      <c r="H3601" s="129" t="str">
        <f>IF(Proc[[#This Row],[type]]="LFF (MDG-F)",MID(Proc[[#This Row],[Obj]],13,10),"")</f>
        <v/>
      </c>
      <c r="J3601" s="129" t="b">
        <f>Proc[[#This Row],[Requested]]=Proc[[#This Row],[CurrentParent]]</f>
        <v>1</v>
      </c>
      <c r="K3601" s="144" t="str">
        <f>IF(Proc[[#This Row],[Author]]="Marcela Urrego",VLOOKUP(LEFT(Proc[[#This Row],[Requested]],1),Table3[#All],2,0),VLOOKUP(Proc[[#This Row],[Author]],Table4[],2,0))</f>
        <v>HC</v>
      </c>
      <c r="L3601" s="129" t="s">
        <v>4894</v>
      </c>
      <c r="M3601" s="127">
        <v>45884</v>
      </c>
      <c r="N3601" s="127"/>
      <c r="O3601" s="127"/>
      <c r="P3601" s="130" t="str">
        <f ca="1">IF(Proc[[#This Row],[DaysAgeing]]&gt;5,"yep","on track")</f>
        <v>yep</v>
      </c>
      <c r="Q3601" s="3">
        <f ca="1">IF(Proc[[#This Row],[DateClosed]]="",ABS(NETWORKDAYS(Proc[[#This Row],[DateOpened]],TODAY()))-1,ABS(NETWORKDAYS(Proc[[#This Row],[DateOpened]],Proc[[#This Row],[DateClosed]]))-1)</f>
        <v>85</v>
      </c>
      <c r="R3601" s="130" t="s">
        <v>5682</v>
      </c>
      <c r="S3601" s="129"/>
    </row>
    <row r="3602" spans="1:19">
      <c r="A3602" t="s">
        <v>5700</v>
      </c>
      <c r="B3602" s="149" t="str">
        <f>IFERROR(VLOOKUP(Proc[[#This Row],[App]],Table2[],3,0),"open")</f>
        <v>ok</v>
      </c>
      <c r="C3602" s="133" t="s">
        <v>369</v>
      </c>
      <c r="D3602" t="s">
        <v>5702</v>
      </c>
      <c r="E3602" t="s">
        <v>419</v>
      </c>
      <c r="F3602" s="129" t="s">
        <v>419</v>
      </c>
      <c r="G3602" s="128" t="s">
        <v>400</v>
      </c>
      <c r="H3602" s="129" t="str">
        <f>IF(Proc[[#This Row],[type]]="LFF (MDG-F)",MID(Proc[[#This Row],[Obj]],13,10),"")</f>
        <v/>
      </c>
      <c r="J3602" s="129" t="b">
        <f>Proc[[#This Row],[Requested]]=Proc[[#This Row],[CurrentParent]]</f>
        <v>1</v>
      </c>
      <c r="K3602" s="144" t="str">
        <f>IF(Proc[[#This Row],[Author]]="Marcela Urrego",VLOOKUP(LEFT(Proc[[#This Row],[Requested]],1),Table3[#All],2,0),VLOOKUP(Proc[[#This Row],[Author]],Table4[],2,0))</f>
        <v>EL</v>
      </c>
      <c r="L3602" s="129" t="s">
        <v>4894</v>
      </c>
      <c r="M3602" s="130">
        <v>45887</v>
      </c>
      <c r="N3602" s="131"/>
      <c r="O3602" s="131"/>
      <c r="P3602" s="130" t="str">
        <f ca="1">IF(Proc[[#This Row],[DaysAgeing]]&gt;5,"yep","on track")</f>
        <v>yep</v>
      </c>
      <c r="Q3602" s="3">
        <f ca="1">IF(Proc[[#This Row],[DateClosed]]="",ABS(NETWORKDAYS(Proc[[#This Row],[DateOpened]],TODAY()))-1,ABS(NETWORKDAYS(Proc[[#This Row],[DateOpened]],Proc[[#This Row],[DateClosed]]))-1)</f>
        <v>84</v>
      </c>
      <c r="R3602" s="130" t="s">
        <v>780</v>
      </c>
      <c r="S3602" s="129"/>
    </row>
    <row r="3603" spans="1:19">
      <c r="A3603" s="128" t="s">
        <v>5700</v>
      </c>
      <c r="B3603" s="149" t="str">
        <f>IFERROR(VLOOKUP(Proc[[#This Row],[App]],Table2[],3,0),"open")</f>
        <v>ok</v>
      </c>
      <c r="C3603" s="133" t="s">
        <v>369</v>
      </c>
      <c r="D3603" t="s">
        <v>5703</v>
      </c>
      <c r="E3603" t="s">
        <v>418</v>
      </c>
      <c r="F3603" s="129" t="s">
        <v>418</v>
      </c>
      <c r="G3603" s="128" t="s">
        <v>400</v>
      </c>
      <c r="H3603" s="129" t="str">
        <f>IF(Proc[[#This Row],[type]]="LFF (MDG-F)",MID(Proc[[#This Row],[Obj]],13,10),"")</f>
        <v/>
      </c>
      <c r="J3603" s="129" t="b">
        <f>Proc[[#This Row],[Requested]]=Proc[[#This Row],[CurrentParent]]</f>
        <v>1</v>
      </c>
      <c r="K3603" s="144" t="str">
        <f>IF(Proc[[#This Row],[Author]]="Marcela Urrego",VLOOKUP(LEFT(Proc[[#This Row],[Requested]],1),Table3[#All],2,0),VLOOKUP(Proc[[#This Row],[Author]],Table4[],2,0))</f>
        <v>EL</v>
      </c>
      <c r="L3603" s="129" t="s">
        <v>4894</v>
      </c>
      <c r="M3603" s="130">
        <v>45887</v>
      </c>
      <c r="N3603" s="131"/>
      <c r="O3603" s="131"/>
      <c r="P3603" s="130" t="str">
        <f ca="1">IF(Proc[[#This Row],[DaysAgeing]]&gt;5,"yep","on track")</f>
        <v>yep</v>
      </c>
      <c r="Q3603" s="3">
        <f ca="1">IF(Proc[[#This Row],[DateClosed]]="",ABS(NETWORKDAYS(Proc[[#This Row],[DateOpened]],TODAY()))-1,ABS(NETWORKDAYS(Proc[[#This Row],[DateOpened]],Proc[[#This Row],[DateClosed]]))-1)</f>
        <v>84</v>
      </c>
      <c r="R3603" s="130" t="s">
        <v>780</v>
      </c>
      <c r="S3603" s="129"/>
    </row>
    <row r="3604" spans="1:19">
      <c r="A3604" s="128" t="s">
        <v>5700</v>
      </c>
      <c r="B3604" s="149" t="str">
        <f>IFERROR(VLOOKUP(Proc[[#This Row],[App]],Table2[],3,0),"open")</f>
        <v>ok</v>
      </c>
      <c r="C3604" s="133" t="s">
        <v>369</v>
      </c>
      <c r="D3604" t="s">
        <v>5704</v>
      </c>
      <c r="E3604" t="s">
        <v>418</v>
      </c>
      <c r="F3604" s="129" t="s">
        <v>418</v>
      </c>
      <c r="G3604" s="128" t="s">
        <v>400</v>
      </c>
      <c r="H3604" s="129" t="str">
        <f>IF(Proc[[#This Row],[type]]="LFF (MDG-F)",MID(Proc[[#This Row],[Obj]],13,10),"")</f>
        <v/>
      </c>
      <c r="J3604" s="129" t="b">
        <f>Proc[[#This Row],[Requested]]=Proc[[#This Row],[CurrentParent]]</f>
        <v>1</v>
      </c>
      <c r="K3604" s="144" t="str">
        <f>IF(Proc[[#This Row],[Author]]="Marcela Urrego",VLOOKUP(LEFT(Proc[[#This Row],[Requested]],1),Table3[#All],2,0),VLOOKUP(Proc[[#This Row],[Author]],Table4[],2,0))</f>
        <v>EL</v>
      </c>
      <c r="L3604" s="129" t="s">
        <v>4894</v>
      </c>
      <c r="M3604" s="130">
        <v>45887</v>
      </c>
      <c r="N3604" s="131"/>
      <c r="O3604" s="131"/>
      <c r="P3604" s="130" t="str">
        <f ca="1">IF(Proc[[#This Row],[DaysAgeing]]&gt;5,"yep","on track")</f>
        <v>yep</v>
      </c>
      <c r="Q3604" s="3">
        <f ca="1">IF(Proc[[#This Row],[DateClosed]]="",ABS(NETWORKDAYS(Proc[[#This Row],[DateOpened]],TODAY()))-1,ABS(NETWORKDAYS(Proc[[#This Row],[DateOpened]],Proc[[#This Row],[DateClosed]]))-1)</f>
        <v>84</v>
      </c>
      <c r="R3604" s="130" t="s">
        <v>780</v>
      </c>
      <c r="S3604" s="129"/>
    </row>
    <row r="3605" spans="1:19">
      <c r="A3605" s="128" t="s">
        <v>5700</v>
      </c>
      <c r="B3605" s="149" t="str">
        <f>IFERROR(VLOOKUP(Proc[[#This Row],[App]],Table2[],3,0),"open")</f>
        <v>ok</v>
      </c>
      <c r="C3605" s="133" t="s">
        <v>369</v>
      </c>
      <c r="D3605" t="s">
        <v>5705</v>
      </c>
      <c r="E3605" t="s">
        <v>2430</v>
      </c>
      <c r="F3605" s="129" t="s">
        <v>2430</v>
      </c>
      <c r="G3605" s="128" t="s">
        <v>400</v>
      </c>
      <c r="H3605" s="129" t="str">
        <f>IF(Proc[[#This Row],[type]]="LFF (MDG-F)",MID(Proc[[#This Row],[Obj]],13,10),"")</f>
        <v/>
      </c>
      <c r="J3605" s="129" t="b">
        <f>Proc[[#This Row],[Requested]]=Proc[[#This Row],[CurrentParent]]</f>
        <v>1</v>
      </c>
      <c r="K3605" s="144" t="str">
        <f>IF(Proc[[#This Row],[Author]]="Marcela Urrego",VLOOKUP(LEFT(Proc[[#This Row],[Requested]],1),Table3[#All],2,0),VLOOKUP(Proc[[#This Row],[Author]],Table4[],2,0))</f>
        <v>EL</v>
      </c>
      <c r="L3605" s="129" t="s">
        <v>4894</v>
      </c>
      <c r="M3605" s="130">
        <v>45887</v>
      </c>
      <c r="N3605" s="131"/>
      <c r="O3605" s="131"/>
      <c r="P3605" s="130" t="str">
        <f ca="1">IF(Proc[[#This Row],[DaysAgeing]]&gt;5,"yep","on track")</f>
        <v>yep</v>
      </c>
      <c r="Q3605" s="3">
        <f ca="1">IF(Proc[[#This Row],[DateClosed]]="",ABS(NETWORKDAYS(Proc[[#This Row],[DateOpened]],TODAY()))-1,ABS(NETWORKDAYS(Proc[[#This Row],[DateOpened]],Proc[[#This Row],[DateClosed]]))-1)</f>
        <v>84</v>
      </c>
      <c r="R3605" s="130" t="s">
        <v>780</v>
      </c>
      <c r="S3605" s="129"/>
    </row>
    <row r="3606" spans="1:19">
      <c r="A3606" s="128" t="s">
        <v>5700</v>
      </c>
      <c r="B3606" s="149" t="str">
        <f>IFERROR(VLOOKUP(Proc[[#This Row],[App]],Table2[],3,0),"open")</f>
        <v>ok</v>
      </c>
      <c r="C3606" s="133" t="s">
        <v>369</v>
      </c>
      <c r="D3606" t="s">
        <v>5701</v>
      </c>
      <c r="E3606" t="s">
        <v>4132</v>
      </c>
      <c r="F3606" s="129" t="s">
        <v>4132</v>
      </c>
      <c r="G3606" s="128" t="s">
        <v>400</v>
      </c>
      <c r="H3606" s="129" t="str">
        <f>IF(Proc[[#This Row],[type]]="LFF (MDG-F)",MID(Proc[[#This Row],[Obj]],13,10),"")</f>
        <v/>
      </c>
      <c r="J3606" s="129" t="b">
        <f>Proc[[#This Row],[Requested]]=Proc[[#This Row],[CurrentParent]]</f>
        <v>1</v>
      </c>
      <c r="K3606" s="144" t="str">
        <f>IF(Proc[[#This Row],[Author]]="Marcela Urrego",VLOOKUP(LEFT(Proc[[#This Row],[Requested]],1),Table3[#All],2,0),VLOOKUP(Proc[[#This Row],[Author]],Table4[],2,0))</f>
        <v>EL</v>
      </c>
      <c r="L3606" s="129" t="s">
        <v>4894</v>
      </c>
      <c r="M3606" s="130">
        <v>45887</v>
      </c>
      <c r="N3606" s="131"/>
      <c r="O3606" s="131"/>
      <c r="P3606" s="130" t="str">
        <f ca="1">IF(Proc[[#This Row],[DaysAgeing]]&gt;5,"yep","on track")</f>
        <v>yep</v>
      </c>
      <c r="Q3606" s="3">
        <f ca="1">IF(Proc[[#This Row],[DateClosed]]="",ABS(NETWORKDAYS(Proc[[#This Row],[DateOpened]],TODAY()))-1,ABS(NETWORKDAYS(Proc[[#This Row],[DateOpened]],Proc[[#This Row],[DateClosed]]))-1)</f>
        <v>84</v>
      </c>
      <c r="R3606" s="130" t="s">
        <v>780</v>
      </c>
      <c r="S3606" s="129"/>
    </row>
    <row r="3607" spans="1:19">
      <c r="A3607" t="s">
        <v>5708</v>
      </c>
      <c r="B3607" s="149" t="str">
        <f>IFERROR(VLOOKUP(Proc[[#This Row],[App]],Table2[],3,0),"open")</f>
        <v>ok</v>
      </c>
      <c r="C3607" t="s">
        <v>369</v>
      </c>
      <c r="D3607" t="s">
        <v>5706</v>
      </c>
      <c r="E3607" t="s">
        <v>5707</v>
      </c>
      <c r="F3607" s="129" t="s">
        <v>5707</v>
      </c>
      <c r="G3607" t="s">
        <v>406</v>
      </c>
      <c r="H3607" s="129" t="str">
        <f>IF(Proc[[#This Row],[type]]="LFF (MDG-F)",MID(Proc[[#This Row],[Obj]],13,10),"")</f>
        <v>TW03TATA02</v>
      </c>
      <c r="J3607" s="129" t="b">
        <f>Proc[[#This Row],[Requested]]=Proc[[#This Row],[CurrentParent]]</f>
        <v>1</v>
      </c>
      <c r="K3607" s="144" t="str">
        <f>IF(Proc[[#This Row],[Author]]="Marcela Urrego",VLOOKUP(LEFT(Proc[[#This Row],[Requested]],1),Table3[#All],2,0),VLOOKUP(Proc[[#This Row],[Author]],Table4[],2,0))</f>
        <v>EL</v>
      </c>
      <c r="L3607" s="129" t="s">
        <v>4894</v>
      </c>
      <c r="M3607" s="130">
        <v>45887</v>
      </c>
      <c r="N3607" s="131"/>
      <c r="O3607" s="131"/>
      <c r="P3607" s="130" t="str">
        <f ca="1">IF(Proc[[#This Row],[DaysAgeing]]&gt;5,"yep","on track")</f>
        <v>yep</v>
      </c>
      <c r="Q3607" s="3">
        <f ca="1">IF(Proc[[#This Row],[DateClosed]]="",ABS(NETWORKDAYS(Proc[[#This Row],[DateOpened]],TODAY()))-1,ABS(NETWORKDAYS(Proc[[#This Row],[DateOpened]],Proc[[#This Row],[DateClosed]]))-1)</f>
        <v>84</v>
      </c>
      <c r="R3607" s="130" t="s">
        <v>5709</v>
      </c>
      <c r="S3607" s="129"/>
    </row>
    <row r="3608" spans="1:19">
      <c r="A3608" t="s">
        <v>5710</v>
      </c>
      <c r="B3608" s="149" t="str">
        <f>IFERROR(VLOOKUP(Proc[[#This Row],[App]],Table2[],3,0),"open")</f>
        <v>ok</v>
      </c>
      <c r="C3608" t="s">
        <v>369</v>
      </c>
      <c r="D3608" t="s">
        <v>5711</v>
      </c>
      <c r="E3608" t="s">
        <v>2109</v>
      </c>
      <c r="F3608" s="129" t="s">
        <v>2109</v>
      </c>
      <c r="G3608" s="128" t="s">
        <v>400</v>
      </c>
      <c r="H3608" s="129" t="str">
        <f>IF(Proc[[#This Row],[type]]="LFF (MDG-F)",MID(Proc[[#This Row],[Obj]],13,10),"")</f>
        <v/>
      </c>
      <c r="J3608" s="129" t="b">
        <f>Proc[[#This Row],[Requested]]=Proc[[#This Row],[CurrentParent]]</f>
        <v>1</v>
      </c>
      <c r="K3608" s="144" t="str">
        <f>IF(Proc[[#This Row],[Author]]="Marcela Urrego",VLOOKUP(LEFT(Proc[[#This Row],[Requested]],1),Table3[#All],2,0),VLOOKUP(Proc[[#This Row],[Author]],Table4[],2,0))</f>
        <v>HC</v>
      </c>
      <c r="L3608" s="129" t="s">
        <v>4894</v>
      </c>
      <c r="M3608" s="130">
        <v>45887</v>
      </c>
      <c r="N3608" s="131"/>
      <c r="O3608" s="131"/>
      <c r="P3608" s="130" t="str">
        <f ca="1">IF(Proc[[#This Row],[DaysAgeing]]&gt;5,"yep","on track")</f>
        <v>yep</v>
      </c>
      <c r="Q3608" s="3">
        <f ca="1">IF(Proc[[#This Row],[DateClosed]]="",ABS(NETWORKDAYS(Proc[[#This Row],[DateOpened]],TODAY()))-1,ABS(NETWORKDAYS(Proc[[#This Row],[DateOpened]],Proc[[#This Row],[DateClosed]]))-1)</f>
        <v>84</v>
      </c>
      <c r="R3608" s="130" t="s">
        <v>738</v>
      </c>
      <c r="S3608" s="129"/>
    </row>
    <row r="3609" spans="1:19">
      <c r="A3609" s="128" t="s">
        <v>5710</v>
      </c>
      <c r="B3609" s="149" t="str">
        <f>IFERROR(VLOOKUP(Proc[[#This Row],[App]],Table2[],3,0),"open")</f>
        <v>ok</v>
      </c>
      <c r="C3609" s="135" t="s">
        <v>369</v>
      </c>
      <c r="D3609" t="s">
        <v>5712</v>
      </c>
      <c r="E3609" t="s">
        <v>2117</v>
      </c>
      <c r="F3609" s="129" t="s">
        <v>2117</v>
      </c>
      <c r="G3609" s="128" t="s">
        <v>400</v>
      </c>
      <c r="H3609" s="129" t="str">
        <f>IF(Proc[[#This Row],[type]]="LFF (MDG-F)",MID(Proc[[#This Row],[Obj]],13,10),"")</f>
        <v/>
      </c>
      <c r="I3609" s="128"/>
      <c r="J3609" s="129" t="b">
        <f>Proc[[#This Row],[Requested]]=Proc[[#This Row],[CurrentParent]]</f>
        <v>1</v>
      </c>
      <c r="K3609" s="144" t="str">
        <f>IF(Proc[[#This Row],[Author]]="Marcela Urrego",VLOOKUP(LEFT(Proc[[#This Row],[Requested]],1),Table3[#All],2,0),VLOOKUP(Proc[[#This Row],[Author]],Table4[],2,0))</f>
        <v>HC</v>
      </c>
      <c r="L3609" s="129" t="s">
        <v>4894</v>
      </c>
      <c r="M3609" s="130">
        <v>45887</v>
      </c>
      <c r="N3609" s="131"/>
      <c r="O3609" s="131"/>
      <c r="P3609" s="130" t="str">
        <f ca="1">IF(Proc[[#This Row],[DaysAgeing]]&gt;5,"yep","on track")</f>
        <v>yep</v>
      </c>
      <c r="Q3609" s="3">
        <f ca="1">IF(Proc[[#This Row],[DateClosed]]="",ABS(NETWORKDAYS(Proc[[#This Row],[DateOpened]],TODAY()))-1,ABS(NETWORKDAYS(Proc[[#This Row],[DateOpened]],Proc[[#This Row],[DateClosed]]))-1)</f>
        <v>84</v>
      </c>
      <c r="R3609" s="130" t="s">
        <v>738</v>
      </c>
      <c r="S3609" s="129"/>
    </row>
    <row r="3610" spans="1:19">
      <c r="A3610" s="128" t="s">
        <v>5710</v>
      </c>
      <c r="B3610" s="149" t="str">
        <f>IFERROR(VLOOKUP(Proc[[#This Row],[App]],Table2[],3,0),"open")</f>
        <v>ok</v>
      </c>
      <c r="C3610" s="135" t="s">
        <v>369</v>
      </c>
      <c r="D3610" t="s">
        <v>5713</v>
      </c>
      <c r="E3610" t="s">
        <v>2117</v>
      </c>
      <c r="F3610" s="129" t="s">
        <v>2117</v>
      </c>
      <c r="G3610" s="128" t="s">
        <v>400</v>
      </c>
      <c r="H3610" s="129" t="str">
        <f>IF(Proc[[#This Row],[type]]="LFF (MDG-F)",MID(Proc[[#This Row],[Obj]],13,10),"")</f>
        <v/>
      </c>
      <c r="I3610" s="128"/>
      <c r="J3610" s="129" t="b">
        <f>Proc[[#This Row],[Requested]]=Proc[[#This Row],[CurrentParent]]</f>
        <v>1</v>
      </c>
      <c r="K3610" s="144" t="str">
        <f>IF(Proc[[#This Row],[Author]]="Marcela Urrego",VLOOKUP(LEFT(Proc[[#This Row],[Requested]],1),Table3[#All],2,0),VLOOKUP(Proc[[#This Row],[Author]],Table4[],2,0))</f>
        <v>HC</v>
      </c>
      <c r="L3610" s="129" t="s">
        <v>4894</v>
      </c>
      <c r="M3610" s="130">
        <v>45887</v>
      </c>
      <c r="N3610" s="131"/>
      <c r="O3610" s="131"/>
      <c r="P3610" s="130" t="str">
        <f ca="1">IF(Proc[[#This Row],[DaysAgeing]]&gt;5,"yep","on track")</f>
        <v>yep</v>
      </c>
      <c r="Q3610" s="3">
        <f ca="1">IF(Proc[[#This Row],[DateClosed]]="",ABS(NETWORKDAYS(Proc[[#This Row],[DateOpened]],TODAY()))-1,ABS(NETWORKDAYS(Proc[[#This Row],[DateOpened]],Proc[[#This Row],[DateClosed]]))-1)</f>
        <v>84</v>
      </c>
      <c r="R3610" s="130" t="s">
        <v>738</v>
      </c>
      <c r="S3610" s="129"/>
    </row>
    <row r="3611" spans="1:19">
      <c r="A3611" s="128" t="s">
        <v>5710</v>
      </c>
      <c r="B3611" s="149" t="str">
        <f>IFERROR(VLOOKUP(Proc[[#This Row],[App]],Table2[],3,0),"open")</f>
        <v>ok</v>
      </c>
      <c r="C3611" s="135" t="s">
        <v>369</v>
      </c>
      <c r="D3611" t="s">
        <v>5714</v>
      </c>
      <c r="E3611" t="s">
        <v>2117</v>
      </c>
      <c r="F3611" s="129" t="s">
        <v>2117</v>
      </c>
      <c r="G3611" s="128" t="s">
        <v>400</v>
      </c>
      <c r="H3611" s="129" t="str">
        <f>IF(Proc[[#This Row],[type]]="LFF (MDG-F)",MID(Proc[[#This Row],[Obj]],13,10),"")</f>
        <v/>
      </c>
      <c r="I3611" s="128"/>
      <c r="J3611" s="129" t="b">
        <f>Proc[[#This Row],[Requested]]=Proc[[#This Row],[CurrentParent]]</f>
        <v>1</v>
      </c>
      <c r="K3611" s="144" t="str">
        <f>IF(Proc[[#This Row],[Author]]="Marcela Urrego",VLOOKUP(LEFT(Proc[[#This Row],[Requested]],1),Table3[#All],2,0),VLOOKUP(Proc[[#This Row],[Author]],Table4[],2,0))</f>
        <v>HC</v>
      </c>
      <c r="L3611" s="129" t="s">
        <v>4894</v>
      </c>
      <c r="M3611" s="130">
        <v>45887</v>
      </c>
      <c r="N3611" s="131"/>
      <c r="O3611" s="131"/>
      <c r="P3611" s="130" t="str">
        <f ca="1">IF(Proc[[#This Row],[DaysAgeing]]&gt;5,"yep","on track")</f>
        <v>yep</v>
      </c>
      <c r="Q3611" s="3">
        <f ca="1">IF(Proc[[#This Row],[DateClosed]]="",ABS(NETWORKDAYS(Proc[[#This Row],[DateOpened]],TODAY()))-1,ABS(NETWORKDAYS(Proc[[#This Row],[DateOpened]],Proc[[#This Row],[DateClosed]]))-1)</f>
        <v>84</v>
      </c>
      <c r="R3611" s="130" t="s">
        <v>738</v>
      </c>
      <c r="S3611" s="129"/>
    </row>
    <row r="3612" spans="1:19">
      <c r="A3612" s="128" t="s">
        <v>5710</v>
      </c>
      <c r="B3612" s="149" t="str">
        <f>IFERROR(VLOOKUP(Proc[[#This Row],[App]],Table2[],3,0),"open")</f>
        <v>ok</v>
      </c>
      <c r="C3612" s="135" t="s">
        <v>369</v>
      </c>
      <c r="D3612" t="s">
        <v>5715</v>
      </c>
      <c r="E3612" t="s">
        <v>2117</v>
      </c>
      <c r="F3612" s="129" t="s">
        <v>2117</v>
      </c>
      <c r="G3612" s="128" t="s">
        <v>400</v>
      </c>
      <c r="H3612" s="129" t="str">
        <f>IF(Proc[[#This Row],[type]]="LFF (MDG-F)",MID(Proc[[#This Row],[Obj]],13,10),"")</f>
        <v/>
      </c>
      <c r="I3612" s="128"/>
      <c r="J3612" s="129" t="b">
        <f>Proc[[#This Row],[Requested]]=Proc[[#This Row],[CurrentParent]]</f>
        <v>1</v>
      </c>
      <c r="K3612" s="144" t="str">
        <f>IF(Proc[[#This Row],[Author]]="Marcela Urrego",VLOOKUP(LEFT(Proc[[#This Row],[Requested]],1),Table3[#All],2,0),VLOOKUP(Proc[[#This Row],[Author]],Table4[],2,0))</f>
        <v>HC</v>
      </c>
      <c r="L3612" s="129" t="s">
        <v>4894</v>
      </c>
      <c r="M3612" s="130">
        <v>45887</v>
      </c>
      <c r="N3612" s="131"/>
      <c r="O3612" s="131"/>
      <c r="P3612" s="130" t="str">
        <f ca="1">IF(Proc[[#This Row],[DaysAgeing]]&gt;5,"yep","on track")</f>
        <v>yep</v>
      </c>
      <c r="Q3612" s="3">
        <f ca="1">IF(Proc[[#This Row],[DateClosed]]="",ABS(NETWORKDAYS(Proc[[#This Row],[DateOpened]],TODAY()))-1,ABS(NETWORKDAYS(Proc[[#This Row],[DateOpened]],Proc[[#This Row],[DateClosed]]))-1)</f>
        <v>84</v>
      </c>
      <c r="R3612" s="130" t="s">
        <v>738</v>
      </c>
      <c r="S3612" s="129"/>
    </row>
    <row r="3613" spans="1:19">
      <c r="A3613" s="128" t="s">
        <v>5710</v>
      </c>
      <c r="B3613" s="149" t="str">
        <f>IFERROR(VLOOKUP(Proc[[#This Row],[App]],Table2[],3,0),"open")</f>
        <v>ok</v>
      </c>
      <c r="C3613" s="135" t="s">
        <v>369</v>
      </c>
      <c r="D3613" t="s">
        <v>5738</v>
      </c>
      <c r="E3613" t="s">
        <v>5720</v>
      </c>
      <c r="F3613" s="129" t="s">
        <v>5720</v>
      </c>
      <c r="G3613" s="128" t="s">
        <v>400</v>
      </c>
      <c r="H3613" s="129" t="str">
        <f>IF(Proc[[#This Row],[type]]="LFF (MDG-F)",MID(Proc[[#This Row],[Obj]],13,10),"")</f>
        <v/>
      </c>
      <c r="I3613" s="128"/>
      <c r="J3613" s="129" t="b">
        <f>Proc[[#This Row],[Requested]]=Proc[[#This Row],[CurrentParent]]</f>
        <v>1</v>
      </c>
      <c r="K3613" s="144" t="str">
        <f>IF(Proc[[#This Row],[Author]]="Marcela Urrego",VLOOKUP(LEFT(Proc[[#This Row],[Requested]],1),Table3[#All],2,0),VLOOKUP(Proc[[#This Row],[Author]],Table4[],2,0))</f>
        <v>HC</v>
      </c>
      <c r="L3613" s="129" t="s">
        <v>4894</v>
      </c>
      <c r="M3613" s="130">
        <v>45887</v>
      </c>
      <c r="N3613" s="131"/>
      <c r="O3613" s="131"/>
      <c r="P3613" s="130" t="str">
        <f ca="1">IF(Proc[[#This Row],[DaysAgeing]]&gt;5,"yep","on track")</f>
        <v>yep</v>
      </c>
      <c r="Q3613" s="3">
        <f ca="1">IF(Proc[[#This Row],[DateClosed]]="",ABS(NETWORKDAYS(Proc[[#This Row],[DateOpened]],TODAY()))-1,ABS(NETWORKDAYS(Proc[[#This Row],[DateOpened]],Proc[[#This Row],[DateClosed]]))-1)</f>
        <v>84</v>
      </c>
      <c r="R3613" s="130" t="s">
        <v>738</v>
      </c>
      <c r="S3613" s="129"/>
    </row>
    <row r="3614" spans="1:19">
      <c r="A3614" s="128" t="s">
        <v>5710</v>
      </c>
      <c r="B3614" s="149" t="str">
        <f>IFERROR(VLOOKUP(Proc[[#This Row],[App]],Table2[],3,0),"open")</f>
        <v>ok</v>
      </c>
      <c r="C3614" s="135" t="s">
        <v>369</v>
      </c>
      <c r="D3614" t="s">
        <v>5716</v>
      </c>
      <c r="E3614" t="s">
        <v>5720</v>
      </c>
      <c r="F3614" s="129" t="s">
        <v>5720</v>
      </c>
      <c r="G3614" s="128" t="s">
        <v>400</v>
      </c>
      <c r="H3614" s="129" t="str">
        <f>IF(Proc[[#This Row],[type]]="LFF (MDG-F)",MID(Proc[[#This Row],[Obj]],13,10),"")</f>
        <v/>
      </c>
      <c r="I3614" s="128"/>
      <c r="J3614" s="129" t="b">
        <f>Proc[[#This Row],[Requested]]=Proc[[#This Row],[CurrentParent]]</f>
        <v>1</v>
      </c>
      <c r="K3614" s="144" t="str">
        <f>IF(Proc[[#This Row],[Author]]="Marcela Urrego",VLOOKUP(LEFT(Proc[[#This Row],[Requested]],1),Table3[#All],2,0),VLOOKUP(Proc[[#This Row],[Author]],Table4[],2,0))</f>
        <v>HC</v>
      </c>
      <c r="L3614" s="129" t="s">
        <v>4894</v>
      </c>
      <c r="M3614" s="130">
        <v>45887</v>
      </c>
      <c r="N3614" s="131"/>
      <c r="O3614" s="131"/>
      <c r="P3614" s="130" t="str">
        <f ca="1">IF(Proc[[#This Row],[DaysAgeing]]&gt;5,"yep","on track")</f>
        <v>yep</v>
      </c>
      <c r="Q3614" s="3">
        <f ca="1">IF(Proc[[#This Row],[DateClosed]]="",ABS(NETWORKDAYS(Proc[[#This Row],[DateOpened]],TODAY()))-1,ABS(NETWORKDAYS(Proc[[#This Row],[DateOpened]],Proc[[#This Row],[DateClosed]]))-1)</f>
        <v>84</v>
      </c>
      <c r="R3614" s="130" t="s">
        <v>738</v>
      </c>
      <c r="S3614" s="129"/>
    </row>
    <row r="3615" spans="1:19">
      <c r="A3615" s="128" t="s">
        <v>5710</v>
      </c>
      <c r="B3615" s="149" t="str">
        <f>IFERROR(VLOOKUP(Proc[[#This Row],[App]],Table2[],3,0),"open")</f>
        <v>ok</v>
      </c>
      <c r="C3615" s="135" t="s">
        <v>369</v>
      </c>
      <c r="D3615" t="s">
        <v>5717</v>
      </c>
      <c r="E3615" t="s">
        <v>5720</v>
      </c>
      <c r="F3615" s="129" t="s">
        <v>5720</v>
      </c>
      <c r="G3615" s="128" t="s">
        <v>400</v>
      </c>
      <c r="H3615" s="129" t="str">
        <f>IF(Proc[[#This Row],[type]]="LFF (MDG-F)",MID(Proc[[#This Row],[Obj]],13,10),"")</f>
        <v/>
      </c>
      <c r="I3615" s="128"/>
      <c r="J3615" s="129" t="b">
        <f>Proc[[#This Row],[Requested]]=Proc[[#This Row],[CurrentParent]]</f>
        <v>1</v>
      </c>
      <c r="K3615" s="144" t="str">
        <f>IF(Proc[[#This Row],[Author]]="Marcela Urrego",VLOOKUP(LEFT(Proc[[#This Row],[Requested]],1),Table3[#All],2,0),VLOOKUP(Proc[[#This Row],[Author]],Table4[],2,0))</f>
        <v>HC</v>
      </c>
      <c r="L3615" s="129" t="s">
        <v>4894</v>
      </c>
      <c r="M3615" s="130">
        <v>45887</v>
      </c>
      <c r="N3615" s="131"/>
      <c r="O3615" s="131"/>
      <c r="P3615" s="130" t="str">
        <f ca="1">IF(Proc[[#This Row],[DaysAgeing]]&gt;5,"yep","on track")</f>
        <v>yep</v>
      </c>
      <c r="Q3615" s="3">
        <f ca="1">IF(Proc[[#This Row],[DateClosed]]="",ABS(NETWORKDAYS(Proc[[#This Row],[DateOpened]],TODAY()))-1,ABS(NETWORKDAYS(Proc[[#This Row],[DateOpened]],Proc[[#This Row],[DateClosed]]))-1)</f>
        <v>84</v>
      </c>
      <c r="R3615" s="130" t="s">
        <v>738</v>
      </c>
      <c r="S3615" s="129"/>
    </row>
    <row r="3616" spans="1:19">
      <c r="A3616" s="128" t="s">
        <v>5710</v>
      </c>
      <c r="B3616" s="149" t="str">
        <f>IFERROR(VLOOKUP(Proc[[#This Row],[App]],Table2[],3,0),"open")</f>
        <v>ok</v>
      </c>
      <c r="C3616" s="135" t="s">
        <v>369</v>
      </c>
      <c r="D3616" t="s">
        <v>5718</v>
      </c>
      <c r="E3616" t="s">
        <v>5720</v>
      </c>
      <c r="F3616" s="129" t="s">
        <v>5720</v>
      </c>
      <c r="G3616" s="128" t="s">
        <v>400</v>
      </c>
      <c r="H3616" s="129" t="str">
        <f>IF(Proc[[#This Row],[type]]="LFF (MDG-F)",MID(Proc[[#This Row],[Obj]],13,10),"")</f>
        <v/>
      </c>
      <c r="I3616" s="128"/>
      <c r="J3616" s="129" t="b">
        <f>Proc[[#This Row],[Requested]]=Proc[[#This Row],[CurrentParent]]</f>
        <v>1</v>
      </c>
      <c r="K3616" s="144" t="str">
        <f>IF(Proc[[#This Row],[Author]]="Marcela Urrego",VLOOKUP(LEFT(Proc[[#This Row],[Requested]],1),Table3[#All],2,0),VLOOKUP(Proc[[#This Row],[Author]],Table4[],2,0))</f>
        <v>HC</v>
      </c>
      <c r="L3616" s="129" t="s">
        <v>4894</v>
      </c>
      <c r="M3616" s="130">
        <v>45887</v>
      </c>
      <c r="N3616" s="131"/>
      <c r="O3616" s="131"/>
      <c r="P3616" s="130" t="str">
        <f ca="1">IF(Proc[[#This Row],[DaysAgeing]]&gt;5,"yep","on track")</f>
        <v>yep</v>
      </c>
      <c r="Q3616" s="3">
        <f ca="1">IF(Proc[[#This Row],[DateClosed]]="",ABS(NETWORKDAYS(Proc[[#This Row],[DateOpened]],TODAY()))-1,ABS(NETWORKDAYS(Proc[[#This Row],[DateOpened]],Proc[[#This Row],[DateClosed]]))-1)</f>
        <v>84</v>
      </c>
      <c r="R3616" s="130" t="s">
        <v>738</v>
      </c>
      <c r="S3616" s="129"/>
    </row>
    <row r="3617" spans="1:19">
      <c r="A3617" s="128" t="s">
        <v>5710</v>
      </c>
      <c r="B3617" s="149" t="str">
        <f>IFERROR(VLOOKUP(Proc[[#This Row],[App]],Table2[],3,0),"open")</f>
        <v>ok</v>
      </c>
      <c r="C3617" s="135" t="s">
        <v>369</v>
      </c>
      <c r="D3617" t="s">
        <v>5739</v>
      </c>
      <c r="E3617" t="s">
        <v>5720</v>
      </c>
      <c r="F3617" s="129" t="s">
        <v>5720</v>
      </c>
      <c r="G3617" s="128" t="s">
        <v>400</v>
      </c>
      <c r="H3617" s="129" t="str">
        <f>IF(Proc[[#This Row],[type]]="LFF (MDG-F)",MID(Proc[[#This Row],[Obj]],13,10),"")</f>
        <v/>
      </c>
      <c r="I3617" s="128"/>
      <c r="J3617" s="129" t="b">
        <f>Proc[[#This Row],[Requested]]=Proc[[#This Row],[CurrentParent]]</f>
        <v>1</v>
      </c>
      <c r="K3617" s="144" t="str">
        <f>IF(Proc[[#This Row],[Author]]="Marcela Urrego",VLOOKUP(LEFT(Proc[[#This Row],[Requested]],1),Table3[#All],2,0),VLOOKUP(Proc[[#This Row],[Author]],Table4[],2,0))</f>
        <v>HC</v>
      </c>
      <c r="L3617" s="129" t="s">
        <v>4894</v>
      </c>
      <c r="M3617" s="130">
        <v>45887</v>
      </c>
      <c r="N3617" s="131"/>
      <c r="O3617" s="131"/>
      <c r="P3617" s="130" t="str">
        <f ca="1">IF(Proc[[#This Row],[DaysAgeing]]&gt;5,"yep","on track")</f>
        <v>yep</v>
      </c>
      <c r="Q3617" s="3">
        <f ca="1">IF(Proc[[#This Row],[DateClosed]]="",ABS(NETWORKDAYS(Proc[[#This Row],[DateOpened]],TODAY()))-1,ABS(NETWORKDAYS(Proc[[#This Row],[DateOpened]],Proc[[#This Row],[DateClosed]]))-1)</f>
        <v>84</v>
      </c>
      <c r="R3617" s="130" t="s">
        <v>738</v>
      </c>
      <c r="S3617" s="129"/>
    </row>
    <row r="3618" spans="1:19">
      <c r="A3618" s="128" t="s">
        <v>5710</v>
      </c>
      <c r="B3618" s="149" t="str">
        <f>IFERROR(VLOOKUP(Proc[[#This Row],[App]],Table2[],3,0),"open")</f>
        <v>ok</v>
      </c>
      <c r="C3618" s="135" t="s">
        <v>369</v>
      </c>
      <c r="D3618" t="s">
        <v>5719</v>
      </c>
      <c r="E3618" t="s">
        <v>5720</v>
      </c>
      <c r="F3618" s="129" t="s">
        <v>5720</v>
      </c>
      <c r="G3618" s="128" t="s">
        <v>400</v>
      </c>
      <c r="H3618" s="129" t="str">
        <f>IF(Proc[[#This Row],[type]]="LFF (MDG-F)",MID(Proc[[#This Row],[Obj]],13,10),"")</f>
        <v/>
      </c>
      <c r="I3618" s="128"/>
      <c r="J3618" s="129" t="b">
        <f>Proc[[#This Row],[Requested]]=Proc[[#This Row],[CurrentParent]]</f>
        <v>1</v>
      </c>
      <c r="K3618" s="144" t="str">
        <f>IF(Proc[[#This Row],[Author]]="Marcela Urrego",VLOOKUP(LEFT(Proc[[#This Row],[Requested]],1),Table3[#All],2,0),VLOOKUP(Proc[[#This Row],[Author]],Table4[],2,0))</f>
        <v>HC</v>
      </c>
      <c r="L3618" s="129" t="s">
        <v>4894</v>
      </c>
      <c r="M3618" s="130">
        <v>45887</v>
      </c>
      <c r="N3618" s="131"/>
      <c r="O3618" s="131"/>
      <c r="P3618" s="130" t="str">
        <f ca="1">IF(Proc[[#This Row],[DaysAgeing]]&gt;5,"yep","on track")</f>
        <v>yep</v>
      </c>
      <c r="Q3618" s="3">
        <f ca="1">IF(Proc[[#This Row],[DateClosed]]="",ABS(NETWORKDAYS(Proc[[#This Row],[DateOpened]],TODAY()))-1,ABS(NETWORKDAYS(Proc[[#This Row],[DateOpened]],Proc[[#This Row],[DateClosed]]))-1)</f>
        <v>84</v>
      </c>
      <c r="R3618" s="130" t="s">
        <v>738</v>
      </c>
      <c r="S3618" s="129"/>
    </row>
    <row r="3619" spans="1:19">
      <c r="A3619" s="128" t="s">
        <v>5710</v>
      </c>
      <c r="B3619" s="149" t="str">
        <f>IFERROR(VLOOKUP(Proc[[#This Row],[App]],Table2[],3,0),"open")</f>
        <v>ok</v>
      </c>
      <c r="C3619" s="135" t="s">
        <v>369</v>
      </c>
      <c r="D3619" t="s">
        <v>5740</v>
      </c>
      <c r="E3619" t="s">
        <v>5720</v>
      </c>
      <c r="F3619" s="129" t="s">
        <v>5720</v>
      </c>
      <c r="G3619" s="128" t="s">
        <v>400</v>
      </c>
      <c r="H3619" s="129" t="str">
        <f>IF(Proc[[#This Row],[type]]="LFF (MDG-F)",MID(Proc[[#This Row],[Obj]],13,10),"")</f>
        <v/>
      </c>
      <c r="I3619" s="128"/>
      <c r="J3619" s="129" t="b">
        <f>Proc[[#This Row],[Requested]]=Proc[[#This Row],[CurrentParent]]</f>
        <v>1</v>
      </c>
      <c r="K3619" s="144" t="str">
        <f>IF(Proc[[#This Row],[Author]]="Marcela Urrego",VLOOKUP(LEFT(Proc[[#This Row],[Requested]],1),Table3[#All],2,0),VLOOKUP(Proc[[#This Row],[Author]],Table4[],2,0))</f>
        <v>HC</v>
      </c>
      <c r="L3619" s="129" t="s">
        <v>4894</v>
      </c>
      <c r="M3619" s="130">
        <v>45887</v>
      </c>
      <c r="N3619" s="131"/>
      <c r="O3619" s="131"/>
      <c r="P3619" s="130" t="str">
        <f ca="1">IF(Proc[[#This Row],[DaysAgeing]]&gt;5,"yep","on track")</f>
        <v>yep</v>
      </c>
      <c r="Q3619" s="3">
        <f ca="1">IF(Proc[[#This Row],[DateClosed]]="",ABS(NETWORKDAYS(Proc[[#This Row],[DateOpened]],TODAY()))-1,ABS(NETWORKDAYS(Proc[[#This Row],[DateOpened]],Proc[[#This Row],[DateClosed]]))-1)</f>
        <v>84</v>
      </c>
      <c r="R3619" s="130" t="s">
        <v>738</v>
      </c>
      <c r="S3619" s="129"/>
    </row>
    <row r="3620" spans="1:19">
      <c r="A3620" t="s">
        <v>5721</v>
      </c>
      <c r="B3620" s="149" t="str">
        <f>IFERROR(VLOOKUP(Proc[[#This Row],[App]],Table2[],3,0),"open")</f>
        <v>ok</v>
      </c>
      <c r="C3620" s="135" t="s">
        <v>369</v>
      </c>
      <c r="D3620" t="s">
        <v>5722</v>
      </c>
      <c r="E3620" s="134" t="s">
        <v>3602</v>
      </c>
      <c r="F3620" s="129" t="s">
        <v>3602</v>
      </c>
      <c r="G3620" s="133" t="s">
        <v>400</v>
      </c>
      <c r="H3620" s="129" t="str">
        <f>IF(Proc[[#This Row],[type]]="LFF (MDG-F)",MID(Proc[[#This Row],[Obj]],13,10),"")</f>
        <v/>
      </c>
      <c r="J3620" s="129" t="b">
        <f>Proc[[#This Row],[Requested]]=Proc[[#This Row],[CurrentParent]]</f>
        <v>1</v>
      </c>
      <c r="K3620" s="144" t="str">
        <f>IF(Proc[[#This Row],[Author]]="Marcela Urrego",VLOOKUP(LEFT(Proc[[#This Row],[Requested]],1),Table3[#All],2,0),VLOOKUP(Proc[[#This Row],[Author]],Table4[],2,0))</f>
        <v>HC</v>
      </c>
      <c r="L3620" s="129" t="s">
        <v>4894</v>
      </c>
      <c r="M3620" s="130">
        <v>45888</v>
      </c>
      <c r="N3620" s="131"/>
      <c r="O3620" s="131"/>
      <c r="P3620" s="130" t="str">
        <f ca="1">IF(Proc[[#This Row],[DaysAgeing]]&gt;5,"yep","on track")</f>
        <v>yep</v>
      </c>
      <c r="Q3620" s="3">
        <f ca="1">IF(Proc[[#This Row],[DateClosed]]="",ABS(NETWORKDAYS(Proc[[#This Row],[DateOpened]],TODAY()))-1,ABS(NETWORKDAYS(Proc[[#This Row],[DateOpened]],Proc[[#This Row],[DateClosed]]))-1)</f>
        <v>83</v>
      </c>
      <c r="R3620" s="130" t="s">
        <v>738</v>
      </c>
      <c r="S3620" s="129"/>
    </row>
    <row r="3621" spans="1:19">
      <c r="A3621" s="132" t="s">
        <v>5721</v>
      </c>
      <c r="B3621" s="149" t="str">
        <f>IFERROR(VLOOKUP(Proc[[#This Row],[App]],Table2[],3,0),"open")</f>
        <v>ok</v>
      </c>
      <c r="C3621" s="135" t="s">
        <v>369</v>
      </c>
      <c r="D3621" t="s">
        <v>5723</v>
      </c>
      <c r="E3621" t="s">
        <v>5724</v>
      </c>
      <c r="F3621" s="129" t="s">
        <v>5724</v>
      </c>
      <c r="G3621" s="133" t="s">
        <v>400</v>
      </c>
      <c r="H3621" s="129" t="str">
        <f>IF(Proc[[#This Row],[type]]="LFF (MDG-F)",MID(Proc[[#This Row],[Obj]],13,10),"")</f>
        <v/>
      </c>
      <c r="J3621" s="129" t="b">
        <f>Proc[[#This Row],[Requested]]=Proc[[#This Row],[CurrentParent]]</f>
        <v>1</v>
      </c>
      <c r="K3621" s="144" t="str">
        <f>IF(Proc[[#This Row],[Author]]="Marcela Urrego",VLOOKUP(LEFT(Proc[[#This Row],[Requested]],1),Table3[#All],2,0),VLOOKUP(Proc[[#This Row],[Author]],Table4[],2,0))</f>
        <v>HC</v>
      </c>
      <c r="L3621" s="129" t="s">
        <v>4894</v>
      </c>
      <c r="M3621" s="130">
        <v>45888</v>
      </c>
      <c r="N3621" s="131"/>
      <c r="O3621" s="131"/>
      <c r="P3621" s="130" t="str">
        <f ca="1">IF(Proc[[#This Row],[DaysAgeing]]&gt;5,"yep","on track")</f>
        <v>yep</v>
      </c>
      <c r="Q3621" s="3">
        <f ca="1">IF(Proc[[#This Row],[DateClosed]]="",ABS(NETWORKDAYS(Proc[[#This Row],[DateOpened]],TODAY()))-1,ABS(NETWORKDAYS(Proc[[#This Row],[DateOpened]],Proc[[#This Row],[DateClosed]]))-1)</f>
        <v>83</v>
      </c>
      <c r="R3621" s="130" t="s">
        <v>738</v>
      </c>
      <c r="S3621" s="129"/>
    </row>
    <row r="3622" spans="1:19">
      <c r="A3622" s="132" t="s">
        <v>5721</v>
      </c>
      <c r="B3622" s="149" t="str">
        <f>IFERROR(VLOOKUP(Proc[[#This Row],[App]],Table2[],3,0),"open")</f>
        <v>ok</v>
      </c>
      <c r="C3622" s="135" t="s">
        <v>369</v>
      </c>
      <c r="D3622" t="s">
        <v>5725</v>
      </c>
      <c r="E3622" t="s">
        <v>2161</v>
      </c>
      <c r="F3622" s="129" t="s">
        <v>2161</v>
      </c>
      <c r="G3622" s="133" t="s">
        <v>400</v>
      </c>
      <c r="H3622" s="129" t="str">
        <f>IF(Proc[[#This Row],[type]]="LFF (MDG-F)",MID(Proc[[#This Row],[Obj]],13,10),"")</f>
        <v/>
      </c>
      <c r="J3622" s="129" t="b">
        <f>Proc[[#This Row],[Requested]]=Proc[[#This Row],[CurrentParent]]</f>
        <v>1</v>
      </c>
      <c r="K3622" s="144" t="str">
        <f>IF(Proc[[#This Row],[Author]]="Marcela Urrego",VLOOKUP(LEFT(Proc[[#This Row],[Requested]],1),Table3[#All],2,0),VLOOKUP(Proc[[#This Row],[Author]],Table4[],2,0))</f>
        <v>HC</v>
      </c>
      <c r="L3622" s="129" t="s">
        <v>4894</v>
      </c>
      <c r="M3622" s="130">
        <v>45888</v>
      </c>
      <c r="N3622" s="131"/>
      <c r="O3622" s="131"/>
      <c r="P3622" s="130" t="str">
        <f ca="1">IF(Proc[[#This Row],[DaysAgeing]]&gt;5,"yep","on track")</f>
        <v>yep</v>
      </c>
      <c r="Q3622" s="3">
        <f ca="1">IF(Proc[[#This Row],[DateClosed]]="",ABS(NETWORKDAYS(Proc[[#This Row],[DateOpened]],TODAY()))-1,ABS(NETWORKDAYS(Proc[[#This Row],[DateOpened]],Proc[[#This Row],[DateClosed]]))-1)</f>
        <v>83</v>
      </c>
      <c r="R3622" s="130" t="s">
        <v>738</v>
      </c>
      <c r="S3622" s="129"/>
    </row>
    <row r="3623" spans="1:19">
      <c r="A3623" s="132" t="s">
        <v>5721</v>
      </c>
      <c r="B3623" s="149" t="str">
        <f>IFERROR(VLOOKUP(Proc[[#This Row],[App]],Table2[],3,0),"open")</f>
        <v>ok</v>
      </c>
      <c r="C3623" s="135" t="s">
        <v>369</v>
      </c>
      <c r="D3623" t="s">
        <v>5726</v>
      </c>
      <c r="E3623" t="s">
        <v>2161</v>
      </c>
      <c r="F3623" s="129" t="s">
        <v>2161</v>
      </c>
      <c r="G3623" s="133" t="s">
        <v>400</v>
      </c>
      <c r="H3623" s="129" t="str">
        <f>IF(Proc[[#This Row],[type]]="LFF (MDG-F)",MID(Proc[[#This Row],[Obj]],13,10),"")</f>
        <v/>
      </c>
      <c r="J3623" s="129" t="b">
        <f>Proc[[#This Row],[Requested]]=Proc[[#This Row],[CurrentParent]]</f>
        <v>1</v>
      </c>
      <c r="K3623" s="144" t="str">
        <f>IF(Proc[[#This Row],[Author]]="Marcela Urrego",VLOOKUP(LEFT(Proc[[#This Row],[Requested]],1),Table3[#All],2,0),VLOOKUP(Proc[[#This Row],[Author]],Table4[],2,0))</f>
        <v>HC</v>
      </c>
      <c r="L3623" s="129" t="s">
        <v>4894</v>
      </c>
      <c r="M3623" s="130">
        <v>45888</v>
      </c>
      <c r="N3623" s="131"/>
      <c r="O3623" s="131"/>
      <c r="P3623" s="130" t="str">
        <f ca="1">IF(Proc[[#This Row],[DaysAgeing]]&gt;5,"yep","on track")</f>
        <v>yep</v>
      </c>
      <c r="Q3623" s="3">
        <f ca="1">IF(Proc[[#This Row],[DateClosed]]="",ABS(NETWORKDAYS(Proc[[#This Row],[DateOpened]],TODAY()))-1,ABS(NETWORKDAYS(Proc[[#This Row],[DateOpened]],Proc[[#This Row],[DateClosed]]))-1)</f>
        <v>83</v>
      </c>
      <c r="R3623" s="130" t="s">
        <v>738</v>
      </c>
      <c r="S3623" s="129"/>
    </row>
    <row r="3624" spans="1:19">
      <c r="A3624" s="132" t="s">
        <v>5721</v>
      </c>
      <c r="B3624" s="149" t="str">
        <f>IFERROR(VLOOKUP(Proc[[#This Row],[App]],Table2[],3,0),"open")</f>
        <v>ok</v>
      </c>
      <c r="C3624" s="135" t="s">
        <v>369</v>
      </c>
      <c r="D3624" t="s">
        <v>5727</v>
      </c>
      <c r="E3624" t="s">
        <v>2161</v>
      </c>
      <c r="F3624" s="129" t="s">
        <v>2161</v>
      </c>
      <c r="G3624" s="133" t="s">
        <v>400</v>
      </c>
      <c r="H3624" s="129" t="str">
        <f>IF(Proc[[#This Row],[type]]="LFF (MDG-F)",MID(Proc[[#This Row],[Obj]],13,10),"")</f>
        <v/>
      </c>
      <c r="J3624" s="129" t="b">
        <f>Proc[[#This Row],[Requested]]=Proc[[#This Row],[CurrentParent]]</f>
        <v>1</v>
      </c>
      <c r="K3624" s="144" t="str">
        <f>IF(Proc[[#This Row],[Author]]="Marcela Urrego",VLOOKUP(LEFT(Proc[[#This Row],[Requested]],1),Table3[#All],2,0),VLOOKUP(Proc[[#This Row],[Author]],Table4[],2,0))</f>
        <v>HC</v>
      </c>
      <c r="L3624" s="129" t="s">
        <v>4894</v>
      </c>
      <c r="M3624" s="130">
        <v>45888</v>
      </c>
      <c r="N3624" s="131"/>
      <c r="O3624" s="131"/>
      <c r="P3624" s="130" t="str">
        <f ca="1">IF(Proc[[#This Row],[DaysAgeing]]&gt;5,"yep","on track")</f>
        <v>yep</v>
      </c>
      <c r="Q3624" s="3">
        <f ca="1">IF(Proc[[#This Row],[DateClosed]]="",ABS(NETWORKDAYS(Proc[[#This Row],[DateOpened]],TODAY()))-1,ABS(NETWORKDAYS(Proc[[#This Row],[DateOpened]],Proc[[#This Row],[DateClosed]]))-1)</f>
        <v>83</v>
      </c>
      <c r="R3624" s="130" t="s">
        <v>738</v>
      </c>
      <c r="S3624" s="129"/>
    </row>
    <row r="3625" spans="1:19">
      <c r="A3625" s="132" t="s">
        <v>5721</v>
      </c>
      <c r="B3625" s="149" t="str">
        <f>IFERROR(VLOOKUP(Proc[[#This Row],[App]],Table2[],3,0),"open")</f>
        <v>ok</v>
      </c>
      <c r="C3625" s="135" t="s">
        <v>369</v>
      </c>
      <c r="D3625" t="s">
        <v>5728</v>
      </c>
      <c r="E3625" t="s">
        <v>2161</v>
      </c>
      <c r="F3625" s="129" t="s">
        <v>2161</v>
      </c>
      <c r="G3625" s="133" t="s">
        <v>400</v>
      </c>
      <c r="H3625" s="129" t="str">
        <f>IF(Proc[[#This Row],[type]]="LFF (MDG-F)",MID(Proc[[#This Row],[Obj]],13,10),"")</f>
        <v/>
      </c>
      <c r="J3625" s="129" t="b">
        <f>Proc[[#This Row],[Requested]]=Proc[[#This Row],[CurrentParent]]</f>
        <v>1</v>
      </c>
      <c r="K3625" s="144" t="str">
        <f>IF(Proc[[#This Row],[Author]]="Marcela Urrego",VLOOKUP(LEFT(Proc[[#This Row],[Requested]],1),Table3[#All],2,0),VLOOKUP(Proc[[#This Row],[Author]],Table4[],2,0))</f>
        <v>HC</v>
      </c>
      <c r="L3625" s="129" t="s">
        <v>4894</v>
      </c>
      <c r="M3625" s="130">
        <v>45888</v>
      </c>
      <c r="N3625" s="131"/>
      <c r="O3625" s="131"/>
      <c r="P3625" s="130" t="str">
        <f ca="1">IF(Proc[[#This Row],[DaysAgeing]]&gt;5,"yep","on track")</f>
        <v>yep</v>
      </c>
      <c r="Q3625" s="3">
        <f ca="1">IF(Proc[[#This Row],[DateClosed]]="",ABS(NETWORKDAYS(Proc[[#This Row],[DateOpened]],TODAY()))-1,ABS(NETWORKDAYS(Proc[[#This Row],[DateOpened]],Proc[[#This Row],[DateClosed]]))-1)</f>
        <v>83</v>
      </c>
      <c r="R3625" s="130" t="s">
        <v>738</v>
      </c>
      <c r="S3625" s="129"/>
    </row>
    <row r="3626" spans="1:19">
      <c r="A3626" s="132" t="s">
        <v>5721</v>
      </c>
      <c r="B3626" s="149" t="str">
        <f>IFERROR(VLOOKUP(Proc[[#This Row],[App]],Table2[],3,0),"open")</f>
        <v>ok</v>
      </c>
      <c r="C3626" s="135" t="s">
        <v>369</v>
      </c>
      <c r="D3626" t="s">
        <v>5729</v>
      </c>
      <c r="E3626" t="s">
        <v>2161</v>
      </c>
      <c r="F3626" s="129" t="s">
        <v>2161</v>
      </c>
      <c r="G3626" s="133" t="s">
        <v>400</v>
      </c>
      <c r="H3626" s="129" t="str">
        <f>IF(Proc[[#This Row],[type]]="LFF (MDG-F)",MID(Proc[[#This Row],[Obj]],13,10),"")</f>
        <v/>
      </c>
      <c r="J3626" s="129" t="b">
        <f>Proc[[#This Row],[Requested]]=Proc[[#This Row],[CurrentParent]]</f>
        <v>1</v>
      </c>
      <c r="K3626" s="144" t="str">
        <f>IF(Proc[[#This Row],[Author]]="Marcela Urrego",VLOOKUP(LEFT(Proc[[#This Row],[Requested]],1),Table3[#All],2,0),VLOOKUP(Proc[[#This Row],[Author]],Table4[],2,0))</f>
        <v>HC</v>
      </c>
      <c r="L3626" s="129" t="s">
        <v>4894</v>
      </c>
      <c r="M3626" s="130">
        <v>45888</v>
      </c>
      <c r="N3626" s="131"/>
      <c r="O3626" s="131"/>
      <c r="P3626" s="130" t="str">
        <f ca="1">IF(Proc[[#This Row],[DaysAgeing]]&gt;5,"yep","on track")</f>
        <v>yep</v>
      </c>
      <c r="Q3626" s="3">
        <f ca="1">IF(Proc[[#This Row],[DateClosed]]="",ABS(NETWORKDAYS(Proc[[#This Row],[DateOpened]],TODAY()))-1,ABS(NETWORKDAYS(Proc[[#This Row],[DateOpened]],Proc[[#This Row],[DateClosed]]))-1)</f>
        <v>83</v>
      </c>
      <c r="R3626" s="130" t="s">
        <v>738</v>
      </c>
      <c r="S3626" s="129"/>
    </row>
    <row r="3627" spans="1:19">
      <c r="A3627" s="132" t="s">
        <v>5721</v>
      </c>
      <c r="B3627" s="149" t="str">
        <f>IFERROR(VLOOKUP(Proc[[#This Row],[App]],Table2[],3,0),"open")</f>
        <v>ok</v>
      </c>
      <c r="C3627" s="135" t="s">
        <v>369</v>
      </c>
      <c r="D3627" t="s">
        <v>5730</v>
      </c>
      <c r="E3627" t="s">
        <v>2161</v>
      </c>
      <c r="F3627" s="129" t="s">
        <v>2161</v>
      </c>
      <c r="G3627" s="133" t="s">
        <v>400</v>
      </c>
      <c r="H3627" s="129" t="str">
        <f>IF(Proc[[#This Row],[type]]="LFF (MDG-F)",MID(Proc[[#This Row],[Obj]],13,10),"")</f>
        <v/>
      </c>
      <c r="J3627" s="129" t="b">
        <f>Proc[[#This Row],[Requested]]=Proc[[#This Row],[CurrentParent]]</f>
        <v>1</v>
      </c>
      <c r="K3627" s="144" t="str">
        <f>IF(Proc[[#This Row],[Author]]="Marcela Urrego",VLOOKUP(LEFT(Proc[[#This Row],[Requested]],1),Table3[#All],2,0),VLOOKUP(Proc[[#This Row],[Author]],Table4[],2,0))</f>
        <v>HC</v>
      </c>
      <c r="L3627" s="129" t="s">
        <v>4894</v>
      </c>
      <c r="M3627" s="130">
        <v>45888</v>
      </c>
      <c r="N3627" s="131"/>
      <c r="O3627" s="131"/>
      <c r="P3627" s="130" t="str">
        <f ca="1">IF(Proc[[#This Row],[DaysAgeing]]&gt;5,"yep","on track")</f>
        <v>yep</v>
      </c>
      <c r="Q3627" s="3">
        <f ca="1">IF(Proc[[#This Row],[DateClosed]]="",ABS(NETWORKDAYS(Proc[[#This Row],[DateOpened]],TODAY()))-1,ABS(NETWORKDAYS(Proc[[#This Row],[DateOpened]],Proc[[#This Row],[DateClosed]]))-1)</f>
        <v>83</v>
      </c>
      <c r="R3627" s="130" t="s">
        <v>738</v>
      </c>
      <c r="S3627" s="129"/>
    </row>
    <row r="3628" spans="1:19">
      <c r="A3628" t="s">
        <v>5731</v>
      </c>
      <c r="B3628" s="149" t="str">
        <f>IFERROR(VLOOKUP(Proc[[#This Row],[App]],Table2[],3,0),"open")</f>
        <v>ok</v>
      </c>
      <c r="C3628" s="135" t="s">
        <v>369</v>
      </c>
      <c r="D3628" t="s">
        <v>5732</v>
      </c>
      <c r="E3628" t="s">
        <v>496</v>
      </c>
      <c r="F3628" s="135" t="s">
        <v>496</v>
      </c>
      <c r="G3628" s="133" t="s">
        <v>400</v>
      </c>
      <c r="H3628" s="129" t="str">
        <f>IF(Proc[[#This Row],[type]]="LFF (MDG-F)",MID(Proc[[#This Row],[Obj]],13,10),"")</f>
        <v/>
      </c>
      <c r="J3628" s="129" t="b">
        <f>Proc[[#This Row],[Requested]]=Proc[[#This Row],[CurrentParent]]</f>
        <v>1</v>
      </c>
      <c r="K3628" s="144" t="str">
        <f>IF(Proc[[#This Row],[Author]]="Marcela Urrego",VLOOKUP(LEFT(Proc[[#This Row],[Requested]],1),Table3[#All],2,0),VLOOKUP(Proc[[#This Row],[Author]],Table4[],2,0))</f>
        <v>LS</v>
      </c>
      <c r="L3628" s="129" t="s">
        <v>4894</v>
      </c>
      <c r="M3628" s="130">
        <v>45888</v>
      </c>
      <c r="N3628" s="131"/>
      <c r="O3628" s="131"/>
      <c r="P3628" s="130" t="str">
        <f ca="1">IF(Proc[[#This Row],[DaysAgeing]]&gt;5,"yep","on track")</f>
        <v>yep</v>
      </c>
      <c r="Q3628" s="3">
        <f ca="1">IF(Proc[[#This Row],[DateClosed]]="",ABS(NETWORKDAYS(Proc[[#This Row],[DateOpened]],TODAY()))-1,ABS(NETWORKDAYS(Proc[[#This Row],[DateOpened]],Proc[[#This Row],[DateClosed]]))-1)</f>
        <v>83</v>
      </c>
      <c r="R3628" s="130" t="s">
        <v>489</v>
      </c>
      <c r="S3628" s="129"/>
    </row>
    <row r="3629" spans="1:19">
      <c r="A3629" s="133" t="s">
        <v>5731</v>
      </c>
      <c r="B3629" s="149" t="str">
        <f>IFERROR(VLOOKUP(Proc[[#This Row],[App]],Table2[],3,0),"open")</f>
        <v>ok</v>
      </c>
      <c r="C3629" s="135" t="s">
        <v>369</v>
      </c>
      <c r="D3629" t="s">
        <v>5733</v>
      </c>
      <c r="E3629" t="s">
        <v>496</v>
      </c>
      <c r="F3629" s="135" t="s">
        <v>496</v>
      </c>
      <c r="G3629" s="133" t="s">
        <v>400</v>
      </c>
      <c r="H3629" s="129" t="str">
        <f>IF(Proc[[#This Row],[type]]="LFF (MDG-F)",MID(Proc[[#This Row],[Obj]],13,10),"")</f>
        <v/>
      </c>
      <c r="J3629" s="129" t="b">
        <f>Proc[[#This Row],[Requested]]=Proc[[#This Row],[CurrentParent]]</f>
        <v>1</v>
      </c>
      <c r="K3629" s="144" t="str">
        <f>IF(Proc[[#This Row],[Author]]="Marcela Urrego",VLOOKUP(LEFT(Proc[[#This Row],[Requested]],1),Table3[#All],2,0),VLOOKUP(Proc[[#This Row],[Author]],Table4[],2,0))</f>
        <v>LS</v>
      </c>
      <c r="L3629" s="129" t="s">
        <v>4894</v>
      </c>
      <c r="M3629" s="130">
        <v>45888</v>
      </c>
      <c r="N3629" s="131"/>
      <c r="O3629" s="131"/>
      <c r="P3629" s="130" t="str">
        <f ca="1">IF(Proc[[#This Row],[DaysAgeing]]&gt;5,"yep","on track")</f>
        <v>yep</v>
      </c>
      <c r="Q3629" s="3">
        <f ca="1">IF(Proc[[#This Row],[DateClosed]]="",ABS(NETWORKDAYS(Proc[[#This Row],[DateOpened]],TODAY()))-1,ABS(NETWORKDAYS(Proc[[#This Row],[DateOpened]],Proc[[#This Row],[DateClosed]]))-1)</f>
        <v>83</v>
      </c>
      <c r="R3629" s="130" t="s">
        <v>489</v>
      </c>
      <c r="S3629" s="129"/>
    </row>
    <row r="3630" spans="1:19">
      <c r="A3630" t="s">
        <v>5734</v>
      </c>
      <c r="B3630" s="149" t="str">
        <f>IFERROR(VLOOKUP(Proc[[#This Row],[App]],Table2[],3,0),"open")</f>
        <v>ok</v>
      </c>
      <c r="C3630" s="135" t="s">
        <v>369</v>
      </c>
      <c r="D3630" t="s">
        <v>5575</v>
      </c>
      <c r="E3630" t="s">
        <v>3522</v>
      </c>
      <c r="F3630" s="129" t="s">
        <v>3522</v>
      </c>
      <c r="G3630" s="133" t="s">
        <v>400</v>
      </c>
      <c r="H3630" s="129" t="str">
        <f>IF(Proc[[#This Row],[type]]="LFF (MDG-F)",MID(Proc[[#This Row],[Obj]],13,10),"")</f>
        <v/>
      </c>
      <c r="J3630" s="129" t="b">
        <f>Proc[[#This Row],[Requested]]=Proc[[#This Row],[CurrentParent]]</f>
        <v>1</v>
      </c>
      <c r="K3630" s="144" t="str">
        <f>IF(Proc[[#This Row],[Author]]="Marcela Urrego",VLOOKUP(LEFT(Proc[[#This Row],[Requested]],1),Table3[#All],2,0),VLOOKUP(Proc[[#This Row],[Author]],Table4[],2,0))</f>
        <v>LS</v>
      </c>
      <c r="L3630" s="129" t="s">
        <v>4894</v>
      </c>
      <c r="M3630" s="130">
        <v>45888</v>
      </c>
      <c r="N3630" s="131"/>
      <c r="O3630" s="131"/>
      <c r="P3630" s="130" t="str">
        <f ca="1">IF(Proc[[#This Row],[DaysAgeing]]&gt;5,"yep","on track")</f>
        <v>yep</v>
      </c>
      <c r="Q3630" s="3">
        <f ca="1">IF(Proc[[#This Row],[DateClosed]]="",ABS(NETWORKDAYS(Proc[[#This Row],[DateOpened]],TODAY()))-1,ABS(NETWORKDAYS(Proc[[#This Row],[DateOpened]],Proc[[#This Row],[DateClosed]]))-1)</f>
        <v>83</v>
      </c>
      <c r="R3630" s="130" t="s">
        <v>1262</v>
      </c>
      <c r="S3630" s="129"/>
    </row>
    <row r="3631" spans="1:19">
      <c r="A3631" t="s">
        <v>5737</v>
      </c>
      <c r="B3631" s="149" t="str">
        <f>IFERROR(VLOOKUP(Proc[[#This Row],[App]],Table2[],3,0),"open")</f>
        <v>ok</v>
      </c>
      <c r="C3631" s="135" t="s">
        <v>369</v>
      </c>
      <c r="D3631" s="135" t="s">
        <v>5736</v>
      </c>
      <c r="E3631" t="s">
        <v>3514</v>
      </c>
      <c r="F3631" s="129" t="s">
        <v>3514</v>
      </c>
      <c r="G3631" s="135" t="s">
        <v>400</v>
      </c>
      <c r="H3631" s="129" t="str">
        <f>IF(Proc[[#This Row],[type]]="LFF (MDG-F)",MID(Proc[[#This Row],[Obj]],13,10),"")</f>
        <v/>
      </c>
      <c r="J3631" s="129" t="b">
        <f>Proc[[#This Row],[Requested]]=Proc[[#This Row],[CurrentParent]]</f>
        <v>1</v>
      </c>
      <c r="K3631" s="144" t="str">
        <f>IF(Proc[[#This Row],[Author]]="Marcela Urrego",VLOOKUP(LEFT(Proc[[#This Row],[Requested]],1),Table3[#All],2,0),VLOOKUP(Proc[[#This Row],[Author]],Table4[],2,0))</f>
        <v>LS</v>
      </c>
      <c r="L3631" s="129" t="s">
        <v>4894</v>
      </c>
      <c r="M3631" s="130">
        <v>45888</v>
      </c>
      <c r="N3631" s="131"/>
      <c r="O3631" s="131"/>
      <c r="P3631" s="130" t="str">
        <f ca="1">IF(Proc[[#This Row],[DaysAgeing]]&gt;5,"yep","on track")</f>
        <v>yep</v>
      </c>
      <c r="Q3631" s="3">
        <f ca="1">IF(Proc[[#This Row],[DateClosed]]="",ABS(NETWORKDAYS(Proc[[#This Row],[DateOpened]],TODAY()))-1,ABS(NETWORKDAYS(Proc[[#This Row],[DateOpened]],Proc[[#This Row],[DateClosed]]))-1)</f>
        <v>83</v>
      </c>
      <c r="R3631" s="130" t="s">
        <v>972</v>
      </c>
      <c r="S3631" s="129"/>
    </row>
    <row r="3632" spans="1:19">
      <c r="A3632" t="s">
        <v>5741</v>
      </c>
      <c r="B3632" s="149" t="str">
        <f>IFERROR(VLOOKUP(Proc[[#This Row],[App]],Table2[],3,0),"open")</f>
        <v>ok</v>
      </c>
      <c r="C3632" s="135" t="s">
        <v>369</v>
      </c>
      <c r="D3632" t="s">
        <v>5742</v>
      </c>
      <c r="E3632" t="s">
        <v>5270</v>
      </c>
      <c r="F3632" s="129" t="s">
        <v>5270</v>
      </c>
      <c r="G3632" t="s">
        <v>400</v>
      </c>
      <c r="H3632" s="129" t="str">
        <f>IF(Proc[[#This Row],[type]]="LFF (MDG-F)",MID(Proc[[#This Row],[Obj]],13,10),"")</f>
        <v/>
      </c>
      <c r="J3632" s="129" t="b">
        <f>Proc[[#This Row],[Requested]]=Proc[[#This Row],[CurrentParent]]</f>
        <v>1</v>
      </c>
      <c r="K3632" s="144" t="str">
        <f>IF(Proc[[#This Row],[Author]]="Marcela Urrego",VLOOKUP(LEFT(Proc[[#This Row],[Requested]],1),Table3[#All],2,0),VLOOKUP(Proc[[#This Row],[Author]],Table4[],2,0))</f>
        <v>LS</v>
      </c>
      <c r="L3632" s="129" t="s">
        <v>4894</v>
      </c>
      <c r="M3632" s="130">
        <v>45891</v>
      </c>
      <c r="N3632" s="131"/>
      <c r="O3632" s="131"/>
      <c r="P3632" s="130" t="str">
        <f ca="1">IF(Proc[[#This Row],[DaysAgeing]]&gt;5,"yep","on track")</f>
        <v>yep</v>
      </c>
      <c r="Q3632" s="3">
        <f ca="1">IF(Proc[[#This Row],[DateClosed]]="",ABS(NETWORKDAYS(Proc[[#This Row],[DateOpened]],TODAY()))-1,ABS(NETWORKDAYS(Proc[[#This Row],[DateOpened]],Proc[[#This Row],[DateClosed]]))-1)</f>
        <v>80</v>
      </c>
      <c r="R3632" s="130" t="s">
        <v>489</v>
      </c>
      <c r="S3632" s="129"/>
    </row>
    <row r="3633" spans="1:19">
      <c r="A3633" s="135" t="s">
        <v>5741</v>
      </c>
      <c r="B3633" s="149" t="str">
        <f>IFERROR(VLOOKUP(Proc[[#This Row],[App]],Table2[],3,0),"open")</f>
        <v>ok</v>
      </c>
      <c r="C3633" s="135" t="s">
        <v>369</v>
      </c>
      <c r="D3633" t="s">
        <v>5743</v>
      </c>
      <c r="E3633" t="s">
        <v>5270</v>
      </c>
      <c r="F3633" s="129" t="s">
        <v>5270</v>
      </c>
      <c r="G3633" s="135" t="s">
        <v>400</v>
      </c>
      <c r="H3633" s="129" t="str">
        <f>IF(Proc[[#This Row],[type]]="LFF (MDG-F)",MID(Proc[[#This Row],[Obj]],13,10),"")</f>
        <v/>
      </c>
      <c r="J3633" s="129" t="b">
        <f>Proc[[#This Row],[Requested]]=Proc[[#This Row],[CurrentParent]]</f>
        <v>1</v>
      </c>
      <c r="K3633" s="144" t="str">
        <f>IF(Proc[[#This Row],[Author]]="Marcela Urrego",VLOOKUP(LEFT(Proc[[#This Row],[Requested]],1),Table3[#All],2,0),VLOOKUP(Proc[[#This Row],[Author]],Table4[],2,0))</f>
        <v>LS</v>
      </c>
      <c r="L3633" s="129" t="s">
        <v>4894</v>
      </c>
      <c r="M3633" s="130">
        <v>45891</v>
      </c>
      <c r="N3633" s="131"/>
      <c r="O3633" s="131"/>
      <c r="P3633" s="130" t="str">
        <f ca="1">IF(Proc[[#This Row],[DaysAgeing]]&gt;5,"yep","on track")</f>
        <v>yep</v>
      </c>
      <c r="Q3633" s="3">
        <f ca="1">IF(Proc[[#This Row],[DateClosed]]="",ABS(NETWORKDAYS(Proc[[#This Row],[DateOpened]],TODAY()))-1,ABS(NETWORKDAYS(Proc[[#This Row],[DateOpened]],Proc[[#This Row],[DateClosed]]))-1)</f>
        <v>80</v>
      </c>
      <c r="R3633" s="130" t="s">
        <v>489</v>
      </c>
      <c r="S3633" s="129"/>
    </row>
    <row r="3634" spans="1:19">
      <c r="A3634" s="135" t="s">
        <v>5741</v>
      </c>
      <c r="B3634" s="149" t="str">
        <f>IFERROR(VLOOKUP(Proc[[#This Row],[App]],Table2[],3,0),"open")</f>
        <v>ok</v>
      </c>
      <c r="C3634" s="135" t="s">
        <v>369</v>
      </c>
      <c r="D3634" t="s">
        <v>5744</v>
      </c>
      <c r="E3634" t="s">
        <v>5270</v>
      </c>
      <c r="F3634" s="129" t="s">
        <v>5270</v>
      </c>
      <c r="G3634" s="135" t="s">
        <v>400</v>
      </c>
      <c r="H3634" s="129" t="str">
        <f>IF(Proc[[#This Row],[type]]="LFF (MDG-F)",MID(Proc[[#This Row],[Obj]],13,10),"")</f>
        <v/>
      </c>
      <c r="J3634" s="129" t="b">
        <f>Proc[[#This Row],[Requested]]=Proc[[#This Row],[CurrentParent]]</f>
        <v>1</v>
      </c>
      <c r="K3634" s="144" t="str">
        <f>IF(Proc[[#This Row],[Author]]="Marcela Urrego",VLOOKUP(LEFT(Proc[[#This Row],[Requested]],1),Table3[#All],2,0),VLOOKUP(Proc[[#This Row],[Author]],Table4[],2,0))</f>
        <v>LS</v>
      </c>
      <c r="L3634" s="129" t="s">
        <v>4894</v>
      </c>
      <c r="M3634" s="130">
        <v>45891</v>
      </c>
      <c r="N3634" s="131"/>
      <c r="O3634" s="131"/>
      <c r="P3634" s="130" t="str">
        <f ca="1">IF(Proc[[#This Row],[DaysAgeing]]&gt;5,"yep","on track")</f>
        <v>yep</v>
      </c>
      <c r="Q3634" s="3">
        <f ca="1">IF(Proc[[#This Row],[DateClosed]]="",ABS(NETWORKDAYS(Proc[[#This Row],[DateOpened]],TODAY()))-1,ABS(NETWORKDAYS(Proc[[#This Row],[DateOpened]],Proc[[#This Row],[DateClosed]]))-1)</f>
        <v>80</v>
      </c>
      <c r="R3634" s="130" t="s">
        <v>489</v>
      </c>
      <c r="S3634" s="129"/>
    </row>
    <row r="3635" spans="1:19">
      <c r="A3635" s="135" t="s">
        <v>5741</v>
      </c>
      <c r="B3635" s="149" t="str">
        <f>IFERROR(VLOOKUP(Proc[[#This Row],[App]],Table2[],3,0),"open")</f>
        <v>ok</v>
      </c>
      <c r="C3635" s="135" t="s">
        <v>369</v>
      </c>
      <c r="D3635" t="s">
        <v>5745</v>
      </c>
      <c r="E3635" t="s">
        <v>5270</v>
      </c>
      <c r="F3635" s="129" t="s">
        <v>5270</v>
      </c>
      <c r="G3635" s="135" t="s">
        <v>400</v>
      </c>
      <c r="H3635" s="129" t="str">
        <f>IF(Proc[[#This Row],[type]]="LFF (MDG-F)",MID(Proc[[#This Row],[Obj]],13,10),"")</f>
        <v/>
      </c>
      <c r="J3635" s="129" t="b">
        <f>Proc[[#This Row],[Requested]]=Proc[[#This Row],[CurrentParent]]</f>
        <v>1</v>
      </c>
      <c r="K3635" s="144" t="str">
        <f>IF(Proc[[#This Row],[Author]]="Marcela Urrego",VLOOKUP(LEFT(Proc[[#This Row],[Requested]],1),Table3[#All],2,0),VLOOKUP(Proc[[#This Row],[Author]],Table4[],2,0))</f>
        <v>LS</v>
      </c>
      <c r="L3635" s="129" t="s">
        <v>4894</v>
      </c>
      <c r="M3635" s="130">
        <v>45891</v>
      </c>
      <c r="N3635" s="131"/>
      <c r="O3635" s="131"/>
      <c r="P3635" s="130" t="str">
        <f ca="1">IF(Proc[[#This Row],[DaysAgeing]]&gt;5,"yep","on track")</f>
        <v>yep</v>
      </c>
      <c r="Q3635" s="3">
        <f ca="1">IF(Proc[[#This Row],[DateClosed]]="",ABS(NETWORKDAYS(Proc[[#This Row],[DateOpened]],TODAY()))-1,ABS(NETWORKDAYS(Proc[[#This Row],[DateOpened]],Proc[[#This Row],[DateClosed]]))-1)</f>
        <v>80</v>
      </c>
      <c r="R3635" s="130" t="s">
        <v>489</v>
      </c>
      <c r="S3635" s="129"/>
    </row>
    <row r="3636" spans="1:19">
      <c r="A3636" s="135" t="s">
        <v>5741</v>
      </c>
      <c r="B3636" s="149" t="str">
        <f>IFERROR(VLOOKUP(Proc[[#This Row],[App]],Table2[],3,0),"open")</f>
        <v>ok</v>
      </c>
      <c r="C3636" s="135" t="s">
        <v>369</v>
      </c>
      <c r="D3636" t="s">
        <v>5746</v>
      </c>
      <c r="E3636" t="s">
        <v>5270</v>
      </c>
      <c r="F3636" s="129" t="s">
        <v>5270</v>
      </c>
      <c r="G3636" s="135" t="s">
        <v>400</v>
      </c>
      <c r="H3636" s="129" t="str">
        <f>IF(Proc[[#This Row],[type]]="LFF (MDG-F)",MID(Proc[[#This Row],[Obj]],13,10),"")</f>
        <v/>
      </c>
      <c r="J3636" s="129" t="b">
        <f>Proc[[#This Row],[Requested]]=Proc[[#This Row],[CurrentParent]]</f>
        <v>1</v>
      </c>
      <c r="K3636" s="144" t="str">
        <f>IF(Proc[[#This Row],[Author]]="Marcela Urrego",VLOOKUP(LEFT(Proc[[#This Row],[Requested]],1),Table3[#All],2,0),VLOOKUP(Proc[[#This Row],[Author]],Table4[],2,0))</f>
        <v>LS</v>
      </c>
      <c r="L3636" s="129" t="s">
        <v>4894</v>
      </c>
      <c r="M3636" s="130">
        <v>45891</v>
      </c>
      <c r="N3636" s="131"/>
      <c r="O3636" s="131"/>
      <c r="P3636" s="130" t="str">
        <f ca="1">IF(Proc[[#This Row],[DaysAgeing]]&gt;5,"yep","on track")</f>
        <v>yep</v>
      </c>
      <c r="Q3636" s="3">
        <f ca="1">IF(Proc[[#This Row],[DateClosed]]="",ABS(NETWORKDAYS(Proc[[#This Row],[DateOpened]],TODAY()))-1,ABS(NETWORKDAYS(Proc[[#This Row],[DateOpened]],Proc[[#This Row],[DateClosed]]))-1)</f>
        <v>80</v>
      </c>
      <c r="R3636" s="130" t="s">
        <v>489</v>
      </c>
      <c r="S3636" s="129"/>
    </row>
    <row r="3637" spans="1:19">
      <c r="A3637" s="135" t="s">
        <v>5741</v>
      </c>
      <c r="B3637" s="149" t="str">
        <f>IFERROR(VLOOKUP(Proc[[#This Row],[App]],Table2[],3,0),"open")</f>
        <v>ok</v>
      </c>
      <c r="C3637" s="135" t="s">
        <v>369</v>
      </c>
      <c r="D3637" t="s">
        <v>5747</v>
      </c>
      <c r="E3637" t="s">
        <v>5270</v>
      </c>
      <c r="F3637" s="129" t="s">
        <v>5270</v>
      </c>
      <c r="G3637" s="135" t="s">
        <v>400</v>
      </c>
      <c r="H3637" s="129" t="str">
        <f>IF(Proc[[#This Row],[type]]="LFF (MDG-F)",MID(Proc[[#This Row],[Obj]],13,10),"")</f>
        <v/>
      </c>
      <c r="J3637" s="129" t="b">
        <f>Proc[[#This Row],[Requested]]=Proc[[#This Row],[CurrentParent]]</f>
        <v>1</v>
      </c>
      <c r="K3637" s="144" t="str">
        <f>IF(Proc[[#This Row],[Author]]="Marcela Urrego",VLOOKUP(LEFT(Proc[[#This Row],[Requested]],1),Table3[#All],2,0),VLOOKUP(Proc[[#This Row],[Author]],Table4[],2,0))</f>
        <v>LS</v>
      </c>
      <c r="L3637" s="129" t="s">
        <v>4894</v>
      </c>
      <c r="M3637" s="130">
        <v>45891</v>
      </c>
      <c r="N3637" s="131"/>
      <c r="O3637" s="131"/>
      <c r="P3637" s="130" t="str">
        <f ca="1">IF(Proc[[#This Row],[DaysAgeing]]&gt;5,"yep","on track")</f>
        <v>yep</v>
      </c>
      <c r="Q3637" s="3">
        <f ca="1">IF(Proc[[#This Row],[DateClosed]]="",ABS(NETWORKDAYS(Proc[[#This Row],[DateOpened]],TODAY()))-1,ABS(NETWORKDAYS(Proc[[#This Row],[DateOpened]],Proc[[#This Row],[DateClosed]]))-1)</f>
        <v>80</v>
      </c>
      <c r="R3637" s="130" t="s">
        <v>489</v>
      </c>
      <c r="S3637" s="129"/>
    </row>
    <row r="3638" spans="1:19">
      <c r="A3638" s="135" t="s">
        <v>5741</v>
      </c>
      <c r="B3638" s="149" t="str">
        <f>IFERROR(VLOOKUP(Proc[[#This Row],[App]],Table2[],3,0),"open")</f>
        <v>ok</v>
      </c>
      <c r="C3638" s="135" t="s">
        <v>369</v>
      </c>
      <c r="D3638" t="s">
        <v>5748</v>
      </c>
      <c r="E3638" t="s">
        <v>5270</v>
      </c>
      <c r="F3638" s="129" t="s">
        <v>5270</v>
      </c>
      <c r="G3638" s="135" t="s">
        <v>400</v>
      </c>
      <c r="H3638" s="129" t="str">
        <f>IF(Proc[[#This Row],[type]]="LFF (MDG-F)",MID(Proc[[#This Row],[Obj]],13,10),"")</f>
        <v/>
      </c>
      <c r="J3638" s="129" t="b">
        <f>Proc[[#This Row],[Requested]]=Proc[[#This Row],[CurrentParent]]</f>
        <v>1</v>
      </c>
      <c r="K3638" s="144" t="str">
        <f>IF(Proc[[#This Row],[Author]]="Marcela Urrego",VLOOKUP(LEFT(Proc[[#This Row],[Requested]],1),Table3[#All],2,0),VLOOKUP(Proc[[#This Row],[Author]],Table4[],2,0))</f>
        <v>LS</v>
      </c>
      <c r="L3638" s="129" t="s">
        <v>4894</v>
      </c>
      <c r="M3638" s="130">
        <v>45891</v>
      </c>
      <c r="N3638" s="131"/>
      <c r="O3638" s="131"/>
      <c r="P3638" s="130" t="str">
        <f ca="1">IF(Proc[[#This Row],[DaysAgeing]]&gt;5,"yep","on track")</f>
        <v>yep</v>
      </c>
      <c r="Q3638" s="3">
        <f ca="1">IF(Proc[[#This Row],[DateClosed]]="",ABS(NETWORKDAYS(Proc[[#This Row],[DateOpened]],TODAY()))-1,ABS(NETWORKDAYS(Proc[[#This Row],[DateOpened]],Proc[[#This Row],[DateClosed]]))-1)</f>
        <v>80</v>
      </c>
      <c r="R3638" s="130" t="s">
        <v>489</v>
      </c>
      <c r="S3638" s="129"/>
    </row>
    <row r="3639" spans="1:19">
      <c r="A3639" s="135" t="s">
        <v>5741</v>
      </c>
      <c r="B3639" s="149" t="str">
        <f>IFERROR(VLOOKUP(Proc[[#This Row],[App]],Table2[],3,0),"open")</f>
        <v>ok</v>
      </c>
      <c r="C3639" s="135" t="s">
        <v>369</v>
      </c>
      <c r="D3639" t="s">
        <v>5749</v>
      </c>
      <c r="E3639" t="s">
        <v>5270</v>
      </c>
      <c r="F3639" s="129" t="s">
        <v>5270</v>
      </c>
      <c r="G3639" s="135" t="s">
        <v>400</v>
      </c>
      <c r="H3639" s="129" t="str">
        <f>IF(Proc[[#This Row],[type]]="LFF (MDG-F)",MID(Proc[[#This Row],[Obj]],13,10),"")</f>
        <v/>
      </c>
      <c r="J3639" s="129" t="b">
        <f>Proc[[#This Row],[Requested]]=Proc[[#This Row],[CurrentParent]]</f>
        <v>1</v>
      </c>
      <c r="K3639" s="144" t="str">
        <f>IF(Proc[[#This Row],[Author]]="Marcela Urrego",VLOOKUP(LEFT(Proc[[#This Row],[Requested]],1),Table3[#All],2,0),VLOOKUP(Proc[[#This Row],[Author]],Table4[],2,0))</f>
        <v>LS</v>
      </c>
      <c r="L3639" s="129" t="s">
        <v>4894</v>
      </c>
      <c r="M3639" s="130">
        <v>45891</v>
      </c>
      <c r="N3639" s="131"/>
      <c r="O3639" s="131"/>
      <c r="P3639" s="130" t="str">
        <f ca="1">IF(Proc[[#This Row],[DaysAgeing]]&gt;5,"yep","on track")</f>
        <v>yep</v>
      </c>
      <c r="Q3639" s="3">
        <f ca="1">IF(Proc[[#This Row],[DateClosed]]="",ABS(NETWORKDAYS(Proc[[#This Row],[DateOpened]],TODAY()))-1,ABS(NETWORKDAYS(Proc[[#This Row],[DateOpened]],Proc[[#This Row],[DateClosed]]))-1)</f>
        <v>80</v>
      </c>
      <c r="R3639" s="130" t="s">
        <v>489</v>
      </c>
      <c r="S3639" s="129"/>
    </row>
    <row r="3640" spans="1:19">
      <c r="A3640" s="135" t="s">
        <v>5741</v>
      </c>
      <c r="B3640" s="149" t="str">
        <f>IFERROR(VLOOKUP(Proc[[#This Row],[App]],Table2[],3,0),"open")</f>
        <v>ok</v>
      </c>
      <c r="C3640" s="135" t="s">
        <v>369</v>
      </c>
      <c r="D3640" t="s">
        <v>5750</v>
      </c>
      <c r="E3640" t="s">
        <v>5270</v>
      </c>
      <c r="F3640" s="129" t="s">
        <v>5270</v>
      </c>
      <c r="G3640" s="135" t="s">
        <v>400</v>
      </c>
      <c r="H3640" s="129" t="str">
        <f>IF(Proc[[#This Row],[type]]="LFF (MDG-F)",MID(Proc[[#This Row],[Obj]],13,10),"")</f>
        <v/>
      </c>
      <c r="J3640" s="129" t="b">
        <f>Proc[[#This Row],[Requested]]=Proc[[#This Row],[CurrentParent]]</f>
        <v>1</v>
      </c>
      <c r="K3640" s="144" t="str">
        <f>IF(Proc[[#This Row],[Author]]="Marcela Urrego",VLOOKUP(LEFT(Proc[[#This Row],[Requested]],1),Table3[#All],2,0),VLOOKUP(Proc[[#This Row],[Author]],Table4[],2,0))</f>
        <v>LS</v>
      </c>
      <c r="L3640" s="129" t="s">
        <v>4894</v>
      </c>
      <c r="M3640" s="130">
        <v>45891</v>
      </c>
      <c r="N3640" s="131"/>
      <c r="O3640" s="131"/>
      <c r="P3640" s="130" t="str">
        <f ca="1">IF(Proc[[#This Row],[DaysAgeing]]&gt;5,"yep","on track")</f>
        <v>yep</v>
      </c>
      <c r="Q3640" s="3">
        <f ca="1">IF(Proc[[#This Row],[DateClosed]]="",ABS(NETWORKDAYS(Proc[[#This Row],[DateOpened]],TODAY()))-1,ABS(NETWORKDAYS(Proc[[#This Row],[DateOpened]],Proc[[#This Row],[DateClosed]]))-1)</f>
        <v>80</v>
      </c>
      <c r="R3640" s="130" t="s">
        <v>489</v>
      </c>
      <c r="S3640" s="129"/>
    </row>
    <row r="3641" spans="1:19">
      <c r="A3641" s="135" t="s">
        <v>5741</v>
      </c>
      <c r="B3641" s="149" t="str">
        <f>IFERROR(VLOOKUP(Proc[[#This Row],[App]],Table2[],3,0),"open")</f>
        <v>ok</v>
      </c>
      <c r="C3641" s="135" t="s">
        <v>369</v>
      </c>
      <c r="D3641" t="s">
        <v>5751</v>
      </c>
      <c r="E3641" t="s">
        <v>5270</v>
      </c>
      <c r="F3641" s="129" t="s">
        <v>5270</v>
      </c>
      <c r="G3641" s="135" t="s">
        <v>400</v>
      </c>
      <c r="H3641" s="129" t="str">
        <f>IF(Proc[[#This Row],[type]]="LFF (MDG-F)",MID(Proc[[#This Row],[Obj]],13,10),"")</f>
        <v/>
      </c>
      <c r="J3641" s="129" t="b">
        <f>Proc[[#This Row],[Requested]]=Proc[[#This Row],[CurrentParent]]</f>
        <v>1</v>
      </c>
      <c r="K3641" s="144" t="str">
        <f>IF(Proc[[#This Row],[Author]]="Marcela Urrego",VLOOKUP(LEFT(Proc[[#This Row],[Requested]],1),Table3[#All],2,0),VLOOKUP(Proc[[#This Row],[Author]],Table4[],2,0))</f>
        <v>LS</v>
      </c>
      <c r="L3641" s="129" t="s">
        <v>4894</v>
      </c>
      <c r="M3641" s="130">
        <v>45891</v>
      </c>
      <c r="N3641" s="131"/>
      <c r="O3641" s="131"/>
      <c r="P3641" s="130" t="str">
        <f ca="1">IF(Proc[[#This Row],[DaysAgeing]]&gt;5,"yep","on track")</f>
        <v>yep</v>
      </c>
      <c r="Q3641" s="3">
        <f ca="1">IF(Proc[[#This Row],[DateClosed]]="",ABS(NETWORKDAYS(Proc[[#This Row],[DateOpened]],TODAY()))-1,ABS(NETWORKDAYS(Proc[[#This Row],[DateOpened]],Proc[[#This Row],[DateClosed]]))-1)</f>
        <v>80</v>
      </c>
      <c r="R3641" s="130" t="s">
        <v>489</v>
      </c>
      <c r="S3641" s="129"/>
    </row>
    <row r="3642" spans="1:19">
      <c r="A3642" s="135" t="s">
        <v>5741</v>
      </c>
      <c r="B3642" s="149" t="str">
        <f>IFERROR(VLOOKUP(Proc[[#This Row],[App]],Table2[],3,0),"open")</f>
        <v>ok</v>
      </c>
      <c r="C3642" s="135" t="s">
        <v>369</v>
      </c>
      <c r="D3642" t="s">
        <v>5752</v>
      </c>
      <c r="E3642" t="s">
        <v>5270</v>
      </c>
      <c r="F3642" s="129" t="s">
        <v>5270</v>
      </c>
      <c r="G3642" s="135" t="s">
        <v>400</v>
      </c>
      <c r="H3642" s="129" t="str">
        <f>IF(Proc[[#This Row],[type]]="LFF (MDG-F)",MID(Proc[[#This Row],[Obj]],13,10),"")</f>
        <v/>
      </c>
      <c r="J3642" s="129" t="b">
        <f>Proc[[#This Row],[Requested]]=Proc[[#This Row],[CurrentParent]]</f>
        <v>1</v>
      </c>
      <c r="K3642" s="144" t="str">
        <f>IF(Proc[[#This Row],[Author]]="Marcela Urrego",VLOOKUP(LEFT(Proc[[#This Row],[Requested]],1),Table3[#All],2,0),VLOOKUP(Proc[[#This Row],[Author]],Table4[],2,0))</f>
        <v>LS</v>
      </c>
      <c r="L3642" s="129" t="s">
        <v>4894</v>
      </c>
      <c r="M3642" s="130">
        <v>45891</v>
      </c>
      <c r="N3642" s="131"/>
      <c r="O3642" s="131"/>
      <c r="P3642" s="130" t="str">
        <f ca="1">IF(Proc[[#This Row],[DaysAgeing]]&gt;5,"yep","on track")</f>
        <v>yep</v>
      </c>
      <c r="Q3642" s="3">
        <f ca="1">IF(Proc[[#This Row],[DateClosed]]="",ABS(NETWORKDAYS(Proc[[#This Row],[DateOpened]],TODAY()))-1,ABS(NETWORKDAYS(Proc[[#This Row],[DateOpened]],Proc[[#This Row],[DateClosed]]))-1)</f>
        <v>80</v>
      </c>
      <c r="R3642" s="130" t="s">
        <v>489</v>
      </c>
      <c r="S3642" s="129"/>
    </row>
    <row r="3643" spans="1:19">
      <c r="A3643" s="135" t="s">
        <v>5741</v>
      </c>
      <c r="B3643" s="149" t="str">
        <f>IFERROR(VLOOKUP(Proc[[#This Row],[App]],Table2[],3,0),"open")</f>
        <v>ok</v>
      </c>
      <c r="C3643" s="135" t="s">
        <v>369</v>
      </c>
      <c r="D3643" t="s">
        <v>5753</v>
      </c>
      <c r="E3643" t="s">
        <v>5270</v>
      </c>
      <c r="F3643" s="129" t="s">
        <v>5270</v>
      </c>
      <c r="G3643" s="135" t="s">
        <v>400</v>
      </c>
      <c r="H3643" s="129" t="str">
        <f>IF(Proc[[#This Row],[type]]="LFF (MDG-F)",MID(Proc[[#This Row],[Obj]],13,10),"")</f>
        <v/>
      </c>
      <c r="J3643" s="129" t="b">
        <f>Proc[[#This Row],[Requested]]=Proc[[#This Row],[CurrentParent]]</f>
        <v>1</v>
      </c>
      <c r="K3643" s="144" t="str">
        <f>IF(Proc[[#This Row],[Author]]="Marcela Urrego",VLOOKUP(LEFT(Proc[[#This Row],[Requested]],1),Table3[#All],2,0),VLOOKUP(Proc[[#This Row],[Author]],Table4[],2,0))</f>
        <v>LS</v>
      </c>
      <c r="L3643" s="129" t="s">
        <v>4894</v>
      </c>
      <c r="M3643" s="130">
        <v>45891</v>
      </c>
      <c r="N3643" s="131"/>
      <c r="O3643" s="131"/>
      <c r="P3643" s="130" t="str">
        <f ca="1">IF(Proc[[#This Row],[DaysAgeing]]&gt;5,"yep","on track")</f>
        <v>yep</v>
      </c>
      <c r="Q3643" s="3">
        <f ca="1">IF(Proc[[#This Row],[DateClosed]]="",ABS(NETWORKDAYS(Proc[[#This Row],[DateOpened]],TODAY()))-1,ABS(NETWORKDAYS(Proc[[#This Row],[DateOpened]],Proc[[#This Row],[DateClosed]]))-1)</f>
        <v>80</v>
      </c>
      <c r="R3643" s="130" t="s">
        <v>489</v>
      </c>
      <c r="S3643" s="129"/>
    </row>
    <row r="3644" spans="1:19">
      <c r="A3644" s="135" t="s">
        <v>5741</v>
      </c>
      <c r="B3644" s="149" t="str">
        <f>IFERROR(VLOOKUP(Proc[[#This Row],[App]],Table2[],3,0),"open")</f>
        <v>ok</v>
      </c>
      <c r="C3644" s="135" t="s">
        <v>369</v>
      </c>
      <c r="D3644" t="s">
        <v>5754</v>
      </c>
      <c r="E3644" t="s">
        <v>5270</v>
      </c>
      <c r="F3644" s="129" t="s">
        <v>5270</v>
      </c>
      <c r="G3644" s="135" t="s">
        <v>400</v>
      </c>
      <c r="H3644" s="129" t="str">
        <f>IF(Proc[[#This Row],[type]]="LFF (MDG-F)",MID(Proc[[#This Row],[Obj]],13,10),"")</f>
        <v/>
      </c>
      <c r="J3644" s="129" t="b">
        <f>Proc[[#This Row],[Requested]]=Proc[[#This Row],[CurrentParent]]</f>
        <v>1</v>
      </c>
      <c r="K3644" s="144" t="str">
        <f>IF(Proc[[#This Row],[Author]]="Marcela Urrego",VLOOKUP(LEFT(Proc[[#This Row],[Requested]],1),Table3[#All],2,0),VLOOKUP(Proc[[#This Row],[Author]],Table4[],2,0))</f>
        <v>LS</v>
      </c>
      <c r="L3644" s="129" t="s">
        <v>4894</v>
      </c>
      <c r="M3644" s="130">
        <v>45891</v>
      </c>
      <c r="N3644" s="131"/>
      <c r="O3644" s="131"/>
      <c r="P3644" s="130" t="str">
        <f ca="1">IF(Proc[[#This Row],[DaysAgeing]]&gt;5,"yep","on track")</f>
        <v>yep</v>
      </c>
      <c r="Q3644" s="3">
        <f ca="1">IF(Proc[[#This Row],[DateClosed]]="",ABS(NETWORKDAYS(Proc[[#This Row],[DateOpened]],TODAY()))-1,ABS(NETWORKDAYS(Proc[[#This Row],[DateOpened]],Proc[[#This Row],[DateClosed]]))-1)</f>
        <v>80</v>
      </c>
      <c r="R3644" s="130" t="s">
        <v>489</v>
      </c>
      <c r="S3644" s="129"/>
    </row>
    <row r="3645" spans="1:19">
      <c r="A3645" s="135" t="s">
        <v>5741</v>
      </c>
      <c r="B3645" s="149" t="str">
        <f>IFERROR(VLOOKUP(Proc[[#This Row],[App]],Table2[],3,0),"open")</f>
        <v>ok</v>
      </c>
      <c r="C3645" s="135" t="s">
        <v>369</v>
      </c>
      <c r="D3645" t="s">
        <v>5755</v>
      </c>
      <c r="E3645" t="s">
        <v>5270</v>
      </c>
      <c r="F3645" s="129" t="s">
        <v>5270</v>
      </c>
      <c r="G3645" s="135" t="s">
        <v>400</v>
      </c>
      <c r="H3645" s="129" t="str">
        <f>IF(Proc[[#This Row],[type]]="LFF (MDG-F)",MID(Proc[[#This Row],[Obj]],13,10),"")</f>
        <v/>
      </c>
      <c r="J3645" s="129" t="b">
        <f>Proc[[#This Row],[Requested]]=Proc[[#This Row],[CurrentParent]]</f>
        <v>1</v>
      </c>
      <c r="K3645" s="144" t="str">
        <f>IF(Proc[[#This Row],[Author]]="Marcela Urrego",VLOOKUP(LEFT(Proc[[#This Row],[Requested]],1),Table3[#All],2,0),VLOOKUP(Proc[[#This Row],[Author]],Table4[],2,0))</f>
        <v>LS</v>
      </c>
      <c r="L3645" s="129" t="s">
        <v>4894</v>
      </c>
      <c r="M3645" s="130">
        <v>45891</v>
      </c>
      <c r="N3645" s="131"/>
      <c r="O3645" s="131"/>
      <c r="P3645" s="130" t="str">
        <f ca="1">IF(Proc[[#This Row],[DaysAgeing]]&gt;5,"yep","on track")</f>
        <v>yep</v>
      </c>
      <c r="Q3645" s="3">
        <f ca="1">IF(Proc[[#This Row],[DateClosed]]="",ABS(NETWORKDAYS(Proc[[#This Row],[DateOpened]],TODAY()))-1,ABS(NETWORKDAYS(Proc[[#This Row],[DateOpened]],Proc[[#This Row],[DateClosed]]))-1)</f>
        <v>80</v>
      </c>
      <c r="R3645" s="130" t="s">
        <v>489</v>
      </c>
      <c r="S3645" s="129"/>
    </row>
    <row r="3646" spans="1:19">
      <c r="A3646" s="135" t="s">
        <v>5741</v>
      </c>
      <c r="B3646" s="149" t="str">
        <f>IFERROR(VLOOKUP(Proc[[#This Row],[App]],Table2[],3,0),"open")</f>
        <v>ok</v>
      </c>
      <c r="C3646" s="135" t="s">
        <v>369</v>
      </c>
      <c r="D3646" t="s">
        <v>5756</v>
      </c>
      <c r="E3646" t="s">
        <v>5270</v>
      </c>
      <c r="F3646" s="129" t="s">
        <v>5270</v>
      </c>
      <c r="G3646" s="135" t="s">
        <v>406</v>
      </c>
      <c r="H3646" s="129" t="str">
        <f>IF(Proc[[#This Row],[type]]="LFF (MDG-F)",MID(Proc[[#This Row],[Obj]],13,10),"")</f>
        <v>DE73R00021</v>
      </c>
      <c r="J3646" s="129" t="b">
        <f>Proc[[#This Row],[Requested]]=Proc[[#This Row],[CurrentParent]]</f>
        <v>1</v>
      </c>
      <c r="K3646" s="144" t="str">
        <f>IF(Proc[[#This Row],[Author]]="Marcela Urrego",VLOOKUP(LEFT(Proc[[#This Row],[Requested]],1),Table3[#All],2,0),VLOOKUP(Proc[[#This Row],[Author]],Table4[],2,0))</f>
        <v>LS</v>
      </c>
      <c r="L3646" s="129" t="s">
        <v>4894</v>
      </c>
      <c r="M3646" s="130">
        <v>45891</v>
      </c>
      <c r="N3646" s="131"/>
      <c r="O3646" s="131"/>
      <c r="P3646" s="130" t="str">
        <f ca="1">IF(Proc[[#This Row],[DaysAgeing]]&gt;5,"yep","on track")</f>
        <v>yep</v>
      </c>
      <c r="Q3646" s="3">
        <f ca="1">IF(Proc[[#This Row],[DateClosed]]="",ABS(NETWORKDAYS(Proc[[#This Row],[DateOpened]],TODAY()))-1,ABS(NETWORKDAYS(Proc[[#This Row],[DateOpened]],Proc[[#This Row],[DateClosed]]))-1)</f>
        <v>80</v>
      </c>
      <c r="R3646" s="130" t="s">
        <v>489</v>
      </c>
      <c r="S3646" s="129"/>
    </row>
    <row r="3647" spans="1:19">
      <c r="A3647" s="135" t="s">
        <v>5741</v>
      </c>
      <c r="B3647" s="149" t="str">
        <f>IFERROR(VLOOKUP(Proc[[#This Row],[App]],Table2[],3,0),"open")</f>
        <v>ok</v>
      </c>
      <c r="C3647" s="135" t="s">
        <v>369</v>
      </c>
      <c r="D3647" t="s">
        <v>5757</v>
      </c>
      <c r="E3647" t="s">
        <v>5270</v>
      </c>
      <c r="F3647" s="129" t="s">
        <v>5270</v>
      </c>
      <c r="G3647" s="135" t="s">
        <v>400</v>
      </c>
      <c r="H3647" s="129" t="str">
        <f>IF(Proc[[#This Row],[type]]="LFF (MDG-F)",MID(Proc[[#This Row],[Obj]],13,10),"")</f>
        <v/>
      </c>
      <c r="J3647" s="129" t="b">
        <f>Proc[[#This Row],[Requested]]=Proc[[#This Row],[CurrentParent]]</f>
        <v>1</v>
      </c>
      <c r="K3647" s="144" t="str">
        <f>IF(Proc[[#This Row],[Author]]="Marcela Urrego",VLOOKUP(LEFT(Proc[[#This Row],[Requested]],1),Table3[#All],2,0),VLOOKUP(Proc[[#This Row],[Author]],Table4[],2,0))</f>
        <v>LS</v>
      </c>
      <c r="L3647" s="129" t="s">
        <v>4894</v>
      </c>
      <c r="M3647" s="130">
        <v>45891</v>
      </c>
      <c r="N3647" s="131"/>
      <c r="O3647" s="131"/>
      <c r="P3647" s="130" t="str">
        <f ca="1">IF(Proc[[#This Row],[DaysAgeing]]&gt;5,"yep","on track")</f>
        <v>yep</v>
      </c>
      <c r="Q3647" s="3">
        <f ca="1">IF(Proc[[#This Row],[DateClosed]]="",ABS(NETWORKDAYS(Proc[[#This Row],[DateOpened]],TODAY()))-1,ABS(NETWORKDAYS(Proc[[#This Row],[DateOpened]],Proc[[#This Row],[DateClosed]]))-1)</f>
        <v>80</v>
      </c>
      <c r="R3647" s="130" t="s">
        <v>489</v>
      </c>
      <c r="S3647" s="129"/>
    </row>
    <row r="3648" spans="1:19">
      <c r="A3648" s="135" t="s">
        <v>5741</v>
      </c>
      <c r="B3648" s="149" t="str">
        <f>IFERROR(VLOOKUP(Proc[[#This Row],[App]],Table2[],3,0),"open")</f>
        <v>ok</v>
      </c>
      <c r="C3648" s="135" t="s">
        <v>369</v>
      </c>
      <c r="D3648" t="s">
        <v>5758</v>
      </c>
      <c r="E3648" t="s">
        <v>5270</v>
      </c>
      <c r="F3648" s="129" t="s">
        <v>5270</v>
      </c>
      <c r="G3648" s="135" t="s">
        <v>406</v>
      </c>
      <c r="H3648" s="129" t="str">
        <f>IF(Proc[[#This Row],[type]]="LFF (MDG-F)",MID(Proc[[#This Row],[Obj]],13,10),"")</f>
        <v>DE73R00013</v>
      </c>
      <c r="J3648" s="129" t="b">
        <f>Proc[[#This Row],[Requested]]=Proc[[#This Row],[CurrentParent]]</f>
        <v>1</v>
      </c>
      <c r="K3648" s="144" t="str">
        <f>IF(Proc[[#This Row],[Author]]="Marcela Urrego",VLOOKUP(LEFT(Proc[[#This Row],[Requested]],1),Table3[#All],2,0),VLOOKUP(Proc[[#This Row],[Author]],Table4[],2,0))</f>
        <v>LS</v>
      </c>
      <c r="L3648" s="129" t="s">
        <v>4894</v>
      </c>
      <c r="M3648" s="130">
        <v>45891</v>
      </c>
      <c r="N3648" s="131"/>
      <c r="O3648" s="131"/>
      <c r="P3648" s="130" t="str">
        <f ca="1">IF(Proc[[#This Row],[DaysAgeing]]&gt;5,"yep","on track")</f>
        <v>yep</v>
      </c>
      <c r="Q3648" s="3">
        <f ca="1">IF(Proc[[#This Row],[DateClosed]]="",ABS(NETWORKDAYS(Proc[[#This Row],[DateOpened]],TODAY()))-1,ABS(NETWORKDAYS(Proc[[#This Row],[DateOpened]],Proc[[#This Row],[DateClosed]]))-1)</f>
        <v>80</v>
      </c>
      <c r="R3648" s="130" t="s">
        <v>489</v>
      </c>
      <c r="S3648" s="129"/>
    </row>
    <row r="3649" spans="1:19">
      <c r="A3649" s="135" t="s">
        <v>5741</v>
      </c>
      <c r="B3649" s="149" t="str">
        <f>IFERROR(VLOOKUP(Proc[[#This Row],[App]],Table2[],3,0),"open")</f>
        <v>ok</v>
      </c>
      <c r="C3649" s="135" t="s">
        <v>369</v>
      </c>
      <c r="D3649" t="s">
        <v>5759</v>
      </c>
      <c r="E3649" t="s">
        <v>5270</v>
      </c>
      <c r="F3649" s="129" t="s">
        <v>5270</v>
      </c>
      <c r="G3649" s="135" t="s">
        <v>400</v>
      </c>
      <c r="H3649" s="129" t="str">
        <f>IF(Proc[[#This Row],[type]]="LFF (MDG-F)",MID(Proc[[#This Row],[Obj]],13,10),"")</f>
        <v/>
      </c>
      <c r="J3649" s="129" t="b">
        <f>Proc[[#This Row],[Requested]]=Proc[[#This Row],[CurrentParent]]</f>
        <v>1</v>
      </c>
      <c r="K3649" s="144" t="str">
        <f>IF(Proc[[#This Row],[Author]]="Marcela Urrego",VLOOKUP(LEFT(Proc[[#This Row],[Requested]],1),Table3[#All],2,0),VLOOKUP(Proc[[#This Row],[Author]],Table4[],2,0))</f>
        <v>LS</v>
      </c>
      <c r="L3649" s="129" t="s">
        <v>4894</v>
      </c>
      <c r="M3649" s="130">
        <v>45891</v>
      </c>
      <c r="N3649" s="131"/>
      <c r="O3649" s="131"/>
      <c r="P3649" s="130" t="str">
        <f ca="1">IF(Proc[[#This Row],[DaysAgeing]]&gt;5,"yep","on track")</f>
        <v>yep</v>
      </c>
      <c r="Q3649" s="3">
        <f ca="1">IF(Proc[[#This Row],[DateClosed]]="",ABS(NETWORKDAYS(Proc[[#This Row],[DateOpened]],TODAY()))-1,ABS(NETWORKDAYS(Proc[[#This Row],[DateOpened]],Proc[[#This Row],[DateClosed]]))-1)</f>
        <v>80</v>
      </c>
      <c r="R3649" s="130" t="s">
        <v>489</v>
      </c>
      <c r="S3649" s="129"/>
    </row>
    <row r="3650" spans="1:19">
      <c r="A3650" t="s">
        <v>5772</v>
      </c>
      <c r="B3650" s="149" t="str">
        <f>IFERROR(VLOOKUP(Proc[[#This Row],[App]],Table2[],3,0),"open")</f>
        <v>ok</v>
      </c>
      <c r="C3650" s="135" t="s">
        <v>377</v>
      </c>
      <c r="D3650" t="s">
        <v>6149</v>
      </c>
      <c r="E3650" t="s">
        <v>5770</v>
      </c>
      <c r="F3650" s="150" t="s">
        <v>6275</v>
      </c>
      <c r="G3650" s="135" t="s">
        <v>406</v>
      </c>
      <c r="H3650" s="129" t="str">
        <f>IF(Proc[[#This Row],[type]]="LFF (MDG-F)",MID(Proc[[#This Row],[Obj]],13,10),"")</f>
        <v>DE10TM4000</v>
      </c>
      <c r="I3650" t="s">
        <v>5773</v>
      </c>
      <c r="J3650" s="129" t="b">
        <f>Proc[[#This Row],[Requested]]=Proc[[#This Row],[CurrentParent]]</f>
        <v>0</v>
      </c>
      <c r="K3650" s="144" t="str">
        <f>IF(Proc[[#This Row],[Author]]="Marcela Urrego",VLOOKUP(LEFT(Proc[[#This Row],[Requested]],1),Table3[#All],2,0),VLOOKUP(Proc[[#This Row],[Author]],Table4[],2,0))</f>
        <v>HC</v>
      </c>
      <c r="L3650" s="129" t="s">
        <v>4894</v>
      </c>
      <c r="M3650" s="130">
        <v>45891</v>
      </c>
      <c r="N3650" s="131"/>
      <c r="O3650" s="131"/>
      <c r="P3650" s="130" t="str">
        <f ca="1">IF(Proc[[#This Row],[DaysAgeing]]&gt;5,"yep","on track")</f>
        <v>yep</v>
      </c>
      <c r="Q3650" s="3">
        <f ca="1">IF(Proc[[#This Row],[DateClosed]]="",ABS(NETWORKDAYS(Proc[[#This Row],[DateOpened]],TODAY()))-1,ABS(NETWORKDAYS(Proc[[#This Row],[DateOpened]],Proc[[#This Row],[DateClosed]]))-1)</f>
        <v>80</v>
      </c>
      <c r="R3650" s="130" t="s">
        <v>746</v>
      </c>
      <c r="S3650" s="129"/>
    </row>
    <row r="3651" spans="1:19">
      <c r="A3651" s="135" t="s">
        <v>5772</v>
      </c>
      <c r="B3651" s="149" t="str">
        <f>IFERROR(VLOOKUP(Proc[[#This Row],[App]],Table2[],3,0),"open")</f>
        <v>ok</v>
      </c>
      <c r="C3651" s="135" t="s">
        <v>369</v>
      </c>
      <c r="D3651" t="s">
        <v>5760</v>
      </c>
      <c r="E3651" t="s">
        <v>5770</v>
      </c>
      <c r="F3651" s="129" t="s">
        <v>5770</v>
      </c>
      <c r="G3651" s="135" t="s">
        <v>406</v>
      </c>
      <c r="H3651" s="129" t="str">
        <f>IF(Proc[[#This Row],[type]]="LFF (MDG-F)",MID(Proc[[#This Row],[Obj]],13,10),"")</f>
        <v>BE10DB3600</v>
      </c>
      <c r="J3651" s="129" t="b">
        <f>Proc[[#This Row],[Requested]]=Proc[[#This Row],[CurrentParent]]</f>
        <v>1</v>
      </c>
      <c r="K3651" s="144" t="str">
        <f>IF(Proc[[#This Row],[Author]]="Marcela Urrego",VLOOKUP(LEFT(Proc[[#This Row],[Requested]],1),Table3[#All],2,0),VLOOKUP(Proc[[#This Row],[Author]],Table4[],2,0))</f>
        <v>HC</v>
      </c>
      <c r="L3651" s="129" t="s">
        <v>4894</v>
      </c>
      <c r="M3651" s="130">
        <v>45891</v>
      </c>
      <c r="N3651" s="131"/>
      <c r="O3651" s="131"/>
      <c r="P3651" s="130" t="str">
        <f ca="1">IF(Proc[[#This Row],[DaysAgeing]]&gt;5,"yep","on track")</f>
        <v>yep</v>
      </c>
      <c r="Q3651" s="3">
        <f ca="1">IF(Proc[[#This Row],[DateClosed]]="",ABS(NETWORKDAYS(Proc[[#This Row],[DateOpened]],TODAY()))-1,ABS(NETWORKDAYS(Proc[[#This Row],[DateOpened]],Proc[[#This Row],[DateClosed]]))-1)</f>
        <v>80</v>
      </c>
      <c r="R3651" s="130" t="s">
        <v>746</v>
      </c>
      <c r="S3651" s="129"/>
    </row>
    <row r="3652" spans="1:19">
      <c r="A3652" s="135" t="s">
        <v>5772</v>
      </c>
      <c r="B3652" s="149" t="str">
        <f>IFERROR(VLOOKUP(Proc[[#This Row],[App]],Table2[],3,0),"open")</f>
        <v>ok</v>
      </c>
      <c r="C3652" s="138" t="s">
        <v>369</v>
      </c>
      <c r="D3652" t="s">
        <v>5761</v>
      </c>
      <c r="E3652" t="s">
        <v>5770</v>
      </c>
      <c r="F3652" s="129" t="s">
        <v>5770</v>
      </c>
      <c r="G3652" s="135" t="s">
        <v>406</v>
      </c>
      <c r="H3652" s="129" t="str">
        <f>IF(Proc[[#This Row],[type]]="LFF (MDG-F)",MID(Proc[[#This Row],[Obj]],13,10),"")</f>
        <v>FR10DB3600</v>
      </c>
      <c r="J3652" s="129" t="b">
        <f>Proc[[#This Row],[Requested]]=Proc[[#This Row],[CurrentParent]]</f>
        <v>1</v>
      </c>
      <c r="K3652" s="144" t="str">
        <f>IF(Proc[[#This Row],[Author]]="Marcela Urrego",VLOOKUP(LEFT(Proc[[#This Row],[Requested]],1),Table3[#All],2,0),VLOOKUP(Proc[[#This Row],[Author]],Table4[],2,0))</f>
        <v>HC</v>
      </c>
      <c r="L3652" s="129" t="s">
        <v>4894</v>
      </c>
      <c r="M3652" s="130">
        <v>45891</v>
      </c>
      <c r="N3652" s="131"/>
      <c r="O3652" s="131"/>
      <c r="P3652" s="130" t="str">
        <f ca="1">IF(Proc[[#This Row],[DaysAgeing]]&gt;5,"yep","on track")</f>
        <v>yep</v>
      </c>
      <c r="Q3652" s="3">
        <f ca="1">IF(Proc[[#This Row],[DateClosed]]="",ABS(NETWORKDAYS(Proc[[#This Row],[DateOpened]],TODAY()))-1,ABS(NETWORKDAYS(Proc[[#This Row],[DateOpened]],Proc[[#This Row],[DateClosed]]))-1)</f>
        <v>80</v>
      </c>
      <c r="R3652" s="130" t="s">
        <v>746</v>
      </c>
      <c r="S3652" s="129"/>
    </row>
    <row r="3653" spans="1:19">
      <c r="A3653" s="135" t="s">
        <v>5772</v>
      </c>
      <c r="B3653" s="149" t="str">
        <f>IFERROR(VLOOKUP(Proc[[#This Row],[App]],Table2[],3,0),"open")</f>
        <v>ok</v>
      </c>
      <c r="C3653" s="138" t="s">
        <v>369</v>
      </c>
      <c r="D3653" t="s">
        <v>5762</v>
      </c>
      <c r="E3653" t="s">
        <v>5770</v>
      </c>
      <c r="F3653" s="129" t="s">
        <v>5770</v>
      </c>
      <c r="G3653" s="135" t="s">
        <v>406</v>
      </c>
      <c r="H3653" s="129" t="str">
        <f>IF(Proc[[#This Row],[type]]="LFF (MDG-F)",MID(Proc[[#This Row],[Obj]],13,10),"")</f>
        <v>GB10DB3600</v>
      </c>
      <c r="J3653" s="129" t="b">
        <f>Proc[[#This Row],[Requested]]=Proc[[#This Row],[CurrentParent]]</f>
        <v>1</v>
      </c>
      <c r="K3653" s="144" t="str">
        <f>IF(Proc[[#This Row],[Author]]="Marcela Urrego",VLOOKUP(LEFT(Proc[[#This Row],[Requested]],1),Table3[#All],2,0),VLOOKUP(Proc[[#This Row],[Author]],Table4[],2,0))</f>
        <v>HC</v>
      </c>
      <c r="L3653" s="129" t="s">
        <v>4894</v>
      </c>
      <c r="M3653" s="130">
        <v>45891</v>
      </c>
      <c r="N3653" s="131"/>
      <c r="O3653" s="131"/>
      <c r="P3653" s="130" t="str">
        <f ca="1">IF(Proc[[#This Row],[DaysAgeing]]&gt;5,"yep","on track")</f>
        <v>yep</v>
      </c>
      <c r="Q3653" s="3">
        <f ca="1">IF(Proc[[#This Row],[DateClosed]]="",ABS(NETWORKDAYS(Proc[[#This Row],[DateOpened]],TODAY()))-1,ABS(NETWORKDAYS(Proc[[#This Row],[DateOpened]],Proc[[#This Row],[DateClosed]]))-1)</f>
        <v>80</v>
      </c>
      <c r="R3653" s="130" t="s">
        <v>746</v>
      </c>
      <c r="S3653" s="129"/>
    </row>
    <row r="3654" spans="1:19">
      <c r="A3654" s="135" t="s">
        <v>5772</v>
      </c>
      <c r="B3654" s="149" t="str">
        <f>IFERROR(VLOOKUP(Proc[[#This Row],[App]],Table2[],3,0),"open")</f>
        <v>ok</v>
      </c>
      <c r="C3654" s="138" t="s">
        <v>369</v>
      </c>
      <c r="D3654" t="s">
        <v>5763</v>
      </c>
      <c r="E3654" t="s">
        <v>5770</v>
      </c>
      <c r="F3654" s="129" t="s">
        <v>5770</v>
      </c>
      <c r="G3654" s="135" t="s">
        <v>406</v>
      </c>
      <c r="H3654" s="129" t="str">
        <f>IF(Proc[[#This Row],[type]]="LFF (MDG-F)",MID(Proc[[#This Row],[Obj]],13,10),"")</f>
        <v>IE10DB3600</v>
      </c>
      <c r="J3654" s="129" t="b">
        <f>Proc[[#This Row],[Requested]]=Proc[[#This Row],[CurrentParent]]</f>
        <v>1</v>
      </c>
      <c r="K3654" s="144" t="str">
        <f>IF(Proc[[#This Row],[Author]]="Marcela Urrego",VLOOKUP(LEFT(Proc[[#This Row],[Requested]],1),Table3[#All],2,0),VLOOKUP(Proc[[#This Row],[Author]],Table4[],2,0))</f>
        <v>HC</v>
      </c>
      <c r="L3654" s="129" t="s">
        <v>4894</v>
      </c>
      <c r="M3654" s="130">
        <v>45891</v>
      </c>
      <c r="N3654" s="131"/>
      <c r="O3654" s="131"/>
      <c r="P3654" s="130" t="str">
        <f ca="1">IF(Proc[[#This Row],[DaysAgeing]]&gt;5,"yep","on track")</f>
        <v>yep</v>
      </c>
      <c r="Q3654" s="3">
        <f ca="1">IF(Proc[[#This Row],[DateClosed]]="",ABS(NETWORKDAYS(Proc[[#This Row],[DateOpened]],TODAY()))-1,ABS(NETWORKDAYS(Proc[[#This Row],[DateOpened]],Proc[[#This Row],[DateClosed]]))-1)</f>
        <v>80</v>
      </c>
      <c r="R3654" s="130" t="s">
        <v>746</v>
      </c>
      <c r="S3654" s="129"/>
    </row>
    <row r="3655" spans="1:19">
      <c r="A3655" s="135" t="s">
        <v>5772</v>
      </c>
      <c r="B3655" s="149" t="str">
        <f>IFERROR(VLOOKUP(Proc[[#This Row],[App]],Table2[],3,0),"open")</f>
        <v>ok</v>
      </c>
      <c r="C3655" s="138" t="s">
        <v>369</v>
      </c>
      <c r="D3655" t="s">
        <v>5764</v>
      </c>
      <c r="E3655" t="s">
        <v>5770</v>
      </c>
      <c r="F3655" s="129" t="s">
        <v>5770</v>
      </c>
      <c r="G3655" s="135" t="s">
        <v>406</v>
      </c>
      <c r="H3655" s="129" t="str">
        <f>IF(Proc[[#This Row],[type]]="LFF (MDG-F)",MID(Proc[[#This Row],[Obj]],13,10),"")</f>
        <v>IL10DB3600</v>
      </c>
      <c r="J3655" s="129" t="b">
        <f>Proc[[#This Row],[Requested]]=Proc[[#This Row],[CurrentParent]]</f>
        <v>1</v>
      </c>
      <c r="K3655" s="144" t="str">
        <f>IF(Proc[[#This Row],[Author]]="Marcela Urrego",VLOOKUP(LEFT(Proc[[#This Row],[Requested]],1),Table3[#All],2,0),VLOOKUP(Proc[[#This Row],[Author]],Table4[],2,0))</f>
        <v>HC</v>
      </c>
      <c r="L3655" s="129" t="s">
        <v>4894</v>
      </c>
      <c r="M3655" s="130">
        <v>45891</v>
      </c>
      <c r="N3655" s="131"/>
      <c r="O3655" s="131"/>
      <c r="P3655" s="130" t="str">
        <f ca="1">IF(Proc[[#This Row],[DaysAgeing]]&gt;5,"yep","on track")</f>
        <v>yep</v>
      </c>
      <c r="Q3655" s="3">
        <f ca="1">IF(Proc[[#This Row],[DateClosed]]="",ABS(NETWORKDAYS(Proc[[#This Row],[DateOpened]],TODAY()))-1,ABS(NETWORKDAYS(Proc[[#This Row],[DateOpened]],Proc[[#This Row],[DateClosed]]))-1)</f>
        <v>80</v>
      </c>
      <c r="R3655" s="130" t="s">
        <v>746</v>
      </c>
      <c r="S3655" s="129"/>
    </row>
    <row r="3656" spans="1:19">
      <c r="A3656" s="135" t="s">
        <v>5772</v>
      </c>
      <c r="B3656" s="149" t="str">
        <f>IFERROR(VLOOKUP(Proc[[#This Row],[App]],Table2[],3,0),"open")</f>
        <v>ok</v>
      </c>
      <c r="C3656" s="138" t="s">
        <v>369</v>
      </c>
      <c r="D3656" t="s">
        <v>5765</v>
      </c>
      <c r="E3656" t="s">
        <v>5770</v>
      </c>
      <c r="F3656" s="129" t="s">
        <v>5770</v>
      </c>
      <c r="G3656" s="135" t="s">
        <v>406</v>
      </c>
      <c r="H3656" s="129" t="str">
        <f>IF(Proc[[#This Row],[type]]="LFF (MDG-F)",MID(Proc[[#This Row],[Obj]],13,10),"")</f>
        <v>IT07DB3600</v>
      </c>
      <c r="J3656" s="129" t="b">
        <f>Proc[[#This Row],[Requested]]=Proc[[#This Row],[CurrentParent]]</f>
        <v>1</v>
      </c>
      <c r="K3656" s="144" t="str">
        <f>IF(Proc[[#This Row],[Author]]="Marcela Urrego",VLOOKUP(LEFT(Proc[[#This Row],[Requested]],1),Table3[#All],2,0),VLOOKUP(Proc[[#This Row],[Author]],Table4[],2,0))</f>
        <v>HC</v>
      </c>
      <c r="L3656" s="129" t="s">
        <v>4894</v>
      </c>
      <c r="M3656" s="130">
        <v>45891</v>
      </c>
      <c r="N3656" s="131"/>
      <c r="O3656" s="131"/>
      <c r="P3656" s="130" t="str">
        <f ca="1">IF(Proc[[#This Row],[DaysAgeing]]&gt;5,"yep","on track")</f>
        <v>yep</v>
      </c>
      <c r="Q3656" s="3">
        <f ca="1">IF(Proc[[#This Row],[DateClosed]]="",ABS(NETWORKDAYS(Proc[[#This Row],[DateOpened]],TODAY()))-1,ABS(NETWORKDAYS(Proc[[#This Row],[DateOpened]],Proc[[#This Row],[DateClosed]]))-1)</f>
        <v>80</v>
      </c>
      <c r="R3656" s="130" t="s">
        <v>746</v>
      </c>
      <c r="S3656" s="129"/>
    </row>
    <row r="3657" spans="1:19">
      <c r="A3657" s="135" t="s">
        <v>5772</v>
      </c>
      <c r="B3657" s="149" t="str">
        <f>IFERROR(VLOOKUP(Proc[[#This Row],[App]],Table2[],3,0),"open")</f>
        <v>ok</v>
      </c>
      <c r="C3657" s="138" t="s">
        <v>369</v>
      </c>
      <c r="D3657" t="s">
        <v>5766</v>
      </c>
      <c r="E3657" t="s">
        <v>5770</v>
      </c>
      <c r="F3657" s="129" t="s">
        <v>5770</v>
      </c>
      <c r="G3657" s="135" t="s">
        <v>406</v>
      </c>
      <c r="H3657" s="129" t="str">
        <f>IF(Proc[[#This Row],[type]]="LFF (MDG-F)",MID(Proc[[#This Row],[Obj]],13,10),"")</f>
        <v>NL10DB3600</v>
      </c>
      <c r="J3657" s="129" t="b">
        <f>Proc[[#This Row],[Requested]]=Proc[[#This Row],[CurrentParent]]</f>
        <v>1</v>
      </c>
      <c r="K3657" s="144" t="str">
        <f>IF(Proc[[#This Row],[Author]]="Marcela Urrego",VLOOKUP(LEFT(Proc[[#This Row],[Requested]],1),Table3[#All],2,0),VLOOKUP(Proc[[#This Row],[Author]],Table4[],2,0))</f>
        <v>HC</v>
      </c>
      <c r="L3657" s="129" t="s">
        <v>4894</v>
      </c>
      <c r="M3657" s="130">
        <v>45891</v>
      </c>
      <c r="N3657" s="131"/>
      <c r="O3657" s="131"/>
      <c r="P3657" s="130" t="str">
        <f ca="1">IF(Proc[[#This Row],[DaysAgeing]]&gt;5,"yep","on track")</f>
        <v>yep</v>
      </c>
      <c r="Q3657" s="3">
        <f ca="1">IF(Proc[[#This Row],[DateClosed]]="",ABS(NETWORKDAYS(Proc[[#This Row],[DateOpened]],TODAY()))-1,ABS(NETWORKDAYS(Proc[[#This Row],[DateOpened]],Proc[[#This Row],[DateClosed]]))-1)</f>
        <v>80</v>
      </c>
      <c r="R3657" s="130" t="s">
        <v>746</v>
      </c>
      <c r="S3657" s="129"/>
    </row>
    <row r="3658" spans="1:19">
      <c r="A3658" s="135" t="s">
        <v>5772</v>
      </c>
      <c r="B3658" s="149" t="str">
        <f>IFERROR(VLOOKUP(Proc[[#This Row],[App]],Table2[],3,0),"open")</f>
        <v>ok</v>
      </c>
      <c r="C3658" s="135" t="s">
        <v>369</v>
      </c>
      <c r="D3658" t="s">
        <v>5767</v>
      </c>
      <c r="E3658" t="s">
        <v>5771</v>
      </c>
      <c r="F3658" s="129" t="s">
        <v>5771</v>
      </c>
      <c r="G3658" s="135" t="s">
        <v>406</v>
      </c>
      <c r="H3658" s="129" t="str">
        <f>IF(Proc[[#This Row],[type]]="LFF (MDG-F)",MID(Proc[[#This Row],[Obj]],13,10),"")</f>
        <v>DE01OF0303</v>
      </c>
      <c r="J3658" s="129" t="b">
        <f>Proc[[#This Row],[Requested]]=Proc[[#This Row],[CurrentParent]]</f>
        <v>1</v>
      </c>
      <c r="K3658" s="144" t="str">
        <f>IF(Proc[[#This Row],[Author]]="Marcela Urrego",VLOOKUP(LEFT(Proc[[#This Row],[Requested]],1),Table3[#All],2,0),VLOOKUP(Proc[[#This Row],[Author]],Table4[],2,0))</f>
        <v>HC</v>
      </c>
      <c r="L3658" s="129" t="s">
        <v>4894</v>
      </c>
      <c r="M3658" s="130">
        <v>45891</v>
      </c>
      <c r="N3658" s="131"/>
      <c r="O3658" s="131"/>
      <c r="P3658" s="130" t="str">
        <f ca="1">IF(Proc[[#This Row],[DaysAgeing]]&gt;5,"yep","on track")</f>
        <v>yep</v>
      </c>
      <c r="Q3658" s="3">
        <f ca="1">IF(Proc[[#This Row],[DateClosed]]="",ABS(NETWORKDAYS(Proc[[#This Row],[DateOpened]],TODAY()))-1,ABS(NETWORKDAYS(Proc[[#This Row],[DateOpened]],Proc[[#This Row],[DateClosed]]))-1)</f>
        <v>80</v>
      </c>
      <c r="R3658" s="130" t="s">
        <v>746</v>
      </c>
      <c r="S3658" s="129"/>
    </row>
    <row r="3659" spans="1:19">
      <c r="A3659" s="135" t="s">
        <v>5772</v>
      </c>
      <c r="B3659" s="149" t="str">
        <f>IFERROR(VLOOKUP(Proc[[#This Row],[App]],Table2[],3,0),"open")</f>
        <v>ok</v>
      </c>
      <c r="C3659" s="135" t="s">
        <v>369</v>
      </c>
      <c r="D3659" t="s">
        <v>5768</v>
      </c>
      <c r="E3659" t="s">
        <v>5771</v>
      </c>
      <c r="F3659" s="129" t="s">
        <v>5771</v>
      </c>
      <c r="G3659" s="135" t="s">
        <v>406</v>
      </c>
      <c r="H3659" s="129" t="str">
        <f>IF(Proc[[#This Row],[type]]="LFF (MDG-F)",MID(Proc[[#This Row],[Obj]],13,10),"")</f>
        <v>DE04OFHQ02</v>
      </c>
      <c r="J3659" s="129" t="b">
        <f>Proc[[#This Row],[Requested]]=Proc[[#This Row],[CurrentParent]]</f>
        <v>1</v>
      </c>
      <c r="K3659" s="144" t="str">
        <f>IF(Proc[[#This Row],[Author]]="Marcela Urrego",VLOOKUP(LEFT(Proc[[#This Row],[Requested]],1),Table3[#All],2,0),VLOOKUP(Proc[[#This Row],[Author]],Table4[],2,0))</f>
        <v>HC</v>
      </c>
      <c r="L3659" s="129" t="s">
        <v>4894</v>
      </c>
      <c r="M3659" s="130">
        <v>45891</v>
      </c>
      <c r="N3659" s="131"/>
      <c r="O3659" s="131"/>
      <c r="P3659" s="130" t="str">
        <f ca="1">IF(Proc[[#This Row],[DaysAgeing]]&gt;5,"yep","on track")</f>
        <v>yep</v>
      </c>
      <c r="Q3659" s="3">
        <f ca="1">IF(Proc[[#This Row],[DateClosed]]="",ABS(NETWORKDAYS(Proc[[#This Row],[DateOpened]],TODAY()))-1,ABS(NETWORKDAYS(Proc[[#This Row],[DateOpened]],Proc[[#This Row],[DateClosed]]))-1)</f>
        <v>80</v>
      </c>
      <c r="R3659" s="130" t="s">
        <v>746</v>
      </c>
      <c r="S3659" s="129"/>
    </row>
    <row r="3660" spans="1:19">
      <c r="A3660" s="135" t="s">
        <v>5772</v>
      </c>
      <c r="B3660" s="149" t="str">
        <f>IFERROR(VLOOKUP(Proc[[#This Row],[App]],Table2[],3,0),"open")</f>
        <v>ok</v>
      </c>
      <c r="C3660" s="135" t="s">
        <v>369</v>
      </c>
      <c r="D3660" t="s">
        <v>5769</v>
      </c>
      <c r="E3660" t="s">
        <v>5771</v>
      </c>
      <c r="F3660" s="129" t="s">
        <v>5771</v>
      </c>
      <c r="G3660" s="135" t="s">
        <v>406</v>
      </c>
      <c r="H3660" s="129" t="str">
        <f>IF(Proc[[#This Row],[type]]="LFF (MDG-F)",MID(Proc[[#This Row],[Obj]],13,10),"")</f>
        <v>DE04TP5000</v>
      </c>
      <c r="J3660" s="129" t="b">
        <f>Proc[[#This Row],[Requested]]=Proc[[#This Row],[CurrentParent]]</f>
        <v>1</v>
      </c>
      <c r="K3660" s="144" t="str">
        <f>IF(Proc[[#This Row],[Author]]="Marcela Urrego",VLOOKUP(LEFT(Proc[[#This Row],[Requested]],1),Table3[#All],2,0),VLOOKUP(Proc[[#This Row],[Author]],Table4[],2,0))</f>
        <v>HC</v>
      </c>
      <c r="L3660" s="129" t="s">
        <v>4894</v>
      </c>
      <c r="M3660" s="130">
        <v>45891</v>
      </c>
      <c r="N3660" s="131"/>
      <c r="O3660" s="131"/>
      <c r="P3660" s="130" t="str">
        <f ca="1">IF(Proc[[#This Row],[DaysAgeing]]&gt;5,"yep","on track")</f>
        <v>yep</v>
      </c>
      <c r="Q3660" s="3">
        <f ca="1">IF(Proc[[#This Row],[DateClosed]]="",ABS(NETWORKDAYS(Proc[[#This Row],[DateOpened]],TODAY()))-1,ABS(NETWORKDAYS(Proc[[#This Row],[DateOpened]],Proc[[#This Row],[DateClosed]]))-1)</f>
        <v>80</v>
      </c>
      <c r="R3660" s="130" t="s">
        <v>746</v>
      </c>
      <c r="S3660" s="129"/>
    </row>
    <row r="3661" spans="1:19">
      <c r="A3661" t="s">
        <v>5774</v>
      </c>
      <c r="B3661" s="149" t="str">
        <f>IFERROR(VLOOKUP(Proc[[#This Row],[App]],Table2[],3,0),"open")</f>
        <v>ok</v>
      </c>
      <c r="C3661" s="138" t="s">
        <v>369</v>
      </c>
      <c r="D3661" t="s">
        <v>5775</v>
      </c>
      <c r="E3661" t="s">
        <v>5551</v>
      </c>
      <c r="F3661" s="129" t="s">
        <v>5551</v>
      </c>
      <c r="G3661" s="135" t="s">
        <v>400</v>
      </c>
      <c r="H3661" s="129" t="str">
        <f>IF(Proc[[#This Row],[type]]="LFF (MDG-F)",MID(Proc[[#This Row],[Obj]],13,10),"")</f>
        <v/>
      </c>
      <c r="J3661" s="129" t="b">
        <f>Proc[[#This Row],[Requested]]=Proc[[#This Row],[CurrentParent]]</f>
        <v>1</v>
      </c>
      <c r="K3661" s="144" t="str">
        <f>IF(Proc[[#This Row],[Author]]="Marcela Urrego",VLOOKUP(LEFT(Proc[[#This Row],[Requested]],1),Table3[#All],2,0),VLOOKUP(Proc[[#This Row],[Author]],Table4[],2,0))</f>
        <v>LS</v>
      </c>
      <c r="L3661" s="129" t="s">
        <v>4894</v>
      </c>
      <c r="M3661" s="130">
        <v>45894</v>
      </c>
      <c r="N3661" s="131"/>
      <c r="O3661" s="131"/>
      <c r="P3661" s="130" t="str">
        <f ca="1">IF(Proc[[#This Row],[DaysAgeing]]&gt;5,"yep","on track")</f>
        <v>yep</v>
      </c>
      <c r="Q3661" s="3">
        <f ca="1">IF(Proc[[#This Row],[DateClosed]]="",ABS(NETWORKDAYS(Proc[[#This Row],[DateOpened]],TODAY()))-1,ABS(NETWORKDAYS(Proc[[#This Row],[DateOpened]],Proc[[#This Row],[DateClosed]]))-1)</f>
        <v>79</v>
      </c>
      <c r="R3661" s="130" t="s">
        <v>489</v>
      </c>
      <c r="S3661" s="129"/>
    </row>
    <row r="3662" spans="1:19">
      <c r="A3662" s="135" t="s">
        <v>5774</v>
      </c>
      <c r="B3662" s="149" t="str">
        <f>IFERROR(VLOOKUP(Proc[[#This Row],[App]],Table2[],3,0),"open")</f>
        <v>ok</v>
      </c>
      <c r="C3662" s="138" t="s">
        <v>369</v>
      </c>
      <c r="D3662" t="s">
        <v>5776</v>
      </c>
      <c r="E3662" t="s">
        <v>5802</v>
      </c>
      <c r="F3662" s="129" t="s">
        <v>5802</v>
      </c>
      <c r="G3662" t="s">
        <v>400</v>
      </c>
      <c r="H3662" s="129" t="str">
        <f>IF(Proc[[#This Row],[type]]="LFF (MDG-F)",MID(Proc[[#This Row],[Obj]],13,10),"")</f>
        <v/>
      </c>
      <c r="J3662" s="129" t="b">
        <f>Proc[[#This Row],[Requested]]=Proc[[#This Row],[CurrentParent]]</f>
        <v>1</v>
      </c>
      <c r="K3662" s="144" t="str">
        <f>IF(Proc[[#This Row],[Author]]="Marcela Urrego",VLOOKUP(LEFT(Proc[[#This Row],[Requested]],1),Table3[#All],2,0),VLOOKUP(Proc[[#This Row],[Author]],Table4[],2,0))</f>
        <v>LS</v>
      </c>
      <c r="L3662" s="129" t="s">
        <v>4894</v>
      </c>
      <c r="M3662" s="131">
        <v>45894</v>
      </c>
      <c r="N3662" s="131"/>
      <c r="O3662" s="131"/>
      <c r="P3662" s="130" t="str">
        <f ca="1">IF(Proc[[#This Row],[DaysAgeing]]&gt;5,"yep","on track")</f>
        <v>yep</v>
      </c>
      <c r="Q3662" s="3">
        <f ca="1">IF(Proc[[#This Row],[DateClosed]]="",ABS(NETWORKDAYS(Proc[[#This Row],[DateOpened]],TODAY()))-1,ABS(NETWORKDAYS(Proc[[#This Row],[DateOpened]],Proc[[#This Row],[DateClosed]]))-1)</f>
        <v>79</v>
      </c>
      <c r="R3662" s="131" t="s">
        <v>489</v>
      </c>
      <c r="S3662" s="129"/>
    </row>
    <row r="3663" spans="1:19">
      <c r="A3663" s="135" t="s">
        <v>5774</v>
      </c>
      <c r="B3663" s="149" t="str">
        <f>IFERROR(VLOOKUP(Proc[[#This Row],[App]],Table2[],3,0),"open")</f>
        <v>ok</v>
      </c>
      <c r="C3663" s="138" t="s">
        <v>369</v>
      </c>
      <c r="D3663" t="s">
        <v>5777</v>
      </c>
      <c r="E3663" t="s">
        <v>5803</v>
      </c>
      <c r="F3663" s="129" t="s">
        <v>5803</v>
      </c>
      <c r="G3663" s="135" t="s">
        <v>400</v>
      </c>
      <c r="H3663" s="129" t="str">
        <f>IF(Proc[[#This Row],[type]]="LFF (MDG-F)",MID(Proc[[#This Row],[Obj]],13,10),"")</f>
        <v/>
      </c>
      <c r="J3663" s="129" t="b">
        <f>Proc[[#This Row],[Requested]]=Proc[[#This Row],[CurrentParent]]</f>
        <v>1</v>
      </c>
      <c r="K3663" s="144" t="str">
        <f>IF(Proc[[#This Row],[Author]]="Marcela Urrego",VLOOKUP(LEFT(Proc[[#This Row],[Requested]],1),Table3[#All],2,0),VLOOKUP(Proc[[#This Row],[Author]],Table4[],2,0))</f>
        <v>LS</v>
      </c>
      <c r="L3663" s="129" t="s">
        <v>4894</v>
      </c>
      <c r="M3663" s="131">
        <v>45894</v>
      </c>
      <c r="N3663" s="131"/>
      <c r="O3663" s="131"/>
      <c r="P3663" s="130" t="str">
        <f ca="1">IF(Proc[[#This Row],[DaysAgeing]]&gt;5,"yep","on track")</f>
        <v>yep</v>
      </c>
      <c r="Q3663" s="3">
        <f ca="1">IF(Proc[[#This Row],[DateClosed]]="",ABS(NETWORKDAYS(Proc[[#This Row],[DateOpened]],TODAY()))-1,ABS(NETWORKDAYS(Proc[[#This Row],[DateOpened]],Proc[[#This Row],[DateClosed]]))-1)</f>
        <v>79</v>
      </c>
      <c r="R3663" s="131" t="s">
        <v>489</v>
      </c>
      <c r="S3663" s="129"/>
    </row>
    <row r="3664" spans="1:19">
      <c r="A3664" s="135" t="s">
        <v>5774</v>
      </c>
      <c r="B3664" s="149" t="str">
        <f>IFERROR(VLOOKUP(Proc[[#This Row],[App]],Table2[],3,0),"open")</f>
        <v>ok</v>
      </c>
      <c r="C3664" s="138" t="s">
        <v>369</v>
      </c>
      <c r="D3664" t="s">
        <v>5778</v>
      </c>
      <c r="E3664" t="s">
        <v>5803</v>
      </c>
      <c r="F3664" s="129" t="s">
        <v>5803</v>
      </c>
      <c r="G3664" s="135" t="s">
        <v>400</v>
      </c>
      <c r="H3664" s="129" t="str">
        <f>IF(Proc[[#This Row],[type]]="LFF (MDG-F)",MID(Proc[[#This Row],[Obj]],13,10),"")</f>
        <v/>
      </c>
      <c r="J3664" s="129" t="b">
        <f>Proc[[#This Row],[Requested]]=Proc[[#This Row],[CurrentParent]]</f>
        <v>1</v>
      </c>
      <c r="K3664" s="144" t="str">
        <f>IF(Proc[[#This Row],[Author]]="Marcela Urrego",VLOOKUP(LEFT(Proc[[#This Row],[Requested]],1),Table3[#All],2,0),VLOOKUP(Proc[[#This Row],[Author]],Table4[],2,0))</f>
        <v>LS</v>
      </c>
      <c r="L3664" s="129" t="s">
        <v>4894</v>
      </c>
      <c r="M3664" s="131">
        <v>45894</v>
      </c>
      <c r="N3664" s="131"/>
      <c r="O3664" s="131"/>
      <c r="P3664" s="130" t="str">
        <f ca="1">IF(Proc[[#This Row],[DaysAgeing]]&gt;5,"yep","on track")</f>
        <v>yep</v>
      </c>
      <c r="Q3664" s="3">
        <f ca="1">IF(Proc[[#This Row],[DateClosed]]="",ABS(NETWORKDAYS(Proc[[#This Row],[DateOpened]],TODAY()))-1,ABS(NETWORKDAYS(Proc[[#This Row],[DateOpened]],Proc[[#This Row],[DateClosed]]))-1)</f>
        <v>79</v>
      </c>
      <c r="R3664" s="131" t="s">
        <v>489</v>
      </c>
      <c r="S3664" s="129"/>
    </row>
    <row r="3665" spans="1:19">
      <c r="A3665" s="135" t="s">
        <v>5774</v>
      </c>
      <c r="B3665" s="149" t="str">
        <f>IFERROR(VLOOKUP(Proc[[#This Row],[App]],Table2[],3,0),"open")</f>
        <v>ok</v>
      </c>
      <c r="C3665" s="138" t="s">
        <v>369</v>
      </c>
      <c r="D3665" t="s">
        <v>5779</v>
      </c>
      <c r="E3665" t="s">
        <v>5803</v>
      </c>
      <c r="F3665" s="129" t="s">
        <v>5803</v>
      </c>
      <c r="G3665" s="135" t="s">
        <v>400</v>
      </c>
      <c r="H3665" s="129" t="str">
        <f>IF(Proc[[#This Row],[type]]="LFF (MDG-F)",MID(Proc[[#This Row],[Obj]],13,10),"")</f>
        <v/>
      </c>
      <c r="J3665" s="129" t="b">
        <f>Proc[[#This Row],[Requested]]=Proc[[#This Row],[CurrentParent]]</f>
        <v>1</v>
      </c>
      <c r="K3665" s="144" t="str">
        <f>IF(Proc[[#This Row],[Author]]="Marcela Urrego",VLOOKUP(LEFT(Proc[[#This Row],[Requested]],1),Table3[#All],2,0),VLOOKUP(Proc[[#This Row],[Author]],Table4[],2,0))</f>
        <v>LS</v>
      </c>
      <c r="L3665" s="129" t="s">
        <v>4894</v>
      </c>
      <c r="M3665" s="131">
        <v>45894</v>
      </c>
      <c r="N3665" s="131"/>
      <c r="O3665" s="131"/>
      <c r="P3665" s="130" t="str">
        <f ca="1">IF(Proc[[#This Row],[DaysAgeing]]&gt;5,"yep","on track")</f>
        <v>yep</v>
      </c>
      <c r="Q3665" s="3">
        <f ca="1">IF(Proc[[#This Row],[DateClosed]]="",ABS(NETWORKDAYS(Proc[[#This Row],[DateOpened]],TODAY()))-1,ABS(NETWORKDAYS(Proc[[#This Row],[DateOpened]],Proc[[#This Row],[DateClosed]]))-1)</f>
        <v>79</v>
      </c>
      <c r="R3665" s="131" t="s">
        <v>489</v>
      </c>
      <c r="S3665" s="129"/>
    </row>
    <row r="3666" spans="1:19">
      <c r="A3666" s="135" t="s">
        <v>5774</v>
      </c>
      <c r="B3666" s="149" t="str">
        <f>IFERROR(VLOOKUP(Proc[[#This Row],[App]],Table2[],3,0),"open")</f>
        <v>ok</v>
      </c>
      <c r="C3666" s="138" t="s">
        <v>369</v>
      </c>
      <c r="D3666" t="s">
        <v>5780</v>
      </c>
      <c r="E3666" t="s">
        <v>5804</v>
      </c>
      <c r="F3666" s="129" t="s">
        <v>5804</v>
      </c>
      <c r="G3666" s="135" t="s">
        <v>400</v>
      </c>
      <c r="H3666" s="129" t="str">
        <f>IF(Proc[[#This Row],[type]]="LFF (MDG-F)",MID(Proc[[#This Row],[Obj]],13,10),"")</f>
        <v/>
      </c>
      <c r="J3666" s="129" t="b">
        <f>Proc[[#This Row],[Requested]]=Proc[[#This Row],[CurrentParent]]</f>
        <v>1</v>
      </c>
      <c r="K3666" s="144" t="str">
        <f>IF(Proc[[#This Row],[Author]]="Marcela Urrego",VLOOKUP(LEFT(Proc[[#This Row],[Requested]],1),Table3[#All],2,0),VLOOKUP(Proc[[#This Row],[Author]],Table4[],2,0))</f>
        <v>LS</v>
      </c>
      <c r="L3666" s="129" t="s">
        <v>4894</v>
      </c>
      <c r="M3666" s="131">
        <v>45894</v>
      </c>
      <c r="N3666" s="131"/>
      <c r="O3666" s="131"/>
      <c r="P3666" s="130" t="str">
        <f ca="1">IF(Proc[[#This Row],[DaysAgeing]]&gt;5,"yep","on track")</f>
        <v>yep</v>
      </c>
      <c r="Q3666" s="3">
        <f ca="1">IF(Proc[[#This Row],[DateClosed]]="",ABS(NETWORKDAYS(Proc[[#This Row],[DateOpened]],TODAY()))-1,ABS(NETWORKDAYS(Proc[[#This Row],[DateOpened]],Proc[[#This Row],[DateClosed]]))-1)</f>
        <v>79</v>
      </c>
      <c r="R3666" s="131" t="s">
        <v>489</v>
      </c>
      <c r="S3666" s="129"/>
    </row>
    <row r="3667" spans="1:19">
      <c r="A3667" s="135" t="s">
        <v>5774</v>
      </c>
      <c r="B3667" s="149" t="str">
        <f>IFERROR(VLOOKUP(Proc[[#This Row],[App]],Table2[],3,0),"open")</f>
        <v>ok</v>
      </c>
      <c r="C3667" s="138" t="s">
        <v>369</v>
      </c>
      <c r="D3667" t="s">
        <v>5781</v>
      </c>
      <c r="E3667" t="s">
        <v>5804</v>
      </c>
      <c r="F3667" s="129" t="s">
        <v>5804</v>
      </c>
      <c r="G3667" s="135" t="s">
        <v>400</v>
      </c>
      <c r="H3667" s="129" t="str">
        <f>IF(Proc[[#This Row],[type]]="LFF (MDG-F)",MID(Proc[[#This Row],[Obj]],13,10),"")</f>
        <v/>
      </c>
      <c r="J3667" s="129" t="b">
        <f>Proc[[#This Row],[Requested]]=Proc[[#This Row],[CurrentParent]]</f>
        <v>1</v>
      </c>
      <c r="K3667" s="144" t="str">
        <f>IF(Proc[[#This Row],[Author]]="Marcela Urrego",VLOOKUP(LEFT(Proc[[#This Row],[Requested]],1),Table3[#All],2,0),VLOOKUP(Proc[[#This Row],[Author]],Table4[],2,0))</f>
        <v>LS</v>
      </c>
      <c r="L3667" s="129" t="s">
        <v>4894</v>
      </c>
      <c r="M3667" s="131">
        <v>45894</v>
      </c>
      <c r="N3667" s="131"/>
      <c r="O3667" s="131"/>
      <c r="P3667" s="130" t="str">
        <f ca="1">IF(Proc[[#This Row],[DaysAgeing]]&gt;5,"yep","on track")</f>
        <v>yep</v>
      </c>
      <c r="Q3667" s="3">
        <f ca="1">IF(Proc[[#This Row],[DateClosed]]="",ABS(NETWORKDAYS(Proc[[#This Row],[DateOpened]],TODAY()))-1,ABS(NETWORKDAYS(Proc[[#This Row],[DateOpened]],Proc[[#This Row],[DateClosed]]))-1)</f>
        <v>79</v>
      </c>
      <c r="R3667" s="131" t="s">
        <v>489</v>
      </c>
      <c r="S3667" s="129"/>
    </row>
    <row r="3668" spans="1:19">
      <c r="A3668" s="135" t="s">
        <v>5774</v>
      </c>
      <c r="B3668" s="149" t="str">
        <f>IFERROR(VLOOKUP(Proc[[#This Row],[App]],Table2[],3,0),"open")</f>
        <v>ok</v>
      </c>
      <c r="C3668" s="138" t="s">
        <v>369</v>
      </c>
      <c r="D3668" t="s">
        <v>5782</v>
      </c>
      <c r="E3668" t="s">
        <v>5805</v>
      </c>
      <c r="F3668" s="129" t="s">
        <v>5805</v>
      </c>
      <c r="G3668" s="135" t="s">
        <v>400</v>
      </c>
      <c r="H3668" s="129" t="str">
        <f>IF(Proc[[#This Row],[type]]="LFF (MDG-F)",MID(Proc[[#This Row],[Obj]],13,10),"")</f>
        <v/>
      </c>
      <c r="J3668" s="129" t="b">
        <f>Proc[[#This Row],[Requested]]=Proc[[#This Row],[CurrentParent]]</f>
        <v>1</v>
      </c>
      <c r="K3668" s="144" t="str">
        <f>IF(Proc[[#This Row],[Author]]="Marcela Urrego",VLOOKUP(LEFT(Proc[[#This Row],[Requested]],1),Table3[#All],2,0),VLOOKUP(Proc[[#This Row],[Author]],Table4[],2,0))</f>
        <v>LS</v>
      </c>
      <c r="L3668" s="129" t="s">
        <v>4894</v>
      </c>
      <c r="M3668" s="131">
        <v>45894</v>
      </c>
      <c r="N3668" s="131"/>
      <c r="O3668" s="131"/>
      <c r="P3668" s="130" t="str">
        <f ca="1">IF(Proc[[#This Row],[DaysAgeing]]&gt;5,"yep","on track")</f>
        <v>yep</v>
      </c>
      <c r="Q3668" s="3">
        <f ca="1">IF(Proc[[#This Row],[DateClosed]]="",ABS(NETWORKDAYS(Proc[[#This Row],[DateOpened]],TODAY()))-1,ABS(NETWORKDAYS(Proc[[#This Row],[DateOpened]],Proc[[#This Row],[DateClosed]]))-1)</f>
        <v>79</v>
      </c>
      <c r="R3668" s="131" t="s">
        <v>489</v>
      </c>
      <c r="S3668" s="129"/>
    </row>
    <row r="3669" spans="1:19">
      <c r="A3669" s="135" t="s">
        <v>5774</v>
      </c>
      <c r="B3669" s="149" t="str">
        <f>IFERROR(VLOOKUP(Proc[[#This Row],[App]],Table2[],3,0),"open")</f>
        <v>ok</v>
      </c>
      <c r="C3669" s="138" t="s">
        <v>369</v>
      </c>
      <c r="D3669" t="s">
        <v>5783</v>
      </c>
      <c r="E3669" t="s">
        <v>5805</v>
      </c>
      <c r="F3669" s="129" t="s">
        <v>5805</v>
      </c>
      <c r="G3669" s="135" t="s">
        <v>400</v>
      </c>
      <c r="H3669" s="129" t="str">
        <f>IF(Proc[[#This Row],[type]]="LFF (MDG-F)",MID(Proc[[#This Row],[Obj]],13,10),"")</f>
        <v/>
      </c>
      <c r="J3669" s="129" t="b">
        <f>Proc[[#This Row],[Requested]]=Proc[[#This Row],[CurrentParent]]</f>
        <v>1</v>
      </c>
      <c r="K3669" s="144" t="str">
        <f>IF(Proc[[#This Row],[Author]]="Marcela Urrego",VLOOKUP(LEFT(Proc[[#This Row],[Requested]],1),Table3[#All],2,0),VLOOKUP(Proc[[#This Row],[Author]],Table4[],2,0))</f>
        <v>LS</v>
      </c>
      <c r="L3669" s="129" t="s">
        <v>4894</v>
      </c>
      <c r="M3669" s="131">
        <v>45894</v>
      </c>
      <c r="N3669" s="131"/>
      <c r="O3669" s="131"/>
      <c r="P3669" s="130" t="str">
        <f ca="1">IF(Proc[[#This Row],[DaysAgeing]]&gt;5,"yep","on track")</f>
        <v>yep</v>
      </c>
      <c r="Q3669" s="3">
        <f ca="1">IF(Proc[[#This Row],[DateClosed]]="",ABS(NETWORKDAYS(Proc[[#This Row],[DateOpened]],TODAY()))-1,ABS(NETWORKDAYS(Proc[[#This Row],[DateOpened]],Proc[[#This Row],[DateClosed]]))-1)</f>
        <v>79</v>
      </c>
      <c r="R3669" s="131" t="s">
        <v>489</v>
      </c>
      <c r="S3669" s="129"/>
    </row>
    <row r="3670" spans="1:19">
      <c r="A3670" s="135" t="s">
        <v>5774</v>
      </c>
      <c r="B3670" s="149" t="str">
        <f>IFERROR(VLOOKUP(Proc[[#This Row],[App]],Table2[],3,0),"open")</f>
        <v>ok</v>
      </c>
      <c r="C3670" s="138" t="s">
        <v>369</v>
      </c>
      <c r="D3670" t="s">
        <v>5784</v>
      </c>
      <c r="E3670" t="s">
        <v>5806</v>
      </c>
      <c r="F3670" s="129" t="s">
        <v>5806</v>
      </c>
      <c r="G3670" s="135" t="s">
        <v>400</v>
      </c>
      <c r="H3670" s="129" t="str">
        <f>IF(Proc[[#This Row],[type]]="LFF (MDG-F)",MID(Proc[[#This Row],[Obj]],13,10),"")</f>
        <v/>
      </c>
      <c r="J3670" s="129" t="b">
        <f>Proc[[#This Row],[Requested]]=Proc[[#This Row],[CurrentParent]]</f>
        <v>1</v>
      </c>
      <c r="K3670" s="144" t="str">
        <f>IF(Proc[[#This Row],[Author]]="Marcela Urrego",VLOOKUP(LEFT(Proc[[#This Row],[Requested]],1),Table3[#All],2,0),VLOOKUP(Proc[[#This Row],[Author]],Table4[],2,0))</f>
        <v>LS</v>
      </c>
      <c r="L3670" s="129" t="s">
        <v>4894</v>
      </c>
      <c r="M3670" s="131">
        <v>45894</v>
      </c>
      <c r="N3670" s="131"/>
      <c r="O3670" s="131"/>
      <c r="P3670" s="130" t="str">
        <f ca="1">IF(Proc[[#This Row],[DaysAgeing]]&gt;5,"yep","on track")</f>
        <v>yep</v>
      </c>
      <c r="Q3670" s="3">
        <f ca="1">IF(Proc[[#This Row],[DateClosed]]="",ABS(NETWORKDAYS(Proc[[#This Row],[DateOpened]],TODAY()))-1,ABS(NETWORKDAYS(Proc[[#This Row],[DateOpened]],Proc[[#This Row],[DateClosed]]))-1)</f>
        <v>79</v>
      </c>
      <c r="R3670" s="131" t="s">
        <v>489</v>
      </c>
      <c r="S3670" s="129"/>
    </row>
    <row r="3671" spans="1:19">
      <c r="A3671" s="135" t="s">
        <v>5774</v>
      </c>
      <c r="B3671" s="149" t="str">
        <f>IFERROR(VLOOKUP(Proc[[#This Row],[App]],Table2[],3,0),"open")</f>
        <v>ok</v>
      </c>
      <c r="C3671" s="138" t="s">
        <v>369</v>
      </c>
      <c r="D3671" t="s">
        <v>5785</v>
      </c>
      <c r="E3671" t="s">
        <v>5807</v>
      </c>
      <c r="F3671" s="129" t="s">
        <v>5807</v>
      </c>
      <c r="G3671" s="135" t="s">
        <v>400</v>
      </c>
      <c r="H3671" s="129" t="str">
        <f>IF(Proc[[#This Row],[type]]="LFF (MDG-F)",MID(Proc[[#This Row],[Obj]],13,10),"")</f>
        <v/>
      </c>
      <c r="J3671" s="129" t="b">
        <f>Proc[[#This Row],[Requested]]=Proc[[#This Row],[CurrentParent]]</f>
        <v>1</v>
      </c>
      <c r="K3671" s="144" t="str">
        <f>IF(Proc[[#This Row],[Author]]="Marcela Urrego",VLOOKUP(LEFT(Proc[[#This Row],[Requested]],1),Table3[#All],2,0),VLOOKUP(Proc[[#This Row],[Author]],Table4[],2,0))</f>
        <v>LS</v>
      </c>
      <c r="L3671" s="129" t="s">
        <v>4894</v>
      </c>
      <c r="M3671" s="131">
        <v>45894</v>
      </c>
      <c r="N3671" s="131"/>
      <c r="O3671" s="131"/>
      <c r="P3671" s="130" t="str">
        <f ca="1">IF(Proc[[#This Row],[DaysAgeing]]&gt;5,"yep","on track")</f>
        <v>yep</v>
      </c>
      <c r="Q3671" s="3">
        <f ca="1">IF(Proc[[#This Row],[DateClosed]]="",ABS(NETWORKDAYS(Proc[[#This Row],[DateOpened]],TODAY()))-1,ABS(NETWORKDAYS(Proc[[#This Row],[DateOpened]],Proc[[#This Row],[DateClosed]]))-1)</f>
        <v>79</v>
      </c>
      <c r="R3671" s="131" t="s">
        <v>489</v>
      </c>
      <c r="S3671" s="129"/>
    </row>
    <row r="3672" spans="1:19">
      <c r="A3672" s="135" t="s">
        <v>5774</v>
      </c>
      <c r="B3672" s="149" t="str">
        <f>IFERROR(VLOOKUP(Proc[[#This Row],[App]],Table2[],3,0),"open")</f>
        <v>ok</v>
      </c>
      <c r="C3672" s="138" t="s">
        <v>369</v>
      </c>
      <c r="D3672" t="s">
        <v>5786</v>
      </c>
      <c r="E3672" t="s">
        <v>4384</v>
      </c>
      <c r="F3672" s="129" t="s">
        <v>4384</v>
      </c>
      <c r="G3672" s="135" t="s">
        <v>400</v>
      </c>
      <c r="H3672" s="129" t="str">
        <f>IF(Proc[[#This Row],[type]]="LFF (MDG-F)",MID(Proc[[#This Row],[Obj]],13,10),"")</f>
        <v/>
      </c>
      <c r="J3672" s="129" t="b">
        <f>Proc[[#This Row],[Requested]]=Proc[[#This Row],[CurrentParent]]</f>
        <v>1</v>
      </c>
      <c r="K3672" s="144" t="str">
        <f>IF(Proc[[#This Row],[Author]]="Marcela Urrego",VLOOKUP(LEFT(Proc[[#This Row],[Requested]],1),Table3[#All],2,0),VLOOKUP(Proc[[#This Row],[Author]],Table4[],2,0))</f>
        <v>LS</v>
      </c>
      <c r="L3672" s="129" t="s">
        <v>4894</v>
      </c>
      <c r="M3672" s="131">
        <v>45894</v>
      </c>
      <c r="N3672" s="131"/>
      <c r="O3672" s="131"/>
      <c r="P3672" s="130" t="str">
        <f ca="1">IF(Proc[[#This Row],[DaysAgeing]]&gt;5,"yep","on track")</f>
        <v>yep</v>
      </c>
      <c r="Q3672" s="3">
        <f ca="1">IF(Proc[[#This Row],[DateClosed]]="",ABS(NETWORKDAYS(Proc[[#This Row],[DateOpened]],TODAY()))-1,ABS(NETWORKDAYS(Proc[[#This Row],[DateOpened]],Proc[[#This Row],[DateClosed]]))-1)</f>
        <v>79</v>
      </c>
      <c r="R3672" s="131" t="s">
        <v>489</v>
      </c>
      <c r="S3672" s="129"/>
    </row>
    <row r="3673" spans="1:19">
      <c r="A3673" s="135" t="s">
        <v>5774</v>
      </c>
      <c r="B3673" s="149" t="str">
        <f>IFERROR(VLOOKUP(Proc[[#This Row],[App]],Table2[],3,0),"open")</f>
        <v>ok</v>
      </c>
      <c r="C3673" s="138" t="s">
        <v>369</v>
      </c>
      <c r="D3673" t="s">
        <v>3090</v>
      </c>
      <c r="E3673" t="s">
        <v>5808</v>
      </c>
      <c r="F3673" s="129" t="s">
        <v>5808</v>
      </c>
      <c r="G3673" s="135" t="s">
        <v>400</v>
      </c>
      <c r="H3673" s="129" t="str">
        <f>IF(Proc[[#This Row],[type]]="LFF (MDG-F)",MID(Proc[[#This Row],[Obj]],13,10),"")</f>
        <v/>
      </c>
      <c r="J3673" s="129" t="b">
        <f>Proc[[#This Row],[Requested]]=Proc[[#This Row],[CurrentParent]]</f>
        <v>1</v>
      </c>
      <c r="K3673" s="144" t="str">
        <f>IF(Proc[[#This Row],[Author]]="Marcela Urrego",VLOOKUP(LEFT(Proc[[#This Row],[Requested]],1),Table3[#All],2,0),VLOOKUP(Proc[[#This Row],[Author]],Table4[],2,0))</f>
        <v>LS</v>
      </c>
      <c r="L3673" s="129" t="s">
        <v>4894</v>
      </c>
      <c r="M3673" s="131">
        <v>45894</v>
      </c>
      <c r="N3673" s="131"/>
      <c r="O3673" s="131"/>
      <c r="P3673" s="130" t="str">
        <f ca="1">IF(Proc[[#This Row],[DaysAgeing]]&gt;5,"yep","on track")</f>
        <v>yep</v>
      </c>
      <c r="Q3673" s="3">
        <f ca="1">IF(Proc[[#This Row],[DateClosed]]="",ABS(NETWORKDAYS(Proc[[#This Row],[DateOpened]],TODAY()))-1,ABS(NETWORKDAYS(Proc[[#This Row],[DateOpened]],Proc[[#This Row],[DateClosed]]))-1)</f>
        <v>79</v>
      </c>
      <c r="R3673" s="131" t="s">
        <v>489</v>
      </c>
      <c r="S3673" s="129"/>
    </row>
    <row r="3674" spans="1:19">
      <c r="A3674" s="135" t="s">
        <v>5774</v>
      </c>
      <c r="B3674" s="149" t="str">
        <f>IFERROR(VLOOKUP(Proc[[#This Row],[App]],Table2[],3,0),"open")</f>
        <v>ok</v>
      </c>
      <c r="C3674" s="138" t="s">
        <v>369</v>
      </c>
      <c r="D3674" t="s">
        <v>5787</v>
      </c>
      <c r="E3674" t="s">
        <v>5809</v>
      </c>
      <c r="F3674" s="129" t="s">
        <v>5809</v>
      </c>
      <c r="G3674" s="135" t="s">
        <v>400</v>
      </c>
      <c r="H3674" s="129" t="str">
        <f>IF(Proc[[#This Row],[type]]="LFF (MDG-F)",MID(Proc[[#This Row],[Obj]],13,10),"")</f>
        <v/>
      </c>
      <c r="J3674" s="129" t="b">
        <f>Proc[[#This Row],[Requested]]=Proc[[#This Row],[CurrentParent]]</f>
        <v>1</v>
      </c>
      <c r="K3674" s="144" t="str">
        <f>IF(Proc[[#This Row],[Author]]="Marcela Urrego",VLOOKUP(LEFT(Proc[[#This Row],[Requested]],1),Table3[#All],2,0),VLOOKUP(Proc[[#This Row],[Author]],Table4[],2,0))</f>
        <v>LS</v>
      </c>
      <c r="L3674" s="129" t="s">
        <v>4894</v>
      </c>
      <c r="M3674" s="131">
        <v>45894</v>
      </c>
      <c r="N3674" s="131"/>
      <c r="O3674" s="131"/>
      <c r="P3674" s="130" t="str">
        <f ca="1">IF(Proc[[#This Row],[DaysAgeing]]&gt;5,"yep","on track")</f>
        <v>yep</v>
      </c>
      <c r="Q3674" s="3">
        <f ca="1">IF(Proc[[#This Row],[DateClosed]]="",ABS(NETWORKDAYS(Proc[[#This Row],[DateOpened]],TODAY()))-1,ABS(NETWORKDAYS(Proc[[#This Row],[DateOpened]],Proc[[#This Row],[DateClosed]]))-1)</f>
        <v>79</v>
      </c>
      <c r="R3674" s="131" t="s">
        <v>489</v>
      </c>
      <c r="S3674" s="129"/>
    </row>
    <row r="3675" spans="1:19">
      <c r="A3675" s="135" t="s">
        <v>5774</v>
      </c>
      <c r="B3675" s="149" t="str">
        <f>IFERROR(VLOOKUP(Proc[[#This Row],[App]],Table2[],3,0),"open")</f>
        <v>ok</v>
      </c>
      <c r="C3675" s="138" t="s">
        <v>369</v>
      </c>
      <c r="D3675" t="s">
        <v>5788</v>
      </c>
      <c r="E3675" t="s">
        <v>3544</v>
      </c>
      <c r="F3675" s="129" t="s">
        <v>3544</v>
      </c>
      <c r="G3675" s="135" t="s">
        <v>400</v>
      </c>
      <c r="H3675" s="129" t="str">
        <f>IF(Proc[[#This Row],[type]]="LFF (MDG-F)",MID(Proc[[#This Row],[Obj]],13,10),"")</f>
        <v/>
      </c>
      <c r="J3675" s="129" t="b">
        <f>Proc[[#This Row],[Requested]]=Proc[[#This Row],[CurrentParent]]</f>
        <v>1</v>
      </c>
      <c r="K3675" s="144" t="str">
        <f>IF(Proc[[#This Row],[Author]]="Marcela Urrego",VLOOKUP(LEFT(Proc[[#This Row],[Requested]],1),Table3[#All],2,0),VLOOKUP(Proc[[#This Row],[Author]],Table4[],2,0))</f>
        <v>LS</v>
      </c>
      <c r="L3675" s="129" t="s">
        <v>4894</v>
      </c>
      <c r="M3675" s="131">
        <v>45894</v>
      </c>
      <c r="N3675" s="131"/>
      <c r="O3675" s="131"/>
      <c r="P3675" s="130" t="str">
        <f ca="1">IF(Proc[[#This Row],[DaysAgeing]]&gt;5,"yep","on track")</f>
        <v>yep</v>
      </c>
      <c r="Q3675" s="3">
        <f ca="1">IF(Proc[[#This Row],[DateClosed]]="",ABS(NETWORKDAYS(Proc[[#This Row],[DateOpened]],TODAY()))-1,ABS(NETWORKDAYS(Proc[[#This Row],[DateOpened]],Proc[[#This Row],[DateClosed]]))-1)</f>
        <v>79</v>
      </c>
      <c r="R3675" s="131" t="s">
        <v>489</v>
      </c>
      <c r="S3675" s="129"/>
    </row>
    <row r="3676" spans="1:19">
      <c r="A3676" s="135" t="s">
        <v>5774</v>
      </c>
      <c r="B3676" s="149" t="str">
        <f>IFERROR(VLOOKUP(Proc[[#This Row],[App]],Table2[],3,0),"open")</f>
        <v>ok</v>
      </c>
      <c r="C3676" s="138" t="s">
        <v>369</v>
      </c>
      <c r="D3676" t="s">
        <v>5789</v>
      </c>
      <c r="E3676" t="s">
        <v>3544</v>
      </c>
      <c r="F3676" s="129" t="s">
        <v>3544</v>
      </c>
      <c r="G3676" s="135" t="s">
        <v>400</v>
      </c>
      <c r="H3676" s="129" t="str">
        <f>IF(Proc[[#This Row],[type]]="LFF (MDG-F)",MID(Proc[[#This Row],[Obj]],13,10),"")</f>
        <v/>
      </c>
      <c r="J3676" s="129" t="b">
        <f>Proc[[#This Row],[Requested]]=Proc[[#This Row],[CurrentParent]]</f>
        <v>1</v>
      </c>
      <c r="K3676" s="144" t="str">
        <f>IF(Proc[[#This Row],[Author]]="Marcela Urrego",VLOOKUP(LEFT(Proc[[#This Row],[Requested]],1),Table3[#All],2,0),VLOOKUP(Proc[[#This Row],[Author]],Table4[],2,0))</f>
        <v>LS</v>
      </c>
      <c r="L3676" s="129" t="s">
        <v>4894</v>
      </c>
      <c r="M3676" s="131">
        <v>45894</v>
      </c>
      <c r="N3676" s="131"/>
      <c r="O3676" s="131"/>
      <c r="P3676" s="130" t="str">
        <f ca="1">IF(Proc[[#This Row],[DaysAgeing]]&gt;5,"yep","on track")</f>
        <v>yep</v>
      </c>
      <c r="Q3676" s="3">
        <f ca="1">IF(Proc[[#This Row],[DateClosed]]="",ABS(NETWORKDAYS(Proc[[#This Row],[DateOpened]],TODAY()))-1,ABS(NETWORKDAYS(Proc[[#This Row],[DateOpened]],Proc[[#This Row],[DateClosed]]))-1)</f>
        <v>79</v>
      </c>
      <c r="R3676" s="131" t="s">
        <v>489</v>
      </c>
      <c r="S3676" s="129"/>
    </row>
    <row r="3677" spans="1:19">
      <c r="A3677" s="135" t="s">
        <v>5774</v>
      </c>
      <c r="B3677" s="149" t="str">
        <f>IFERROR(VLOOKUP(Proc[[#This Row],[App]],Table2[],3,0),"open")</f>
        <v>ok</v>
      </c>
      <c r="C3677" s="138" t="s">
        <v>369</v>
      </c>
      <c r="D3677" t="s">
        <v>5790</v>
      </c>
      <c r="E3677" t="s">
        <v>3544</v>
      </c>
      <c r="F3677" s="129" t="s">
        <v>3544</v>
      </c>
      <c r="G3677" s="135" t="s">
        <v>400</v>
      </c>
      <c r="H3677" s="129" t="str">
        <f>IF(Proc[[#This Row],[type]]="LFF (MDG-F)",MID(Proc[[#This Row],[Obj]],13,10),"")</f>
        <v/>
      </c>
      <c r="J3677" s="129" t="b">
        <f>Proc[[#This Row],[Requested]]=Proc[[#This Row],[CurrentParent]]</f>
        <v>1</v>
      </c>
      <c r="K3677" s="144" t="str">
        <f>IF(Proc[[#This Row],[Author]]="Marcela Urrego",VLOOKUP(LEFT(Proc[[#This Row],[Requested]],1),Table3[#All],2,0),VLOOKUP(Proc[[#This Row],[Author]],Table4[],2,0))</f>
        <v>LS</v>
      </c>
      <c r="L3677" s="129" t="s">
        <v>4894</v>
      </c>
      <c r="M3677" s="131">
        <v>45894</v>
      </c>
      <c r="N3677" s="131"/>
      <c r="O3677" s="131"/>
      <c r="P3677" s="130" t="str">
        <f ca="1">IF(Proc[[#This Row],[DaysAgeing]]&gt;5,"yep","on track")</f>
        <v>yep</v>
      </c>
      <c r="Q3677" s="3">
        <f ca="1">IF(Proc[[#This Row],[DateClosed]]="",ABS(NETWORKDAYS(Proc[[#This Row],[DateOpened]],TODAY()))-1,ABS(NETWORKDAYS(Proc[[#This Row],[DateOpened]],Proc[[#This Row],[DateClosed]]))-1)</f>
        <v>79</v>
      </c>
      <c r="R3677" s="131" t="s">
        <v>489</v>
      </c>
      <c r="S3677" s="129"/>
    </row>
    <row r="3678" spans="1:19">
      <c r="A3678" s="135" t="s">
        <v>5774</v>
      </c>
      <c r="B3678" s="149" t="str">
        <f>IFERROR(VLOOKUP(Proc[[#This Row],[App]],Table2[],3,0),"open")</f>
        <v>ok</v>
      </c>
      <c r="C3678" s="138" t="s">
        <v>369</v>
      </c>
      <c r="D3678" t="s">
        <v>5791</v>
      </c>
      <c r="E3678" t="s">
        <v>5810</v>
      </c>
      <c r="F3678" s="129" t="s">
        <v>5810</v>
      </c>
      <c r="G3678" s="135" t="s">
        <v>400</v>
      </c>
      <c r="H3678" s="129" t="str">
        <f>IF(Proc[[#This Row],[type]]="LFF (MDG-F)",MID(Proc[[#This Row],[Obj]],13,10),"")</f>
        <v/>
      </c>
      <c r="J3678" s="129" t="b">
        <f>Proc[[#This Row],[Requested]]=Proc[[#This Row],[CurrentParent]]</f>
        <v>1</v>
      </c>
      <c r="K3678" s="144" t="str">
        <f>IF(Proc[[#This Row],[Author]]="Marcela Urrego",VLOOKUP(LEFT(Proc[[#This Row],[Requested]],1),Table3[#All],2,0),VLOOKUP(Proc[[#This Row],[Author]],Table4[],2,0))</f>
        <v>LS</v>
      </c>
      <c r="L3678" s="129" t="s">
        <v>4894</v>
      </c>
      <c r="M3678" s="131">
        <v>45894</v>
      </c>
      <c r="N3678" s="131"/>
      <c r="O3678" s="131"/>
      <c r="P3678" s="130" t="str">
        <f ca="1">IF(Proc[[#This Row],[DaysAgeing]]&gt;5,"yep","on track")</f>
        <v>yep</v>
      </c>
      <c r="Q3678" s="3">
        <f ca="1">IF(Proc[[#This Row],[DateClosed]]="",ABS(NETWORKDAYS(Proc[[#This Row],[DateOpened]],TODAY()))-1,ABS(NETWORKDAYS(Proc[[#This Row],[DateOpened]],Proc[[#This Row],[DateClosed]]))-1)</f>
        <v>79</v>
      </c>
      <c r="R3678" s="131" t="s">
        <v>489</v>
      </c>
      <c r="S3678" s="129"/>
    </row>
    <row r="3679" spans="1:19">
      <c r="A3679" s="135" t="s">
        <v>5774</v>
      </c>
      <c r="B3679" s="149" t="str">
        <f>IFERROR(VLOOKUP(Proc[[#This Row],[App]],Table2[],3,0),"open")</f>
        <v>ok</v>
      </c>
      <c r="C3679" s="138" t="s">
        <v>369</v>
      </c>
      <c r="D3679" t="s">
        <v>5792</v>
      </c>
      <c r="E3679" t="s">
        <v>5810</v>
      </c>
      <c r="F3679" s="129" t="s">
        <v>5810</v>
      </c>
      <c r="G3679" s="135" t="s">
        <v>400</v>
      </c>
      <c r="H3679" s="129" t="str">
        <f>IF(Proc[[#This Row],[type]]="LFF (MDG-F)",MID(Proc[[#This Row],[Obj]],13,10),"")</f>
        <v/>
      </c>
      <c r="J3679" s="129" t="b">
        <f>Proc[[#This Row],[Requested]]=Proc[[#This Row],[CurrentParent]]</f>
        <v>1</v>
      </c>
      <c r="K3679" s="144" t="str">
        <f>IF(Proc[[#This Row],[Author]]="Marcela Urrego",VLOOKUP(LEFT(Proc[[#This Row],[Requested]],1),Table3[#All],2,0),VLOOKUP(Proc[[#This Row],[Author]],Table4[],2,0))</f>
        <v>LS</v>
      </c>
      <c r="L3679" s="129" t="s">
        <v>4894</v>
      </c>
      <c r="M3679" s="131">
        <v>45894</v>
      </c>
      <c r="N3679" s="131"/>
      <c r="O3679" s="131"/>
      <c r="P3679" s="130" t="str">
        <f ca="1">IF(Proc[[#This Row],[DaysAgeing]]&gt;5,"yep","on track")</f>
        <v>yep</v>
      </c>
      <c r="Q3679" s="3">
        <f ca="1">IF(Proc[[#This Row],[DateClosed]]="",ABS(NETWORKDAYS(Proc[[#This Row],[DateOpened]],TODAY()))-1,ABS(NETWORKDAYS(Proc[[#This Row],[DateOpened]],Proc[[#This Row],[DateClosed]]))-1)</f>
        <v>79</v>
      </c>
      <c r="R3679" s="131" t="s">
        <v>489</v>
      </c>
      <c r="S3679" s="129"/>
    </row>
    <row r="3680" spans="1:19">
      <c r="A3680" s="135" t="s">
        <v>5774</v>
      </c>
      <c r="B3680" s="149" t="str">
        <f>IFERROR(VLOOKUP(Proc[[#This Row],[App]],Table2[],3,0),"open")</f>
        <v>ok</v>
      </c>
      <c r="C3680" s="138" t="s">
        <v>369</v>
      </c>
      <c r="D3680" t="s">
        <v>3480</v>
      </c>
      <c r="E3680" t="s">
        <v>3544</v>
      </c>
      <c r="F3680" s="129" t="s">
        <v>3544</v>
      </c>
      <c r="G3680" s="135" t="s">
        <v>400</v>
      </c>
      <c r="H3680" s="129" t="str">
        <f>IF(Proc[[#This Row],[type]]="LFF (MDG-F)",MID(Proc[[#This Row],[Obj]],13,10),"")</f>
        <v/>
      </c>
      <c r="J3680" s="129" t="b">
        <f>Proc[[#This Row],[Requested]]=Proc[[#This Row],[CurrentParent]]</f>
        <v>1</v>
      </c>
      <c r="K3680" s="144" t="str">
        <f>IF(Proc[[#This Row],[Author]]="Marcela Urrego",VLOOKUP(LEFT(Proc[[#This Row],[Requested]],1),Table3[#All],2,0),VLOOKUP(Proc[[#This Row],[Author]],Table4[],2,0))</f>
        <v>LS</v>
      </c>
      <c r="L3680" s="129" t="s">
        <v>4894</v>
      </c>
      <c r="M3680" s="131">
        <v>45894</v>
      </c>
      <c r="N3680" s="131"/>
      <c r="O3680" s="131"/>
      <c r="P3680" s="130" t="str">
        <f ca="1">IF(Proc[[#This Row],[DaysAgeing]]&gt;5,"yep","on track")</f>
        <v>yep</v>
      </c>
      <c r="Q3680" s="3">
        <f ca="1">IF(Proc[[#This Row],[DateClosed]]="",ABS(NETWORKDAYS(Proc[[#This Row],[DateOpened]],TODAY()))-1,ABS(NETWORKDAYS(Proc[[#This Row],[DateOpened]],Proc[[#This Row],[DateClosed]]))-1)</f>
        <v>79</v>
      </c>
      <c r="R3680" s="131" t="s">
        <v>489</v>
      </c>
      <c r="S3680" s="129"/>
    </row>
    <row r="3681" spans="1:19">
      <c r="A3681" s="135" t="s">
        <v>5774</v>
      </c>
      <c r="B3681" s="149" t="str">
        <f>IFERROR(VLOOKUP(Proc[[#This Row],[App]],Table2[],3,0),"open")</f>
        <v>ok</v>
      </c>
      <c r="C3681" s="138" t="s">
        <v>369</v>
      </c>
      <c r="D3681" t="s">
        <v>3489</v>
      </c>
      <c r="E3681" t="s">
        <v>3527</v>
      </c>
      <c r="F3681" s="129" t="s">
        <v>3527</v>
      </c>
      <c r="G3681" s="135" t="s">
        <v>400</v>
      </c>
      <c r="H3681" s="129" t="str">
        <f>IF(Proc[[#This Row],[type]]="LFF (MDG-F)",MID(Proc[[#This Row],[Obj]],13,10),"")</f>
        <v/>
      </c>
      <c r="J3681" s="129" t="b">
        <f>Proc[[#This Row],[Requested]]=Proc[[#This Row],[CurrentParent]]</f>
        <v>1</v>
      </c>
      <c r="K3681" s="144" t="str">
        <f>IF(Proc[[#This Row],[Author]]="Marcela Urrego",VLOOKUP(LEFT(Proc[[#This Row],[Requested]],1),Table3[#All],2,0),VLOOKUP(Proc[[#This Row],[Author]],Table4[],2,0))</f>
        <v>LS</v>
      </c>
      <c r="L3681" s="129" t="s">
        <v>4894</v>
      </c>
      <c r="M3681" s="131">
        <v>45894</v>
      </c>
      <c r="N3681" s="131"/>
      <c r="O3681" s="131"/>
      <c r="P3681" s="130" t="str">
        <f ca="1">IF(Proc[[#This Row],[DaysAgeing]]&gt;5,"yep","on track")</f>
        <v>yep</v>
      </c>
      <c r="Q3681" s="3">
        <f ca="1">IF(Proc[[#This Row],[DateClosed]]="",ABS(NETWORKDAYS(Proc[[#This Row],[DateOpened]],TODAY()))-1,ABS(NETWORKDAYS(Proc[[#This Row],[DateOpened]],Proc[[#This Row],[DateClosed]]))-1)</f>
        <v>79</v>
      </c>
      <c r="R3681" s="131" t="s">
        <v>489</v>
      </c>
      <c r="S3681" s="129"/>
    </row>
    <row r="3682" spans="1:19">
      <c r="A3682" s="135" t="s">
        <v>5774</v>
      </c>
      <c r="B3682" s="149" t="str">
        <f>IFERROR(VLOOKUP(Proc[[#This Row],[App]],Table2[],3,0),"open")</f>
        <v>ok</v>
      </c>
      <c r="C3682" s="138" t="s">
        <v>369</v>
      </c>
      <c r="D3682" t="s">
        <v>5793</v>
      </c>
      <c r="E3682" t="s">
        <v>3544</v>
      </c>
      <c r="F3682" s="129" t="s">
        <v>3544</v>
      </c>
      <c r="G3682" s="135" t="s">
        <v>400</v>
      </c>
      <c r="H3682" s="129" t="str">
        <f>IF(Proc[[#This Row],[type]]="LFF (MDG-F)",MID(Proc[[#This Row],[Obj]],13,10),"")</f>
        <v/>
      </c>
      <c r="J3682" s="129" t="b">
        <f>Proc[[#This Row],[Requested]]=Proc[[#This Row],[CurrentParent]]</f>
        <v>1</v>
      </c>
      <c r="K3682" s="144" t="str">
        <f>IF(Proc[[#This Row],[Author]]="Marcela Urrego",VLOOKUP(LEFT(Proc[[#This Row],[Requested]],1),Table3[#All],2,0),VLOOKUP(Proc[[#This Row],[Author]],Table4[],2,0))</f>
        <v>LS</v>
      </c>
      <c r="L3682" s="129" t="s">
        <v>4894</v>
      </c>
      <c r="M3682" s="131">
        <v>45894</v>
      </c>
      <c r="N3682" s="131"/>
      <c r="O3682" s="131"/>
      <c r="P3682" s="130" t="str">
        <f ca="1">IF(Proc[[#This Row],[DaysAgeing]]&gt;5,"yep","on track")</f>
        <v>yep</v>
      </c>
      <c r="Q3682" s="3">
        <f ca="1">IF(Proc[[#This Row],[DateClosed]]="",ABS(NETWORKDAYS(Proc[[#This Row],[DateOpened]],TODAY()))-1,ABS(NETWORKDAYS(Proc[[#This Row],[DateOpened]],Proc[[#This Row],[DateClosed]]))-1)</f>
        <v>79</v>
      </c>
      <c r="R3682" s="131" t="s">
        <v>489</v>
      </c>
      <c r="S3682" s="129"/>
    </row>
    <row r="3683" spans="1:19">
      <c r="A3683" s="135" t="s">
        <v>5774</v>
      </c>
      <c r="B3683" s="149" t="str">
        <f>IFERROR(VLOOKUP(Proc[[#This Row],[App]],Table2[],3,0),"open")</f>
        <v>ok</v>
      </c>
      <c r="C3683" s="138" t="s">
        <v>369</v>
      </c>
      <c r="D3683" t="s">
        <v>5794</v>
      </c>
      <c r="E3683" t="s">
        <v>3527</v>
      </c>
      <c r="F3683" s="129" t="s">
        <v>3527</v>
      </c>
      <c r="G3683" s="135" t="s">
        <v>400</v>
      </c>
      <c r="H3683" s="129" t="str">
        <f>IF(Proc[[#This Row],[type]]="LFF (MDG-F)",MID(Proc[[#This Row],[Obj]],13,10),"")</f>
        <v/>
      </c>
      <c r="J3683" s="129" t="b">
        <f>Proc[[#This Row],[Requested]]=Proc[[#This Row],[CurrentParent]]</f>
        <v>1</v>
      </c>
      <c r="K3683" s="144" t="str">
        <f>IF(Proc[[#This Row],[Author]]="Marcela Urrego",VLOOKUP(LEFT(Proc[[#This Row],[Requested]],1),Table3[#All],2,0),VLOOKUP(Proc[[#This Row],[Author]],Table4[],2,0))</f>
        <v>LS</v>
      </c>
      <c r="L3683" s="129" t="s">
        <v>4894</v>
      </c>
      <c r="M3683" s="131">
        <v>45894</v>
      </c>
      <c r="N3683" s="131"/>
      <c r="O3683" s="131"/>
      <c r="P3683" s="130" t="str">
        <f ca="1">IF(Proc[[#This Row],[DaysAgeing]]&gt;5,"yep","on track")</f>
        <v>yep</v>
      </c>
      <c r="Q3683" s="3">
        <f ca="1">IF(Proc[[#This Row],[DateClosed]]="",ABS(NETWORKDAYS(Proc[[#This Row],[DateOpened]],TODAY()))-1,ABS(NETWORKDAYS(Proc[[#This Row],[DateOpened]],Proc[[#This Row],[DateClosed]]))-1)</f>
        <v>79</v>
      </c>
      <c r="R3683" s="131" t="s">
        <v>489</v>
      </c>
      <c r="S3683" s="129"/>
    </row>
    <row r="3684" spans="1:19">
      <c r="A3684" s="135" t="s">
        <v>5774</v>
      </c>
      <c r="B3684" s="149" t="str">
        <f>IFERROR(VLOOKUP(Proc[[#This Row],[App]],Table2[],3,0),"open")</f>
        <v>ok</v>
      </c>
      <c r="C3684" s="138" t="s">
        <v>369</v>
      </c>
      <c r="D3684" t="s">
        <v>5795</v>
      </c>
      <c r="E3684" t="s">
        <v>3527</v>
      </c>
      <c r="F3684" s="129" t="s">
        <v>3527</v>
      </c>
      <c r="G3684" s="135" t="s">
        <v>400</v>
      </c>
      <c r="H3684" s="129" t="str">
        <f>IF(Proc[[#This Row],[type]]="LFF (MDG-F)",MID(Proc[[#This Row],[Obj]],13,10),"")</f>
        <v/>
      </c>
      <c r="J3684" s="129" t="b">
        <f>Proc[[#This Row],[Requested]]=Proc[[#This Row],[CurrentParent]]</f>
        <v>1</v>
      </c>
      <c r="K3684" s="144" t="str">
        <f>IF(Proc[[#This Row],[Author]]="Marcela Urrego",VLOOKUP(LEFT(Proc[[#This Row],[Requested]],1),Table3[#All],2,0),VLOOKUP(Proc[[#This Row],[Author]],Table4[],2,0))</f>
        <v>LS</v>
      </c>
      <c r="L3684" s="129" t="s">
        <v>4894</v>
      </c>
      <c r="M3684" s="131">
        <v>45894</v>
      </c>
      <c r="N3684" s="131"/>
      <c r="O3684" s="131"/>
      <c r="P3684" s="130" t="str">
        <f ca="1">IF(Proc[[#This Row],[DaysAgeing]]&gt;5,"yep","on track")</f>
        <v>yep</v>
      </c>
      <c r="Q3684" s="3">
        <f ca="1">IF(Proc[[#This Row],[DateClosed]]="",ABS(NETWORKDAYS(Proc[[#This Row],[DateOpened]],TODAY()))-1,ABS(NETWORKDAYS(Proc[[#This Row],[DateOpened]],Proc[[#This Row],[DateClosed]]))-1)</f>
        <v>79</v>
      </c>
      <c r="R3684" s="131" t="s">
        <v>489</v>
      </c>
      <c r="S3684" s="129"/>
    </row>
    <row r="3685" spans="1:19">
      <c r="A3685" s="135" t="s">
        <v>5774</v>
      </c>
      <c r="B3685" s="149" t="str">
        <f>IFERROR(VLOOKUP(Proc[[#This Row],[App]],Table2[],3,0),"open")</f>
        <v>ok</v>
      </c>
      <c r="C3685" s="138" t="s">
        <v>369</v>
      </c>
      <c r="D3685" t="s">
        <v>5796</v>
      </c>
      <c r="E3685" t="s">
        <v>5811</v>
      </c>
      <c r="F3685" s="129" t="s">
        <v>5811</v>
      </c>
      <c r="G3685" s="135" t="s">
        <v>400</v>
      </c>
      <c r="H3685" s="129" t="str">
        <f>IF(Proc[[#This Row],[type]]="LFF (MDG-F)",MID(Proc[[#This Row],[Obj]],13,10),"")</f>
        <v/>
      </c>
      <c r="J3685" s="129" t="b">
        <f>Proc[[#This Row],[Requested]]=Proc[[#This Row],[CurrentParent]]</f>
        <v>1</v>
      </c>
      <c r="K3685" s="144" t="str">
        <f>IF(Proc[[#This Row],[Author]]="Marcela Urrego",VLOOKUP(LEFT(Proc[[#This Row],[Requested]],1),Table3[#All],2,0),VLOOKUP(Proc[[#This Row],[Author]],Table4[],2,0))</f>
        <v>LS</v>
      </c>
      <c r="L3685" s="129" t="s">
        <v>4894</v>
      </c>
      <c r="M3685" s="131">
        <v>45894</v>
      </c>
      <c r="N3685" s="131"/>
      <c r="O3685" s="131"/>
      <c r="P3685" s="130" t="str">
        <f ca="1">IF(Proc[[#This Row],[DaysAgeing]]&gt;5,"yep","on track")</f>
        <v>yep</v>
      </c>
      <c r="Q3685" s="3">
        <f ca="1">IF(Proc[[#This Row],[DateClosed]]="",ABS(NETWORKDAYS(Proc[[#This Row],[DateOpened]],TODAY()))-1,ABS(NETWORKDAYS(Proc[[#This Row],[DateOpened]],Proc[[#This Row],[DateClosed]]))-1)</f>
        <v>79</v>
      </c>
      <c r="R3685" s="131" t="s">
        <v>489</v>
      </c>
      <c r="S3685" s="129"/>
    </row>
    <row r="3686" spans="1:19">
      <c r="A3686" s="135" t="s">
        <v>5774</v>
      </c>
      <c r="B3686" s="149" t="str">
        <f>IFERROR(VLOOKUP(Proc[[#This Row],[App]],Table2[],3,0),"open")</f>
        <v>ok</v>
      </c>
      <c r="C3686" s="138" t="s">
        <v>369</v>
      </c>
      <c r="D3686" t="s">
        <v>5797</v>
      </c>
      <c r="E3686" t="s">
        <v>5812</v>
      </c>
      <c r="F3686" s="129" t="s">
        <v>5812</v>
      </c>
      <c r="G3686" s="135" t="s">
        <v>400</v>
      </c>
      <c r="H3686" s="129" t="str">
        <f>IF(Proc[[#This Row],[type]]="LFF (MDG-F)",MID(Proc[[#This Row],[Obj]],13,10),"")</f>
        <v/>
      </c>
      <c r="J3686" s="129" t="b">
        <f>Proc[[#This Row],[Requested]]=Proc[[#This Row],[CurrentParent]]</f>
        <v>1</v>
      </c>
      <c r="K3686" s="144" t="str">
        <f>IF(Proc[[#This Row],[Author]]="Marcela Urrego",VLOOKUP(LEFT(Proc[[#This Row],[Requested]],1),Table3[#All],2,0),VLOOKUP(Proc[[#This Row],[Author]],Table4[],2,0))</f>
        <v>LS</v>
      </c>
      <c r="L3686" s="129" t="s">
        <v>4894</v>
      </c>
      <c r="M3686" s="131">
        <v>45894</v>
      </c>
      <c r="N3686" s="131"/>
      <c r="O3686" s="131"/>
      <c r="P3686" s="130" t="str">
        <f ca="1">IF(Proc[[#This Row],[DaysAgeing]]&gt;5,"yep","on track")</f>
        <v>yep</v>
      </c>
      <c r="Q3686" s="3">
        <f ca="1">IF(Proc[[#This Row],[DateClosed]]="",ABS(NETWORKDAYS(Proc[[#This Row],[DateOpened]],TODAY()))-1,ABS(NETWORKDAYS(Proc[[#This Row],[DateOpened]],Proc[[#This Row],[DateClosed]]))-1)</f>
        <v>79</v>
      </c>
      <c r="R3686" s="131" t="s">
        <v>489</v>
      </c>
      <c r="S3686" s="129"/>
    </row>
    <row r="3687" spans="1:19">
      <c r="A3687" s="135" t="s">
        <v>5774</v>
      </c>
      <c r="B3687" s="149" t="str">
        <f>IFERROR(VLOOKUP(Proc[[#This Row],[App]],Table2[],3,0),"open")</f>
        <v>ok</v>
      </c>
      <c r="C3687" s="138" t="s">
        <v>369</v>
      </c>
      <c r="D3687" t="s">
        <v>5798</v>
      </c>
      <c r="E3687" t="s">
        <v>5812</v>
      </c>
      <c r="F3687" s="129" t="s">
        <v>5812</v>
      </c>
      <c r="G3687" s="135" t="s">
        <v>400</v>
      </c>
      <c r="H3687" s="129" t="str">
        <f>IF(Proc[[#This Row],[type]]="LFF (MDG-F)",MID(Proc[[#This Row],[Obj]],13,10),"")</f>
        <v/>
      </c>
      <c r="J3687" s="129" t="b">
        <f>Proc[[#This Row],[Requested]]=Proc[[#This Row],[CurrentParent]]</f>
        <v>1</v>
      </c>
      <c r="K3687" s="144" t="str">
        <f>IF(Proc[[#This Row],[Author]]="Marcela Urrego",VLOOKUP(LEFT(Proc[[#This Row],[Requested]],1),Table3[#All],2,0),VLOOKUP(Proc[[#This Row],[Author]],Table4[],2,0))</f>
        <v>LS</v>
      </c>
      <c r="L3687" s="129" t="s">
        <v>4894</v>
      </c>
      <c r="M3687" s="131">
        <v>45894</v>
      </c>
      <c r="N3687" s="131"/>
      <c r="O3687" s="131"/>
      <c r="P3687" s="130" t="str">
        <f ca="1">IF(Proc[[#This Row],[DaysAgeing]]&gt;5,"yep","on track")</f>
        <v>yep</v>
      </c>
      <c r="Q3687" s="3">
        <f ca="1">IF(Proc[[#This Row],[DateClosed]]="",ABS(NETWORKDAYS(Proc[[#This Row],[DateOpened]],TODAY()))-1,ABS(NETWORKDAYS(Proc[[#This Row],[DateOpened]],Proc[[#This Row],[DateClosed]]))-1)</f>
        <v>79</v>
      </c>
      <c r="R3687" s="131" t="s">
        <v>489</v>
      </c>
      <c r="S3687" s="129"/>
    </row>
    <row r="3688" spans="1:19">
      <c r="A3688" s="135" t="s">
        <v>5774</v>
      </c>
      <c r="B3688" s="149" t="str">
        <f>IFERROR(VLOOKUP(Proc[[#This Row],[App]],Table2[],3,0),"open")</f>
        <v>ok</v>
      </c>
      <c r="C3688" s="138" t="s">
        <v>369</v>
      </c>
      <c r="D3688" t="s">
        <v>5799</v>
      </c>
      <c r="E3688" t="s">
        <v>5813</v>
      </c>
      <c r="F3688" s="129" t="s">
        <v>5813</v>
      </c>
      <c r="G3688" s="135" t="s">
        <v>400</v>
      </c>
      <c r="H3688" s="129" t="str">
        <f>IF(Proc[[#This Row],[type]]="LFF (MDG-F)",MID(Proc[[#This Row],[Obj]],13,10),"")</f>
        <v/>
      </c>
      <c r="J3688" s="129" t="b">
        <f>Proc[[#This Row],[Requested]]=Proc[[#This Row],[CurrentParent]]</f>
        <v>1</v>
      </c>
      <c r="K3688" s="144" t="str">
        <f>IF(Proc[[#This Row],[Author]]="Marcela Urrego",VLOOKUP(LEFT(Proc[[#This Row],[Requested]],1),Table3[#All],2,0),VLOOKUP(Proc[[#This Row],[Author]],Table4[],2,0))</f>
        <v>LS</v>
      </c>
      <c r="L3688" s="129" t="s">
        <v>4894</v>
      </c>
      <c r="M3688" s="131">
        <v>45894</v>
      </c>
      <c r="N3688" s="131"/>
      <c r="O3688" s="131"/>
      <c r="P3688" s="130" t="str">
        <f ca="1">IF(Proc[[#This Row],[DaysAgeing]]&gt;5,"yep","on track")</f>
        <v>yep</v>
      </c>
      <c r="Q3688" s="3">
        <f ca="1">IF(Proc[[#This Row],[DateClosed]]="",ABS(NETWORKDAYS(Proc[[#This Row],[DateOpened]],TODAY()))-1,ABS(NETWORKDAYS(Proc[[#This Row],[DateOpened]],Proc[[#This Row],[DateClosed]]))-1)</f>
        <v>79</v>
      </c>
      <c r="R3688" s="131" t="s">
        <v>489</v>
      </c>
      <c r="S3688" s="129"/>
    </row>
    <row r="3689" spans="1:19">
      <c r="A3689" s="135" t="s">
        <v>5774</v>
      </c>
      <c r="B3689" s="149" t="str">
        <f>IFERROR(VLOOKUP(Proc[[#This Row],[App]],Table2[],3,0),"open")</f>
        <v>ok</v>
      </c>
      <c r="C3689" s="138" t="s">
        <v>369</v>
      </c>
      <c r="D3689" t="s">
        <v>5800</v>
      </c>
      <c r="E3689" t="s">
        <v>1236</v>
      </c>
      <c r="F3689" s="129" t="s">
        <v>1236</v>
      </c>
      <c r="G3689" s="135" t="s">
        <v>400</v>
      </c>
      <c r="H3689" s="129" t="str">
        <f>IF(Proc[[#This Row],[type]]="LFF (MDG-F)",MID(Proc[[#This Row],[Obj]],13,10),"")</f>
        <v/>
      </c>
      <c r="J3689" s="129" t="b">
        <f>Proc[[#This Row],[Requested]]=Proc[[#This Row],[CurrentParent]]</f>
        <v>1</v>
      </c>
      <c r="K3689" s="144" t="str">
        <f>IF(Proc[[#This Row],[Author]]="Marcela Urrego",VLOOKUP(LEFT(Proc[[#This Row],[Requested]],1),Table3[#All],2,0),VLOOKUP(Proc[[#This Row],[Author]],Table4[],2,0))</f>
        <v>LS</v>
      </c>
      <c r="L3689" s="129" t="s">
        <v>4894</v>
      </c>
      <c r="M3689" s="131">
        <v>45894</v>
      </c>
      <c r="N3689" s="131"/>
      <c r="O3689" s="131"/>
      <c r="P3689" s="130" t="str">
        <f ca="1">IF(Proc[[#This Row],[DaysAgeing]]&gt;5,"yep","on track")</f>
        <v>yep</v>
      </c>
      <c r="Q3689" s="3">
        <f ca="1">IF(Proc[[#This Row],[DateClosed]]="",ABS(NETWORKDAYS(Proc[[#This Row],[DateOpened]],TODAY()))-1,ABS(NETWORKDAYS(Proc[[#This Row],[DateOpened]],Proc[[#This Row],[DateClosed]]))-1)</f>
        <v>79</v>
      </c>
      <c r="R3689" s="131" t="s">
        <v>489</v>
      </c>
      <c r="S3689" s="129"/>
    </row>
    <row r="3690" spans="1:19">
      <c r="A3690" s="135" t="s">
        <v>5774</v>
      </c>
      <c r="B3690" s="149" t="str">
        <f>IFERROR(VLOOKUP(Proc[[#This Row],[App]],Table2[],3,0),"open")</f>
        <v>ok</v>
      </c>
      <c r="C3690" s="138" t="s">
        <v>369</v>
      </c>
      <c r="D3690" t="s">
        <v>2061</v>
      </c>
      <c r="E3690" t="s">
        <v>5814</v>
      </c>
      <c r="F3690" s="129" t="s">
        <v>5814</v>
      </c>
      <c r="G3690" s="135" t="s">
        <v>400</v>
      </c>
      <c r="H3690" s="129" t="str">
        <f>IF(Proc[[#This Row],[type]]="LFF (MDG-F)",MID(Proc[[#This Row],[Obj]],13,10),"")</f>
        <v/>
      </c>
      <c r="J3690" s="129" t="b">
        <f>Proc[[#This Row],[Requested]]=Proc[[#This Row],[CurrentParent]]</f>
        <v>1</v>
      </c>
      <c r="K3690" s="144" t="str">
        <f>IF(Proc[[#This Row],[Author]]="Marcela Urrego",VLOOKUP(LEFT(Proc[[#This Row],[Requested]],1),Table3[#All],2,0),VLOOKUP(Proc[[#This Row],[Author]],Table4[],2,0))</f>
        <v>LS</v>
      </c>
      <c r="L3690" s="129" t="s">
        <v>4894</v>
      </c>
      <c r="M3690" s="131">
        <v>45894</v>
      </c>
      <c r="N3690" s="131"/>
      <c r="O3690" s="131"/>
      <c r="P3690" s="130" t="str">
        <f ca="1">IF(Proc[[#This Row],[DaysAgeing]]&gt;5,"yep","on track")</f>
        <v>yep</v>
      </c>
      <c r="Q3690" s="3">
        <f ca="1">IF(Proc[[#This Row],[DateClosed]]="",ABS(NETWORKDAYS(Proc[[#This Row],[DateOpened]],TODAY()))-1,ABS(NETWORKDAYS(Proc[[#This Row],[DateOpened]],Proc[[#This Row],[DateClosed]]))-1)</f>
        <v>79</v>
      </c>
      <c r="R3690" s="131" t="s">
        <v>489</v>
      </c>
      <c r="S3690" s="129"/>
    </row>
    <row r="3691" spans="1:19">
      <c r="A3691" s="135" t="s">
        <v>5774</v>
      </c>
      <c r="B3691" s="149" t="str">
        <f>IFERROR(VLOOKUP(Proc[[#This Row],[App]],Table2[],3,0),"open")</f>
        <v>ok</v>
      </c>
      <c r="C3691" s="135" t="s">
        <v>369</v>
      </c>
      <c r="D3691" t="s">
        <v>3550</v>
      </c>
      <c r="E3691" t="s">
        <v>3556</v>
      </c>
      <c r="F3691" s="129" t="s">
        <v>3556</v>
      </c>
      <c r="G3691" s="135" t="s">
        <v>406</v>
      </c>
      <c r="H3691" s="129" t="str">
        <f>IF(Proc[[#This Row],[type]]="LFF (MDG-F)",MID(Proc[[#This Row],[Obj]],13,10),"")</f>
        <v>DE10OF0005</v>
      </c>
      <c r="J3691" s="129" t="b">
        <f>Proc[[#This Row],[Requested]]=Proc[[#This Row],[CurrentParent]]</f>
        <v>1</v>
      </c>
      <c r="K3691" s="144" t="str">
        <f>IF(Proc[[#This Row],[Author]]="Marcela Urrego",VLOOKUP(LEFT(Proc[[#This Row],[Requested]],1),Table3[#All],2,0),VLOOKUP(Proc[[#This Row],[Author]],Table4[],2,0))</f>
        <v>LS</v>
      </c>
      <c r="L3691" s="129" t="s">
        <v>4894</v>
      </c>
      <c r="M3691" s="131">
        <v>45894</v>
      </c>
      <c r="N3691" s="131"/>
      <c r="O3691" s="131"/>
      <c r="P3691" s="130" t="str">
        <f ca="1">IF(Proc[[#This Row],[DaysAgeing]]&gt;5,"yep","on track")</f>
        <v>yep</v>
      </c>
      <c r="Q3691" s="3">
        <f ca="1">IF(Proc[[#This Row],[DateClosed]]="",ABS(NETWORKDAYS(Proc[[#This Row],[DateOpened]],TODAY()))-1,ABS(NETWORKDAYS(Proc[[#This Row],[DateOpened]],Proc[[#This Row],[DateClosed]]))-1)</f>
        <v>79</v>
      </c>
      <c r="R3691" s="131" t="s">
        <v>489</v>
      </c>
      <c r="S3691" s="129"/>
    </row>
    <row r="3692" spans="1:19">
      <c r="A3692" s="135" t="s">
        <v>5774</v>
      </c>
      <c r="B3692" s="149" t="str">
        <f>IFERROR(VLOOKUP(Proc[[#This Row],[App]],Table2[],3,0),"open")</f>
        <v>ok</v>
      </c>
      <c r="C3692" s="138" t="s">
        <v>369</v>
      </c>
      <c r="D3692" t="s">
        <v>5801</v>
      </c>
      <c r="E3692" t="s">
        <v>3556</v>
      </c>
      <c r="F3692" s="129" t="s">
        <v>3556</v>
      </c>
      <c r="G3692" s="135" t="s">
        <v>406</v>
      </c>
      <c r="H3692" s="129" t="str">
        <f>IF(Proc[[#This Row],[type]]="LFF (MDG-F)",MID(Proc[[#This Row],[Obj]],13,10),"")</f>
        <v>DE10OF0007</v>
      </c>
      <c r="J3692" s="129" t="b">
        <f>Proc[[#This Row],[Requested]]=Proc[[#This Row],[CurrentParent]]</f>
        <v>1</v>
      </c>
      <c r="K3692" s="144" t="str">
        <f>IF(Proc[[#This Row],[Author]]="Marcela Urrego",VLOOKUP(LEFT(Proc[[#This Row],[Requested]],1),Table3[#All],2,0),VLOOKUP(Proc[[#This Row],[Author]],Table4[],2,0))</f>
        <v>LS</v>
      </c>
      <c r="L3692" s="129" t="s">
        <v>4894</v>
      </c>
      <c r="M3692" s="131">
        <v>45894</v>
      </c>
      <c r="N3692" s="131"/>
      <c r="O3692" s="131"/>
      <c r="P3692" s="130" t="str">
        <f ca="1">IF(Proc[[#This Row],[DaysAgeing]]&gt;5,"yep","on track")</f>
        <v>yep</v>
      </c>
      <c r="Q3692" s="3">
        <f ca="1">IF(Proc[[#This Row],[DateClosed]]="",ABS(NETWORKDAYS(Proc[[#This Row],[DateOpened]],TODAY()))-1,ABS(NETWORKDAYS(Proc[[#This Row],[DateOpened]],Proc[[#This Row],[DateClosed]]))-1)</f>
        <v>79</v>
      </c>
      <c r="R3692" s="131" t="s">
        <v>489</v>
      </c>
      <c r="S3692" s="129"/>
    </row>
    <row r="3693" spans="1:19">
      <c r="A3693" s="135" t="s">
        <v>5774</v>
      </c>
      <c r="B3693" s="149" t="str">
        <f>IFERROR(VLOOKUP(Proc[[#This Row],[App]],Table2[],3,0),"open")</f>
        <v>ok</v>
      </c>
      <c r="C3693" s="138" t="s">
        <v>369</v>
      </c>
      <c r="D3693" t="s">
        <v>2057</v>
      </c>
      <c r="E3693" t="s">
        <v>3556</v>
      </c>
      <c r="F3693" s="129" t="s">
        <v>3556</v>
      </c>
      <c r="G3693" s="135" t="s">
        <v>406</v>
      </c>
      <c r="H3693" s="129" t="str">
        <f>IF(Proc[[#This Row],[type]]="LFF (MDG-F)",MID(Proc[[#This Row],[Obj]],13,10),"")</f>
        <v>2123OF0029</v>
      </c>
      <c r="J3693" s="129" t="b">
        <f>Proc[[#This Row],[Requested]]=Proc[[#This Row],[CurrentParent]]</f>
        <v>1</v>
      </c>
      <c r="K3693" s="144" t="str">
        <f>IF(Proc[[#This Row],[Author]]="Marcela Urrego",VLOOKUP(LEFT(Proc[[#This Row],[Requested]],1),Table3[#All],2,0),VLOOKUP(Proc[[#This Row],[Author]],Table4[],2,0))</f>
        <v>LS</v>
      </c>
      <c r="L3693" s="129" t="s">
        <v>4894</v>
      </c>
      <c r="M3693" s="131">
        <v>45894</v>
      </c>
      <c r="N3693" s="131"/>
      <c r="O3693" s="131"/>
      <c r="P3693" s="131" t="str">
        <f ca="1">IF(Proc[[#This Row],[DaysAgeing]]&gt;5,"yep","on track")</f>
        <v>yep</v>
      </c>
      <c r="Q3693" s="3">
        <f ca="1">IF(Proc[[#This Row],[DateClosed]]="",ABS(NETWORKDAYS(Proc[[#This Row],[DateOpened]],TODAY()))-1,ABS(NETWORKDAYS(Proc[[#This Row],[DateOpened]],Proc[[#This Row],[DateClosed]]))-1)</f>
        <v>79</v>
      </c>
      <c r="R3693" s="131" t="s">
        <v>489</v>
      </c>
      <c r="S3693" s="129"/>
    </row>
    <row r="3694" spans="1:19">
      <c r="A3694" s="135" t="s">
        <v>5774</v>
      </c>
      <c r="B3694" s="149" t="str">
        <f>IFERROR(VLOOKUP(Proc[[#This Row],[App]],Table2[],3,0),"open")</f>
        <v>ok</v>
      </c>
      <c r="C3694" s="138" t="s">
        <v>369</v>
      </c>
      <c r="D3694" t="s">
        <v>2060</v>
      </c>
      <c r="E3694" t="s">
        <v>3556</v>
      </c>
      <c r="F3694" s="129" t="s">
        <v>3556</v>
      </c>
      <c r="G3694" s="135" t="s">
        <v>400</v>
      </c>
      <c r="H3694" s="129" t="str">
        <f>IF(Proc[[#This Row],[type]]="LFF (MDG-F)",MID(Proc[[#This Row],[Obj]],13,10),"")</f>
        <v/>
      </c>
      <c r="J3694" s="129" t="b">
        <f>Proc[[#This Row],[Requested]]=Proc[[#This Row],[CurrentParent]]</f>
        <v>1</v>
      </c>
      <c r="K3694" s="144" t="str">
        <f>IF(Proc[[#This Row],[Author]]="Marcela Urrego",VLOOKUP(LEFT(Proc[[#This Row],[Requested]],1),Table3[#All],2,0),VLOOKUP(Proc[[#This Row],[Author]],Table4[],2,0))</f>
        <v>LS</v>
      </c>
      <c r="L3694" s="129" t="s">
        <v>4894</v>
      </c>
      <c r="M3694" s="131">
        <v>45894</v>
      </c>
      <c r="N3694" s="131"/>
      <c r="O3694" s="131"/>
      <c r="P3694" s="130" t="str">
        <f ca="1">IF(Proc[[#This Row],[DaysAgeing]]&gt;5,"yep","on track")</f>
        <v>yep</v>
      </c>
      <c r="Q3694" s="3">
        <f ca="1">IF(Proc[[#This Row],[DateClosed]]="",ABS(NETWORKDAYS(Proc[[#This Row],[DateOpened]],TODAY()))-1,ABS(NETWORKDAYS(Proc[[#This Row],[DateOpened]],Proc[[#This Row],[DateClosed]]))-1)</f>
        <v>79</v>
      </c>
      <c r="R3694" s="131" t="s">
        <v>489</v>
      </c>
      <c r="S3694" s="129"/>
    </row>
    <row r="3695" spans="1:19">
      <c r="A3695" s="135" t="s">
        <v>5774</v>
      </c>
      <c r="B3695" s="149" t="str">
        <f>IFERROR(VLOOKUP(Proc[[#This Row],[App]],Table2[],3,0),"open")</f>
        <v>ok</v>
      </c>
      <c r="C3695" s="138" t="s">
        <v>369</v>
      </c>
      <c r="D3695" t="s">
        <v>2058</v>
      </c>
      <c r="E3695" t="s">
        <v>3556</v>
      </c>
      <c r="F3695" s="129" t="s">
        <v>3556</v>
      </c>
      <c r="G3695" s="135" t="s">
        <v>400</v>
      </c>
      <c r="H3695" s="129" t="str">
        <f>IF(Proc[[#This Row],[type]]="LFF (MDG-F)",MID(Proc[[#This Row],[Obj]],13,10),"")</f>
        <v/>
      </c>
      <c r="J3695" s="129" t="b">
        <f>Proc[[#This Row],[Requested]]=Proc[[#This Row],[CurrentParent]]</f>
        <v>1</v>
      </c>
      <c r="K3695" s="144" t="str">
        <f>IF(Proc[[#This Row],[Author]]="Marcela Urrego",VLOOKUP(LEFT(Proc[[#This Row],[Requested]],1),Table3[#All],2,0),VLOOKUP(Proc[[#This Row],[Author]],Table4[],2,0))</f>
        <v>LS</v>
      </c>
      <c r="L3695" s="129" t="s">
        <v>4894</v>
      </c>
      <c r="M3695" s="131">
        <v>45894</v>
      </c>
      <c r="N3695" s="131"/>
      <c r="O3695" s="131"/>
      <c r="P3695" s="131" t="str">
        <f ca="1">IF(Proc[[#This Row],[DaysAgeing]]&gt;5,"yep","on track")</f>
        <v>yep</v>
      </c>
      <c r="Q3695" s="3">
        <f ca="1">IF(Proc[[#This Row],[DateClosed]]="",ABS(NETWORKDAYS(Proc[[#This Row],[DateOpened]],TODAY()))-1,ABS(NETWORKDAYS(Proc[[#This Row],[DateOpened]],Proc[[#This Row],[DateClosed]]))-1)</f>
        <v>79</v>
      </c>
      <c r="R3695" s="131" t="s">
        <v>489</v>
      </c>
      <c r="S3695" s="129"/>
    </row>
    <row r="3696" spans="1:19">
      <c r="A3696" t="s">
        <v>5815</v>
      </c>
      <c r="B3696" s="149" t="str">
        <f>IFERROR(VLOOKUP(Proc[[#This Row],[App]],Table2[],3,0),"open")</f>
        <v>ok</v>
      </c>
      <c r="C3696" s="138" t="s">
        <v>369</v>
      </c>
      <c r="D3696" t="s">
        <v>5816</v>
      </c>
      <c r="E3696" t="s">
        <v>5848</v>
      </c>
      <c r="F3696" s="129" t="s">
        <v>5848</v>
      </c>
      <c r="G3696" s="135" t="s">
        <v>406</v>
      </c>
      <c r="H3696" s="129" t="str">
        <f>IF(Proc[[#This Row],[type]]="LFF (MDG-F)",MID(Proc[[#This Row],[Obj]],13,10),"")</f>
        <v>2123C00057</v>
      </c>
      <c r="J3696" s="129" t="b">
        <f>Proc[[#This Row],[Requested]]=Proc[[#This Row],[CurrentParent]]</f>
        <v>1</v>
      </c>
      <c r="K3696" s="144" t="str">
        <f>IF(Proc[[#This Row],[Author]]="Marcela Urrego",VLOOKUP(LEFT(Proc[[#This Row],[Requested]],1),Table3[#All],2,0),VLOOKUP(Proc[[#This Row],[Author]],Table4[],2,0))</f>
        <v>LS</v>
      </c>
      <c r="L3696" s="129" t="s">
        <v>4894</v>
      </c>
      <c r="M3696" s="131">
        <v>45895</v>
      </c>
      <c r="N3696" s="131"/>
      <c r="O3696" s="131"/>
      <c r="P3696" s="131" t="str">
        <f ca="1">IF(Proc[[#This Row],[DaysAgeing]]&gt;5,"yep","on track")</f>
        <v>yep</v>
      </c>
      <c r="Q3696" s="3">
        <f ca="1">IF(Proc[[#This Row],[DateClosed]]="",ABS(NETWORKDAYS(Proc[[#This Row],[DateOpened]],TODAY()))-1,ABS(NETWORKDAYS(Proc[[#This Row],[DateOpened]],Proc[[#This Row],[DateClosed]]))-1)</f>
        <v>78</v>
      </c>
      <c r="R3696" s="131" t="s">
        <v>489</v>
      </c>
      <c r="S3696" s="129"/>
    </row>
    <row r="3697" spans="1:19">
      <c r="A3697" s="135" t="s">
        <v>5815</v>
      </c>
      <c r="B3697" s="149" t="str">
        <f>IFERROR(VLOOKUP(Proc[[#This Row],[App]],Table2[],3,0),"open")</f>
        <v>ok</v>
      </c>
      <c r="C3697" s="138" t="s">
        <v>369</v>
      </c>
      <c r="D3697" t="s">
        <v>5817</v>
      </c>
      <c r="E3697" t="s">
        <v>5848</v>
      </c>
      <c r="F3697" s="129" t="s">
        <v>5848</v>
      </c>
      <c r="G3697" s="135" t="s">
        <v>400</v>
      </c>
      <c r="H3697" s="129"/>
      <c r="J3697" s="129" t="b">
        <f>Proc[[#This Row],[Requested]]=Proc[[#This Row],[CurrentParent]]</f>
        <v>1</v>
      </c>
      <c r="K3697" s="144" t="str">
        <f>IF(Proc[[#This Row],[Author]]="Marcela Urrego",VLOOKUP(LEFT(Proc[[#This Row],[Requested]],1),Table3[#All],2,0),VLOOKUP(Proc[[#This Row],[Author]],Table4[],2,0))</f>
        <v>LS</v>
      </c>
      <c r="L3697" s="129" t="s">
        <v>4894</v>
      </c>
      <c r="M3697" s="131">
        <v>45895</v>
      </c>
      <c r="N3697" s="131"/>
      <c r="O3697" s="131"/>
      <c r="P3697" s="131" t="str">
        <f ca="1">IF(Proc[[#This Row],[DaysAgeing]]&gt;5,"yep","on track")</f>
        <v>yep</v>
      </c>
      <c r="Q3697" s="3">
        <f ca="1">IF(Proc[[#This Row],[DateClosed]]="",ABS(NETWORKDAYS(Proc[[#This Row],[DateOpened]],TODAY()))-1,ABS(NETWORKDAYS(Proc[[#This Row],[DateOpened]],Proc[[#This Row],[DateClosed]]))-1)</f>
        <v>78</v>
      </c>
      <c r="R3697" s="131" t="s">
        <v>489</v>
      </c>
      <c r="S3697" s="129"/>
    </row>
    <row r="3698" spans="1:19">
      <c r="A3698" s="135" t="s">
        <v>5815</v>
      </c>
      <c r="B3698" s="149" t="str">
        <f>IFERROR(VLOOKUP(Proc[[#This Row],[App]],Table2[],3,0),"open")</f>
        <v>ok</v>
      </c>
      <c r="C3698" s="138" t="s">
        <v>369</v>
      </c>
      <c r="D3698" t="s">
        <v>5818</v>
      </c>
      <c r="E3698" t="s">
        <v>5849</v>
      </c>
      <c r="F3698" s="129" t="s">
        <v>5849</v>
      </c>
      <c r="G3698" s="135" t="s">
        <v>400</v>
      </c>
      <c r="H3698" s="129"/>
      <c r="J3698" s="129" t="b">
        <f>Proc[[#This Row],[Requested]]=Proc[[#This Row],[CurrentParent]]</f>
        <v>1</v>
      </c>
      <c r="K3698" s="144" t="str">
        <f>IF(Proc[[#This Row],[Author]]="Marcela Urrego",VLOOKUP(LEFT(Proc[[#This Row],[Requested]],1),Table3[#All],2,0),VLOOKUP(Proc[[#This Row],[Author]],Table4[],2,0))</f>
        <v>LS</v>
      </c>
      <c r="L3698" s="129" t="s">
        <v>4894</v>
      </c>
      <c r="M3698" s="131">
        <v>45895</v>
      </c>
      <c r="N3698" s="131"/>
      <c r="O3698" s="131"/>
      <c r="P3698" s="131" t="str">
        <f ca="1">IF(Proc[[#This Row],[DaysAgeing]]&gt;5,"yep","on track")</f>
        <v>yep</v>
      </c>
      <c r="Q3698" s="3">
        <f ca="1">IF(Proc[[#This Row],[DateClosed]]="",ABS(NETWORKDAYS(Proc[[#This Row],[DateOpened]],TODAY()))-1,ABS(NETWORKDAYS(Proc[[#This Row],[DateOpened]],Proc[[#This Row],[DateClosed]]))-1)</f>
        <v>78</v>
      </c>
      <c r="R3698" s="131" t="s">
        <v>489</v>
      </c>
      <c r="S3698" s="129"/>
    </row>
    <row r="3699" spans="1:19">
      <c r="A3699" s="135" t="s">
        <v>5815</v>
      </c>
      <c r="B3699" s="149" t="str">
        <f>IFERROR(VLOOKUP(Proc[[#This Row],[App]],Table2[],3,0),"open")</f>
        <v>ok</v>
      </c>
      <c r="C3699" s="138" t="s">
        <v>369</v>
      </c>
      <c r="D3699" t="s">
        <v>5819</v>
      </c>
      <c r="E3699" t="s">
        <v>5850</v>
      </c>
      <c r="F3699" s="129" t="s">
        <v>5850</v>
      </c>
      <c r="G3699" s="135" t="s">
        <v>400</v>
      </c>
      <c r="H3699" s="129"/>
      <c r="J3699" s="129" t="b">
        <f>Proc[[#This Row],[Requested]]=Proc[[#This Row],[CurrentParent]]</f>
        <v>1</v>
      </c>
      <c r="K3699" s="144" t="str">
        <f>IF(Proc[[#This Row],[Author]]="Marcela Urrego",VLOOKUP(LEFT(Proc[[#This Row],[Requested]],1),Table3[#All],2,0),VLOOKUP(Proc[[#This Row],[Author]],Table4[],2,0))</f>
        <v>LS</v>
      </c>
      <c r="L3699" s="129" t="s">
        <v>4894</v>
      </c>
      <c r="M3699" s="131">
        <v>45895</v>
      </c>
      <c r="N3699" s="131"/>
      <c r="O3699" s="131"/>
      <c r="P3699" s="131" t="str">
        <f ca="1">IF(Proc[[#This Row],[DaysAgeing]]&gt;5,"yep","on track")</f>
        <v>yep</v>
      </c>
      <c r="Q3699" s="3">
        <f ca="1">IF(Proc[[#This Row],[DateClosed]]="",ABS(NETWORKDAYS(Proc[[#This Row],[DateOpened]],TODAY()))-1,ABS(NETWORKDAYS(Proc[[#This Row],[DateOpened]],Proc[[#This Row],[DateClosed]]))-1)</f>
        <v>78</v>
      </c>
      <c r="R3699" s="131" t="s">
        <v>489</v>
      </c>
      <c r="S3699" s="129"/>
    </row>
    <row r="3700" spans="1:19">
      <c r="A3700" s="135" t="s">
        <v>5815</v>
      </c>
      <c r="B3700" s="149" t="str">
        <f>IFERROR(VLOOKUP(Proc[[#This Row],[App]],Table2[],3,0),"open")</f>
        <v>ok</v>
      </c>
      <c r="C3700" s="138" t="s">
        <v>369</v>
      </c>
      <c r="D3700" t="s">
        <v>5820</v>
      </c>
      <c r="E3700" t="s">
        <v>5850</v>
      </c>
      <c r="F3700" s="129" t="s">
        <v>5850</v>
      </c>
      <c r="G3700" s="135" t="s">
        <v>400</v>
      </c>
      <c r="H3700" s="129"/>
      <c r="J3700" s="129" t="b">
        <f>Proc[[#This Row],[Requested]]=Proc[[#This Row],[CurrentParent]]</f>
        <v>1</v>
      </c>
      <c r="K3700" s="144" t="str">
        <f>IF(Proc[[#This Row],[Author]]="Marcela Urrego",VLOOKUP(LEFT(Proc[[#This Row],[Requested]],1),Table3[#All],2,0),VLOOKUP(Proc[[#This Row],[Author]],Table4[],2,0))</f>
        <v>LS</v>
      </c>
      <c r="L3700" s="129" t="s">
        <v>4894</v>
      </c>
      <c r="M3700" s="131">
        <v>45895</v>
      </c>
      <c r="N3700" s="131"/>
      <c r="O3700" s="131"/>
      <c r="P3700" s="131" t="str">
        <f ca="1">IF(Proc[[#This Row],[DaysAgeing]]&gt;5,"yep","on track")</f>
        <v>yep</v>
      </c>
      <c r="Q3700" s="3">
        <f ca="1">IF(Proc[[#This Row],[DateClosed]]="",ABS(NETWORKDAYS(Proc[[#This Row],[DateOpened]],TODAY()))-1,ABS(NETWORKDAYS(Proc[[#This Row],[DateOpened]],Proc[[#This Row],[DateClosed]]))-1)</f>
        <v>78</v>
      </c>
      <c r="R3700" s="131" t="s">
        <v>489</v>
      </c>
      <c r="S3700" s="129"/>
    </row>
    <row r="3701" spans="1:19">
      <c r="A3701" s="135" t="s">
        <v>5815</v>
      </c>
      <c r="B3701" s="149" t="str">
        <f>IFERROR(VLOOKUP(Proc[[#This Row],[App]],Table2[],3,0),"open")</f>
        <v>ok</v>
      </c>
      <c r="C3701" s="138" t="s">
        <v>369</v>
      </c>
      <c r="D3701" t="s">
        <v>5821</v>
      </c>
      <c r="E3701" t="s">
        <v>5850</v>
      </c>
      <c r="F3701" s="129" t="s">
        <v>5850</v>
      </c>
      <c r="G3701" s="135" t="s">
        <v>400</v>
      </c>
      <c r="H3701" s="129"/>
      <c r="J3701" s="129" t="b">
        <f>Proc[[#This Row],[Requested]]=Proc[[#This Row],[CurrentParent]]</f>
        <v>1</v>
      </c>
      <c r="K3701" s="144" t="str">
        <f>IF(Proc[[#This Row],[Author]]="Marcela Urrego",VLOOKUP(LEFT(Proc[[#This Row],[Requested]],1),Table3[#All],2,0),VLOOKUP(Proc[[#This Row],[Author]],Table4[],2,0))</f>
        <v>LS</v>
      </c>
      <c r="L3701" s="129" t="s">
        <v>4894</v>
      </c>
      <c r="M3701" s="131">
        <v>45895</v>
      </c>
      <c r="N3701" s="131"/>
      <c r="O3701" s="131"/>
      <c r="P3701" s="131" t="str">
        <f ca="1">IF(Proc[[#This Row],[DaysAgeing]]&gt;5,"yep","on track")</f>
        <v>yep</v>
      </c>
      <c r="Q3701" s="3">
        <f ca="1">IF(Proc[[#This Row],[DateClosed]]="",ABS(NETWORKDAYS(Proc[[#This Row],[DateOpened]],TODAY()))-1,ABS(NETWORKDAYS(Proc[[#This Row],[DateOpened]],Proc[[#This Row],[DateClosed]]))-1)</f>
        <v>78</v>
      </c>
      <c r="R3701" s="131" t="s">
        <v>489</v>
      </c>
      <c r="S3701" s="129"/>
    </row>
    <row r="3702" spans="1:19">
      <c r="A3702" s="135" t="s">
        <v>5815</v>
      </c>
      <c r="B3702" s="149" t="str">
        <f>IFERROR(VLOOKUP(Proc[[#This Row],[App]],Table2[],3,0),"open")</f>
        <v>ok</v>
      </c>
      <c r="C3702" s="138" t="s">
        <v>369</v>
      </c>
      <c r="D3702" t="s">
        <v>5822</v>
      </c>
      <c r="E3702" t="s">
        <v>5850</v>
      </c>
      <c r="F3702" s="129" t="s">
        <v>5850</v>
      </c>
      <c r="G3702" s="135" t="s">
        <v>400</v>
      </c>
      <c r="H3702" s="129"/>
      <c r="J3702" s="129" t="b">
        <f>Proc[[#This Row],[Requested]]=Proc[[#This Row],[CurrentParent]]</f>
        <v>1</v>
      </c>
      <c r="K3702" s="144" t="str">
        <f>IF(Proc[[#This Row],[Author]]="Marcela Urrego",VLOOKUP(LEFT(Proc[[#This Row],[Requested]],1),Table3[#All],2,0),VLOOKUP(Proc[[#This Row],[Author]],Table4[],2,0))</f>
        <v>LS</v>
      </c>
      <c r="L3702" s="129" t="s">
        <v>4894</v>
      </c>
      <c r="M3702" s="131">
        <v>45895</v>
      </c>
      <c r="N3702" s="131"/>
      <c r="O3702" s="131"/>
      <c r="P3702" s="131" t="str">
        <f ca="1">IF(Proc[[#This Row],[DaysAgeing]]&gt;5,"yep","on track")</f>
        <v>yep</v>
      </c>
      <c r="Q3702" s="3">
        <f ca="1">IF(Proc[[#This Row],[DateClosed]]="",ABS(NETWORKDAYS(Proc[[#This Row],[DateOpened]],TODAY()))-1,ABS(NETWORKDAYS(Proc[[#This Row],[DateOpened]],Proc[[#This Row],[DateClosed]]))-1)</f>
        <v>78</v>
      </c>
      <c r="R3702" s="131" t="s">
        <v>489</v>
      </c>
      <c r="S3702" s="129"/>
    </row>
    <row r="3703" spans="1:19">
      <c r="A3703" s="135" t="s">
        <v>5815</v>
      </c>
      <c r="B3703" s="149" t="str">
        <f>IFERROR(VLOOKUP(Proc[[#This Row],[App]],Table2[],3,0),"open")</f>
        <v>ok</v>
      </c>
      <c r="C3703" s="138" t="s">
        <v>369</v>
      </c>
      <c r="D3703" t="s">
        <v>5823</v>
      </c>
      <c r="E3703" t="s">
        <v>5850</v>
      </c>
      <c r="F3703" s="129" t="s">
        <v>5850</v>
      </c>
      <c r="G3703" s="135" t="s">
        <v>400</v>
      </c>
      <c r="H3703" s="129"/>
      <c r="J3703" s="129" t="b">
        <f>Proc[[#This Row],[Requested]]=Proc[[#This Row],[CurrentParent]]</f>
        <v>1</v>
      </c>
      <c r="K3703" s="144" t="str">
        <f>IF(Proc[[#This Row],[Author]]="Marcela Urrego",VLOOKUP(LEFT(Proc[[#This Row],[Requested]],1),Table3[#All],2,0),VLOOKUP(Proc[[#This Row],[Author]],Table4[],2,0))</f>
        <v>LS</v>
      </c>
      <c r="L3703" s="129" t="s">
        <v>4894</v>
      </c>
      <c r="M3703" s="131">
        <v>45895</v>
      </c>
      <c r="N3703" s="131"/>
      <c r="O3703" s="131"/>
      <c r="P3703" s="131" t="str">
        <f ca="1">IF(Proc[[#This Row],[DaysAgeing]]&gt;5,"yep","on track")</f>
        <v>yep</v>
      </c>
      <c r="Q3703" s="3">
        <f ca="1">IF(Proc[[#This Row],[DateClosed]]="",ABS(NETWORKDAYS(Proc[[#This Row],[DateOpened]],TODAY()))-1,ABS(NETWORKDAYS(Proc[[#This Row],[DateOpened]],Proc[[#This Row],[DateClosed]]))-1)</f>
        <v>78</v>
      </c>
      <c r="R3703" s="131" t="s">
        <v>489</v>
      </c>
      <c r="S3703" s="129"/>
    </row>
    <row r="3704" spans="1:19">
      <c r="A3704" s="135" t="s">
        <v>5815</v>
      </c>
      <c r="B3704" s="149" t="str">
        <f>IFERROR(VLOOKUP(Proc[[#This Row],[App]],Table2[],3,0),"open")</f>
        <v>ok</v>
      </c>
      <c r="C3704" s="138" t="s">
        <v>369</v>
      </c>
      <c r="D3704" t="s">
        <v>5824</v>
      </c>
      <c r="E3704" t="s">
        <v>5850</v>
      </c>
      <c r="F3704" s="129" t="s">
        <v>5850</v>
      </c>
      <c r="G3704" s="135" t="s">
        <v>400</v>
      </c>
      <c r="H3704" s="129"/>
      <c r="J3704" s="129" t="b">
        <f>Proc[[#This Row],[Requested]]=Proc[[#This Row],[CurrentParent]]</f>
        <v>1</v>
      </c>
      <c r="K3704" s="144" t="str">
        <f>IF(Proc[[#This Row],[Author]]="Marcela Urrego",VLOOKUP(LEFT(Proc[[#This Row],[Requested]],1),Table3[#All],2,0),VLOOKUP(Proc[[#This Row],[Author]],Table4[],2,0))</f>
        <v>LS</v>
      </c>
      <c r="L3704" s="129" t="s">
        <v>4894</v>
      </c>
      <c r="M3704" s="131">
        <v>45895</v>
      </c>
      <c r="N3704" s="131"/>
      <c r="O3704" s="131"/>
      <c r="P3704" s="131" t="str">
        <f ca="1">IF(Proc[[#This Row],[DaysAgeing]]&gt;5,"yep","on track")</f>
        <v>yep</v>
      </c>
      <c r="Q3704" s="3">
        <f ca="1">IF(Proc[[#This Row],[DateClosed]]="",ABS(NETWORKDAYS(Proc[[#This Row],[DateOpened]],TODAY()))-1,ABS(NETWORKDAYS(Proc[[#This Row],[DateOpened]],Proc[[#This Row],[DateClosed]]))-1)</f>
        <v>78</v>
      </c>
      <c r="R3704" s="131" t="s">
        <v>489</v>
      </c>
      <c r="S3704" s="129"/>
    </row>
    <row r="3705" spans="1:19">
      <c r="A3705" s="135" t="s">
        <v>5815</v>
      </c>
      <c r="B3705" s="149" t="str">
        <f>IFERROR(VLOOKUP(Proc[[#This Row],[App]],Table2[],3,0),"open")</f>
        <v>ok</v>
      </c>
      <c r="C3705" s="138" t="s">
        <v>369</v>
      </c>
      <c r="D3705" t="s">
        <v>5825</v>
      </c>
      <c r="E3705" t="s">
        <v>5850</v>
      </c>
      <c r="F3705" s="129" t="s">
        <v>5850</v>
      </c>
      <c r="G3705" s="135" t="s">
        <v>400</v>
      </c>
      <c r="H3705" s="129"/>
      <c r="J3705" s="129" t="b">
        <f>Proc[[#This Row],[Requested]]=Proc[[#This Row],[CurrentParent]]</f>
        <v>1</v>
      </c>
      <c r="K3705" s="144" t="str">
        <f>IF(Proc[[#This Row],[Author]]="Marcela Urrego",VLOOKUP(LEFT(Proc[[#This Row],[Requested]],1),Table3[#All],2,0),VLOOKUP(Proc[[#This Row],[Author]],Table4[],2,0))</f>
        <v>LS</v>
      </c>
      <c r="L3705" s="129" t="s">
        <v>4894</v>
      </c>
      <c r="M3705" s="131">
        <v>45895</v>
      </c>
      <c r="N3705" s="131"/>
      <c r="O3705" s="131"/>
      <c r="P3705" s="131" t="str">
        <f ca="1">IF(Proc[[#This Row],[DaysAgeing]]&gt;5,"yep","on track")</f>
        <v>yep</v>
      </c>
      <c r="Q3705" s="3">
        <f ca="1">IF(Proc[[#This Row],[DateClosed]]="",ABS(NETWORKDAYS(Proc[[#This Row],[DateOpened]],TODAY()))-1,ABS(NETWORKDAYS(Proc[[#This Row],[DateOpened]],Proc[[#This Row],[DateClosed]]))-1)</f>
        <v>78</v>
      </c>
      <c r="R3705" s="131" t="s">
        <v>489</v>
      </c>
      <c r="S3705" s="129"/>
    </row>
    <row r="3706" spans="1:19">
      <c r="A3706" s="135" t="s">
        <v>5815</v>
      </c>
      <c r="B3706" s="149" t="str">
        <f>IFERROR(VLOOKUP(Proc[[#This Row],[App]],Table2[],3,0),"open")</f>
        <v>ok</v>
      </c>
      <c r="C3706" s="138" t="s">
        <v>369</v>
      </c>
      <c r="D3706" t="s">
        <v>5826</v>
      </c>
      <c r="E3706" t="s">
        <v>5850</v>
      </c>
      <c r="F3706" s="129" t="s">
        <v>5850</v>
      </c>
      <c r="G3706" s="135" t="s">
        <v>400</v>
      </c>
      <c r="H3706" s="129"/>
      <c r="J3706" s="129" t="b">
        <f>Proc[[#This Row],[Requested]]=Proc[[#This Row],[CurrentParent]]</f>
        <v>1</v>
      </c>
      <c r="K3706" s="144" t="str">
        <f>IF(Proc[[#This Row],[Author]]="Marcela Urrego",VLOOKUP(LEFT(Proc[[#This Row],[Requested]],1),Table3[#All],2,0),VLOOKUP(Proc[[#This Row],[Author]],Table4[],2,0))</f>
        <v>LS</v>
      </c>
      <c r="L3706" s="129" t="s">
        <v>4894</v>
      </c>
      <c r="M3706" s="131">
        <v>45895</v>
      </c>
      <c r="N3706" s="131"/>
      <c r="O3706" s="131"/>
      <c r="P3706" s="131" t="str">
        <f ca="1">IF(Proc[[#This Row],[DaysAgeing]]&gt;5,"yep","on track")</f>
        <v>yep</v>
      </c>
      <c r="Q3706" s="3">
        <f ca="1">IF(Proc[[#This Row],[DateClosed]]="",ABS(NETWORKDAYS(Proc[[#This Row],[DateOpened]],TODAY()))-1,ABS(NETWORKDAYS(Proc[[#This Row],[DateOpened]],Proc[[#This Row],[DateClosed]]))-1)</f>
        <v>78</v>
      </c>
      <c r="R3706" s="131" t="s">
        <v>489</v>
      </c>
      <c r="S3706" s="129"/>
    </row>
    <row r="3707" spans="1:19">
      <c r="A3707" s="135" t="s">
        <v>5815</v>
      </c>
      <c r="B3707" s="149" t="str">
        <f>IFERROR(VLOOKUP(Proc[[#This Row],[App]],Table2[],3,0),"open")</f>
        <v>ok</v>
      </c>
      <c r="C3707" s="138" t="s">
        <v>369</v>
      </c>
      <c r="D3707" t="s">
        <v>5827</v>
      </c>
      <c r="E3707" t="s">
        <v>5850</v>
      </c>
      <c r="F3707" s="129" t="s">
        <v>5850</v>
      </c>
      <c r="G3707" s="135" t="s">
        <v>400</v>
      </c>
      <c r="H3707" s="129"/>
      <c r="J3707" s="129" t="b">
        <f>Proc[[#This Row],[Requested]]=Proc[[#This Row],[CurrentParent]]</f>
        <v>1</v>
      </c>
      <c r="K3707" s="144" t="str">
        <f>IF(Proc[[#This Row],[Author]]="Marcela Urrego",VLOOKUP(LEFT(Proc[[#This Row],[Requested]],1),Table3[#All],2,0),VLOOKUP(Proc[[#This Row],[Author]],Table4[],2,0))</f>
        <v>LS</v>
      </c>
      <c r="L3707" s="129" t="s">
        <v>4894</v>
      </c>
      <c r="M3707" s="131">
        <v>45895</v>
      </c>
      <c r="N3707" s="131"/>
      <c r="O3707" s="131"/>
      <c r="P3707" s="131" t="str">
        <f ca="1">IF(Proc[[#This Row],[DaysAgeing]]&gt;5,"yep","on track")</f>
        <v>yep</v>
      </c>
      <c r="Q3707" s="3">
        <f ca="1">IF(Proc[[#This Row],[DateClosed]]="",ABS(NETWORKDAYS(Proc[[#This Row],[DateOpened]],TODAY()))-1,ABS(NETWORKDAYS(Proc[[#This Row],[DateOpened]],Proc[[#This Row],[DateClosed]]))-1)</f>
        <v>78</v>
      </c>
      <c r="R3707" s="131" t="s">
        <v>489</v>
      </c>
      <c r="S3707" s="129"/>
    </row>
    <row r="3708" spans="1:19">
      <c r="A3708" s="135" t="s">
        <v>5815</v>
      </c>
      <c r="B3708" s="149" t="str">
        <f>IFERROR(VLOOKUP(Proc[[#This Row],[App]],Table2[],3,0),"open")</f>
        <v>ok</v>
      </c>
      <c r="C3708" s="138" t="s">
        <v>369</v>
      </c>
      <c r="D3708" t="s">
        <v>5828</v>
      </c>
      <c r="E3708" t="s">
        <v>5850</v>
      </c>
      <c r="F3708" s="129" t="s">
        <v>5850</v>
      </c>
      <c r="G3708" s="135" t="s">
        <v>400</v>
      </c>
      <c r="H3708" s="129"/>
      <c r="J3708" s="129" t="b">
        <f>Proc[[#This Row],[Requested]]=Proc[[#This Row],[CurrentParent]]</f>
        <v>1</v>
      </c>
      <c r="K3708" s="144" t="str">
        <f>IF(Proc[[#This Row],[Author]]="Marcela Urrego",VLOOKUP(LEFT(Proc[[#This Row],[Requested]],1),Table3[#All],2,0),VLOOKUP(Proc[[#This Row],[Author]],Table4[],2,0))</f>
        <v>LS</v>
      </c>
      <c r="L3708" s="129" t="s">
        <v>4894</v>
      </c>
      <c r="M3708" s="131">
        <v>45895</v>
      </c>
      <c r="N3708" s="131"/>
      <c r="O3708" s="131"/>
      <c r="P3708" s="131" t="str">
        <f ca="1">IF(Proc[[#This Row],[DaysAgeing]]&gt;5,"yep","on track")</f>
        <v>yep</v>
      </c>
      <c r="Q3708" s="3">
        <f ca="1">IF(Proc[[#This Row],[DateClosed]]="",ABS(NETWORKDAYS(Proc[[#This Row],[DateOpened]],TODAY()))-1,ABS(NETWORKDAYS(Proc[[#This Row],[DateOpened]],Proc[[#This Row],[DateClosed]]))-1)</f>
        <v>78</v>
      </c>
      <c r="R3708" s="131" t="s">
        <v>489</v>
      </c>
      <c r="S3708" s="129"/>
    </row>
    <row r="3709" spans="1:19">
      <c r="A3709" s="135" t="s">
        <v>5815</v>
      </c>
      <c r="B3709" s="149" t="str">
        <f>IFERROR(VLOOKUP(Proc[[#This Row],[App]],Table2[],3,0),"open")</f>
        <v>ok</v>
      </c>
      <c r="C3709" s="138" t="s">
        <v>369</v>
      </c>
      <c r="D3709" t="s">
        <v>5829</v>
      </c>
      <c r="E3709" t="s">
        <v>5850</v>
      </c>
      <c r="F3709" s="129" t="s">
        <v>5850</v>
      </c>
      <c r="G3709" s="135" t="s">
        <v>400</v>
      </c>
      <c r="H3709" s="129"/>
      <c r="J3709" s="129" t="b">
        <f>Proc[[#This Row],[Requested]]=Proc[[#This Row],[CurrentParent]]</f>
        <v>1</v>
      </c>
      <c r="K3709" s="144" t="str">
        <f>IF(Proc[[#This Row],[Author]]="Marcela Urrego",VLOOKUP(LEFT(Proc[[#This Row],[Requested]],1),Table3[#All],2,0),VLOOKUP(Proc[[#This Row],[Author]],Table4[],2,0))</f>
        <v>LS</v>
      </c>
      <c r="L3709" s="129" t="s">
        <v>4894</v>
      </c>
      <c r="M3709" s="131">
        <v>45895</v>
      </c>
      <c r="N3709" s="131"/>
      <c r="O3709" s="131"/>
      <c r="P3709" s="131" t="str">
        <f ca="1">IF(Proc[[#This Row],[DaysAgeing]]&gt;5,"yep","on track")</f>
        <v>yep</v>
      </c>
      <c r="Q3709" s="3">
        <f ca="1">IF(Proc[[#This Row],[DateClosed]]="",ABS(NETWORKDAYS(Proc[[#This Row],[DateOpened]],TODAY()))-1,ABS(NETWORKDAYS(Proc[[#This Row],[DateOpened]],Proc[[#This Row],[DateClosed]]))-1)</f>
        <v>78</v>
      </c>
      <c r="R3709" s="131" t="s">
        <v>489</v>
      </c>
      <c r="S3709" s="129"/>
    </row>
    <row r="3710" spans="1:19">
      <c r="A3710" s="135" t="s">
        <v>5815</v>
      </c>
      <c r="B3710" s="149" t="str">
        <f>IFERROR(VLOOKUP(Proc[[#This Row],[App]],Table2[],3,0),"open")</f>
        <v>ok</v>
      </c>
      <c r="C3710" s="138" t="s">
        <v>369</v>
      </c>
      <c r="D3710" t="s">
        <v>5830</v>
      </c>
      <c r="E3710" t="s">
        <v>5850</v>
      </c>
      <c r="F3710" s="129" t="s">
        <v>5850</v>
      </c>
      <c r="G3710" s="135" t="s">
        <v>400</v>
      </c>
      <c r="H3710" s="129"/>
      <c r="J3710" s="129" t="b">
        <f>Proc[[#This Row],[Requested]]=Proc[[#This Row],[CurrentParent]]</f>
        <v>1</v>
      </c>
      <c r="K3710" s="144" t="str">
        <f>IF(Proc[[#This Row],[Author]]="Marcela Urrego",VLOOKUP(LEFT(Proc[[#This Row],[Requested]],1),Table3[#All],2,0),VLOOKUP(Proc[[#This Row],[Author]],Table4[],2,0))</f>
        <v>LS</v>
      </c>
      <c r="L3710" s="129" t="s">
        <v>4894</v>
      </c>
      <c r="M3710" s="131">
        <v>45895</v>
      </c>
      <c r="N3710" s="131"/>
      <c r="O3710" s="131"/>
      <c r="P3710" s="131" t="str">
        <f ca="1">IF(Proc[[#This Row],[DaysAgeing]]&gt;5,"yep","on track")</f>
        <v>yep</v>
      </c>
      <c r="Q3710" s="3">
        <f ca="1">IF(Proc[[#This Row],[DateClosed]]="",ABS(NETWORKDAYS(Proc[[#This Row],[DateOpened]],TODAY()))-1,ABS(NETWORKDAYS(Proc[[#This Row],[DateOpened]],Proc[[#This Row],[DateClosed]]))-1)</f>
        <v>78</v>
      </c>
      <c r="R3710" s="131" t="s">
        <v>489</v>
      </c>
      <c r="S3710" s="129"/>
    </row>
    <row r="3711" spans="1:19">
      <c r="A3711" s="135" t="s">
        <v>5815</v>
      </c>
      <c r="B3711" s="149" t="str">
        <f>IFERROR(VLOOKUP(Proc[[#This Row],[App]],Table2[],3,0),"open")</f>
        <v>ok</v>
      </c>
      <c r="C3711" s="138" t="s">
        <v>369</v>
      </c>
      <c r="D3711" t="s">
        <v>5831</v>
      </c>
      <c r="E3711" t="s">
        <v>5850</v>
      </c>
      <c r="F3711" s="129" t="s">
        <v>5850</v>
      </c>
      <c r="G3711" s="135" t="s">
        <v>400</v>
      </c>
      <c r="H3711" s="129"/>
      <c r="J3711" s="129" t="b">
        <f>Proc[[#This Row],[Requested]]=Proc[[#This Row],[CurrentParent]]</f>
        <v>1</v>
      </c>
      <c r="K3711" s="144" t="str">
        <f>IF(Proc[[#This Row],[Author]]="Marcela Urrego",VLOOKUP(LEFT(Proc[[#This Row],[Requested]],1),Table3[#All],2,0),VLOOKUP(Proc[[#This Row],[Author]],Table4[],2,0))</f>
        <v>LS</v>
      </c>
      <c r="L3711" s="129" t="s">
        <v>4894</v>
      </c>
      <c r="M3711" s="131">
        <v>45895</v>
      </c>
      <c r="N3711" s="131"/>
      <c r="O3711" s="131"/>
      <c r="P3711" s="131" t="str">
        <f ca="1">IF(Proc[[#This Row],[DaysAgeing]]&gt;5,"yep","on track")</f>
        <v>yep</v>
      </c>
      <c r="Q3711" s="3">
        <f ca="1">IF(Proc[[#This Row],[DateClosed]]="",ABS(NETWORKDAYS(Proc[[#This Row],[DateOpened]],TODAY()))-1,ABS(NETWORKDAYS(Proc[[#This Row],[DateOpened]],Proc[[#This Row],[DateClosed]]))-1)</f>
        <v>78</v>
      </c>
      <c r="R3711" s="131" t="s">
        <v>489</v>
      </c>
      <c r="S3711" s="129"/>
    </row>
    <row r="3712" spans="1:19">
      <c r="A3712" s="135" t="s">
        <v>5815</v>
      </c>
      <c r="B3712" s="149" t="str">
        <f>IFERROR(VLOOKUP(Proc[[#This Row],[App]],Table2[],3,0),"open")</f>
        <v>ok</v>
      </c>
      <c r="C3712" s="138" t="s">
        <v>369</v>
      </c>
      <c r="D3712" t="s">
        <v>5832</v>
      </c>
      <c r="E3712" t="s">
        <v>5850</v>
      </c>
      <c r="F3712" s="129" t="s">
        <v>5850</v>
      </c>
      <c r="G3712" s="135" t="s">
        <v>400</v>
      </c>
      <c r="H3712" s="129"/>
      <c r="J3712" s="129" t="b">
        <f>Proc[[#This Row],[Requested]]=Proc[[#This Row],[CurrentParent]]</f>
        <v>1</v>
      </c>
      <c r="K3712" s="144" t="str">
        <f>IF(Proc[[#This Row],[Author]]="Marcela Urrego",VLOOKUP(LEFT(Proc[[#This Row],[Requested]],1),Table3[#All],2,0),VLOOKUP(Proc[[#This Row],[Author]],Table4[],2,0))</f>
        <v>LS</v>
      </c>
      <c r="L3712" s="129" t="s">
        <v>4894</v>
      </c>
      <c r="M3712" s="131">
        <v>45895</v>
      </c>
      <c r="N3712" s="131"/>
      <c r="O3712" s="131"/>
      <c r="P3712" s="131" t="str">
        <f ca="1">IF(Proc[[#This Row],[DaysAgeing]]&gt;5,"yep","on track")</f>
        <v>yep</v>
      </c>
      <c r="Q3712" s="3">
        <f ca="1">IF(Proc[[#This Row],[DateClosed]]="",ABS(NETWORKDAYS(Proc[[#This Row],[DateOpened]],TODAY()))-1,ABS(NETWORKDAYS(Proc[[#This Row],[DateOpened]],Proc[[#This Row],[DateClosed]]))-1)</f>
        <v>78</v>
      </c>
      <c r="R3712" s="131" t="s">
        <v>489</v>
      </c>
      <c r="S3712" s="129"/>
    </row>
    <row r="3713" spans="1:19">
      <c r="A3713" s="135" t="s">
        <v>5815</v>
      </c>
      <c r="B3713" s="149" t="str">
        <f>IFERROR(VLOOKUP(Proc[[#This Row],[App]],Table2[],3,0),"open")</f>
        <v>ok</v>
      </c>
      <c r="C3713" s="138" t="s">
        <v>369</v>
      </c>
      <c r="D3713" t="s">
        <v>5824</v>
      </c>
      <c r="E3713" t="s">
        <v>5850</v>
      </c>
      <c r="F3713" s="129" t="s">
        <v>5850</v>
      </c>
      <c r="G3713" s="135" t="s">
        <v>400</v>
      </c>
      <c r="H3713" s="129"/>
      <c r="J3713" s="129" t="b">
        <f>Proc[[#This Row],[Requested]]=Proc[[#This Row],[CurrentParent]]</f>
        <v>1</v>
      </c>
      <c r="K3713" s="144" t="str">
        <f>IF(Proc[[#This Row],[Author]]="Marcela Urrego",VLOOKUP(LEFT(Proc[[#This Row],[Requested]],1),Table3[#All],2,0),VLOOKUP(Proc[[#This Row],[Author]],Table4[],2,0))</f>
        <v>LS</v>
      </c>
      <c r="L3713" s="129" t="s">
        <v>4894</v>
      </c>
      <c r="M3713" s="131">
        <v>45895</v>
      </c>
      <c r="N3713" s="131"/>
      <c r="O3713" s="131"/>
      <c r="P3713" s="131" t="str">
        <f ca="1">IF(Proc[[#This Row],[DaysAgeing]]&gt;5,"yep","on track")</f>
        <v>yep</v>
      </c>
      <c r="Q3713" s="3">
        <f ca="1">IF(Proc[[#This Row],[DateClosed]]="",ABS(NETWORKDAYS(Proc[[#This Row],[DateOpened]],TODAY()))-1,ABS(NETWORKDAYS(Proc[[#This Row],[DateOpened]],Proc[[#This Row],[DateClosed]]))-1)</f>
        <v>78</v>
      </c>
      <c r="R3713" s="131" t="s">
        <v>489</v>
      </c>
      <c r="S3713" s="129"/>
    </row>
    <row r="3714" spans="1:19">
      <c r="A3714" s="135" t="s">
        <v>5815</v>
      </c>
      <c r="B3714" s="149" t="str">
        <f>IFERROR(VLOOKUP(Proc[[#This Row],[App]],Table2[],3,0),"open")</f>
        <v>ok</v>
      </c>
      <c r="C3714" s="138" t="s">
        <v>369</v>
      </c>
      <c r="D3714" t="s">
        <v>5833</v>
      </c>
      <c r="E3714" t="s">
        <v>5850</v>
      </c>
      <c r="F3714" s="129" t="s">
        <v>5850</v>
      </c>
      <c r="G3714" s="135" t="s">
        <v>400</v>
      </c>
      <c r="H3714" s="129"/>
      <c r="J3714" s="129" t="b">
        <f>Proc[[#This Row],[Requested]]=Proc[[#This Row],[CurrentParent]]</f>
        <v>1</v>
      </c>
      <c r="K3714" s="144" t="str">
        <f>IF(Proc[[#This Row],[Author]]="Marcela Urrego",VLOOKUP(LEFT(Proc[[#This Row],[Requested]],1),Table3[#All],2,0),VLOOKUP(Proc[[#This Row],[Author]],Table4[],2,0))</f>
        <v>LS</v>
      </c>
      <c r="L3714" s="129" t="s">
        <v>4894</v>
      </c>
      <c r="M3714" s="131">
        <v>45895</v>
      </c>
      <c r="N3714" s="131"/>
      <c r="O3714" s="131"/>
      <c r="P3714" s="131" t="str">
        <f ca="1">IF(Proc[[#This Row],[DaysAgeing]]&gt;5,"yep","on track")</f>
        <v>yep</v>
      </c>
      <c r="Q3714" s="3">
        <f ca="1">IF(Proc[[#This Row],[DateClosed]]="",ABS(NETWORKDAYS(Proc[[#This Row],[DateOpened]],TODAY()))-1,ABS(NETWORKDAYS(Proc[[#This Row],[DateOpened]],Proc[[#This Row],[DateClosed]]))-1)</f>
        <v>78</v>
      </c>
      <c r="R3714" s="131" t="s">
        <v>489</v>
      </c>
      <c r="S3714" s="129"/>
    </row>
    <row r="3715" spans="1:19">
      <c r="A3715" s="135" t="s">
        <v>5815</v>
      </c>
      <c r="B3715" s="149" t="str">
        <f>IFERROR(VLOOKUP(Proc[[#This Row],[App]],Table2[],3,0),"open")</f>
        <v>ok</v>
      </c>
      <c r="C3715" s="138" t="s">
        <v>369</v>
      </c>
      <c r="D3715" t="s">
        <v>5834</v>
      </c>
      <c r="E3715" t="s">
        <v>5850</v>
      </c>
      <c r="F3715" s="129" t="s">
        <v>5850</v>
      </c>
      <c r="G3715" s="135" t="s">
        <v>400</v>
      </c>
      <c r="H3715" s="129"/>
      <c r="J3715" s="129" t="b">
        <f>Proc[[#This Row],[Requested]]=Proc[[#This Row],[CurrentParent]]</f>
        <v>1</v>
      </c>
      <c r="K3715" s="144" t="str">
        <f>IF(Proc[[#This Row],[Author]]="Marcela Urrego",VLOOKUP(LEFT(Proc[[#This Row],[Requested]],1),Table3[#All],2,0),VLOOKUP(Proc[[#This Row],[Author]],Table4[],2,0))</f>
        <v>LS</v>
      </c>
      <c r="L3715" s="129" t="s">
        <v>4894</v>
      </c>
      <c r="M3715" s="131">
        <v>45895</v>
      </c>
      <c r="N3715" s="131"/>
      <c r="O3715" s="131"/>
      <c r="P3715" s="131" t="str">
        <f ca="1">IF(Proc[[#This Row],[DaysAgeing]]&gt;5,"yep","on track")</f>
        <v>yep</v>
      </c>
      <c r="Q3715" s="3">
        <f ca="1">IF(Proc[[#This Row],[DateClosed]]="",ABS(NETWORKDAYS(Proc[[#This Row],[DateOpened]],TODAY()))-1,ABS(NETWORKDAYS(Proc[[#This Row],[DateOpened]],Proc[[#This Row],[DateClosed]]))-1)</f>
        <v>78</v>
      </c>
      <c r="R3715" s="131" t="s">
        <v>489</v>
      </c>
      <c r="S3715" s="129"/>
    </row>
    <row r="3716" spans="1:19">
      <c r="A3716" s="135" t="s">
        <v>5815</v>
      </c>
      <c r="B3716" s="149" t="str">
        <f>IFERROR(VLOOKUP(Proc[[#This Row],[App]],Table2[],3,0),"open")</f>
        <v>ok</v>
      </c>
      <c r="C3716" s="138" t="s">
        <v>369</v>
      </c>
      <c r="D3716" t="s">
        <v>5835</v>
      </c>
      <c r="E3716" t="s">
        <v>5851</v>
      </c>
      <c r="F3716" s="129" t="s">
        <v>5851</v>
      </c>
      <c r="G3716" s="135" t="s">
        <v>400</v>
      </c>
      <c r="H3716" s="129"/>
      <c r="J3716" s="129" t="b">
        <f>Proc[[#This Row],[Requested]]=Proc[[#This Row],[CurrentParent]]</f>
        <v>1</v>
      </c>
      <c r="K3716" s="144" t="str">
        <f>IF(Proc[[#This Row],[Author]]="Marcela Urrego",VLOOKUP(LEFT(Proc[[#This Row],[Requested]],1),Table3[#All],2,0),VLOOKUP(Proc[[#This Row],[Author]],Table4[],2,0))</f>
        <v>LS</v>
      </c>
      <c r="L3716" s="129" t="s">
        <v>4894</v>
      </c>
      <c r="M3716" s="131">
        <v>45895</v>
      </c>
      <c r="N3716" s="131"/>
      <c r="O3716" s="131"/>
      <c r="P3716" s="131" t="str">
        <f ca="1">IF(Proc[[#This Row],[DaysAgeing]]&gt;5,"yep","on track")</f>
        <v>yep</v>
      </c>
      <c r="Q3716" s="3">
        <f ca="1">IF(Proc[[#This Row],[DateClosed]]="",ABS(NETWORKDAYS(Proc[[#This Row],[DateOpened]],TODAY()))-1,ABS(NETWORKDAYS(Proc[[#This Row],[DateOpened]],Proc[[#This Row],[DateClosed]]))-1)</f>
        <v>78</v>
      </c>
      <c r="R3716" s="131" t="s">
        <v>489</v>
      </c>
      <c r="S3716" s="129"/>
    </row>
    <row r="3717" spans="1:19">
      <c r="A3717" s="135" t="s">
        <v>5815</v>
      </c>
      <c r="B3717" s="149" t="str">
        <f>IFERROR(VLOOKUP(Proc[[#This Row],[App]],Table2[],3,0),"open")</f>
        <v>ok</v>
      </c>
      <c r="C3717" s="138" t="s">
        <v>369</v>
      </c>
      <c r="D3717" t="s">
        <v>5836</v>
      </c>
      <c r="E3717" t="s">
        <v>5852</v>
      </c>
      <c r="F3717" s="129" t="s">
        <v>5852</v>
      </c>
      <c r="G3717" s="135" t="s">
        <v>400</v>
      </c>
      <c r="H3717" s="129"/>
      <c r="J3717" s="129" t="b">
        <f>Proc[[#This Row],[Requested]]=Proc[[#This Row],[CurrentParent]]</f>
        <v>1</v>
      </c>
      <c r="K3717" s="144" t="str">
        <f>IF(Proc[[#This Row],[Author]]="Marcela Urrego",VLOOKUP(LEFT(Proc[[#This Row],[Requested]],1),Table3[#All],2,0),VLOOKUP(Proc[[#This Row],[Author]],Table4[],2,0))</f>
        <v>LS</v>
      </c>
      <c r="L3717" s="129" t="s">
        <v>4894</v>
      </c>
      <c r="M3717" s="131">
        <v>45895</v>
      </c>
      <c r="N3717" s="131"/>
      <c r="O3717" s="131"/>
      <c r="P3717" s="131" t="str">
        <f ca="1">IF(Proc[[#This Row],[DaysAgeing]]&gt;5,"yep","on track")</f>
        <v>yep</v>
      </c>
      <c r="Q3717" s="3">
        <f ca="1">IF(Proc[[#This Row],[DateClosed]]="",ABS(NETWORKDAYS(Proc[[#This Row],[DateOpened]],TODAY()))-1,ABS(NETWORKDAYS(Proc[[#This Row],[DateOpened]],Proc[[#This Row],[DateClosed]]))-1)</f>
        <v>78</v>
      </c>
      <c r="R3717" s="131" t="s">
        <v>489</v>
      </c>
      <c r="S3717" s="129"/>
    </row>
    <row r="3718" spans="1:19">
      <c r="A3718" s="135" t="s">
        <v>5815</v>
      </c>
      <c r="B3718" s="149" t="str">
        <f>IFERROR(VLOOKUP(Proc[[#This Row],[App]],Table2[],3,0),"open")</f>
        <v>ok</v>
      </c>
      <c r="C3718" s="138" t="s">
        <v>369</v>
      </c>
      <c r="D3718" t="s">
        <v>5837</v>
      </c>
      <c r="E3718" t="s">
        <v>5850</v>
      </c>
      <c r="F3718" s="129" t="s">
        <v>5850</v>
      </c>
      <c r="G3718" s="135" t="s">
        <v>400</v>
      </c>
      <c r="H3718" s="129"/>
      <c r="J3718" s="129" t="b">
        <f>Proc[[#This Row],[Requested]]=Proc[[#This Row],[CurrentParent]]</f>
        <v>1</v>
      </c>
      <c r="K3718" s="144" t="str">
        <f>IF(Proc[[#This Row],[Author]]="Marcela Urrego",VLOOKUP(LEFT(Proc[[#This Row],[Requested]],1),Table3[#All],2,0),VLOOKUP(Proc[[#This Row],[Author]],Table4[],2,0))</f>
        <v>LS</v>
      </c>
      <c r="L3718" s="129" t="s">
        <v>4894</v>
      </c>
      <c r="M3718" s="131">
        <v>45895</v>
      </c>
      <c r="N3718" s="131"/>
      <c r="O3718" s="131"/>
      <c r="P3718" s="131" t="str">
        <f ca="1">IF(Proc[[#This Row],[DaysAgeing]]&gt;5,"yep","on track")</f>
        <v>yep</v>
      </c>
      <c r="Q3718" s="3">
        <f ca="1">IF(Proc[[#This Row],[DateClosed]]="",ABS(NETWORKDAYS(Proc[[#This Row],[DateOpened]],TODAY()))-1,ABS(NETWORKDAYS(Proc[[#This Row],[DateOpened]],Proc[[#This Row],[DateClosed]]))-1)</f>
        <v>78</v>
      </c>
      <c r="R3718" s="131" t="s">
        <v>489</v>
      </c>
      <c r="S3718" s="129"/>
    </row>
    <row r="3719" spans="1:19">
      <c r="A3719" s="135" t="s">
        <v>5815</v>
      </c>
      <c r="B3719" s="149" t="str">
        <f>IFERROR(VLOOKUP(Proc[[#This Row],[App]],Table2[],3,0),"open")</f>
        <v>ok</v>
      </c>
      <c r="C3719" s="138" t="s">
        <v>369</v>
      </c>
      <c r="D3719" t="s">
        <v>5838</v>
      </c>
      <c r="E3719" t="s">
        <v>5850</v>
      </c>
      <c r="F3719" s="129" t="s">
        <v>5850</v>
      </c>
      <c r="G3719" s="135" t="s">
        <v>400</v>
      </c>
      <c r="H3719" s="129"/>
      <c r="J3719" s="129" t="b">
        <f>Proc[[#This Row],[Requested]]=Proc[[#This Row],[CurrentParent]]</f>
        <v>1</v>
      </c>
      <c r="K3719" s="144" t="str">
        <f>IF(Proc[[#This Row],[Author]]="Marcela Urrego",VLOOKUP(LEFT(Proc[[#This Row],[Requested]],1),Table3[#All],2,0),VLOOKUP(Proc[[#This Row],[Author]],Table4[],2,0))</f>
        <v>LS</v>
      </c>
      <c r="L3719" s="129" t="s">
        <v>4894</v>
      </c>
      <c r="M3719" s="131">
        <v>45895</v>
      </c>
      <c r="N3719" s="131"/>
      <c r="O3719" s="131"/>
      <c r="P3719" s="131" t="str">
        <f ca="1">IF(Proc[[#This Row],[DaysAgeing]]&gt;5,"yep","on track")</f>
        <v>yep</v>
      </c>
      <c r="Q3719" s="3">
        <f ca="1">IF(Proc[[#This Row],[DateClosed]]="",ABS(NETWORKDAYS(Proc[[#This Row],[DateOpened]],TODAY()))-1,ABS(NETWORKDAYS(Proc[[#This Row],[DateOpened]],Proc[[#This Row],[DateClosed]]))-1)</f>
        <v>78</v>
      </c>
      <c r="R3719" s="131" t="s">
        <v>489</v>
      </c>
      <c r="S3719" s="129"/>
    </row>
    <row r="3720" spans="1:19">
      <c r="A3720" s="135" t="s">
        <v>5815</v>
      </c>
      <c r="B3720" s="149" t="str">
        <f>IFERROR(VLOOKUP(Proc[[#This Row],[App]],Table2[],3,0),"open")</f>
        <v>ok</v>
      </c>
      <c r="C3720" s="138" t="s">
        <v>369</v>
      </c>
      <c r="D3720" t="s">
        <v>5828</v>
      </c>
      <c r="E3720" t="s">
        <v>5850</v>
      </c>
      <c r="F3720" s="129" t="s">
        <v>5850</v>
      </c>
      <c r="G3720" s="135" t="s">
        <v>400</v>
      </c>
      <c r="H3720" s="129"/>
      <c r="J3720" s="129" t="b">
        <f>Proc[[#This Row],[Requested]]=Proc[[#This Row],[CurrentParent]]</f>
        <v>1</v>
      </c>
      <c r="K3720" s="144" t="str">
        <f>IF(Proc[[#This Row],[Author]]="Marcela Urrego",VLOOKUP(LEFT(Proc[[#This Row],[Requested]],1),Table3[#All],2,0),VLOOKUP(Proc[[#This Row],[Author]],Table4[],2,0))</f>
        <v>LS</v>
      </c>
      <c r="L3720" s="129" t="s">
        <v>4894</v>
      </c>
      <c r="M3720" s="131">
        <v>45895</v>
      </c>
      <c r="N3720" s="131"/>
      <c r="O3720" s="131"/>
      <c r="P3720" s="131" t="str">
        <f ca="1">IF(Proc[[#This Row],[DaysAgeing]]&gt;5,"yep","on track")</f>
        <v>yep</v>
      </c>
      <c r="Q3720" s="3">
        <f ca="1">IF(Proc[[#This Row],[DateClosed]]="",ABS(NETWORKDAYS(Proc[[#This Row],[DateOpened]],TODAY()))-1,ABS(NETWORKDAYS(Proc[[#This Row],[DateOpened]],Proc[[#This Row],[DateClosed]]))-1)</f>
        <v>78</v>
      </c>
      <c r="R3720" s="131" t="s">
        <v>489</v>
      </c>
      <c r="S3720" s="129"/>
    </row>
    <row r="3721" spans="1:19">
      <c r="A3721" s="135" t="s">
        <v>5815</v>
      </c>
      <c r="B3721" s="149" t="str">
        <f>IFERROR(VLOOKUP(Proc[[#This Row],[App]],Table2[],3,0),"open")</f>
        <v>ok</v>
      </c>
      <c r="C3721" s="138" t="s">
        <v>369</v>
      </c>
      <c r="D3721" t="s">
        <v>5839</v>
      </c>
      <c r="E3721" t="s">
        <v>5850</v>
      </c>
      <c r="F3721" s="129" t="s">
        <v>5850</v>
      </c>
      <c r="G3721" s="135" t="s">
        <v>406</v>
      </c>
      <c r="H3721" s="129" t="str">
        <f>IF(Proc[[#This Row],[type]]="LFF (MDG-F)",MID(Proc[[#This Row],[Obj]],13,10),"")</f>
        <v>2025C03513</v>
      </c>
      <c r="J3721" s="129" t="b">
        <f>Proc[[#This Row],[Requested]]=Proc[[#This Row],[CurrentParent]]</f>
        <v>1</v>
      </c>
      <c r="K3721" s="144" t="str">
        <f>IF(Proc[[#This Row],[Author]]="Marcela Urrego",VLOOKUP(LEFT(Proc[[#This Row],[Requested]],1),Table3[#All],2,0),VLOOKUP(Proc[[#This Row],[Author]],Table4[],2,0))</f>
        <v>LS</v>
      </c>
      <c r="L3721" s="129" t="s">
        <v>4894</v>
      </c>
      <c r="M3721" s="131">
        <v>45895</v>
      </c>
      <c r="N3721" s="131"/>
      <c r="O3721" s="131"/>
      <c r="P3721" s="131" t="str">
        <f ca="1">IF(Proc[[#This Row],[DaysAgeing]]&gt;5,"yep","on track")</f>
        <v>yep</v>
      </c>
      <c r="Q3721" s="3">
        <f ca="1">IF(Proc[[#This Row],[DateClosed]]="",ABS(NETWORKDAYS(Proc[[#This Row],[DateOpened]],TODAY()))-1,ABS(NETWORKDAYS(Proc[[#This Row],[DateOpened]],Proc[[#This Row],[DateClosed]]))-1)</f>
        <v>78</v>
      </c>
      <c r="R3721" s="131" t="s">
        <v>489</v>
      </c>
      <c r="S3721" s="129"/>
    </row>
    <row r="3722" spans="1:19">
      <c r="A3722" s="135" t="s">
        <v>5815</v>
      </c>
      <c r="B3722" s="149" t="str">
        <f>IFERROR(VLOOKUP(Proc[[#This Row],[App]],Table2[],3,0),"open")</f>
        <v>ok</v>
      </c>
      <c r="C3722" s="138" t="s">
        <v>369</v>
      </c>
      <c r="D3722" t="s">
        <v>5840</v>
      </c>
      <c r="E3722" t="s">
        <v>5850</v>
      </c>
      <c r="F3722" s="129" t="s">
        <v>5850</v>
      </c>
      <c r="G3722" s="135" t="s">
        <v>400</v>
      </c>
      <c r="H3722" s="129"/>
      <c r="J3722" s="129" t="b">
        <f>Proc[[#This Row],[Requested]]=Proc[[#This Row],[CurrentParent]]</f>
        <v>1</v>
      </c>
      <c r="K3722" s="144" t="str">
        <f>IF(Proc[[#This Row],[Author]]="Marcela Urrego",VLOOKUP(LEFT(Proc[[#This Row],[Requested]],1),Table3[#All],2,0),VLOOKUP(Proc[[#This Row],[Author]],Table4[],2,0))</f>
        <v>LS</v>
      </c>
      <c r="L3722" s="129" t="s">
        <v>4894</v>
      </c>
      <c r="M3722" s="131">
        <v>45895</v>
      </c>
      <c r="N3722" s="131"/>
      <c r="O3722" s="131"/>
      <c r="P3722" s="131" t="str">
        <f ca="1">IF(Proc[[#This Row],[DaysAgeing]]&gt;5,"yep","on track")</f>
        <v>yep</v>
      </c>
      <c r="Q3722" s="3">
        <f ca="1">IF(Proc[[#This Row],[DateClosed]]="",ABS(NETWORKDAYS(Proc[[#This Row],[DateOpened]],TODAY()))-1,ABS(NETWORKDAYS(Proc[[#This Row],[DateOpened]],Proc[[#This Row],[DateClosed]]))-1)</f>
        <v>78</v>
      </c>
      <c r="R3722" s="131" t="s">
        <v>489</v>
      </c>
      <c r="S3722" s="129"/>
    </row>
    <row r="3723" spans="1:19">
      <c r="A3723" s="135" t="s">
        <v>5815</v>
      </c>
      <c r="B3723" s="149" t="str">
        <f>IFERROR(VLOOKUP(Proc[[#This Row],[App]],Table2[],3,0),"open")</f>
        <v>ok</v>
      </c>
      <c r="C3723" s="138" t="s">
        <v>369</v>
      </c>
      <c r="D3723" t="s">
        <v>5830</v>
      </c>
      <c r="E3723" t="s">
        <v>5850</v>
      </c>
      <c r="F3723" s="129" t="s">
        <v>5850</v>
      </c>
      <c r="G3723" s="135" t="s">
        <v>400</v>
      </c>
      <c r="H3723" s="129"/>
      <c r="J3723" s="129" t="b">
        <f>Proc[[#This Row],[Requested]]=Proc[[#This Row],[CurrentParent]]</f>
        <v>1</v>
      </c>
      <c r="K3723" s="144" t="str">
        <f>IF(Proc[[#This Row],[Author]]="Marcela Urrego",VLOOKUP(LEFT(Proc[[#This Row],[Requested]],1),Table3[#All],2,0),VLOOKUP(Proc[[#This Row],[Author]],Table4[],2,0))</f>
        <v>LS</v>
      </c>
      <c r="L3723" s="129" t="s">
        <v>4894</v>
      </c>
      <c r="M3723" s="131">
        <v>45895</v>
      </c>
      <c r="N3723" s="131"/>
      <c r="O3723" s="131"/>
      <c r="P3723" s="131" t="str">
        <f ca="1">IF(Proc[[#This Row],[DaysAgeing]]&gt;5,"yep","on track")</f>
        <v>yep</v>
      </c>
      <c r="Q3723" s="3">
        <f ca="1">IF(Proc[[#This Row],[DateClosed]]="",ABS(NETWORKDAYS(Proc[[#This Row],[DateOpened]],TODAY()))-1,ABS(NETWORKDAYS(Proc[[#This Row],[DateOpened]],Proc[[#This Row],[DateClosed]]))-1)</f>
        <v>78</v>
      </c>
      <c r="R3723" s="131" t="s">
        <v>489</v>
      </c>
      <c r="S3723" s="129"/>
    </row>
    <row r="3724" spans="1:19">
      <c r="A3724" s="135" t="s">
        <v>5815</v>
      </c>
      <c r="B3724" s="149" t="str">
        <f>IFERROR(VLOOKUP(Proc[[#This Row],[App]],Table2[],3,0),"open")</f>
        <v>ok</v>
      </c>
      <c r="C3724" s="138" t="s">
        <v>369</v>
      </c>
      <c r="D3724" t="s">
        <v>5841</v>
      </c>
      <c r="E3724" t="s">
        <v>5850</v>
      </c>
      <c r="F3724" s="129" t="s">
        <v>5850</v>
      </c>
      <c r="G3724" s="135" t="s">
        <v>400</v>
      </c>
      <c r="H3724" s="129"/>
      <c r="J3724" s="129" t="b">
        <f>Proc[[#This Row],[Requested]]=Proc[[#This Row],[CurrentParent]]</f>
        <v>1</v>
      </c>
      <c r="K3724" s="144" t="str">
        <f>IF(Proc[[#This Row],[Author]]="Marcela Urrego",VLOOKUP(LEFT(Proc[[#This Row],[Requested]],1),Table3[#All],2,0),VLOOKUP(Proc[[#This Row],[Author]],Table4[],2,0))</f>
        <v>LS</v>
      </c>
      <c r="L3724" s="129" t="s">
        <v>4894</v>
      </c>
      <c r="M3724" s="131">
        <v>45895</v>
      </c>
      <c r="N3724" s="131"/>
      <c r="O3724" s="131"/>
      <c r="P3724" s="131" t="str">
        <f ca="1">IF(Proc[[#This Row],[DaysAgeing]]&gt;5,"yep","on track")</f>
        <v>yep</v>
      </c>
      <c r="Q3724" s="3">
        <f ca="1">IF(Proc[[#This Row],[DateClosed]]="",ABS(NETWORKDAYS(Proc[[#This Row],[DateOpened]],TODAY()))-1,ABS(NETWORKDAYS(Proc[[#This Row],[DateOpened]],Proc[[#This Row],[DateClosed]]))-1)</f>
        <v>78</v>
      </c>
      <c r="R3724" s="131" t="s">
        <v>489</v>
      </c>
      <c r="S3724" s="129"/>
    </row>
    <row r="3725" spans="1:19">
      <c r="A3725" s="135" t="s">
        <v>5815</v>
      </c>
      <c r="B3725" s="149" t="str">
        <f>IFERROR(VLOOKUP(Proc[[#This Row],[App]],Table2[],3,0),"open")</f>
        <v>ok</v>
      </c>
      <c r="C3725" s="138" t="s">
        <v>369</v>
      </c>
      <c r="D3725" t="s">
        <v>5820</v>
      </c>
      <c r="E3725" t="s">
        <v>5850</v>
      </c>
      <c r="F3725" s="129" t="s">
        <v>5850</v>
      </c>
      <c r="G3725" s="135" t="s">
        <v>400</v>
      </c>
      <c r="H3725" s="129"/>
      <c r="J3725" s="129" t="b">
        <f>Proc[[#This Row],[Requested]]=Proc[[#This Row],[CurrentParent]]</f>
        <v>1</v>
      </c>
      <c r="K3725" s="144" t="str">
        <f>IF(Proc[[#This Row],[Author]]="Marcela Urrego",VLOOKUP(LEFT(Proc[[#This Row],[Requested]],1),Table3[#All],2,0),VLOOKUP(Proc[[#This Row],[Author]],Table4[],2,0))</f>
        <v>LS</v>
      </c>
      <c r="L3725" s="129" t="s">
        <v>4894</v>
      </c>
      <c r="M3725" s="131">
        <v>45895</v>
      </c>
      <c r="N3725" s="131"/>
      <c r="O3725" s="131"/>
      <c r="P3725" s="131" t="str">
        <f ca="1">IF(Proc[[#This Row],[DaysAgeing]]&gt;5,"yep","on track")</f>
        <v>yep</v>
      </c>
      <c r="Q3725" s="3">
        <f ca="1">IF(Proc[[#This Row],[DateClosed]]="",ABS(NETWORKDAYS(Proc[[#This Row],[DateOpened]],TODAY()))-1,ABS(NETWORKDAYS(Proc[[#This Row],[DateOpened]],Proc[[#This Row],[DateClosed]]))-1)</f>
        <v>78</v>
      </c>
      <c r="R3725" s="131" t="s">
        <v>489</v>
      </c>
      <c r="S3725" s="129"/>
    </row>
    <row r="3726" spans="1:19">
      <c r="A3726" s="135" t="s">
        <v>5815</v>
      </c>
      <c r="B3726" s="149" t="str">
        <f>IFERROR(VLOOKUP(Proc[[#This Row],[App]],Table2[],3,0),"open")</f>
        <v>ok</v>
      </c>
      <c r="C3726" s="138" t="s">
        <v>369</v>
      </c>
      <c r="D3726" t="s">
        <v>5842</v>
      </c>
      <c r="E3726" t="s">
        <v>5850</v>
      </c>
      <c r="F3726" s="129" t="s">
        <v>5850</v>
      </c>
      <c r="G3726" s="135" t="s">
        <v>400</v>
      </c>
      <c r="H3726" s="129"/>
      <c r="J3726" s="129" t="b">
        <f>Proc[[#This Row],[Requested]]=Proc[[#This Row],[CurrentParent]]</f>
        <v>1</v>
      </c>
      <c r="K3726" s="144" t="str">
        <f>IF(Proc[[#This Row],[Author]]="Marcela Urrego",VLOOKUP(LEFT(Proc[[#This Row],[Requested]],1),Table3[#All],2,0),VLOOKUP(Proc[[#This Row],[Author]],Table4[],2,0))</f>
        <v>LS</v>
      </c>
      <c r="L3726" s="129" t="s">
        <v>4894</v>
      </c>
      <c r="M3726" s="131">
        <v>45895</v>
      </c>
      <c r="N3726" s="131"/>
      <c r="O3726" s="131"/>
      <c r="P3726" s="131" t="str">
        <f ca="1">IF(Proc[[#This Row],[DaysAgeing]]&gt;5,"yep","on track")</f>
        <v>yep</v>
      </c>
      <c r="Q3726" s="3">
        <f ca="1">IF(Proc[[#This Row],[DateClosed]]="",ABS(NETWORKDAYS(Proc[[#This Row],[DateOpened]],TODAY()))-1,ABS(NETWORKDAYS(Proc[[#This Row],[DateOpened]],Proc[[#This Row],[DateClosed]]))-1)</f>
        <v>78</v>
      </c>
      <c r="R3726" s="131" t="s">
        <v>489</v>
      </c>
      <c r="S3726" s="129"/>
    </row>
    <row r="3727" spans="1:19">
      <c r="A3727" s="135" t="s">
        <v>5815</v>
      </c>
      <c r="B3727" s="149" t="str">
        <f>IFERROR(VLOOKUP(Proc[[#This Row],[App]],Table2[],3,0),"open")</f>
        <v>ok</v>
      </c>
      <c r="C3727" s="138" t="s">
        <v>369</v>
      </c>
      <c r="D3727" t="s">
        <v>5843</v>
      </c>
      <c r="E3727" t="s">
        <v>5850</v>
      </c>
      <c r="F3727" s="129" t="s">
        <v>5850</v>
      </c>
      <c r="G3727" s="135" t="s">
        <v>400</v>
      </c>
      <c r="H3727" s="129"/>
      <c r="J3727" s="129" t="b">
        <f>Proc[[#This Row],[Requested]]=Proc[[#This Row],[CurrentParent]]</f>
        <v>1</v>
      </c>
      <c r="K3727" s="144" t="str">
        <f>IF(Proc[[#This Row],[Author]]="Marcela Urrego",VLOOKUP(LEFT(Proc[[#This Row],[Requested]],1),Table3[#All],2,0),VLOOKUP(Proc[[#This Row],[Author]],Table4[],2,0))</f>
        <v>LS</v>
      </c>
      <c r="L3727" s="129" t="s">
        <v>4894</v>
      </c>
      <c r="M3727" s="131">
        <v>45895</v>
      </c>
      <c r="N3727" s="131"/>
      <c r="O3727" s="131"/>
      <c r="P3727" s="131" t="str">
        <f ca="1">IF(Proc[[#This Row],[DaysAgeing]]&gt;5,"yep","on track")</f>
        <v>yep</v>
      </c>
      <c r="Q3727" s="3">
        <f ca="1">IF(Proc[[#This Row],[DateClosed]]="",ABS(NETWORKDAYS(Proc[[#This Row],[DateOpened]],TODAY()))-1,ABS(NETWORKDAYS(Proc[[#This Row],[DateOpened]],Proc[[#This Row],[DateClosed]]))-1)</f>
        <v>78</v>
      </c>
      <c r="R3727" s="131" t="s">
        <v>489</v>
      </c>
      <c r="S3727" s="129"/>
    </row>
    <row r="3728" spans="1:19">
      <c r="A3728" s="135" t="s">
        <v>5815</v>
      </c>
      <c r="B3728" s="149" t="str">
        <f>IFERROR(VLOOKUP(Proc[[#This Row],[App]],Table2[],3,0),"open")</f>
        <v>ok</v>
      </c>
      <c r="C3728" s="138" t="s">
        <v>369</v>
      </c>
      <c r="D3728" t="s">
        <v>5844</v>
      </c>
      <c r="E3728" t="s">
        <v>5853</v>
      </c>
      <c r="F3728" s="129" t="s">
        <v>5853</v>
      </c>
      <c r="G3728" s="135" t="s">
        <v>400</v>
      </c>
      <c r="H3728" s="129"/>
      <c r="J3728" s="129" t="b">
        <f>Proc[[#This Row],[Requested]]=Proc[[#This Row],[CurrentParent]]</f>
        <v>1</v>
      </c>
      <c r="K3728" s="144" t="str">
        <f>IF(Proc[[#This Row],[Author]]="Marcela Urrego",VLOOKUP(LEFT(Proc[[#This Row],[Requested]],1),Table3[#All],2,0),VLOOKUP(Proc[[#This Row],[Author]],Table4[],2,0))</f>
        <v>LS</v>
      </c>
      <c r="L3728" s="129" t="s">
        <v>4894</v>
      </c>
      <c r="M3728" s="131">
        <v>45895</v>
      </c>
      <c r="N3728" s="131"/>
      <c r="O3728" s="131"/>
      <c r="P3728" s="131" t="str">
        <f ca="1">IF(Proc[[#This Row],[DaysAgeing]]&gt;5,"yep","on track")</f>
        <v>yep</v>
      </c>
      <c r="Q3728" s="3">
        <f ca="1">IF(Proc[[#This Row],[DateClosed]]="",ABS(NETWORKDAYS(Proc[[#This Row],[DateOpened]],TODAY()))-1,ABS(NETWORKDAYS(Proc[[#This Row],[DateOpened]],Proc[[#This Row],[DateClosed]]))-1)</f>
        <v>78</v>
      </c>
      <c r="R3728" s="131" t="s">
        <v>489</v>
      </c>
      <c r="S3728" s="129"/>
    </row>
    <row r="3729" spans="1:19">
      <c r="A3729" s="135" t="s">
        <v>5815</v>
      </c>
      <c r="B3729" s="149" t="str">
        <f>IFERROR(VLOOKUP(Proc[[#This Row],[App]],Table2[],3,0),"open")</f>
        <v>ok</v>
      </c>
      <c r="C3729" s="138" t="s">
        <v>369</v>
      </c>
      <c r="D3729" t="s">
        <v>5845</v>
      </c>
      <c r="E3729" t="s">
        <v>5850</v>
      </c>
      <c r="F3729" s="129" t="s">
        <v>5850</v>
      </c>
      <c r="G3729" s="135" t="s">
        <v>400</v>
      </c>
      <c r="H3729" s="129"/>
      <c r="J3729" s="129" t="b">
        <f>Proc[[#This Row],[Requested]]=Proc[[#This Row],[CurrentParent]]</f>
        <v>1</v>
      </c>
      <c r="K3729" s="144" t="str">
        <f>IF(Proc[[#This Row],[Author]]="Marcela Urrego",VLOOKUP(LEFT(Proc[[#This Row],[Requested]],1),Table3[#All],2,0),VLOOKUP(Proc[[#This Row],[Author]],Table4[],2,0))</f>
        <v>LS</v>
      </c>
      <c r="L3729" s="129" t="s">
        <v>4894</v>
      </c>
      <c r="M3729" s="131">
        <v>45895</v>
      </c>
      <c r="N3729" s="131"/>
      <c r="O3729" s="131"/>
      <c r="P3729" s="131" t="str">
        <f ca="1">IF(Proc[[#This Row],[DaysAgeing]]&gt;5,"yep","on track")</f>
        <v>yep</v>
      </c>
      <c r="Q3729" s="3">
        <f ca="1">IF(Proc[[#This Row],[DateClosed]]="",ABS(NETWORKDAYS(Proc[[#This Row],[DateOpened]],TODAY()))-1,ABS(NETWORKDAYS(Proc[[#This Row],[DateOpened]],Proc[[#This Row],[DateClosed]]))-1)</f>
        <v>78</v>
      </c>
      <c r="R3729" s="131" t="s">
        <v>489</v>
      </c>
      <c r="S3729" s="129"/>
    </row>
    <row r="3730" spans="1:19">
      <c r="A3730" s="135" t="s">
        <v>5815</v>
      </c>
      <c r="B3730" s="149" t="str">
        <f>IFERROR(VLOOKUP(Proc[[#This Row],[App]],Table2[],3,0),"open")</f>
        <v>ok</v>
      </c>
      <c r="C3730" s="138" t="s">
        <v>369</v>
      </c>
      <c r="D3730" t="s">
        <v>5846</v>
      </c>
      <c r="E3730" t="s">
        <v>5854</v>
      </c>
      <c r="F3730" s="129" t="s">
        <v>5854</v>
      </c>
      <c r="G3730" s="135" t="s">
        <v>400</v>
      </c>
      <c r="H3730" s="129"/>
      <c r="J3730" s="129" t="b">
        <f>Proc[[#This Row],[Requested]]=Proc[[#This Row],[CurrentParent]]</f>
        <v>1</v>
      </c>
      <c r="K3730" s="144" t="str">
        <f>IF(Proc[[#This Row],[Author]]="Marcela Urrego",VLOOKUP(LEFT(Proc[[#This Row],[Requested]],1),Table3[#All],2,0),VLOOKUP(Proc[[#This Row],[Author]],Table4[],2,0))</f>
        <v>LS</v>
      </c>
      <c r="L3730" s="129" t="s">
        <v>4894</v>
      </c>
      <c r="M3730" s="131">
        <v>45895</v>
      </c>
      <c r="N3730" s="131"/>
      <c r="O3730" s="131"/>
      <c r="P3730" s="131" t="str">
        <f ca="1">IF(Proc[[#This Row],[DaysAgeing]]&gt;5,"yep","on track")</f>
        <v>yep</v>
      </c>
      <c r="Q3730" s="3">
        <f ca="1">IF(Proc[[#This Row],[DateClosed]]="",ABS(NETWORKDAYS(Proc[[#This Row],[DateOpened]],TODAY()))-1,ABS(NETWORKDAYS(Proc[[#This Row],[DateOpened]],Proc[[#This Row],[DateClosed]]))-1)</f>
        <v>78</v>
      </c>
      <c r="R3730" s="131" t="s">
        <v>489</v>
      </c>
      <c r="S3730" s="129"/>
    </row>
    <row r="3731" spans="1:19">
      <c r="A3731" s="135" t="s">
        <v>5815</v>
      </c>
      <c r="B3731" s="149" t="str">
        <f>IFERROR(VLOOKUP(Proc[[#This Row],[App]],Table2[],3,0),"open")</f>
        <v>ok</v>
      </c>
      <c r="C3731" s="138" t="s">
        <v>369</v>
      </c>
      <c r="D3731" t="s">
        <v>5847</v>
      </c>
      <c r="E3731" t="s">
        <v>5854</v>
      </c>
      <c r="F3731" s="129" t="s">
        <v>5854</v>
      </c>
      <c r="G3731" s="135" t="s">
        <v>400</v>
      </c>
      <c r="H3731" s="129" t="str">
        <f>IF(Proc[[#This Row],[type]]="LFF (MDG-F)",MID(Proc[[#This Row],[Obj]],13,10),"")</f>
        <v/>
      </c>
      <c r="J3731" s="129" t="b">
        <f>Proc[[#This Row],[Requested]]=Proc[[#This Row],[CurrentParent]]</f>
        <v>1</v>
      </c>
      <c r="K3731" s="144" t="str">
        <f>IF(Proc[[#This Row],[Author]]="Marcela Urrego",VLOOKUP(LEFT(Proc[[#This Row],[Requested]],1),Table3[#All],2,0),VLOOKUP(Proc[[#This Row],[Author]],Table4[],2,0))</f>
        <v>LS</v>
      </c>
      <c r="L3731" s="129" t="s">
        <v>4894</v>
      </c>
      <c r="M3731" s="131">
        <v>45895</v>
      </c>
      <c r="N3731" s="131"/>
      <c r="O3731" s="131"/>
      <c r="P3731" s="136" t="str">
        <f ca="1">IF(Proc[[#This Row],[DaysAgeing]]&gt;5,"yep","on track")</f>
        <v>yep</v>
      </c>
      <c r="Q3731" s="3">
        <f ca="1">IF(Proc[[#This Row],[DateClosed]]="",ABS(NETWORKDAYS(Proc[[#This Row],[DateOpened]],TODAY()))-1,ABS(NETWORKDAYS(Proc[[#This Row],[DateOpened]],Proc[[#This Row],[DateClosed]]))-1)</f>
        <v>78</v>
      </c>
      <c r="R3731" s="131" t="s">
        <v>489</v>
      </c>
      <c r="S3731" s="129"/>
    </row>
    <row r="3732" spans="1:19">
      <c r="A3732" t="s">
        <v>5855</v>
      </c>
      <c r="B3732" s="149" t="str">
        <f>IFERROR(VLOOKUP(Proc[[#This Row],[App]],Table2[],3,0),"open")</f>
        <v>ok</v>
      </c>
      <c r="C3732" s="135" t="s">
        <v>369</v>
      </c>
      <c r="D3732" s="45" t="s">
        <v>5756</v>
      </c>
      <c r="E3732" t="s">
        <v>5270</v>
      </c>
      <c r="F3732" s="129" t="s">
        <v>5270</v>
      </c>
      <c r="G3732" s="135" t="s">
        <v>406</v>
      </c>
      <c r="H3732" s="129" t="str">
        <f>IF(Proc[[#This Row],[type]]="LFF (MDG-F)",MID(Proc[[#This Row],[Obj]],13,10),"")</f>
        <v>DE73R00021</v>
      </c>
      <c r="J3732" s="129" t="b">
        <f>Proc[[#This Row],[Requested]]=Proc[[#This Row],[CurrentParent]]</f>
        <v>1</v>
      </c>
      <c r="K3732" s="144" t="str">
        <f>IF(Proc[[#This Row],[Author]]="Marcela Urrego",VLOOKUP(LEFT(Proc[[#This Row],[Requested]],1),Table3[#All],2,0),VLOOKUP(Proc[[#This Row],[Author]],Table4[],2,0))</f>
        <v>LS</v>
      </c>
      <c r="L3732" s="129" t="s">
        <v>4894</v>
      </c>
      <c r="M3732" s="131">
        <v>45895</v>
      </c>
      <c r="N3732" s="131"/>
      <c r="O3732" s="131"/>
      <c r="P3732" s="136" t="str">
        <f ca="1">IF(Proc[[#This Row],[DaysAgeing]]&gt;5,"yep","on track")</f>
        <v>yep</v>
      </c>
      <c r="Q3732" s="3">
        <f ca="1">IF(Proc[[#This Row],[DateClosed]]="",ABS(NETWORKDAYS(Proc[[#This Row],[DateOpened]],TODAY()))-1,ABS(NETWORKDAYS(Proc[[#This Row],[DateOpened]],Proc[[#This Row],[DateClosed]]))-1)</f>
        <v>78</v>
      </c>
      <c r="R3732" s="131" t="s">
        <v>489</v>
      </c>
      <c r="S3732" s="129"/>
    </row>
    <row r="3733" spans="1:19">
      <c r="A3733" s="135" t="s">
        <v>5855</v>
      </c>
      <c r="B3733" s="149" t="str">
        <f>IFERROR(VLOOKUP(Proc[[#This Row],[App]],Table2[],3,0),"open")</f>
        <v>ok</v>
      </c>
      <c r="C3733" s="135" t="s">
        <v>369</v>
      </c>
      <c r="D3733" s="45" t="s">
        <v>5758</v>
      </c>
      <c r="E3733" t="s">
        <v>5270</v>
      </c>
      <c r="F3733" s="129" t="s">
        <v>5270</v>
      </c>
      <c r="G3733" s="135" t="s">
        <v>406</v>
      </c>
      <c r="H3733" s="129" t="str">
        <f>IF(Proc[[#This Row],[type]]="LFF (MDG-F)",MID(Proc[[#This Row],[Obj]],13,10),"")</f>
        <v>DE73R00013</v>
      </c>
      <c r="J3733" s="129" t="b">
        <f>Proc[[#This Row],[Requested]]=Proc[[#This Row],[CurrentParent]]</f>
        <v>1</v>
      </c>
      <c r="K3733" s="144" t="str">
        <f>IF(Proc[[#This Row],[Author]]="Marcela Urrego",VLOOKUP(LEFT(Proc[[#This Row],[Requested]],1),Table3[#All],2,0),VLOOKUP(Proc[[#This Row],[Author]],Table4[],2,0))</f>
        <v>LS</v>
      </c>
      <c r="L3733" s="129" t="s">
        <v>4894</v>
      </c>
      <c r="M3733" s="131">
        <v>45895</v>
      </c>
      <c r="N3733" s="131"/>
      <c r="O3733" s="131"/>
      <c r="P3733" s="136" t="str">
        <f ca="1">IF(Proc[[#This Row],[DaysAgeing]]&gt;5,"yep","on track")</f>
        <v>yep</v>
      </c>
      <c r="Q3733" s="3">
        <f ca="1">IF(Proc[[#This Row],[DateClosed]]="",ABS(NETWORKDAYS(Proc[[#This Row],[DateOpened]],TODAY()))-1,ABS(NETWORKDAYS(Proc[[#This Row],[DateOpened]],Proc[[#This Row],[DateClosed]]))-1)</f>
        <v>78</v>
      </c>
      <c r="R3733" s="131" t="s">
        <v>489</v>
      </c>
      <c r="S3733" s="129"/>
    </row>
    <row r="3734" spans="1:19">
      <c r="A3734" t="s">
        <v>5856</v>
      </c>
      <c r="B3734" s="149" t="str">
        <f>IFERROR(VLOOKUP(Proc[[#This Row],[App]],Table2[],3,0),"open")</f>
        <v>ok</v>
      </c>
      <c r="C3734" s="138" t="s">
        <v>369</v>
      </c>
      <c r="D3734" t="s">
        <v>5857</v>
      </c>
      <c r="E3734" t="s">
        <v>2274</v>
      </c>
      <c r="F3734" s="129" t="s">
        <v>2274</v>
      </c>
      <c r="G3734" t="s">
        <v>400</v>
      </c>
      <c r="H3734" s="129" t="str">
        <f>IF(Proc[[#This Row],[type]]="LFF (MDG-F)",MID(Proc[[#This Row],[Obj]],13,10),"")</f>
        <v/>
      </c>
      <c r="J3734" s="129" t="b">
        <f>Proc[[#This Row],[Requested]]=Proc[[#This Row],[CurrentParent]]</f>
        <v>1</v>
      </c>
      <c r="K3734" s="144" t="str">
        <f>IF(Proc[[#This Row],[Author]]="Marcela Urrego",VLOOKUP(LEFT(Proc[[#This Row],[Requested]],1),Table3[#All],2,0),VLOOKUP(Proc[[#This Row],[Author]],Table4[],2,0))</f>
        <v>HC</v>
      </c>
      <c r="L3734" s="129" t="s">
        <v>4894</v>
      </c>
      <c r="M3734" s="131">
        <v>45895</v>
      </c>
      <c r="N3734" s="131"/>
      <c r="O3734" s="131"/>
      <c r="P3734" s="136" t="str">
        <f ca="1">IF(Proc[[#This Row],[DaysAgeing]]&gt;5,"yep","on track")</f>
        <v>yep</v>
      </c>
      <c r="Q3734" s="3">
        <f ca="1">IF(Proc[[#This Row],[DateClosed]]="",ABS(NETWORKDAYS(Proc[[#This Row],[DateOpened]],TODAY()))-1,ABS(NETWORKDAYS(Proc[[#This Row],[DateOpened]],Proc[[#This Row],[DateClosed]]))-1)</f>
        <v>78</v>
      </c>
      <c r="R3734" s="136" t="s">
        <v>1013</v>
      </c>
      <c r="S3734" s="129"/>
    </row>
    <row r="3735" spans="1:19">
      <c r="A3735" s="135" t="s">
        <v>5856</v>
      </c>
      <c r="B3735" s="149" t="str">
        <f>IFERROR(VLOOKUP(Proc[[#This Row],[App]],Table2[],3,0),"open")</f>
        <v>ok</v>
      </c>
      <c r="C3735" s="138" t="s">
        <v>369</v>
      </c>
      <c r="D3735" t="s">
        <v>5858</v>
      </c>
      <c r="E3735" t="s">
        <v>2274</v>
      </c>
      <c r="F3735" s="129" t="s">
        <v>2274</v>
      </c>
      <c r="G3735" s="135" t="s">
        <v>400</v>
      </c>
      <c r="H3735" s="129" t="str">
        <f>IF(Proc[[#This Row],[type]]="LFF (MDG-F)",MID(Proc[[#This Row],[Obj]],13,10),"")</f>
        <v/>
      </c>
      <c r="J3735" s="129" t="b">
        <f>Proc[[#This Row],[Requested]]=Proc[[#This Row],[CurrentParent]]</f>
        <v>1</v>
      </c>
      <c r="K3735" s="144" t="str">
        <f>IF(Proc[[#This Row],[Author]]="Marcela Urrego",VLOOKUP(LEFT(Proc[[#This Row],[Requested]],1),Table3[#All],2,0),VLOOKUP(Proc[[#This Row],[Author]],Table4[],2,0))</f>
        <v>HC</v>
      </c>
      <c r="L3735" s="129" t="s">
        <v>4894</v>
      </c>
      <c r="M3735" s="131">
        <v>45895</v>
      </c>
      <c r="N3735" s="131"/>
      <c r="O3735" s="131"/>
      <c r="P3735" s="136" t="str">
        <f ca="1">IF(Proc[[#This Row],[DaysAgeing]]&gt;5,"yep","on track")</f>
        <v>yep</v>
      </c>
      <c r="Q3735" s="3">
        <f ca="1">IF(Proc[[#This Row],[DateClosed]]="",ABS(NETWORKDAYS(Proc[[#This Row],[DateOpened]],TODAY()))-1,ABS(NETWORKDAYS(Proc[[#This Row],[DateOpened]],Proc[[#This Row],[DateClosed]]))-1)</f>
        <v>78</v>
      </c>
      <c r="R3735" s="136" t="s">
        <v>1013</v>
      </c>
      <c r="S3735" s="129"/>
    </row>
    <row r="3736" spans="1:19">
      <c r="A3736" s="135" t="s">
        <v>5856</v>
      </c>
      <c r="B3736" s="149" t="str">
        <f>IFERROR(VLOOKUP(Proc[[#This Row],[App]],Table2[],3,0),"open")</f>
        <v>ok</v>
      </c>
      <c r="C3736" s="138" t="s">
        <v>369</v>
      </c>
      <c r="D3736" t="s">
        <v>5859</v>
      </c>
      <c r="E3736" t="s">
        <v>3004</v>
      </c>
      <c r="F3736" s="129" t="s">
        <v>3004</v>
      </c>
      <c r="G3736" s="135" t="s">
        <v>400</v>
      </c>
      <c r="H3736" s="129" t="str">
        <f>IF(Proc[[#This Row],[type]]="LFF (MDG-F)",MID(Proc[[#This Row],[Obj]],13,10),"")</f>
        <v/>
      </c>
      <c r="J3736" s="129" t="b">
        <f>Proc[[#This Row],[Requested]]=Proc[[#This Row],[CurrentParent]]</f>
        <v>1</v>
      </c>
      <c r="K3736" s="144" t="str">
        <f>IF(Proc[[#This Row],[Author]]="Marcela Urrego",VLOOKUP(LEFT(Proc[[#This Row],[Requested]],1),Table3[#All],2,0),VLOOKUP(Proc[[#This Row],[Author]],Table4[],2,0))</f>
        <v>HC</v>
      </c>
      <c r="L3736" s="129" t="s">
        <v>4894</v>
      </c>
      <c r="M3736" s="131">
        <v>45895</v>
      </c>
      <c r="N3736" s="131"/>
      <c r="O3736" s="131"/>
      <c r="P3736" s="136" t="str">
        <f ca="1">IF(Proc[[#This Row],[DaysAgeing]]&gt;5,"yep","on track")</f>
        <v>yep</v>
      </c>
      <c r="Q3736" s="3">
        <f ca="1">IF(Proc[[#This Row],[DateClosed]]="",ABS(NETWORKDAYS(Proc[[#This Row],[DateOpened]],TODAY()))-1,ABS(NETWORKDAYS(Proc[[#This Row],[DateOpened]],Proc[[#This Row],[DateClosed]]))-1)</f>
        <v>78</v>
      </c>
      <c r="R3736" s="136" t="s">
        <v>1013</v>
      </c>
      <c r="S3736" s="129"/>
    </row>
    <row r="3737" spans="1:19">
      <c r="A3737" s="135" t="s">
        <v>5856</v>
      </c>
      <c r="B3737" s="149" t="str">
        <f>IFERROR(VLOOKUP(Proc[[#This Row],[App]],Table2[],3,0),"open")</f>
        <v>ok</v>
      </c>
      <c r="C3737" s="138" t="s">
        <v>369</v>
      </c>
      <c r="D3737" t="s">
        <v>5860</v>
      </c>
      <c r="E3737" t="s">
        <v>4068</v>
      </c>
      <c r="F3737" s="129" t="s">
        <v>4068</v>
      </c>
      <c r="G3737" s="135" t="s">
        <v>400</v>
      </c>
      <c r="H3737" s="129" t="str">
        <f>IF(Proc[[#This Row],[type]]="LFF (MDG-F)",MID(Proc[[#This Row],[Obj]],13,10),"")</f>
        <v/>
      </c>
      <c r="J3737" s="129" t="b">
        <f>Proc[[#This Row],[Requested]]=Proc[[#This Row],[CurrentParent]]</f>
        <v>1</v>
      </c>
      <c r="K3737" s="144" t="str">
        <f>IF(Proc[[#This Row],[Author]]="Marcela Urrego",VLOOKUP(LEFT(Proc[[#This Row],[Requested]],1),Table3[#All],2,0),VLOOKUP(Proc[[#This Row],[Author]],Table4[],2,0))</f>
        <v>HC</v>
      </c>
      <c r="L3737" s="129" t="s">
        <v>4894</v>
      </c>
      <c r="M3737" s="131">
        <v>45895</v>
      </c>
      <c r="N3737" s="131"/>
      <c r="O3737" s="131"/>
      <c r="P3737" s="136" t="str">
        <f ca="1">IF(Proc[[#This Row],[DaysAgeing]]&gt;5,"yep","on track")</f>
        <v>yep</v>
      </c>
      <c r="Q3737" s="3">
        <f ca="1">IF(Proc[[#This Row],[DateClosed]]="",ABS(NETWORKDAYS(Proc[[#This Row],[DateOpened]],TODAY()))-1,ABS(NETWORKDAYS(Proc[[#This Row],[DateOpened]],Proc[[#This Row],[DateClosed]]))-1)</f>
        <v>78</v>
      </c>
      <c r="R3737" s="136" t="s">
        <v>1013</v>
      </c>
      <c r="S3737" s="129"/>
    </row>
    <row r="3738" spans="1:19">
      <c r="A3738" s="135" t="s">
        <v>5856</v>
      </c>
      <c r="B3738" s="149" t="str">
        <f>IFERROR(VLOOKUP(Proc[[#This Row],[App]],Table2[],3,0),"open")</f>
        <v>ok</v>
      </c>
      <c r="C3738" s="138" t="s">
        <v>369</v>
      </c>
      <c r="D3738" t="s">
        <v>5861</v>
      </c>
      <c r="E3738" t="s">
        <v>4068</v>
      </c>
      <c r="F3738" s="129" t="s">
        <v>4068</v>
      </c>
      <c r="G3738" s="135" t="s">
        <v>400</v>
      </c>
      <c r="H3738" s="129" t="str">
        <f>IF(Proc[[#This Row],[type]]="LFF (MDG-F)",MID(Proc[[#This Row],[Obj]],13,10),"")</f>
        <v/>
      </c>
      <c r="J3738" s="129" t="b">
        <f>Proc[[#This Row],[Requested]]=Proc[[#This Row],[CurrentParent]]</f>
        <v>1</v>
      </c>
      <c r="K3738" s="144" t="str">
        <f>IF(Proc[[#This Row],[Author]]="Marcela Urrego",VLOOKUP(LEFT(Proc[[#This Row],[Requested]],1),Table3[#All],2,0),VLOOKUP(Proc[[#This Row],[Author]],Table4[],2,0))</f>
        <v>HC</v>
      </c>
      <c r="L3738" s="129" t="s">
        <v>4894</v>
      </c>
      <c r="M3738" s="131">
        <v>45895</v>
      </c>
      <c r="N3738" s="131"/>
      <c r="O3738" s="131"/>
      <c r="P3738" s="136" t="str">
        <f ca="1">IF(Proc[[#This Row],[DaysAgeing]]&gt;5,"yep","on track")</f>
        <v>yep</v>
      </c>
      <c r="Q3738" s="3">
        <f ca="1">IF(Proc[[#This Row],[DateClosed]]="",ABS(NETWORKDAYS(Proc[[#This Row],[DateOpened]],TODAY()))-1,ABS(NETWORKDAYS(Proc[[#This Row],[DateOpened]],Proc[[#This Row],[DateClosed]]))-1)</f>
        <v>78</v>
      </c>
      <c r="R3738" s="136" t="s">
        <v>1013</v>
      </c>
      <c r="S3738" s="129"/>
    </row>
    <row r="3739" spans="1:19">
      <c r="A3739" s="135" t="s">
        <v>5856</v>
      </c>
      <c r="B3739" s="149" t="str">
        <f>IFERROR(VLOOKUP(Proc[[#This Row],[App]],Table2[],3,0),"open")</f>
        <v>ok</v>
      </c>
      <c r="C3739" s="138" t="s">
        <v>369</v>
      </c>
      <c r="D3739" t="s">
        <v>5862</v>
      </c>
      <c r="E3739" t="s">
        <v>4068</v>
      </c>
      <c r="F3739" s="129" t="s">
        <v>4068</v>
      </c>
      <c r="G3739" s="135" t="s">
        <v>400</v>
      </c>
      <c r="H3739" s="129" t="str">
        <f>IF(Proc[[#This Row],[type]]="LFF (MDG-F)",MID(Proc[[#This Row],[Obj]],13,10),"")</f>
        <v/>
      </c>
      <c r="J3739" s="129" t="b">
        <f>Proc[[#This Row],[Requested]]=Proc[[#This Row],[CurrentParent]]</f>
        <v>1</v>
      </c>
      <c r="K3739" s="144" t="str">
        <f>IF(Proc[[#This Row],[Author]]="Marcela Urrego",VLOOKUP(LEFT(Proc[[#This Row],[Requested]],1),Table3[#All],2,0),VLOOKUP(Proc[[#This Row],[Author]],Table4[],2,0))</f>
        <v>HC</v>
      </c>
      <c r="L3739" s="129" t="s">
        <v>4894</v>
      </c>
      <c r="M3739" s="131">
        <v>45895</v>
      </c>
      <c r="N3739" s="131"/>
      <c r="O3739" s="131"/>
      <c r="P3739" s="136" t="str">
        <f ca="1">IF(Proc[[#This Row],[DaysAgeing]]&gt;5,"yep","on track")</f>
        <v>yep</v>
      </c>
      <c r="Q3739" s="3">
        <f ca="1">IF(Proc[[#This Row],[DateClosed]]="",ABS(NETWORKDAYS(Proc[[#This Row],[DateOpened]],TODAY()))-1,ABS(NETWORKDAYS(Proc[[#This Row],[DateOpened]],Proc[[#This Row],[DateClosed]]))-1)</f>
        <v>78</v>
      </c>
      <c r="R3739" s="136" t="s">
        <v>1013</v>
      </c>
      <c r="S3739" s="129"/>
    </row>
    <row r="3740" spans="1:19">
      <c r="A3740" s="135" t="s">
        <v>5856</v>
      </c>
      <c r="B3740" s="149" t="str">
        <f>IFERROR(VLOOKUP(Proc[[#This Row],[App]],Table2[],3,0),"open")</f>
        <v>ok</v>
      </c>
      <c r="C3740" s="138" t="s">
        <v>369</v>
      </c>
      <c r="D3740" t="s">
        <v>5863</v>
      </c>
      <c r="E3740" t="s">
        <v>4068</v>
      </c>
      <c r="F3740" s="129" t="s">
        <v>4068</v>
      </c>
      <c r="G3740" s="135" t="s">
        <v>400</v>
      </c>
      <c r="H3740" s="129" t="str">
        <f>IF(Proc[[#This Row],[type]]="LFF (MDG-F)",MID(Proc[[#This Row],[Obj]],13,10),"")</f>
        <v/>
      </c>
      <c r="J3740" s="129" t="b">
        <f>Proc[[#This Row],[Requested]]=Proc[[#This Row],[CurrentParent]]</f>
        <v>1</v>
      </c>
      <c r="K3740" s="144" t="str">
        <f>IF(Proc[[#This Row],[Author]]="Marcela Urrego",VLOOKUP(LEFT(Proc[[#This Row],[Requested]],1),Table3[#All],2,0),VLOOKUP(Proc[[#This Row],[Author]],Table4[],2,0))</f>
        <v>HC</v>
      </c>
      <c r="L3740" s="129" t="s">
        <v>4894</v>
      </c>
      <c r="M3740" s="131">
        <v>45895</v>
      </c>
      <c r="N3740" s="131"/>
      <c r="O3740" s="131"/>
      <c r="P3740" s="136" t="str">
        <f ca="1">IF(Proc[[#This Row],[DaysAgeing]]&gt;5,"yep","on track")</f>
        <v>yep</v>
      </c>
      <c r="Q3740" s="3">
        <f ca="1">IF(Proc[[#This Row],[DateClosed]]="",ABS(NETWORKDAYS(Proc[[#This Row],[DateOpened]],TODAY()))-1,ABS(NETWORKDAYS(Proc[[#This Row],[DateOpened]],Proc[[#This Row],[DateClosed]]))-1)</f>
        <v>78</v>
      </c>
      <c r="R3740" s="136" t="s">
        <v>1013</v>
      </c>
      <c r="S3740" s="129"/>
    </row>
    <row r="3741" spans="1:19">
      <c r="A3741" s="135" t="s">
        <v>5856</v>
      </c>
      <c r="B3741" s="149" t="str">
        <f>IFERROR(VLOOKUP(Proc[[#This Row],[App]],Table2[],3,0),"open")</f>
        <v>ok</v>
      </c>
      <c r="C3741" s="138" t="s">
        <v>369</v>
      </c>
      <c r="D3741" t="s">
        <v>5864</v>
      </c>
      <c r="E3741" t="s">
        <v>4068</v>
      </c>
      <c r="F3741" s="129" t="s">
        <v>4068</v>
      </c>
      <c r="G3741" s="135" t="s">
        <v>400</v>
      </c>
      <c r="H3741" s="129" t="str">
        <f>IF(Proc[[#This Row],[type]]="LFF (MDG-F)",MID(Proc[[#This Row],[Obj]],13,10),"")</f>
        <v/>
      </c>
      <c r="J3741" s="129" t="b">
        <f>Proc[[#This Row],[Requested]]=Proc[[#This Row],[CurrentParent]]</f>
        <v>1</v>
      </c>
      <c r="K3741" s="144" t="str">
        <f>IF(Proc[[#This Row],[Author]]="Marcela Urrego",VLOOKUP(LEFT(Proc[[#This Row],[Requested]],1),Table3[#All],2,0),VLOOKUP(Proc[[#This Row],[Author]],Table4[],2,0))</f>
        <v>HC</v>
      </c>
      <c r="L3741" s="129" t="s">
        <v>4894</v>
      </c>
      <c r="M3741" s="131">
        <v>45895</v>
      </c>
      <c r="N3741" s="131"/>
      <c r="O3741" s="131"/>
      <c r="P3741" s="136" t="str">
        <f ca="1">IF(Proc[[#This Row],[DaysAgeing]]&gt;5,"yep","on track")</f>
        <v>yep</v>
      </c>
      <c r="Q3741" s="3">
        <f ca="1">IF(Proc[[#This Row],[DateClosed]]="",ABS(NETWORKDAYS(Proc[[#This Row],[DateOpened]],TODAY()))-1,ABS(NETWORKDAYS(Proc[[#This Row],[DateOpened]],Proc[[#This Row],[DateClosed]]))-1)</f>
        <v>78</v>
      </c>
      <c r="R3741" s="136" t="s">
        <v>1013</v>
      </c>
      <c r="S3741" s="129"/>
    </row>
    <row r="3742" spans="1:19">
      <c r="A3742" s="135" t="s">
        <v>5856</v>
      </c>
      <c r="B3742" s="149" t="str">
        <f>IFERROR(VLOOKUP(Proc[[#This Row],[App]],Table2[],3,0),"open")</f>
        <v>ok</v>
      </c>
      <c r="C3742" s="138" t="s">
        <v>369</v>
      </c>
      <c r="D3742" t="s">
        <v>5865</v>
      </c>
      <c r="E3742" t="s">
        <v>4068</v>
      </c>
      <c r="F3742" s="129" t="s">
        <v>4068</v>
      </c>
      <c r="G3742" s="135" t="s">
        <v>400</v>
      </c>
      <c r="H3742" s="129" t="str">
        <f>IF(Proc[[#This Row],[type]]="LFF (MDG-F)",MID(Proc[[#This Row],[Obj]],13,10),"")</f>
        <v/>
      </c>
      <c r="J3742" s="129" t="b">
        <f>Proc[[#This Row],[Requested]]=Proc[[#This Row],[CurrentParent]]</f>
        <v>1</v>
      </c>
      <c r="K3742" s="144" t="str">
        <f>IF(Proc[[#This Row],[Author]]="Marcela Urrego",VLOOKUP(LEFT(Proc[[#This Row],[Requested]],1),Table3[#All],2,0),VLOOKUP(Proc[[#This Row],[Author]],Table4[],2,0))</f>
        <v>HC</v>
      </c>
      <c r="L3742" s="129" t="s">
        <v>4894</v>
      </c>
      <c r="M3742" s="131">
        <v>45895</v>
      </c>
      <c r="N3742" s="131"/>
      <c r="O3742" s="131"/>
      <c r="P3742" s="136" t="str">
        <f ca="1">IF(Proc[[#This Row],[DaysAgeing]]&gt;5,"yep","on track")</f>
        <v>yep</v>
      </c>
      <c r="Q3742" s="3">
        <f ca="1">IF(Proc[[#This Row],[DateClosed]]="",ABS(NETWORKDAYS(Proc[[#This Row],[DateOpened]],TODAY()))-1,ABS(NETWORKDAYS(Proc[[#This Row],[DateOpened]],Proc[[#This Row],[DateClosed]]))-1)</f>
        <v>78</v>
      </c>
      <c r="R3742" s="136" t="s">
        <v>1013</v>
      </c>
      <c r="S3742" s="129"/>
    </row>
    <row r="3743" spans="1:19">
      <c r="A3743" s="135" t="s">
        <v>5856</v>
      </c>
      <c r="B3743" s="149" t="str">
        <f>IFERROR(VLOOKUP(Proc[[#This Row],[App]],Table2[],3,0),"open")</f>
        <v>ok</v>
      </c>
      <c r="C3743" s="138" t="s">
        <v>369</v>
      </c>
      <c r="D3743" t="s">
        <v>5866</v>
      </c>
      <c r="E3743" t="s">
        <v>2274</v>
      </c>
      <c r="F3743" s="129" t="s">
        <v>2274</v>
      </c>
      <c r="G3743" s="135" t="s">
        <v>400</v>
      </c>
      <c r="H3743" s="129" t="str">
        <f>IF(Proc[[#This Row],[type]]="LFF (MDG-F)",MID(Proc[[#This Row],[Obj]],13,10),"")</f>
        <v/>
      </c>
      <c r="J3743" s="129" t="b">
        <f>Proc[[#This Row],[Requested]]=Proc[[#This Row],[CurrentParent]]</f>
        <v>1</v>
      </c>
      <c r="K3743" s="144" t="str">
        <f>IF(Proc[[#This Row],[Author]]="Marcela Urrego",VLOOKUP(LEFT(Proc[[#This Row],[Requested]],1),Table3[#All],2,0),VLOOKUP(Proc[[#This Row],[Author]],Table4[],2,0))</f>
        <v>HC</v>
      </c>
      <c r="L3743" s="129" t="s">
        <v>4894</v>
      </c>
      <c r="M3743" s="131">
        <v>45895</v>
      </c>
      <c r="N3743" s="131"/>
      <c r="O3743" s="131"/>
      <c r="P3743" s="136" t="str">
        <f ca="1">IF(Proc[[#This Row],[DaysAgeing]]&gt;5,"yep","on track")</f>
        <v>yep</v>
      </c>
      <c r="Q3743" s="3">
        <f ca="1">IF(Proc[[#This Row],[DateClosed]]="",ABS(NETWORKDAYS(Proc[[#This Row],[DateOpened]],TODAY()))-1,ABS(NETWORKDAYS(Proc[[#This Row],[DateOpened]],Proc[[#This Row],[DateClosed]]))-1)</f>
        <v>78</v>
      </c>
      <c r="R3743" s="136" t="s">
        <v>1013</v>
      </c>
      <c r="S3743" s="129"/>
    </row>
    <row r="3744" spans="1:19">
      <c r="A3744" s="135" t="s">
        <v>5856</v>
      </c>
      <c r="B3744" s="149" t="str">
        <f>IFERROR(VLOOKUP(Proc[[#This Row],[App]],Table2[],3,0),"open")</f>
        <v>ok</v>
      </c>
      <c r="C3744" s="138" t="s">
        <v>369</v>
      </c>
      <c r="D3744" t="s">
        <v>5867</v>
      </c>
      <c r="E3744" t="s">
        <v>4068</v>
      </c>
      <c r="F3744" s="129" t="s">
        <v>4068</v>
      </c>
      <c r="G3744" s="135" t="s">
        <v>400</v>
      </c>
      <c r="H3744" s="129" t="str">
        <f>IF(Proc[[#This Row],[type]]="LFF (MDG-F)",MID(Proc[[#This Row],[Obj]],13,10),"")</f>
        <v/>
      </c>
      <c r="J3744" s="129" t="b">
        <f>Proc[[#This Row],[Requested]]=Proc[[#This Row],[CurrentParent]]</f>
        <v>1</v>
      </c>
      <c r="K3744" s="144" t="str">
        <f>IF(Proc[[#This Row],[Author]]="Marcela Urrego",VLOOKUP(LEFT(Proc[[#This Row],[Requested]],1),Table3[#All],2,0),VLOOKUP(Proc[[#This Row],[Author]],Table4[],2,0))</f>
        <v>HC</v>
      </c>
      <c r="L3744" s="129" t="s">
        <v>4894</v>
      </c>
      <c r="M3744" s="131">
        <v>45895</v>
      </c>
      <c r="N3744" s="131"/>
      <c r="O3744" s="131"/>
      <c r="P3744" s="136" t="str">
        <f ca="1">IF(Proc[[#This Row],[DaysAgeing]]&gt;5,"yep","on track")</f>
        <v>yep</v>
      </c>
      <c r="Q3744" s="3">
        <f ca="1">IF(Proc[[#This Row],[DateClosed]]="",ABS(NETWORKDAYS(Proc[[#This Row],[DateOpened]],TODAY()))-1,ABS(NETWORKDAYS(Proc[[#This Row],[DateOpened]],Proc[[#This Row],[DateClosed]]))-1)</f>
        <v>78</v>
      </c>
      <c r="R3744" s="136" t="s">
        <v>1013</v>
      </c>
      <c r="S3744" s="129"/>
    </row>
    <row r="3745" spans="1:19">
      <c r="A3745" s="135" t="s">
        <v>5856</v>
      </c>
      <c r="B3745" s="149" t="str">
        <f>IFERROR(VLOOKUP(Proc[[#This Row],[App]],Table2[],3,0),"open")</f>
        <v>ok</v>
      </c>
      <c r="C3745" s="138" t="s">
        <v>369</v>
      </c>
      <c r="D3745" t="s">
        <v>5868</v>
      </c>
      <c r="E3745" t="s">
        <v>4068</v>
      </c>
      <c r="F3745" s="129" t="s">
        <v>4068</v>
      </c>
      <c r="G3745" s="135" t="s">
        <v>400</v>
      </c>
      <c r="H3745" s="129" t="str">
        <f>IF(Proc[[#This Row],[type]]="LFF (MDG-F)",MID(Proc[[#This Row],[Obj]],13,10),"")</f>
        <v/>
      </c>
      <c r="J3745" s="129" t="b">
        <f>Proc[[#This Row],[Requested]]=Proc[[#This Row],[CurrentParent]]</f>
        <v>1</v>
      </c>
      <c r="K3745" s="144" t="str">
        <f>IF(Proc[[#This Row],[Author]]="Marcela Urrego",VLOOKUP(LEFT(Proc[[#This Row],[Requested]],1),Table3[#All],2,0),VLOOKUP(Proc[[#This Row],[Author]],Table4[],2,0))</f>
        <v>HC</v>
      </c>
      <c r="L3745" s="129" t="s">
        <v>4894</v>
      </c>
      <c r="M3745" s="131">
        <v>45895</v>
      </c>
      <c r="N3745" s="131"/>
      <c r="O3745" s="131"/>
      <c r="P3745" s="136" t="str">
        <f ca="1">IF(Proc[[#This Row],[DaysAgeing]]&gt;5,"yep","on track")</f>
        <v>yep</v>
      </c>
      <c r="Q3745" s="3">
        <f ca="1">IF(Proc[[#This Row],[DateClosed]]="",ABS(NETWORKDAYS(Proc[[#This Row],[DateOpened]],TODAY()))-1,ABS(NETWORKDAYS(Proc[[#This Row],[DateOpened]],Proc[[#This Row],[DateClosed]]))-1)</f>
        <v>78</v>
      </c>
      <c r="R3745" s="136" t="s">
        <v>1013</v>
      </c>
      <c r="S3745" s="129"/>
    </row>
    <row r="3746" spans="1:19">
      <c r="A3746" s="135" t="s">
        <v>5856</v>
      </c>
      <c r="B3746" s="149" t="str">
        <f>IFERROR(VLOOKUP(Proc[[#This Row],[App]],Table2[],3,0),"open")</f>
        <v>ok</v>
      </c>
      <c r="C3746" s="138" t="s">
        <v>369</v>
      </c>
      <c r="D3746" t="s">
        <v>5869</v>
      </c>
      <c r="E3746" t="s">
        <v>4068</v>
      </c>
      <c r="F3746" s="129" t="s">
        <v>4068</v>
      </c>
      <c r="G3746" s="135" t="s">
        <v>400</v>
      </c>
      <c r="H3746" s="129" t="str">
        <f>IF(Proc[[#This Row],[type]]="LFF (MDG-F)",MID(Proc[[#This Row],[Obj]],13,10),"")</f>
        <v/>
      </c>
      <c r="J3746" s="129" t="b">
        <f>Proc[[#This Row],[Requested]]=Proc[[#This Row],[CurrentParent]]</f>
        <v>1</v>
      </c>
      <c r="K3746" s="144" t="str">
        <f>IF(Proc[[#This Row],[Author]]="Marcela Urrego",VLOOKUP(LEFT(Proc[[#This Row],[Requested]],1),Table3[#All],2,0),VLOOKUP(Proc[[#This Row],[Author]],Table4[],2,0))</f>
        <v>HC</v>
      </c>
      <c r="L3746" s="129" t="s">
        <v>4894</v>
      </c>
      <c r="M3746" s="131">
        <v>45895</v>
      </c>
      <c r="N3746" s="131"/>
      <c r="O3746" s="131"/>
      <c r="P3746" s="136" t="str">
        <f ca="1">IF(Proc[[#This Row],[DaysAgeing]]&gt;5,"yep","on track")</f>
        <v>yep</v>
      </c>
      <c r="Q3746" s="3">
        <f ca="1">IF(Proc[[#This Row],[DateClosed]]="",ABS(NETWORKDAYS(Proc[[#This Row],[DateOpened]],TODAY()))-1,ABS(NETWORKDAYS(Proc[[#This Row],[DateOpened]],Proc[[#This Row],[DateClosed]]))-1)</f>
        <v>78</v>
      </c>
      <c r="R3746" s="136" t="s">
        <v>1013</v>
      </c>
      <c r="S3746" s="129"/>
    </row>
    <row r="3747" spans="1:19">
      <c r="A3747" s="135" t="s">
        <v>5856</v>
      </c>
      <c r="B3747" s="149" t="str">
        <f>IFERROR(VLOOKUP(Proc[[#This Row],[App]],Table2[],3,0),"open")</f>
        <v>ok</v>
      </c>
      <c r="C3747" s="138" t="s">
        <v>369</v>
      </c>
      <c r="D3747" t="s">
        <v>5870</v>
      </c>
      <c r="E3747" t="s">
        <v>4068</v>
      </c>
      <c r="F3747" s="129" t="s">
        <v>4068</v>
      </c>
      <c r="G3747" s="135" t="s">
        <v>400</v>
      </c>
      <c r="H3747" s="129" t="str">
        <f>IF(Proc[[#This Row],[type]]="LFF (MDG-F)",MID(Proc[[#This Row],[Obj]],13,10),"")</f>
        <v/>
      </c>
      <c r="J3747" s="129" t="b">
        <f>Proc[[#This Row],[Requested]]=Proc[[#This Row],[CurrentParent]]</f>
        <v>1</v>
      </c>
      <c r="K3747" s="144" t="str">
        <f>IF(Proc[[#This Row],[Author]]="Marcela Urrego",VLOOKUP(LEFT(Proc[[#This Row],[Requested]],1),Table3[#All],2,0),VLOOKUP(Proc[[#This Row],[Author]],Table4[],2,0))</f>
        <v>HC</v>
      </c>
      <c r="L3747" s="129" t="s">
        <v>4894</v>
      </c>
      <c r="M3747" s="131">
        <v>45895</v>
      </c>
      <c r="N3747" s="131"/>
      <c r="O3747" s="131"/>
      <c r="P3747" s="136" t="str">
        <f ca="1">IF(Proc[[#This Row],[DaysAgeing]]&gt;5,"yep","on track")</f>
        <v>yep</v>
      </c>
      <c r="Q3747" s="3">
        <f ca="1">IF(Proc[[#This Row],[DateClosed]]="",ABS(NETWORKDAYS(Proc[[#This Row],[DateOpened]],TODAY()))-1,ABS(NETWORKDAYS(Proc[[#This Row],[DateOpened]],Proc[[#This Row],[DateClosed]]))-1)</f>
        <v>78</v>
      </c>
      <c r="R3747" s="136" t="s">
        <v>1013</v>
      </c>
      <c r="S3747" s="129"/>
    </row>
    <row r="3748" spans="1:19">
      <c r="A3748" s="135" t="s">
        <v>5856</v>
      </c>
      <c r="B3748" s="149" t="str">
        <f>IFERROR(VLOOKUP(Proc[[#This Row],[App]],Table2[],3,0),"open")</f>
        <v>ok</v>
      </c>
      <c r="C3748" s="138" t="s">
        <v>369</v>
      </c>
      <c r="D3748" t="s">
        <v>5871</v>
      </c>
      <c r="E3748" t="s">
        <v>4068</v>
      </c>
      <c r="F3748" s="129" t="s">
        <v>4068</v>
      </c>
      <c r="G3748" s="135" t="s">
        <v>400</v>
      </c>
      <c r="H3748" s="129" t="str">
        <f>IF(Proc[[#This Row],[type]]="LFF (MDG-F)",MID(Proc[[#This Row],[Obj]],13,10),"")</f>
        <v/>
      </c>
      <c r="J3748" s="129" t="b">
        <f>Proc[[#This Row],[Requested]]=Proc[[#This Row],[CurrentParent]]</f>
        <v>1</v>
      </c>
      <c r="K3748" s="144" t="str">
        <f>IF(Proc[[#This Row],[Author]]="Marcela Urrego",VLOOKUP(LEFT(Proc[[#This Row],[Requested]],1),Table3[#All],2,0),VLOOKUP(Proc[[#This Row],[Author]],Table4[],2,0))</f>
        <v>HC</v>
      </c>
      <c r="L3748" s="129" t="s">
        <v>4894</v>
      </c>
      <c r="M3748" s="131">
        <v>45895</v>
      </c>
      <c r="N3748" s="131"/>
      <c r="O3748" s="131"/>
      <c r="P3748" s="136" t="str">
        <f ca="1">IF(Proc[[#This Row],[DaysAgeing]]&gt;5,"yep","on track")</f>
        <v>yep</v>
      </c>
      <c r="Q3748" s="3">
        <f ca="1">IF(Proc[[#This Row],[DateClosed]]="",ABS(NETWORKDAYS(Proc[[#This Row],[DateOpened]],TODAY()))-1,ABS(NETWORKDAYS(Proc[[#This Row],[DateOpened]],Proc[[#This Row],[DateClosed]]))-1)</f>
        <v>78</v>
      </c>
      <c r="R3748" s="136" t="s">
        <v>1013</v>
      </c>
      <c r="S3748" s="129"/>
    </row>
    <row r="3749" spans="1:19">
      <c r="A3749" s="135" t="s">
        <v>5856</v>
      </c>
      <c r="B3749" s="149" t="str">
        <f>IFERROR(VLOOKUP(Proc[[#This Row],[App]],Table2[],3,0),"open")</f>
        <v>ok</v>
      </c>
      <c r="C3749" s="138" t="s">
        <v>369</v>
      </c>
      <c r="D3749" t="s">
        <v>5872</v>
      </c>
      <c r="E3749" t="s">
        <v>3740</v>
      </c>
      <c r="F3749" s="129" t="s">
        <v>3740</v>
      </c>
      <c r="G3749" s="135" t="s">
        <v>400</v>
      </c>
      <c r="H3749" s="129" t="str">
        <f>IF(Proc[[#This Row],[type]]="LFF (MDG-F)",MID(Proc[[#This Row],[Obj]],13,10),"")</f>
        <v/>
      </c>
      <c r="J3749" s="129" t="b">
        <f>Proc[[#This Row],[Requested]]=Proc[[#This Row],[CurrentParent]]</f>
        <v>1</v>
      </c>
      <c r="K3749" s="144" t="str">
        <f>IF(Proc[[#This Row],[Author]]="Marcela Urrego",VLOOKUP(LEFT(Proc[[#This Row],[Requested]],1),Table3[#All],2,0),VLOOKUP(Proc[[#This Row],[Author]],Table4[],2,0))</f>
        <v>HC</v>
      </c>
      <c r="L3749" s="129" t="s">
        <v>4894</v>
      </c>
      <c r="M3749" s="131">
        <v>45895</v>
      </c>
      <c r="N3749" s="131"/>
      <c r="O3749" s="131"/>
      <c r="P3749" s="136" t="str">
        <f ca="1">IF(Proc[[#This Row],[DaysAgeing]]&gt;5,"yep","on track")</f>
        <v>yep</v>
      </c>
      <c r="Q3749" s="3">
        <f ca="1">IF(Proc[[#This Row],[DateClosed]]="",ABS(NETWORKDAYS(Proc[[#This Row],[DateOpened]],TODAY()))-1,ABS(NETWORKDAYS(Proc[[#This Row],[DateOpened]],Proc[[#This Row],[DateClosed]]))-1)</f>
        <v>78</v>
      </c>
      <c r="R3749" s="136" t="s">
        <v>1013</v>
      </c>
      <c r="S3749" s="129"/>
    </row>
    <row r="3750" spans="1:19">
      <c r="A3750" s="135" t="s">
        <v>5856</v>
      </c>
      <c r="B3750" s="149" t="str">
        <f>IFERROR(VLOOKUP(Proc[[#This Row],[App]],Table2[],3,0),"open")</f>
        <v>ok</v>
      </c>
      <c r="C3750" s="138" t="s">
        <v>369</v>
      </c>
      <c r="D3750" t="s">
        <v>5873</v>
      </c>
      <c r="E3750" t="s">
        <v>4068</v>
      </c>
      <c r="F3750" s="129" t="s">
        <v>4068</v>
      </c>
      <c r="G3750" s="135" t="s">
        <v>400</v>
      </c>
      <c r="H3750" s="129" t="str">
        <f>IF(Proc[[#This Row],[type]]="LFF (MDG-F)",MID(Proc[[#This Row],[Obj]],13,10),"")</f>
        <v/>
      </c>
      <c r="J3750" s="129" t="b">
        <f>Proc[[#This Row],[Requested]]=Proc[[#This Row],[CurrentParent]]</f>
        <v>1</v>
      </c>
      <c r="K3750" s="144" t="str">
        <f>IF(Proc[[#This Row],[Author]]="Marcela Urrego",VLOOKUP(LEFT(Proc[[#This Row],[Requested]],1),Table3[#All],2,0),VLOOKUP(Proc[[#This Row],[Author]],Table4[],2,0))</f>
        <v>HC</v>
      </c>
      <c r="L3750" s="129" t="s">
        <v>4894</v>
      </c>
      <c r="M3750" s="131">
        <v>45895</v>
      </c>
      <c r="N3750" s="131"/>
      <c r="O3750" s="131"/>
      <c r="P3750" s="136" t="str">
        <f ca="1">IF(Proc[[#This Row],[DaysAgeing]]&gt;5,"yep","on track")</f>
        <v>yep</v>
      </c>
      <c r="Q3750" s="3">
        <f ca="1">IF(Proc[[#This Row],[DateClosed]]="",ABS(NETWORKDAYS(Proc[[#This Row],[DateOpened]],TODAY()))-1,ABS(NETWORKDAYS(Proc[[#This Row],[DateOpened]],Proc[[#This Row],[DateClosed]]))-1)</f>
        <v>78</v>
      </c>
      <c r="R3750" s="136" t="s">
        <v>1013</v>
      </c>
      <c r="S3750" s="129"/>
    </row>
    <row r="3751" spans="1:19">
      <c r="A3751" s="135" t="s">
        <v>5856</v>
      </c>
      <c r="B3751" s="149" t="str">
        <f>IFERROR(VLOOKUP(Proc[[#This Row],[App]],Table2[],3,0),"open")</f>
        <v>ok</v>
      </c>
      <c r="C3751" s="138" t="s">
        <v>369</v>
      </c>
      <c r="D3751" t="s">
        <v>5874</v>
      </c>
      <c r="E3751" t="s">
        <v>3004</v>
      </c>
      <c r="F3751" s="129" t="s">
        <v>3004</v>
      </c>
      <c r="G3751" s="135" t="s">
        <v>400</v>
      </c>
      <c r="H3751" s="129" t="str">
        <f>IF(Proc[[#This Row],[type]]="LFF (MDG-F)",MID(Proc[[#This Row],[Obj]],13,10),"")</f>
        <v/>
      </c>
      <c r="J3751" s="129" t="b">
        <f>Proc[[#This Row],[Requested]]=Proc[[#This Row],[CurrentParent]]</f>
        <v>1</v>
      </c>
      <c r="K3751" s="144" t="str">
        <f>IF(Proc[[#This Row],[Author]]="Marcela Urrego",VLOOKUP(LEFT(Proc[[#This Row],[Requested]],1),Table3[#All],2,0),VLOOKUP(Proc[[#This Row],[Author]],Table4[],2,0))</f>
        <v>HC</v>
      </c>
      <c r="L3751" s="129" t="s">
        <v>4894</v>
      </c>
      <c r="M3751" s="131">
        <v>45895</v>
      </c>
      <c r="N3751" s="131"/>
      <c r="O3751" s="131"/>
      <c r="P3751" s="136" t="str">
        <f ca="1">IF(Proc[[#This Row],[DaysAgeing]]&gt;5,"yep","on track")</f>
        <v>yep</v>
      </c>
      <c r="Q3751" s="3">
        <f ca="1">IF(Proc[[#This Row],[DateClosed]]="",ABS(NETWORKDAYS(Proc[[#This Row],[DateOpened]],TODAY()))-1,ABS(NETWORKDAYS(Proc[[#This Row],[DateOpened]],Proc[[#This Row],[DateClosed]]))-1)</f>
        <v>78</v>
      </c>
      <c r="R3751" s="136" t="s">
        <v>1013</v>
      </c>
      <c r="S3751" s="129"/>
    </row>
    <row r="3752" spans="1:19">
      <c r="A3752" s="135" t="s">
        <v>5856</v>
      </c>
      <c r="B3752" s="149" t="str">
        <f>IFERROR(VLOOKUP(Proc[[#This Row],[App]],Table2[],3,0),"open")</f>
        <v>ok</v>
      </c>
      <c r="C3752" s="138" t="s">
        <v>369</v>
      </c>
      <c r="D3752" t="s">
        <v>5875</v>
      </c>
      <c r="E3752" t="s">
        <v>3004</v>
      </c>
      <c r="F3752" s="129" t="s">
        <v>3004</v>
      </c>
      <c r="G3752" s="135" t="s">
        <v>400</v>
      </c>
      <c r="H3752" s="129" t="str">
        <f>IF(Proc[[#This Row],[type]]="LFF (MDG-F)",MID(Proc[[#This Row],[Obj]],13,10),"")</f>
        <v/>
      </c>
      <c r="J3752" s="129" t="b">
        <f>Proc[[#This Row],[Requested]]=Proc[[#This Row],[CurrentParent]]</f>
        <v>1</v>
      </c>
      <c r="K3752" s="144" t="str">
        <f>IF(Proc[[#This Row],[Author]]="Marcela Urrego",VLOOKUP(LEFT(Proc[[#This Row],[Requested]],1),Table3[#All],2,0),VLOOKUP(Proc[[#This Row],[Author]],Table4[],2,0))</f>
        <v>HC</v>
      </c>
      <c r="L3752" s="129" t="s">
        <v>4894</v>
      </c>
      <c r="M3752" s="131">
        <v>45895</v>
      </c>
      <c r="N3752" s="131"/>
      <c r="O3752" s="131"/>
      <c r="P3752" s="136" t="str">
        <f ca="1">IF(Proc[[#This Row],[DaysAgeing]]&gt;5,"yep","on track")</f>
        <v>yep</v>
      </c>
      <c r="Q3752" s="3">
        <f ca="1">IF(Proc[[#This Row],[DateClosed]]="",ABS(NETWORKDAYS(Proc[[#This Row],[DateOpened]],TODAY()))-1,ABS(NETWORKDAYS(Proc[[#This Row],[DateOpened]],Proc[[#This Row],[DateClosed]]))-1)</f>
        <v>78</v>
      </c>
      <c r="R3752" s="136" t="s">
        <v>1013</v>
      </c>
      <c r="S3752" s="129"/>
    </row>
    <row r="3753" spans="1:19">
      <c r="A3753" s="135" t="s">
        <v>5856</v>
      </c>
      <c r="B3753" s="149" t="str">
        <f>IFERROR(VLOOKUP(Proc[[#This Row],[App]],Table2[],3,0),"open")</f>
        <v>ok</v>
      </c>
      <c r="C3753" s="138" t="s">
        <v>369</v>
      </c>
      <c r="D3753" t="s">
        <v>5876</v>
      </c>
      <c r="E3753" t="s">
        <v>3004</v>
      </c>
      <c r="F3753" s="129" t="s">
        <v>3004</v>
      </c>
      <c r="G3753" s="135" t="s">
        <v>400</v>
      </c>
      <c r="H3753" s="129" t="str">
        <f>IF(Proc[[#This Row],[type]]="LFF (MDG-F)",MID(Proc[[#This Row],[Obj]],13,10),"")</f>
        <v/>
      </c>
      <c r="J3753" s="129" t="b">
        <f>Proc[[#This Row],[Requested]]=Proc[[#This Row],[CurrentParent]]</f>
        <v>1</v>
      </c>
      <c r="K3753" s="144" t="str">
        <f>IF(Proc[[#This Row],[Author]]="Marcela Urrego",VLOOKUP(LEFT(Proc[[#This Row],[Requested]],1),Table3[#All],2,0),VLOOKUP(Proc[[#This Row],[Author]],Table4[],2,0))</f>
        <v>HC</v>
      </c>
      <c r="L3753" s="129" t="s">
        <v>4894</v>
      </c>
      <c r="M3753" s="131">
        <v>45895</v>
      </c>
      <c r="N3753" s="131"/>
      <c r="O3753" s="131"/>
      <c r="P3753" s="136" t="str">
        <f ca="1">IF(Proc[[#This Row],[DaysAgeing]]&gt;5,"yep","on track")</f>
        <v>yep</v>
      </c>
      <c r="Q3753" s="3">
        <f ca="1">IF(Proc[[#This Row],[DateClosed]]="",ABS(NETWORKDAYS(Proc[[#This Row],[DateOpened]],TODAY()))-1,ABS(NETWORKDAYS(Proc[[#This Row],[DateOpened]],Proc[[#This Row],[DateClosed]]))-1)</f>
        <v>78</v>
      </c>
      <c r="R3753" s="136" t="s">
        <v>1013</v>
      </c>
      <c r="S3753" s="129"/>
    </row>
    <row r="3754" spans="1:19">
      <c r="A3754" s="135" t="s">
        <v>5856</v>
      </c>
      <c r="B3754" s="149" t="str">
        <f>IFERROR(VLOOKUP(Proc[[#This Row],[App]],Table2[],3,0),"open")</f>
        <v>ok</v>
      </c>
      <c r="C3754" s="138" t="s">
        <v>369</v>
      </c>
      <c r="D3754" t="s">
        <v>5877</v>
      </c>
      <c r="E3754" t="s">
        <v>3006</v>
      </c>
      <c r="F3754" s="129" t="s">
        <v>3006</v>
      </c>
      <c r="G3754" s="135" t="s">
        <v>400</v>
      </c>
      <c r="H3754" s="129" t="str">
        <f>IF(Proc[[#This Row],[type]]="LFF (MDG-F)",MID(Proc[[#This Row],[Obj]],13,10),"")</f>
        <v/>
      </c>
      <c r="J3754" s="129" t="b">
        <f>Proc[[#This Row],[Requested]]=Proc[[#This Row],[CurrentParent]]</f>
        <v>1</v>
      </c>
      <c r="K3754" s="144" t="str">
        <f>IF(Proc[[#This Row],[Author]]="Marcela Urrego",VLOOKUP(LEFT(Proc[[#This Row],[Requested]],1),Table3[#All],2,0),VLOOKUP(Proc[[#This Row],[Author]],Table4[],2,0))</f>
        <v>HC</v>
      </c>
      <c r="L3754" s="129" t="s">
        <v>4894</v>
      </c>
      <c r="M3754" s="131">
        <v>45895</v>
      </c>
      <c r="N3754" s="131"/>
      <c r="O3754" s="131"/>
      <c r="P3754" s="136" t="str">
        <f ca="1">IF(Proc[[#This Row],[DaysAgeing]]&gt;5,"yep","on track")</f>
        <v>yep</v>
      </c>
      <c r="Q3754" s="3">
        <f ca="1">IF(Proc[[#This Row],[DateClosed]]="",ABS(NETWORKDAYS(Proc[[#This Row],[DateOpened]],TODAY()))-1,ABS(NETWORKDAYS(Proc[[#This Row],[DateOpened]],Proc[[#This Row],[DateClosed]]))-1)</f>
        <v>78</v>
      </c>
      <c r="R3754" s="136" t="s">
        <v>1013</v>
      </c>
      <c r="S3754" s="129"/>
    </row>
    <row r="3755" spans="1:19">
      <c r="A3755" s="135" t="s">
        <v>5856</v>
      </c>
      <c r="B3755" s="149" t="str">
        <f>IFERROR(VLOOKUP(Proc[[#This Row],[App]],Table2[],3,0),"open")</f>
        <v>ok</v>
      </c>
      <c r="C3755" s="138" t="s">
        <v>369</v>
      </c>
      <c r="D3755" t="s">
        <v>5878</v>
      </c>
      <c r="E3755" t="s">
        <v>3003</v>
      </c>
      <c r="F3755" s="129" t="s">
        <v>3003</v>
      </c>
      <c r="G3755" s="135" t="s">
        <v>400</v>
      </c>
      <c r="H3755" s="129" t="str">
        <f>IF(Proc[[#This Row],[type]]="LFF (MDG-F)",MID(Proc[[#This Row],[Obj]],13,10),"")</f>
        <v/>
      </c>
      <c r="J3755" s="129" t="b">
        <f>Proc[[#This Row],[Requested]]=Proc[[#This Row],[CurrentParent]]</f>
        <v>1</v>
      </c>
      <c r="K3755" s="144" t="str">
        <f>IF(Proc[[#This Row],[Author]]="Marcela Urrego",VLOOKUP(LEFT(Proc[[#This Row],[Requested]],1),Table3[#All],2,0),VLOOKUP(Proc[[#This Row],[Author]],Table4[],2,0))</f>
        <v>HC</v>
      </c>
      <c r="L3755" s="129" t="s">
        <v>4894</v>
      </c>
      <c r="M3755" s="131">
        <v>45895</v>
      </c>
      <c r="N3755" s="131"/>
      <c r="O3755" s="131"/>
      <c r="P3755" s="136" t="str">
        <f ca="1">IF(Proc[[#This Row],[DaysAgeing]]&gt;5,"yep","on track")</f>
        <v>yep</v>
      </c>
      <c r="Q3755" s="3">
        <f ca="1">IF(Proc[[#This Row],[DateClosed]]="",ABS(NETWORKDAYS(Proc[[#This Row],[DateOpened]],TODAY()))-1,ABS(NETWORKDAYS(Proc[[#This Row],[DateOpened]],Proc[[#This Row],[DateClosed]]))-1)</f>
        <v>78</v>
      </c>
      <c r="R3755" s="136" t="s">
        <v>1013</v>
      </c>
      <c r="S3755" s="129"/>
    </row>
    <row r="3756" spans="1:19">
      <c r="A3756" s="135" t="s">
        <v>5856</v>
      </c>
      <c r="B3756" s="149" t="str">
        <f>IFERROR(VLOOKUP(Proc[[#This Row],[App]],Table2[],3,0),"open")</f>
        <v>ok</v>
      </c>
      <c r="C3756" s="138" t="s">
        <v>369</v>
      </c>
      <c r="D3756" t="s">
        <v>5879</v>
      </c>
      <c r="E3756" t="s">
        <v>3003</v>
      </c>
      <c r="F3756" s="129" t="s">
        <v>3003</v>
      </c>
      <c r="G3756" s="135" t="s">
        <v>400</v>
      </c>
      <c r="H3756" s="129" t="str">
        <f>IF(Proc[[#This Row],[type]]="LFF (MDG-F)",MID(Proc[[#This Row],[Obj]],13,10),"")</f>
        <v/>
      </c>
      <c r="J3756" s="129" t="b">
        <f>Proc[[#This Row],[Requested]]=Proc[[#This Row],[CurrentParent]]</f>
        <v>1</v>
      </c>
      <c r="K3756" s="144" t="str">
        <f>IF(Proc[[#This Row],[Author]]="Marcela Urrego",VLOOKUP(LEFT(Proc[[#This Row],[Requested]],1),Table3[#All],2,0),VLOOKUP(Proc[[#This Row],[Author]],Table4[],2,0))</f>
        <v>HC</v>
      </c>
      <c r="L3756" s="129" t="s">
        <v>4894</v>
      </c>
      <c r="M3756" s="131">
        <v>45895</v>
      </c>
      <c r="N3756" s="131"/>
      <c r="O3756" s="131"/>
      <c r="P3756" s="136" t="str">
        <f ca="1">IF(Proc[[#This Row],[DaysAgeing]]&gt;5,"yep","on track")</f>
        <v>yep</v>
      </c>
      <c r="Q3756" s="3">
        <f ca="1">IF(Proc[[#This Row],[DateClosed]]="",ABS(NETWORKDAYS(Proc[[#This Row],[DateOpened]],TODAY()))-1,ABS(NETWORKDAYS(Proc[[#This Row],[DateOpened]],Proc[[#This Row],[DateClosed]]))-1)</f>
        <v>78</v>
      </c>
      <c r="R3756" s="136" t="s">
        <v>1013</v>
      </c>
      <c r="S3756" s="129"/>
    </row>
    <row r="3757" spans="1:19">
      <c r="A3757" s="135" t="s">
        <v>5856</v>
      </c>
      <c r="B3757" s="149" t="str">
        <f>IFERROR(VLOOKUP(Proc[[#This Row],[App]],Table2[],3,0),"open")</f>
        <v>ok</v>
      </c>
      <c r="C3757" s="138" t="s">
        <v>369</v>
      </c>
      <c r="D3757" t="s">
        <v>5880</v>
      </c>
      <c r="E3757" t="s">
        <v>3007</v>
      </c>
      <c r="F3757" s="129" t="s">
        <v>3007</v>
      </c>
      <c r="G3757" s="135" t="s">
        <v>400</v>
      </c>
      <c r="H3757" s="129" t="str">
        <f>IF(Proc[[#This Row],[type]]="LFF (MDG-F)",MID(Proc[[#This Row],[Obj]],13,10),"")</f>
        <v/>
      </c>
      <c r="J3757" s="129" t="b">
        <f>Proc[[#This Row],[Requested]]=Proc[[#This Row],[CurrentParent]]</f>
        <v>1</v>
      </c>
      <c r="K3757" s="144" t="str">
        <f>IF(Proc[[#This Row],[Author]]="Marcela Urrego",VLOOKUP(LEFT(Proc[[#This Row],[Requested]],1),Table3[#All],2,0),VLOOKUP(Proc[[#This Row],[Author]],Table4[],2,0))</f>
        <v>HC</v>
      </c>
      <c r="L3757" s="129" t="s">
        <v>4894</v>
      </c>
      <c r="M3757" s="131">
        <v>45895</v>
      </c>
      <c r="N3757" s="131"/>
      <c r="O3757" s="131"/>
      <c r="P3757" s="136" t="str">
        <f ca="1">IF(Proc[[#This Row],[DaysAgeing]]&gt;5,"yep","on track")</f>
        <v>yep</v>
      </c>
      <c r="Q3757" s="3">
        <f ca="1">IF(Proc[[#This Row],[DateClosed]]="",ABS(NETWORKDAYS(Proc[[#This Row],[DateOpened]],TODAY()))-1,ABS(NETWORKDAYS(Proc[[#This Row],[DateOpened]],Proc[[#This Row],[DateClosed]]))-1)</f>
        <v>78</v>
      </c>
      <c r="R3757" s="136" t="s">
        <v>1013</v>
      </c>
      <c r="S3757" s="129"/>
    </row>
    <row r="3758" spans="1:19">
      <c r="A3758" s="135" t="s">
        <v>5856</v>
      </c>
      <c r="B3758" s="149" t="str">
        <f>IFERROR(VLOOKUP(Proc[[#This Row],[App]],Table2[],3,0),"open")</f>
        <v>ok</v>
      </c>
      <c r="C3758" s="138" t="s">
        <v>369</v>
      </c>
      <c r="D3758" t="s">
        <v>5881</v>
      </c>
      <c r="E3758" t="s">
        <v>3007</v>
      </c>
      <c r="F3758" s="129" t="s">
        <v>3007</v>
      </c>
      <c r="G3758" s="135" t="s">
        <v>400</v>
      </c>
      <c r="H3758" s="129" t="str">
        <f>IF(Proc[[#This Row],[type]]="LFF (MDG-F)",MID(Proc[[#This Row],[Obj]],13,10),"")</f>
        <v/>
      </c>
      <c r="J3758" s="129" t="b">
        <f>Proc[[#This Row],[Requested]]=Proc[[#This Row],[CurrentParent]]</f>
        <v>1</v>
      </c>
      <c r="K3758" s="144" t="str">
        <f>IF(Proc[[#This Row],[Author]]="Marcela Urrego",VLOOKUP(LEFT(Proc[[#This Row],[Requested]],1),Table3[#All],2,0),VLOOKUP(Proc[[#This Row],[Author]],Table4[],2,0))</f>
        <v>HC</v>
      </c>
      <c r="L3758" s="129" t="s">
        <v>4894</v>
      </c>
      <c r="M3758" s="131">
        <v>45895</v>
      </c>
      <c r="N3758" s="131"/>
      <c r="O3758" s="131"/>
      <c r="P3758" s="136" t="str">
        <f ca="1">IF(Proc[[#This Row],[DaysAgeing]]&gt;5,"yep","on track")</f>
        <v>yep</v>
      </c>
      <c r="Q3758" s="3">
        <f ca="1">IF(Proc[[#This Row],[DateClosed]]="",ABS(NETWORKDAYS(Proc[[#This Row],[DateOpened]],TODAY()))-1,ABS(NETWORKDAYS(Proc[[#This Row],[DateOpened]],Proc[[#This Row],[DateClosed]]))-1)</f>
        <v>78</v>
      </c>
      <c r="R3758" s="136" t="s">
        <v>1013</v>
      </c>
      <c r="S3758" s="129"/>
    </row>
    <row r="3759" spans="1:19">
      <c r="A3759" s="135" t="s">
        <v>5856</v>
      </c>
      <c r="B3759" s="149" t="str">
        <f>IFERROR(VLOOKUP(Proc[[#This Row],[App]],Table2[],3,0),"open")</f>
        <v>ok</v>
      </c>
      <c r="C3759" s="138" t="s">
        <v>369</v>
      </c>
      <c r="D3759" t="s">
        <v>5882</v>
      </c>
      <c r="E3759" t="s">
        <v>3007</v>
      </c>
      <c r="F3759" s="129" t="s">
        <v>3007</v>
      </c>
      <c r="G3759" s="135" t="s">
        <v>400</v>
      </c>
      <c r="H3759" s="129" t="str">
        <f>IF(Proc[[#This Row],[type]]="LFF (MDG-F)",MID(Proc[[#This Row],[Obj]],13,10),"")</f>
        <v/>
      </c>
      <c r="J3759" s="129" t="b">
        <f>Proc[[#This Row],[Requested]]=Proc[[#This Row],[CurrentParent]]</f>
        <v>1</v>
      </c>
      <c r="K3759" s="144" t="str">
        <f>IF(Proc[[#This Row],[Author]]="Marcela Urrego",VLOOKUP(LEFT(Proc[[#This Row],[Requested]],1),Table3[#All],2,0),VLOOKUP(Proc[[#This Row],[Author]],Table4[],2,0))</f>
        <v>HC</v>
      </c>
      <c r="L3759" s="129" t="s">
        <v>4894</v>
      </c>
      <c r="M3759" s="131">
        <v>45895</v>
      </c>
      <c r="N3759" s="131"/>
      <c r="O3759" s="131"/>
      <c r="P3759" s="136" t="str">
        <f ca="1">IF(Proc[[#This Row],[DaysAgeing]]&gt;5,"yep","on track")</f>
        <v>yep</v>
      </c>
      <c r="Q3759" s="3">
        <f ca="1">IF(Proc[[#This Row],[DateClosed]]="",ABS(NETWORKDAYS(Proc[[#This Row],[DateOpened]],TODAY()))-1,ABS(NETWORKDAYS(Proc[[#This Row],[DateOpened]],Proc[[#This Row],[DateClosed]]))-1)</f>
        <v>78</v>
      </c>
      <c r="R3759" s="136" t="s">
        <v>1013</v>
      </c>
      <c r="S3759" s="129"/>
    </row>
    <row r="3760" spans="1:19">
      <c r="A3760" s="135" t="s">
        <v>5856</v>
      </c>
      <c r="B3760" s="149" t="str">
        <f>IFERROR(VLOOKUP(Proc[[#This Row],[App]],Table2[],3,0),"open")</f>
        <v>ok</v>
      </c>
      <c r="C3760" s="138" t="s">
        <v>369</v>
      </c>
      <c r="D3760" t="s">
        <v>5883</v>
      </c>
      <c r="E3760" t="s">
        <v>3008</v>
      </c>
      <c r="F3760" s="129" t="s">
        <v>3008</v>
      </c>
      <c r="G3760" s="135" t="s">
        <v>400</v>
      </c>
      <c r="H3760" s="129" t="str">
        <f>IF(Proc[[#This Row],[type]]="LFF (MDG-F)",MID(Proc[[#This Row],[Obj]],13,10),"")</f>
        <v/>
      </c>
      <c r="J3760" s="129" t="b">
        <f>Proc[[#This Row],[Requested]]=Proc[[#This Row],[CurrentParent]]</f>
        <v>1</v>
      </c>
      <c r="K3760" s="144" t="str">
        <f>IF(Proc[[#This Row],[Author]]="Marcela Urrego",VLOOKUP(LEFT(Proc[[#This Row],[Requested]],1),Table3[#All],2,0),VLOOKUP(Proc[[#This Row],[Author]],Table4[],2,0))</f>
        <v>HC</v>
      </c>
      <c r="L3760" s="129" t="s">
        <v>4894</v>
      </c>
      <c r="M3760" s="131">
        <v>45895</v>
      </c>
      <c r="N3760" s="131"/>
      <c r="O3760" s="131"/>
      <c r="P3760" s="136" t="str">
        <f ca="1">IF(Proc[[#This Row],[DaysAgeing]]&gt;5,"yep","on track")</f>
        <v>yep</v>
      </c>
      <c r="Q3760" s="3">
        <f ca="1">IF(Proc[[#This Row],[DateClosed]]="",ABS(NETWORKDAYS(Proc[[#This Row],[DateOpened]],TODAY()))-1,ABS(NETWORKDAYS(Proc[[#This Row],[DateOpened]],Proc[[#This Row],[DateClosed]]))-1)</f>
        <v>78</v>
      </c>
      <c r="R3760" s="136" t="s">
        <v>1013</v>
      </c>
      <c r="S3760" s="129"/>
    </row>
    <row r="3761" spans="1:19">
      <c r="A3761" s="135" t="s">
        <v>5856</v>
      </c>
      <c r="B3761" s="149" t="str">
        <f>IFERROR(VLOOKUP(Proc[[#This Row],[App]],Table2[],3,0),"open")</f>
        <v>ok</v>
      </c>
      <c r="C3761" s="138" t="s">
        <v>369</v>
      </c>
      <c r="D3761" t="s">
        <v>5884</v>
      </c>
      <c r="E3761" t="s">
        <v>3002</v>
      </c>
      <c r="F3761" s="129" t="s">
        <v>3002</v>
      </c>
      <c r="G3761" s="135" t="s">
        <v>400</v>
      </c>
      <c r="H3761" s="129" t="str">
        <f>IF(Proc[[#This Row],[type]]="LFF (MDG-F)",MID(Proc[[#This Row],[Obj]],13,10),"")</f>
        <v/>
      </c>
      <c r="J3761" s="129" t="b">
        <f>Proc[[#This Row],[Requested]]=Proc[[#This Row],[CurrentParent]]</f>
        <v>1</v>
      </c>
      <c r="K3761" s="144" t="str">
        <f>IF(Proc[[#This Row],[Author]]="Marcela Urrego",VLOOKUP(LEFT(Proc[[#This Row],[Requested]],1),Table3[#All],2,0),VLOOKUP(Proc[[#This Row],[Author]],Table4[],2,0))</f>
        <v>HC</v>
      </c>
      <c r="L3761" s="129" t="s">
        <v>4894</v>
      </c>
      <c r="M3761" s="131">
        <v>45895</v>
      </c>
      <c r="N3761" s="131"/>
      <c r="O3761" s="131"/>
      <c r="P3761" s="136" t="str">
        <f ca="1">IF(Proc[[#This Row],[DaysAgeing]]&gt;5,"yep","on track")</f>
        <v>yep</v>
      </c>
      <c r="Q3761" s="3">
        <f ca="1">IF(Proc[[#This Row],[DateClosed]]="",ABS(NETWORKDAYS(Proc[[#This Row],[DateOpened]],TODAY()))-1,ABS(NETWORKDAYS(Proc[[#This Row],[DateOpened]],Proc[[#This Row],[DateClosed]]))-1)</f>
        <v>78</v>
      </c>
      <c r="R3761" s="136" t="s">
        <v>1013</v>
      </c>
      <c r="S3761" s="129"/>
    </row>
    <row r="3762" spans="1:19">
      <c r="A3762" s="135" t="s">
        <v>5856</v>
      </c>
      <c r="B3762" s="149" t="str">
        <f>IFERROR(VLOOKUP(Proc[[#This Row],[App]],Table2[],3,0),"open")</f>
        <v>ok</v>
      </c>
      <c r="C3762" s="138" t="s">
        <v>369</v>
      </c>
      <c r="D3762" t="s">
        <v>5885</v>
      </c>
      <c r="E3762" t="s">
        <v>3008</v>
      </c>
      <c r="F3762" s="129" t="s">
        <v>3008</v>
      </c>
      <c r="G3762" s="135" t="s">
        <v>400</v>
      </c>
      <c r="H3762" s="129" t="str">
        <f>IF(Proc[[#This Row],[type]]="LFF (MDG-F)",MID(Proc[[#This Row],[Obj]],13,10),"")</f>
        <v/>
      </c>
      <c r="J3762" s="129" t="b">
        <f>Proc[[#This Row],[Requested]]=Proc[[#This Row],[CurrentParent]]</f>
        <v>1</v>
      </c>
      <c r="K3762" s="144" t="str">
        <f>IF(Proc[[#This Row],[Author]]="Marcela Urrego",VLOOKUP(LEFT(Proc[[#This Row],[Requested]],1),Table3[#All],2,0),VLOOKUP(Proc[[#This Row],[Author]],Table4[],2,0))</f>
        <v>HC</v>
      </c>
      <c r="L3762" s="129" t="s">
        <v>4894</v>
      </c>
      <c r="M3762" s="131">
        <v>45895</v>
      </c>
      <c r="N3762" s="131"/>
      <c r="O3762" s="131"/>
      <c r="P3762" s="136" t="str">
        <f ca="1">IF(Proc[[#This Row],[DaysAgeing]]&gt;5,"yep","on track")</f>
        <v>yep</v>
      </c>
      <c r="Q3762" s="3">
        <f ca="1">IF(Proc[[#This Row],[DateClosed]]="",ABS(NETWORKDAYS(Proc[[#This Row],[DateOpened]],TODAY()))-1,ABS(NETWORKDAYS(Proc[[#This Row],[DateOpened]],Proc[[#This Row],[DateClosed]]))-1)</f>
        <v>78</v>
      </c>
      <c r="R3762" s="136" t="s">
        <v>1013</v>
      </c>
      <c r="S3762" s="129"/>
    </row>
    <row r="3763" spans="1:19">
      <c r="A3763" s="135" t="s">
        <v>5856</v>
      </c>
      <c r="B3763" s="149" t="str">
        <f>IFERROR(VLOOKUP(Proc[[#This Row],[App]],Table2[],3,0),"open")</f>
        <v>ok</v>
      </c>
      <c r="C3763" s="138" t="s">
        <v>369</v>
      </c>
      <c r="D3763" t="s">
        <v>5886</v>
      </c>
      <c r="E3763" t="s">
        <v>3007</v>
      </c>
      <c r="F3763" s="129" t="s">
        <v>3007</v>
      </c>
      <c r="G3763" s="135" t="s">
        <v>400</v>
      </c>
      <c r="H3763" s="129" t="str">
        <f>IF(Proc[[#This Row],[type]]="LFF (MDG-F)",MID(Proc[[#This Row],[Obj]],13,10),"")</f>
        <v/>
      </c>
      <c r="J3763" s="129" t="b">
        <f>Proc[[#This Row],[Requested]]=Proc[[#This Row],[CurrentParent]]</f>
        <v>1</v>
      </c>
      <c r="K3763" s="144" t="str">
        <f>IF(Proc[[#This Row],[Author]]="Marcela Urrego",VLOOKUP(LEFT(Proc[[#This Row],[Requested]],1),Table3[#All],2,0),VLOOKUP(Proc[[#This Row],[Author]],Table4[],2,0))</f>
        <v>HC</v>
      </c>
      <c r="L3763" s="129" t="s">
        <v>4894</v>
      </c>
      <c r="M3763" s="131">
        <v>45895</v>
      </c>
      <c r="N3763" s="131"/>
      <c r="O3763" s="131"/>
      <c r="P3763" s="136" t="str">
        <f ca="1">IF(Proc[[#This Row],[DaysAgeing]]&gt;5,"yep","on track")</f>
        <v>yep</v>
      </c>
      <c r="Q3763" s="3">
        <f ca="1">IF(Proc[[#This Row],[DateClosed]]="",ABS(NETWORKDAYS(Proc[[#This Row],[DateOpened]],TODAY()))-1,ABS(NETWORKDAYS(Proc[[#This Row],[DateOpened]],Proc[[#This Row],[DateClosed]]))-1)</f>
        <v>78</v>
      </c>
      <c r="R3763" s="136" t="s">
        <v>1013</v>
      </c>
      <c r="S3763" s="129"/>
    </row>
    <row r="3764" spans="1:19">
      <c r="A3764" s="135" t="s">
        <v>5856</v>
      </c>
      <c r="B3764" s="149" t="str">
        <f>IFERROR(VLOOKUP(Proc[[#This Row],[App]],Table2[],3,0),"open")</f>
        <v>ok</v>
      </c>
      <c r="C3764" s="138" t="s">
        <v>369</v>
      </c>
      <c r="D3764" t="s">
        <v>5887</v>
      </c>
      <c r="E3764" t="s">
        <v>3003</v>
      </c>
      <c r="F3764" s="129" t="s">
        <v>3003</v>
      </c>
      <c r="G3764" s="135" t="s">
        <v>400</v>
      </c>
      <c r="H3764" s="129" t="str">
        <f>IF(Proc[[#This Row],[type]]="LFF (MDG-F)",MID(Proc[[#This Row],[Obj]],13,10),"")</f>
        <v/>
      </c>
      <c r="J3764" s="129" t="b">
        <f>Proc[[#This Row],[Requested]]=Proc[[#This Row],[CurrentParent]]</f>
        <v>1</v>
      </c>
      <c r="K3764" s="144" t="str">
        <f>IF(Proc[[#This Row],[Author]]="Marcela Urrego",VLOOKUP(LEFT(Proc[[#This Row],[Requested]],1),Table3[#All],2,0),VLOOKUP(Proc[[#This Row],[Author]],Table4[],2,0))</f>
        <v>HC</v>
      </c>
      <c r="L3764" s="129" t="s">
        <v>4894</v>
      </c>
      <c r="M3764" s="131">
        <v>45895</v>
      </c>
      <c r="N3764" s="131"/>
      <c r="O3764" s="131"/>
      <c r="P3764" s="136" t="str">
        <f ca="1">IF(Proc[[#This Row],[DaysAgeing]]&gt;5,"yep","on track")</f>
        <v>yep</v>
      </c>
      <c r="Q3764" s="3">
        <f ca="1">IF(Proc[[#This Row],[DateClosed]]="",ABS(NETWORKDAYS(Proc[[#This Row],[DateOpened]],TODAY()))-1,ABS(NETWORKDAYS(Proc[[#This Row],[DateOpened]],Proc[[#This Row],[DateClosed]]))-1)</f>
        <v>78</v>
      </c>
      <c r="R3764" s="136" t="s">
        <v>1013</v>
      </c>
      <c r="S3764" s="129"/>
    </row>
    <row r="3765" spans="1:19">
      <c r="A3765" s="135" t="s">
        <v>5856</v>
      </c>
      <c r="B3765" s="149" t="str">
        <f>IFERROR(VLOOKUP(Proc[[#This Row],[App]],Table2[],3,0),"open")</f>
        <v>ok</v>
      </c>
      <c r="C3765" s="138" t="s">
        <v>369</v>
      </c>
      <c r="D3765" t="s">
        <v>5888</v>
      </c>
      <c r="E3765" t="s">
        <v>3005</v>
      </c>
      <c r="F3765" s="129" t="s">
        <v>3005</v>
      </c>
      <c r="G3765" s="135" t="s">
        <v>400</v>
      </c>
      <c r="H3765" s="129" t="str">
        <f>IF(Proc[[#This Row],[type]]="LFF (MDG-F)",MID(Proc[[#This Row],[Obj]],13,10),"")</f>
        <v/>
      </c>
      <c r="J3765" s="129" t="b">
        <f>Proc[[#This Row],[Requested]]=Proc[[#This Row],[CurrentParent]]</f>
        <v>1</v>
      </c>
      <c r="K3765" s="144" t="str">
        <f>IF(Proc[[#This Row],[Author]]="Marcela Urrego",VLOOKUP(LEFT(Proc[[#This Row],[Requested]],1),Table3[#All],2,0),VLOOKUP(Proc[[#This Row],[Author]],Table4[],2,0))</f>
        <v>HC</v>
      </c>
      <c r="L3765" s="129" t="s">
        <v>4894</v>
      </c>
      <c r="M3765" s="131">
        <v>45895</v>
      </c>
      <c r="N3765" s="131"/>
      <c r="O3765" s="131"/>
      <c r="P3765" s="136" t="str">
        <f ca="1">IF(Proc[[#This Row],[DaysAgeing]]&gt;5,"yep","on track")</f>
        <v>yep</v>
      </c>
      <c r="Q3765" s="3">
        <f ca="1">IF(Proc[[#This Row],[DateClosed]]="",ABS(NETWORKDAYS(Proc[[#This Row],[DateOpened]],TODAY()))-1,ABS(NETWORKDAYS(Proc[[#This Row],[DateOpened]],Proc[[#This Row],[DateClosed]]))-1)</f>
        <v>78</v>
      </c>
      <c r="R3765" s="136" t="s">
        <v>1013</v>
      </c>
      <c r="S3765" s="129"/>
    </row>
    <row r="3766" spans="1:19">
      <c r="A3766" s="135" t="s">
        <v>5856</v>
      </c>
      <c r="B3766" s="149" t="str">
        <f>IFERROR(VLOOKUP(Proc[[#This Row],[App]],Table2[],3,0),"open")</f>
        <v>ok</v>
      </c>
      <c r="C3766" s="138" t="s">
        <v>369</v>
      </c>
      <c r="D3766" t="s">
        <v>5889</v>
      </c>
      <c r="E3766" t="s">
        <v>3002</v>
      </c>
      <c r="F3766" s="129" t="s">
        <v>3002</v>
      </c>
      <c r="G3766" s="135" t="s">
        <v>400</v>
      </c>
      <c r="H3766" s="129" t="str">
        <f>IF(Proc[[#This Row],[type]]="LFF (MDG-F)",MID(Proc[[#This Row],[Obj]],13,10),"")</f>
        <v/>
      </c>
      <c r="J3766" s="129" t="b">
        <f>Proc[[#This Row],[Requested]]=Proc[[#This Row],[CurrentParent]]</f>
        <v>1</v>
      </c>
      <c r="K3766" s="144" t="str">
        <f>IF(Proc[[#This Row],[Author]]="Marcela Urrego",VLOOKUP(LEFT(Proc[[#This Row],[Requested]],1),Table3[#All],2,0),VLOOKUP(Proc[[#This Row],[Author]],Table4[],2,0))</f>
        <v>HC</v>
      </c>
      <c r="L3766" s="129" t="s">
        <v>4894</v>
      </c>
      <c r="M3766" s="131">
        <v>45895</v>
      </c>
      <c r="N3766" s="131"/>
      <c r="O3766" s="131"/>
      <c r="P3766" s="136" t="str">
        <f ca="1">IF(Proc[[#This Row],[DaysAgeing]]&gt;5,"yep","on track")</f>
        <v>yep</v>
      </c>
      <c r="Q3766" s="3">
        <f ca="1">IF(Proc[[#This Row],[DateClosed]]="",ABS(NETWORKDAYS(Proc[[#This Row],[DateOpened]],TODAY()))-1,ABS(NETWORKDAYS(Proc[[#This Row],[DateOpened]],Proc[[#This Row],[DateClosed]]))-1)</f>
        <v>78</v>
      </c>
      <c r="R3766" s="136" t="s">
        <v>1013</v>
      </c>
      <c r="S3766" s="129"/>
    </row>
    <row r="3767" spans="1:19">
      <c r="A3767" s="135" t="s">
        <v>5856</v>
      </c>
      <c r="B3767" s="149" t="str">
        <f>IFERROR(VLOOKUP(Proc[[#This Row],[App]],Table2[],3,0),"open")</f>
        <v>ok</v>
      </c>
      <c r="C3767" s="138" t="s">
        <v>369</v>
      </c>
      <c r="D3767" t="s">
        <v>5890</v>
      </c>
      <c r="E3767" t="s">
        <v>3004</v>
      </c>
      <c r="F3767" s="129" t="s">
        <v>3004</v>
      </c>
      <c r="G3767" s="135" t="s">
        <v>400</v>
      </c>
      <c r="H3767" s="129" t="str">
        <f>IF(Proc[[#This Row],[type]]="LFF (MDG-F)",MID(Proc[[#This Row],[Obj]],13,10),"")</f>
        <v/>
      </c>
      <c r="J3767" s="129" t="b">
        <f>Proc[[#This Row],[Requested]]=Proc[[#This Row],[CurrentParent]]</f>
        <v>1</v>
      </c>
      <c r="K3767" s="144" t="str">
        <f>IF(Proc[[#This Row],[Author]]="Marcela Urrego",VLOOKUP(LEFT(Proc[[#This Row],[Requested]],1),Table3[#All],2,0),VLOOKUP(Proc[[#This Row],[Author]],Table4[],2,0))</f>
        <v>HC</v>
      </c>
      <c r="L3767" s="129" t="s">
        <v>4894</v>
      </c>
      <c r="M3767" s="131">
        <v>45895</v>
      </c>
      <c r="N3767" s="131"/>
      <c r="O3767" s="131"/>
      <c r="P3767" s="136" t="str">
        <f ca="1">IF(Proc[[#This Row],[DaysAgeing]]&gt;5,"yep","on track")</f>
        <v>yep</v>
      </c>
      <c r="Q3767" s="3">
        <f ca="1">IF(Proc[[#This Row],[DateClosed]]="",ABS(NETWORKDAYS(Proc[[#This Row],[DateOpened]],TODAY()))-1,ABS(NETWORKDAYS(Proc[[#This Row],[DateOpened]],Proc[[#This Row],[DateClosed]]))-1)</f>
        <v>78</v>
      </c>
      <c r="R3767" s="136" t="s">
        <v>1013</v>
      </c>
      <c r="S3767" s="129"/>
    </row>
    <row r="3768" spans="1:19">
      <c r="A3768" s="135" t="s">
        <v>5856</v>
      </c>
      <c r="B3768" s="149" t="str">
        <f>IFERROR(VLOOKUP(Proc[[#This Row],[App]],Table2[],3,0),"open")</f>
        <v>ok</v>
      </c>
      <c r="C3768" s="138" t="s">
        <v>369</v>
      </c>
      <c r="D3768" t="s">
        <v>5891</v>
      </c>
      <c r="E3768" t="s">
        <v>3004</v>
      </c>
      <c r="F3768" s="129" t="s">
        <v>3004</v>
      </c>
      <c r="G3768" s="135" t="s">
        <v>400</v>
      </c>
      <c r="H3768" s="129" t="str">
        <f>IF(Proc[[#This Row],[type]]="LFF (MDG-F)",MID(Proc[[#This Row],[Obj]],13,10),"")</f>
        <v/>
      </c>
      <c r="J3768" s="129" t="b">
        <f>Proc[[#This Row],[Requested]]=Proc[[#This Row],[CurrentParent]]</f>
        <v>1</v>
      </c>
      <c r="K3768" s="144" t="str">
        <f>IF(Proc[[#This Row],[Author]]="Marcela Urrego",VLOOKUP(LEFT(Proc[[#This Row],[Requested]],1),Table3[#All],2,0),VLOOKUP(Proc[[#This Row],[Author]],Table4[],2,0))</f>
        <v>HC</v>
      </c>
      <c r="L3768" s="129" t="s">
        <v>4894</v>
      </c>
      <c r="M3768" s="131">
        <v>45895</v>
      </c>
      <c r="N3768" s="131"/>
      <c r="O3768" s="131"/>
      <c r="P3768" s="136" t="str">
        <f ca="1">IF(Proc[[#This Row],[DaysAgeing]]&gt;5,"yep","on track")</f>
        <v>yep</v>
      </c>
      <c r="Q3768" s="3">
        <f ca="1">IF(Proc[[#This Row],[DateClosed]]="",ABS(NETWORKDAYS(Proc[[#This Row],[DateOpened]],TODAY()))-1,ABS(NETWORKDAYS(Proc[[#This Row],[DateOpened]],Proc[[#This Row],[DateClosed]]))-1)</f>
        <v>78</v>
      </c>
      <c r="R3768" s="136" t="s">
        <v>1013</v>
      </c>
      <c r="S3768" s="129"/>
    </row>
    <row r="3769" spans="1:19">
      <c r="A3769" s="135" t="s">
        <v>5856</v>
      </c>
      <c r="B3769" s="149" t="str">
        <f>IFERROR(VLOOKUP(Proc[[#This Row],[App]],Table2[],3,0),"open")</f>
        <v>ok</v>
      </c>
      <c r="C3769" s="138" t="s">
        <v>369</v>
      </c>
      <c r="D3769" t="s">
        <v>5892</v>
      </c>
      <c r="E3769" t="s">
        <v>3006</v>
      </c>
      <c r="F3769" s="129" t="s">
        <v>3006</v>
      </c>
      <c r="G3769" s="135" t="s">
        <v>400</v>
      </c>
      <c r="H3769" s="129" t="str">
        <f>IF(Proc[[#This Row],[type]]="LFF (MDG-F)",MID(Proc[[#This Row],[Obj]],13,10),"")</f>
        <v/>
      </c>
      <c r="J3769" s="129" t="b">
        <f>Proc[[#This Row],[Requested]]=Proc[[#This Row],[CurrentParent]]</f>
        <v>1</v>
      </c>
      <c r="K3769" s="144" t="str">
        <f>IF(Proc[[#This Row],[Author]]="Marcela Urrego",VLOOKUP(LEFT(Proc[[#This Row],[Requested]],1),Table3[#All],2,0),VLOOKUP(Proc[[#This Row],[Author]],Table4[],2,0))</f>
        <v>HC</v>
      </c>
      <c r="L3769" s="129" t="s">
        <v>4894</v>
      </c>
      <c r="M3769" s="131">
        <v>45895</v>
      </c>
      <c r="N3769" s="131"/>
      <c r="O3769" s="131"/>
      <c r="P3769" s="136" t="str">
        <f ca="1">IF(Proc[[#This Row],[DaysAgeing]]&gt;5,"yep","on track")</f>
        <v>yep</v>
      </c>
      <c r="Q3769" s="3">
        <f ca="1">IF(Proc[[#This Row],[DateClosed]]="",ABS(NETWORKDAYS(Proc[[#This Row],[DateOpened]],TODAY()))-1,ABS(NETWORKDAYS(Proc[[#This Row],[DateOpened]],Proc[[#This Row],[DateClosed]]))-1)</f>
        <v>78</v>
      </c>
      <c r="R3769" s="136" t="s">
        <v>1013</v>
      </c>
      <c r="S3769" s="129"/>
    </row>
    <row r="3770" spans="1:19">
      <c r="A3770" s="135" t="s">
        <v>5856</v>
      </c>
      <c r="B3770" s="149" t="str">
        <f>IFERROR(VLOOKUP(Proc[[#This Row],[App]],Table2[],3,0),"open")</f>
        <v>ok</v>
      </c>
      <c r="C3770" s="138" t="s">
        <v>369</v>
      </c>
      <c r="D3770" t="s">
        <v>5893</v>
      </c>
      <c r="E3770" t="s">
        <v>3007</v>
      </c>
      <c r="F3770" s="129" t="s">
        <v>3007</v>
      </c>
      <c r="G3770" s="135" t="s">
        <v>400</v>
      </c>
      <c r="H3770" s="129" t="str">
        <f>IF(Proc[[#This Row],[type]]="LFF (MDG-F)",MID(Proc[[#This Row],[Obj]],13,10),"")</f>
        <v/>
      </c>
      <c r="J3770" s="129" t="b">
        <f>Proc[[#This Row],[Requested]]=Proc[[#This Row],[CurrentParent]]</f>
        <v>1</v>
      </c>
      <c r="K3770" s="144" t="str">
        <f>IF(Proc[[#This Row],[Author]]="Marcela Urrego",VLOOKUP(LEFT(Proc[[#This Row],[Requested]],1),Table3[#All],2,0),VLOOKUP(Proc[[#This Row],[Author]],Table4[],2,0))</f>
        <v>HC</v>
      </c>
      <c r="L3770" s="129" t="s">
        <v>4894</v>
      </c>
      <c r="M3770" s="131">
        <v>45895</v>
      </c>
      <c r="N3770" s="131"/>
      <c r="O3770" s="131"/>
      <c r="P3770" s="136" t="str">
        <f ca="1">IF(Proc[[#This Row],[DaysAgeing]]&gt;5,"yep","on track")</f>
        <v>yep</v>
      </c>
      <c r="Q3770" s="3">
        <f ca="1">IF(Proc[[#This Row],[DateClosed]]="",ABS(NETWORKDAYS(Proc[[#This Row],[DateOpened]],TODAY()))-1,ABS(NETWORKDAYS(Proc[[#This Row],[DateOpened]],Proc[[#This Row],[DateClosed]]))-1)</f>
        <v>78</v>
      </c>
      <c r="R3770" s="136" t="s">
        <v>1013</v>
      </c>
      <c r="S3770" s="129"/>
    </row>
    <row r="3771" spans="1:19">
      <c r="A3771" s="135" t="s">
        <v>5856</v>
      </c>
      <c r="B3771" s="149" t="str">
        <f>IFERROR(VLOOKUP(Proc[[#This Row],[App]],Table2[],3,0),"open")</f>
        <v>ok</v>
      </c>
      <c r="C3771" s="138" t="s">
        <v>369</v>
      </c>
      <c r="D3771" t="s">
        <v>5894</v>
      </c>
      <c r="E3771" t="s">
        <v>3007</v>
      </c>
      <c r="F3771" s="129" t="s">
        <v>3007</v>
      </c>
      <c r="G3771" s="135" t="s">
        <v>400</v>
      </c>
      <c r="H3771" s="129" t="str">
        <f>IF(Proc[[#This Row],[type]]="LFF (MDG-F)",MID(Proc[[#This Row],[Obj]],13,10),"")</f>
        <v/>
      </c>
      <c r="J3771" s="129" t="b">
        <f>Proc[[#This Row],[Requested]]=Proc[[#This Row],[CurrentParent]]</f>
        <v>1</v>
      </c>
      <c r="K3771" s="144" t="str">
        <f>IF(Proc[[#This Row],[Author]]="Marcela Urrego",VLOOKUP(LEFT(Proc[[#This Row],[Requested]],1),Table3[#All],2,0),VLOOKUP(Proc[[#This Row],[Author]],Table4[],2,0))</f>
        <v>HC</v>
      </c>
      <c r="L3771" s="129" t="s">
        <v>4894</v>
      </c>
      <c r="M3771" s="131">
        <v>45895</v>
      </c>
      <c r="N3771" s="131"/>
      <c r="O3771" s="131"/>
      <c r="P3771" s="136" t="str">
        <f ca="1">IF(Proc[[#This Row],[DaysAgeing]]&gt;5,"yep","on track")</f>
        <v>yep</v>
      </c>
      <c r="Q3771" s="3">
        <f ca="1">IF(Proc[[#This Row],[DateClosed]]="",ABS(NETWORKDAYS(Proc[[#This Row],[DateOpened]],TODAY()))-1,ABS(NETWORKDAYS(Proc[[#This Row],[DateOpened]],Proc[[#This Row],[DateClosed]]))-1)</f>
        <v>78</v>
      </c>
      <c r="R3771" s="136" t="s">
        <v>1013</v>
      </c>
      <c r="S3771" s="129"/>
    </row>
    <row r="3772" spans="1:19">
      <c r="A3772" s="135" t="s">
        <v>5856</v>
      </c>
      <c r="B3772" s="149" t="str">
        <f>IFERROR(VLOOKUP(Proc[[#This Row],[App]],Table2[],3,0),"open")</f>
        <v>ok</v>
      </c>
      <c r="C3772" s="138" t="s">
        <v>369</v>
      </c>
      <c r="D3772" t="s">
        <v>5895</v>
      </c>
      <c r="E3772" t="s">
        <v>3007</v>
      </c>
      <c r="F3772" s="129" t="s">
        <v>3007</v>
      </c>
      <c r="G3772" s="135" t="s">
        <v>400</v>
      </c>
      <c r="H3772" s="129" t="str">
        <f>IF(Proc[[#This Row],[type]]="LFF (MDG-F)",MID(Proc[[#This Row],[Obj]],13,10),"")</f>
        <v/>
      </c>
      <c r="J3772" s="129" t="b">
        <f>Proc[[#This Row],[Requested]]=Proc[[#This Row],[CurrentParent]]</f>
        <v>1</v>
      </c>
      <c r="K3772" s="144" t="str">
        <f>IF(Proc[[#This Row],[Author]]="Marcela Urrego",VLOOKUP(LEFT(Proc[[#This Row],[Requested]],1),Table3[#All],2,0),VLOOKUP(Proc[[#This Row],[Author]],Table4[],2,0))</f>
        <v>HC</v>
      </c>
      <c r="L3772" s="129" t="s">
        <v>4894</v>
      </c>
      <c r="M3772" s="131">
        <v>45895</v>
      </c>
      <c r="N3772" s="131"/>
      <c r="O3772" s="131"/>
      <c r="P3772" s="136" t="str">
        <f ca="1">IF(Proc[[#This Row],[DaysAgeing]]&gt;5,"yep","on track")</f>
        <v>yep</v>
      </c>
      <c r="Q3772" s="3">
        <f ca="1">IF(Proc[[#This Row],[DateClosed]]="",ABS(NETWORKDAYS(Proc[[#This Row],[DateOpened]],TODAY()))-1,ABS(NETWORKDAYS(Proc[[#This Row],[DateOpened]],Proc[[#This Row],[DateClosed]]))-1)</f>
        <v>78</v>
      </c>
      <c r="R3772" s="136" t="s">
        <v>1013</v>
      </c>
      <c r="S3772" s="129"/>
    </row>
    <row r="3773" spans="1:19">
      <c r="A3773" s="135" t="s">
        <v>5856</v>
      </c>
      <c r="B3773" s="149" t="str">
        <f>IFERROR(VLOOKUP(Proc[[#This Row],[App]],Table2[],3,0),"open")</f>
        <v>ok</v>
      </c>
      <c r="C3773" s="138" t="s">
        <v>369</v>
      </c>
      <c r="D3773" t="s">
        <v>5896</v>
      </c>
      <c r="E3773" t="s">
        <v>3008</v>
      </c>
      <c r="F3773" s="129" t="s">
        <v>3008</v>
      </c>
      <c r="G3773" s="135" t="s">
        <v>400</v>
      </c>
      <c r="H3773" s="129" t="str">
        <f>IF(Proc[[#This Row],[type]]="LFF (MDG-F)",MID(Proc[[#This Row],[Obj]],13,10),"")</f>
        <v/>
      </c>
      <c r="J3773" s="129" t="b">
        <f>Proc[[#This Row],[Requested]]=Proc[[#This Row],[CurrentParent]]</f>
        <v>1</v>
      </c>
      <c r="K3773" s="144" t="str">
        <f>IF(Proc[[#This Row],[Author]]="Marcela Urrego",VLOOKUP(LEFT(Proc[[#This Row],[Requested]],1),Table3[#All],2,0),VLOOKUP(Proc[[#This Row],[Author]],Table4[],2,0))</f>
        <v>HC</v>
      </c>
      <c r="L3773" s="129" t="s">
        <v>4894</v>
      </c>
      <c r="M3773" s="131">
        <v>45895</v>
      </c>
      <c r="N3773" s="131"/>
      <c r="O3773" s="131"/>
      <c r="P3773" s="136" t="str">
        <f ca="1">IF(Proc[[#This Row],[DaysAgeing]]&gt;5,"yep","on track")</f>
        <v>yep</v>
      </c>
      <c r="Q3773" s="3">
        <f ca="1">IF(Proc[[#This Row],[DateClosed]]="",ABS(NETWORKDAYS(Proc[[#This Row],[DateOpened]],TODAY()))-1,ABS(NETWORKDAYS(Proc[[#This Row],[DateOpened]],Proc[[#This Row],[DateClosed]]))-1)</f>
        <v>78</v>
      </c>
      <c r="R3773" s="136" t="s">
        <v>1013</v>
      </c>
      <c r="S3773" s="129"/>
    </row>
    <row r="3774" spans="1:19">
      <c r="A3774" s="135" t="s">
        <v>5856</v>
      </c>
      <c r="B3774" s="149" t="str">
        <f>IFERROR(VLOOKUP(Proc[[#This Row],[App]],Table2[],3,0),"open")</f>
        <v>ok</v>
      </c>
      <c r="C3774" s="138" t="s">
        <v>369</v>
      </c>
      <c r="D3774" t="s">
        <v>5897</v>
      </c>
      <c r="E3774" t="s">
        <v>3005</v>
      </c>
      <c r="F3774" s="129" t="s">
        <v>3005</v>
      </c>
      <c r="G3774" s="135" t="s">
        <v>400</v>
      </c>
      <c r="H3774" s="129" t="str">
        <f>IF(Proc[[#This Row],[type]]="LFF (MDG-F)",MID(Proc[[#This Row],[Obj]],13,10),"")</f>
        <v/>
      </c>
      <c r="J3774" s="129" t="b">
        <f>Proc[[#This Row],[Requested]]=Proc[[#This Row],[CurrentParent]]</f>
        <v>1</v>
      </c>
      <c r="K3774" s="144" t="str">
        <f>IF(Proc[[#This Row],[Author]]="Marcela Urrego",VLOOKUP(LEFT(Proc[[#This Row],[Requested]],1),Table3[#All],2,0),VLOOKUP(Proc[[#This Row],[Author]],Table4[],2,0))</f>
        <v>HC</v>
      </c>
      <c r="L3774" s="129" t="s">
        <v>4894</v>
      </c>
      <c r="M3774" s="131">
        <v>45895</v>
      </c>
      <c r="N3774" s="131"/>
      <c r="O3774" s="131"/>
      <c r="P3774" s="136" t="str">
        <f ca="1">IF(Proc[[#This Row],[DaysAgeing]]&gt;5,"yep","on track")</f>
        <v>yep</v>
      </c>
      <c r="Q3774" s="3">
        <f ca="1">IF(Proc[[#This Row],[DateClosed]]="",ABS(NETWORKDAYS(Proc[[#This Row],[DateOpened]],TODAY()))-1,ABS(NETWORKDAYS(Proc[[#This Row],[DateOpened]],Proc[[#This Row],[DateClosed]]))-1)</f>
        <v>78</v>
      </c>
      <c r="R3774" s="136" t="s">
        <v>1013</v>
      </c>
      <c r="S3774" s="129"/>
    </row>
    <row r="3775" spans="1:19">
      <c r="A3775" s="135" t="s">
        <v>5856</v>
      </c>
      <c r="B3775" s="149" t="str">
        <f>IFERROR(VLOOKUP(Proc[[#This Row],[App]],Table2[],3,0),"open")</f>
        <v>ok</v>
      </c>
      <c r="C3775" s="138" t="s">
        <v>369</v>
      </c>
      <c r="D3775" t="s">
        <v>5898</v>
      </c>
      <c r="E3775" t="s">
        <v>3005</v>
      </c>
      <c r="F3775" s="129" t="s">
        <v>3005</v>
      </c>
      <c r="G3775" s="135" t="s">
        <v>400</v>
      </c>
      <c r="H3775" s="129" t="str">
        <f>IF(Proc[[#This Row],[type]]="LFF (MDG-F)",MID(Proc[[#This Row],[Obj]],13,10),"")</f>
        <v/>
      </c>
      <c r="J3775" s="129" t="b">
        <f>Proc[[#This Row],[Requested]]=Proc[[#This Row],[CurrentParent]]</f>
        <v>1</v>
      </c>
      <c r="K3775" s="144" t="str">
        <f>IF(Proc[[#This Row],[Author]]="Marcela Urrego",VLOOKUP(LEFT(Proc[[#This Row],[Requested]],1),Table3[#All],2,0),VLOOKUP(Proc[[#This Row],[Author]],Table4[],2,0))</f>
        <v>HC</v>
      </c>
      <c r="L3775" s="129" t="s">
        <v>4894</v>
      </c>
      <c r="M3775" s="131">
        <v>45895</v>
      </c>
      <c r="N3775" s="131"/>
      <c r="O3775" s="131"/>
      <c r="P3775" s="136" t="str">
        <f ca="1">IF(Proc[[#This Row],[DaysAgeing]]&gt;5,"yep","on track")</f>
        <v>yep</v>
      </c>
      <c r="Q3775" s="3">
        <f ca="1">IF(Proc[[#This Row],[DateClosed]]="",ABS(NETWORKDAYS(Proc[[#This Row],[DateOpened]],TODAY()))-1,ABS(NETWORKDAYS(Proc[[#This Row],[DateOpened]],Proc[[#This Row],[DateClosed]]))-1)</f>
        <v>78</v>
      </c>
      <c r="R3775" s="136" t="s">
        <v>1013</v>
      </c>
      <c r="S3775" s="129"/>
    </row>
    <row r="3776" spans="1:19">
      <c r="A3776" s="135" t="s">
        <v>5856</v>
      </c>
      <c r="B3776" s="149" t="str">
        <f>IFERROR(VLOOKUP(Proc[[#This Row],[App]],Table2[],3,0),"open")</f>
        <v>ok</v>
      </c>
      <c r="C3776" s="138" t="s">
        <v>369</v>
      </c>
      <c r="D3776" t="s">
        <v>5899</v>
      </c>
      <c r="E3776" t="s">
        <v>3002</v>
      </c>
      <c r="F3776" s="129" t="s">
        <v>3002</v>
      </c>
      <c r="G3776" s="135" t="s">
        <v>400</v>
      </c>
      <c r="H3776" s="129" t="str">
        <f>IF(Proc[[#This Row],[type]]="LFF (MDG-F)",MID(Proc[[#This Row],[Obj]],13,10),"")</f>
        <v/>
      </c>
      <c r="J3776" s="129" t="b">
        <f>Proc[[#This Row],[Requested]]=Proc[[#This Row],[CurrentParent]]</f>
        <v>1</v>
      </c>
      <c r="K3776" s="144" t="str">
        <f>IF(Proc[[#This Row],[Author]]="Marcela Urrego",VLOOKUP(LEFT(Proc[[#This Row],[Requested]],1),Table3[#All],2,0),VLOOKUP(Proc[[#This Row],[Author]],Table4[],2,0))</f>
        <v>HC</v>
      </c>
      <c r="L3776" s="129" t="s">
        <v>4894</v>
      </c>
      <c r="M3776" s="131">
        <v>45895</v>
      </c>
      <c r="N3776" s="131"/>
      <c r="O3776" s="131"/>
      <c r="P3776" s="136" t="str">
        <f ca="1">IF(Proc[[#This Row],[DaysAgeing]]&gt;5,"yep","on track")</f>
        <v>yep</v>
      </c>
      <c r="Q3776" s="3">
        <f ca="1">IF(Proc[[#This Row],[DateClosed]]="",ABS(NETWORKDAYS(Proc[[#This Row],[DateOpened]],TODAY()))-1,ABS(NETWORKDAYS(Proc[[#This Row],[DateOpened]],Proc[[#This Row],[DateClosed]]))-1)</f>
        <v>78</v>
      </c>
      <c r="R3776" s="136" t="s">
        <v>1013</v>
      </c>
      <c r="S3776" s="129"/>
    </row>
    <row r="3777" spans="1:19">
      <c r="A3777" s="135" t="s">
        <v>5856</v>
      </c>
      <c r="B3777" s="149" t="str">
        <f>IFERROR(VLOOKUP(Proc[[#This Row],[App]],Table2[],3,0),"open")</f>
        <v>ok</v>
      </c>
      <c r="C3777" s="138" t="s">
        <v>369</v>
      </c>
      <c r="D3777" t="s">
        <v>5900</v>
      </c>
      <c r="E3777" t="s">
        <v>5917</v>
      </c>
      <c r="F3777" s="129" t="s">
        <v>5917</v>
      </c>
      <c r="G3777" s="135" t="s">
        <v>400</v>
      </c>
      <c r="H3777" s="129" t="str">
        <f>IF(Proc[[#This Row],[type]]="LFF (MDG-F)",MID(Proc[[#This Row],[Obj]],13,10),"")</f>
        <v/>
      </c>
      <c r="J3777" s="129" t="b">
        <f>Proc[[#This Row],[Requested]]=Proc[[#This Row],[CurrentParent]]</f>
        <v>1</v>
      </c>
      <c r="K3777" s="144" t="str">
        <f>IF(Proc[[#This Row],[Author]]="Marcela Urrego",VLOOKUP(LEFT(Proc[[#This Row],[Requested]],1),Table3[#All],2,0),VLOOKUP(Proc[[#This Row],[Author]],Table4[],2,0))</f>
        <v>HC</v>
      </c>
      <c r="L3777" s="129" t="s">
        <v>4894</v>
      </c>
      <c r="M3777" s="131">
        <v>45895</v>
      </c>
      <c r="N3777" s="131"/>
      <c r="O3777" s="131"/>
      <c r="P3777" s="136" t="str">
        <f ca="1">IF(Proc[[#This Row],[DaysAgeing]]&gt;5,"yep","on track")</f>
        <v>yep</v>
      </c>
      <c r="Q3777" s="3">
        <f ca="1">IF(Proc[[#This Row],[DateClosed]]="",ABS(NETWORKDAYS(Proc[[#This Row],[DateOpened]],TODAY()))-1,ABS(NETWORKDAYS(Proc[[#This Row],[DateOpened]],Proc[[#This Row],[DateClosed]]))-1)</f>
        <v>78</v>
      </c>
      <c r="R3777" s="136" t="s">
        <v>1013</v>
      </c>
      <c r="S3777" s="129"/>
    </row>
    <row r="3778" spans="1:19">
      <c r="A3778" s="135" t="s">
        <v>5856</v>
      </c>
      <c r="B3778" s="149" t="str">
        <f>IFERROR(VLOOKUP(Proc[[#This Row],[App]],Table2[],3,0),"open")</f>
        <v>ok</v>
      </c>
      <c r="C3778" s="138" t="s">
        <v>369</v>
      </c>
      <c r="D3778" t="s">
        <v>5901</v>
      </c>
      <c r="E3778" t="s">
        <v>3399</v>
      </c>
      <c r="F3778" s="129" t="s">
        <v>3399</v>
      </c>
      <c r="G3778" s="135" t="s">
        <v>400</v>
      </c>
      <c r="H3778" s="129" t="str">
        <f>IF(Proc[[#This Row],[type]]="LFF (MDG-F)",MID(Proc[[#This Row],[Obj]],13,10),"")</f>
        <v/>
      </c>
      <c r="J3778" s="129" t="b">
        <f>Proc[[#This Row],[Requested]]=Proc[[#This Row],[CurrentParent]]</f>
        <v>1</v>
      </c>
      <c r="K3778" s="144" t="str">
        <f>IF(Proc[[#This Row],[Author]]="Marcela Urrego",VLOOKUP(LEFT(Proc[[#This Row],[Requested]],1),Table3[#All],2,0),VLOOKUP(Proc[[#This Row],[Author]],Table4[],2,0))</f>
        <v>HC</v>
      </c>
      <c r="L3778" s="129" t="s">
        <v>4894</v>
      </c>
      <c r="M3778" s="131">
        <v>45895</v>
      </c>
      <c r="N3778" s="131"/>
      <c r="O3778" s="131"/>
      <c r="P3778" s="136" t="str">
        <f ca="1">IF(Proc[[#This Row],[DaysAgeing]]&gt;5,"yep","on track")</f>
        <v>yep</v>
      </c>
      <c r="Q3778" s="3">
        <f ca="1">IF(Proc[[#This Row],[DateClosed]]="",ABS(NETWORKDAYS(Proc[[#This Row],[DateOpened]],TODAY()))-1,ABS(NETWORKDAYS(Proc[[#This Row],[DateOpened]],Proc[[#This Row],[DateClosed]]))-1)</f>
        <v>78</v>
      </c>
      <c r="R3778" s="136" t="s">
        <v>1013</v>
      </c>
      <c r="S3778" s="129"/>
    </row>
    <row r="3779" spans="1:19">
      <c r="A3779" s="135" t="s">
        <v>5856</v>
      </c>
      <c r="B3779" s="149" t="str">
        <f>IFERROR(VLOOKUP(Proc[[#This Row],[App]],Table2[],3,0),"open")</f>
        <v>ok</v>
      </c>
      <c r="C3779" s="138" t="s">
        <v>369</v>
      </c>
      <c r="D3779" t="s">
        <v>5902</v>
      </c>
      <c r="E3779" t="s">
        <v>3399</v>
      </c>
      <c r="F3779" s="129" t="s">
        <v>3399</v>
      </c>
      <c r="G3779" s="135" t="s">
        <v>400</v>
      </c>
      <c r="H3779" s="129" t="str">
        <f>IF(Proc[[#This Row],[type]]="LFF (MDG-F)",MID(Proc[[#This Row],[Obj]],13,10),"")</f>
        <v/>
      </c>
      <c r="J3779" s="129" t="b">
        <f>Proc[[#This Row],[Requested]]=Proc[[#This Row],[CurrentParent]]</f>
        <v>1</v>
      </c>
      <c r="K3779" s="144" t="str">
        <f>IF(Proc[[#This Row],[Author]]="Marcela Urrego",VLOOKUP(LEFT(Proc[[#This Row],[Requested]],1),Table3[#All],2,0),VLOOKUP(Proc[[#This Row],[Author]],Table4[],2,0))</f>
        <v>HC</v>
      </c>
      <c r="L3779" s="129" t="s">
        <v>4894</v>
      </c>
      <c r="M3779" s="131">
        <v>45895</v>
      </c>
      <c r="N3779" s="131"/>
      <c r="O3779" s="131"/>
      <c r="P3779" s="136" t="str">
        <f ca="1">IF(Proc[[#This Row],[DaysAgeing]]&gt;5,"yep","on track")</f>
        <v>yep</v>
      </c>
      <c r="Q3779" s="3">
        <f ca="1">IF(Proc[[#This Row],[DateClosed]]="",ABS(NETWORKDAYS(Proc[[#This Row],[DateOpened]],TODAY()))-1,ABS(NETWORKDAYS(Proc[[#This Row],[DateOpened]],Proc[[#This Row],[DateClosed]]))-1)</f>
        <v>78</v>
      </c>
      <c r="R3779" s="136" t="s">
        <v>1013</v>
      </c>
      <c r="S3779" s="129"/>
    </row>
    <row r="3780" spans="1:19">
      <c r="A3780" s="135" t="s">
        <v>5856</v>
      </c>
      <c r="B3780" s="149" t="str">
        <f>IFERROR(VLOOKUP(Proc[[#This Row],[App]],Table2[],3,0),"open")</f>
        <v>ok</v>
      </c>
      <c r="C3780" s="138" t="s">
        <v>369</v>
      </c>
      <c r="D3780" t="s">
        <v>5903</v>
      </c>
      <c r="E3780" t="s">
        <v>3399</v>
      </c>
      <c r="F3780" s="129" t="s">
        <v>3399</v>
      </c>
      <c r="G3780" s="135" t="s">
        <v>400</v>
      </c>
      <c r="H3780" s="129" t="str">
        <f>IF(Proc[[#This Row],[type]]="LFF (MDG-F)",MID(Proc[[#This Row],[Obj]],13,10),"")</f>
        <v/>
      </c>
      <c r="J3780" s="129" t="b">
        <f>Proc[[#This Row],[Requested]]=Proc[[#This Row],[CurrentParent]]</f>
        <v>1</v>
      </c>
      <c r="K3780" s="144" t="str">
        <f>IF(Proc[[#This Row],[Author]]="Marcela Urrego",VLOOKUP(LEFT(Proc[[#This Row],[Requested]],1),Table3[#All],2,0),VLOOKUP(Proc[[#This Row],[Author]],Table4[],2,0))</f>
        <v>HC</v>
      </c>
      <c r="L3780" s="129" t="s">
        <v>4894</v>
      </c>
      <c r="M3780" s="131">
        <v>45895</v>
      </c>
      <c r="N3780" s="131"/>
      <c r="O3780" s="131"/>
      <c r="P3780" s="136" t="str">
        <f ca="1">IF(Proc[[#This Row],[DaysAgeing]]&gt;5,"yep","on track")</f>
        <v>yep</v>
      </c>
      <c r="Q3780" s="3">
        <f ca="1">IF(Proc[[#This Row],[DateClosed]]="",ABS(NETWORKDAYS(Proc[[#This Row],[DateOpened]],TODAY()))-1,ABS(NETWORKDAYS(Proc[[#This Row],[DateOpened]],Proc[[#This Row],[DateClosed]]))-1)</f>
        <v>78</v>
      </c>
      <c r="R3780" s="136" t="s">
        <v>1013</v>
      </c>
      <c r="S3780" s="129"/>
    </row>
    <row r="3781" spans="1:19">
      <c r="A3781" s="135" t="s">
        <v>5856</v>
      </c>
      <c r="B3781" s="149" t="str">
        <f>IFERROR(VLOOKUP(Proc[[#This Row],[App]],Table2[],3,0),"open")</f>
        <v>ok</v>
      </c>
      <c r="C3781" s="138" t="s">
        <v>369</v>
      </c>
      <c r="D3781" t="s">
        <v>5904</v>
      </c>
      <c r="E3781" t="s">
        <v>3399</v>
      </c>
      <c r="F3781" s="129" t="s">
        <v>3399</v>
      </c>
      <c r="G3781" s="135" t="s">
        <v>400</v>
      </c>
      <c r="H3781" s="129" t="str">
        <f>IF(Proc[[#This Row],[type]]="LFF (MDG-F)",MID(Proc[[#This Row],[Obj]],13,10),"")</f>
        <v/>
      </c>
      <c r="J3781" s="129" t="b">
        <f>Proc[[#This Row],[Requested]]=Proc[[#This Row],[CurrentParent]]</f>
        <v>1</v>
      </c>
      <c r="K3781" s="144" t="str">
        <f>IF(Proc[[#This Row],[Author]]="Marcela Urrego",VLOOKUP(LEFT(Proc[[#This Row],[Requested]],1),Table3[#All],2,0),VLOOKUP(Proc[[#This Row],[Author]],Table4[],2,0))</f>
        <v>HC</v>
      </c>
      <c r="L3781" s="129" t="s">
        <v>4894</v>
      </c>
      <c r="M3781" s="131">
        <v>45895</v>
      </c>
      <c r="N3781" s="131"/>
      <c r="O3781" s="131"/>
      <c r="P3781" s="136" t="str">
        <f ca="1">IF(Proc[[#This Row],[DaysAgeing]]&gt;5,"yep","on track")</f>
        <v>yep</v>
      </c>
      <c r="Q3781" s="3">
        <f ca="1">IF(Proc[[#This Row],[DateClosed]]="",ABS(NETWORKDAYS(Proc[[#This Row],[DateOpened]],TODAY()))-1,ABS(NETWORKDAYS(Proc[[#This Row],[DateOpened]],Proc[[#This Row],[DateClosed]]))-1)</f>
        <v>78</v>
      </c>
      <c r="R3781" s="136" t="s">
        <v>1013</v>
      </c>
      <c r="S3781" s="129"/>
    </row>
    <row r="3782" spans="1:19">
      <c r="A3782" s="135" t="s">
        <v>5856</v>
      </c>
      <c r="B3782" s="149" t="str">
        <f>IFERROR(VLOOKUP(Proc[[#This Row],[App]],Table2[],3,0),"open")</f>
        <v>ok</v>
      </c>
      <c r="C3782" s="138" t="s">
        <v>369</v>
      </c>
      <c r="D3782" t="s">
        <v>5905</v>
      </c>
      <c r="E3782" t="s">
        <v>3397</v>
      </c>
      <c r="F3782" s="129" t="s">
        <v>3397</v>
      </c>
      <c r="G3782" s="135" t="s">
        <v>400</v>
      </c>
      <c r="H3782" s="129" t="str">
        <f>IF(Proc[[#This Row],[type]]="LFF (MDG-F)",MID(Proc[[#This Row],[Obj]],13,10),"")</f>
        <v/>
      </c>
      <c r="J3782" s="129" t="b">
        <f>Proc[[#This Row],[Requested]]=Proc[[#This Row],[CurrentParent]]</f>
        <v>1</v>
      </c>
      <c r="K3782" s="144" t="str">
        <f>IF(Proc[[#This Row],[Author]]="Marcela Urrego",VLOOKUP(LEFT(Proc[[#This Row],[Requested]],1),Table3[#All],2,0),VLOOKUP(Proc[[#This Row],[Author]],Table4[],2,0))</f>
        <v>HC</v>
      </c>
      <c r="L3782" s="129" t="s">
        <v>4894</v>
      </c>
      <c r="M3782" s="131">
        <v>45895</v>
      </c>
      <c r="N3782" s="131"/>
      <c r="O3782" s="131"/>
      <c r="P3782" s="136" t="str">
        <f ca="1">IF(Proc[[#This Row],[DaysAgeing]]&gt;5,"yep","on track")</f>
        <v>yep</v>
      </c>
      <c r="Q3782" s="3">
        <f ca="1">IF(Proc[[#This Row],[DateClosed]]="",ABS(NETWORKDAYS(Proc[[#This Row],[DateOpened]],TODAY()))-1,ABS(NETWORKDAYS(Proc[[#This Row],[DateOpened]],Proc[[#This Row],[DateClosed]]))-1)</f>
        <v>78</v>
      </c>
      <c r="R3782" s="136" t="s">
        <v>1013</v>
      </c>
      <c r="S3782" s="129"/>
    </row>
    <row r="3783" spans="1:19">
      <c r="A3783" s="135" t="s">
        <v>5856</v>
      </c>
      <c r="B3783" s="149" t="str">
        <f>IFERROR(VLOOKUP(Proc[[#This Row],[App]],Table2[],3,0),"open")</f>
        <v>ok</v>
      </c>
      <c r="C3783" s="138" t="s">
        <v>369</v>
      </c>
      <c r="D3783" t="s">
        <v>5906</v>
      </c>
      <c r="E3783" t="s">
        <v>3401</v>
      </c>
      <c r="F3783" s="129" t="s">
        <v>3401</v>
      </c>
      <c r="G3783" s="135" t="s">
        <v>400</v>
      </c>
      <c r="H3783" s="129" t="str">
        <f>IF(Proc[[#This Row],[type]]="LFF (MDG-F)",MID(Proc[[#This Row],[Obj]],13,10),"")</f>
        <v/>
      </c>
      <c r="J3783" s="129" t="b">
        <f>Proc[[#This Row],[Requested]]=Proc[[#This Row],[CurrentParent]]</f>
        <v>1</v>
      </c>
      <c r="K3783" s="144" t="str">
        <f>IF(Proc[[#This Row],[Author]]="Marcela Urrego",VLOOKUP(LEFT(Proc[[#This Row],[Requested]],1),Table3[#All],2,0),VLOOKUP(Proc[[#This Row],[Author]],Table4[],2,0))</f>
        <v>HC</v>
      </c>
      <c r="L3783" s="129" t="s">
        <v>4894</v>
      </c>
      <c r="M3783" s="131">
        <v>45895</v>
      </c>
      <c r="N3783" s="131"/>
      <c r="O3783" s="131"/>
      <c r="P3783" s="136" t="str">
        <f ca="1">IF(Proc[[#This Row],[DaysAgeing]]&gt;5,"yep","on track")</f>
        <v>yep</v>
      </c>
      <c r="Q3783" s="3">
        <f ca="1">IF(Proc[[#This Row],[DateClosed]]="",ABS(NETWORKDAYS(Proc[[#This Row],[DateOpened]],TODAY()))-1,ABS(NETWORKDAYS(Proc[[#This Row],[DateOpened]],Proc[[#This Row],[DateClosed]]))-1)</f>
        <v>78</v>
      </c>
      <c r="R3783" s="136" t="s">
        <v>1013</v>
      </c>
      <c r="S3783" s="129"/>
    </row>
    <row r="3784" spans="1:19">
      <c r="A3784" s="135" t="s">
        <v>5856</v>
      </c>
      <c r="B3784" s="149" t="str">
        <f>IFERROR(VLOOKUP(Proc[[#This Row],[App]],Table2[],3,0),"open")</f>
        <v>ok</v>
      </c>
      <c r="C3784" s="138" t="s">
        <v>369</v>
      </c>
      <c r="D3784" t="s">
        <v>5907</v>
      </c>
      <c r="E3784" t="s">
        <v>3401</v>
      </c>
      <c r="F3784" s="129" t="s">
        <v>3401</v>
      </c>
      <c r="G3784" s="135" t="s">
        <v>400</v>
      </c>
      <c r="H3784" s="129" t="str">
        <f>IF(Proc[[#This Row],[type]]="LFF (MDG-F)",MID(Proc[[#This Row],[Obj]],13,10),"")</f>
        <v/>
      </c>
      <c r="J3784" s="129" t="b">
        <f>Proc[[#This Row],[Requested]]=Proc[[#This Row],[CurrentParent]]</f>
        <v>1</v>
      </c>
      <c r="K3784" s="144" t="str">
        <f>IF(Proc[[#This Row],[Author]]="Marcela Urrego",VLOOKUP(LEFT(Proc[[#This Row],[Requested]],1),Table3[#All],2,0),VLOOKUP(Proc[[#This Row],[Author]],Table4[],2,0))</f>
        <v>HC</v>
      </c>
      <c r="L3784" s="129" t="s">
        <v>4894</v>
      </c>
      <c r="M3784" s="131">
        <v>45895</v>
      </c>
      <c r="N3784" s="131"/>
      <c r="O3784" s="131"/>
      <c r="P3784" s="136" t="str">
        <f ca="1">IF(Proc[[#This Row],[DaysAgeing]]&gt;5,"yep","on track")</f>
        <v>yep</v>
      </c>
      <c r="Q3784" s="3">
        <f ca="1">IF(Proc[[#This Row],[DateClosed]]="",ABS(NETWORKDAYS(Proc[[#This Row],[DateOpened]],TODAY()))-1,ABS(NETWORKDAYS(Proc[[#This Row],[DateOpened]],Proc[[#This Row],[DateClosed]]))-1)</f>
        <v>78</v>
      </c>
      <c r="R3784" s="136" t="s">
        <v>1013</v>
      </c>
      <c r="S3784" s="129"/>
    </row>
    <row r="3785" spans="1:19">
      <c r="A3785" s="135" t="s">
        <v>5856</v>
      </c>
      <c r="B3785" s="149" t="str">
        <f>IFERROR(VLOOKUP(Proc[[#This Row],[App]],Table2[],3,0),"open")</f>
        <v>ok</v>
      </c>
      <c r="C3785" s="138" t="s">
        <v>369</v>
      </c>
      <c r="D3785" t="s">
        <v>5908</v>
      </c>
      <c r="E3785" t="s">
        <v>3401</v>
      </c>
      <c r="F3785" s="129" t="s">
        <v>3401</v>
      </c>
      <c r="G3785" s="135" t="s">
        <v>400</v>
      </c>
      <c r="H3785" s="129" t="str">
        <f>IF(Proc[[#This Row],[type]]="LFF (MDG-F)",MID(Proc[[#This Row],[Obj]],13,10),"")</f>
        <v/>
      </c>
      <c r="J3785" s="129" t="b">
        <f>Proc[[#This Row],[Requested]]=Proc[[#This Row],[CurrentParent]]</f>
        <v>1</v>
      </c>
      <c r="K3785" s="144" t="str">
        <f>IF(Proc[[#This Row],[Author]]="Marcela Urrego",VLOOKUP(LEFT(Proc[[#This Row],[Requested]],1),Table3[#All],2,0),VLOOKUP(Proc[[#This Row],[Author]],Table4[],2,0))</f>
        <v>HC</v>
      </c>
      <c r="L3785" s="129" t="s">
        <v>4894</v>
      </c>
      <c r="M3785" s="131">
        <v>45895</v>
      </c>
      <c r="N3785" s="131"/>
      <c r="O3785" s="131"/>
      <c r="P3785" s="136" t="str">
        <f ca="1">IF(Proc[[#This Row],[DaysAgeing]]&gt;5,"yep","on track")</f>
        <v>yep</v>
      </c>
      <c r="Q3785" s="3">
        <f ca="1">IF(Proc[[#This Row],[DateClosed]]="",ABS(NETWORKDAYS(Proc[[#This Row],[DateOpened]],TODAY()))-1,ABS(NETWORKDAYS(Proc[[#This Row],[DateOpened]],Proc[[#This Row],[DateClosed]]))-1)</f>
        <v>78</v>
      </c>
      <c r="R3785" s="136" t="s">
        <v>1013</v>
      </c>
      <c r="S3785" s="129"/>
    </row>
    <row r="3786" spans="1:19">
      <c r="A3786" s="135" t="s">
        <v>5856</v>
      </c>
      <c r="B3786" s="149" t="str">
        <f>IFERROR(VLOOKUP(Proc[[#This Row],[App]],Table2[],3,0),"open")</f>
        <v>ok</v>
      </c>
      <c r="C3786" s="138" t="s">
        <v>369</v>
      </c>
      <c r="D3786" t="s">
        <v>5909</v>
      </c>
      <c r="E3786" t="s">
        <v>3401</v>
      </c>
      <c r="F3786" s="129" t="s">
        <v>3401</v>
      </c>
      <c r="G3786" s="135" t="s">
        <v>400</v>
      </c>
      <c r="H3786" s="129" t="str">
        <f>IF(Proc[[#This Row],[type]]="LFF (MDG-F)",MID(Proc[[#This Row],[Obj]],13,10),"")</f>
        <v/>
      </c>
      <c r="J3786" s="129" t="b">
        <f>Proc[[#This Row],[Requested]]=Proc[[#This Row],[CurrentParent]]</f>
        <v>1</v>
      </c>
      <c r="K3786" s="144" t="str">
        <f>IF(Proc[[#This Row],[Author]]="Marcela Urrego",VLOOKUP(LEFT(Proc[[#This Row],[Requested]],1),Table3[#All],2,0),VLOOKUP(Proc[[#This Row],[Author]],Table4[],2,0))</f>
        <v>HC</v>
      </c>
      <c r="L3786" s="129" t="s">
        <v>4894</v>
      </c>
      <c r="M3786" s="131">
        <v>45895</v>
      </c>
      <c r="N3786" s="131"/>
      <c r="O3786" s="131"/>
      <c r="P3786" s="136" t="str">
        <f ca="1">IF(Proc[[#This Row],[DaysAgeing]]&gt;5,"yep","on track")</f>
        <v>yep</v>
      </c>
      <c r="Q3786" s="3">
        <f ca="1">IF(Proc[[#This Row],[DateClosed]]="",ABS(NETWORKDAYS(Proc[[#This Row],[DateOpened]],TODAY()))-1,ABS(NETWORKDAYS(Proc[[#This Row],[DateOpened]],Proc[[#This Row],[DateClosed]]))-1)</f>
        <v>78</v>
      </c>
      <c r="R3786" s="136" t="s">
        <v>1013</v>
      </c>
      <c r="S3786" s="129"/>
    </row>
    <row r="3787" spans="1:19">
      <c r="A3787" s="135" t="s">
        <v>5856</v>
      </c>
      <c r="B3787" s="149" t="str">
        <f>IFERROR(VLOOKUP(Proc[[#This Row],[App]],Table2[],3,0),"open")</f>
        <v>ok</v>
      </c>
      <c r="C3787" s="138" t="s">
        <v>369</v>
      </c>
      <c r="D3787" t="s">
        <v>5910</v>
      </c>
      <c r="E3787" t="s">
        <v>3401</v>
      </c>
      <c r="F3787" s="129" t="s">
        <v>3401</v>
      </c>
      <c r="G3787" s="135" t="s">
        <v>400</v>
      </c>
      <c r="H3787" s="129" t="str">
        <f>IF(Proc[[#This Row],[type]]="LFF (MDG-F)",MID(Proc[[#This Row],[Obj]],13,10),"")</f>
        <v/>
      </c>
      <c r="J3787" s="129" t="b">
        <f>Proc[[#This Row],[Requested]]=Proc[[#This Row],[CurrentParent]]</f>
        <v>1</v>
      </c>
      <c r="K3787" s="144" t="str">
        <f>IF(Proc[[#This Row],[Author]]="Marcela Urrego",VLOOKUP(LEFT(Proc[[#This Row],[Requested]],1),Table3[#All],2,0),VLOOKUP(Proc[[#This Row],[Author]],Table4[],2,0))</f>
        <v>HC</v>
      </c>
      <c r="L3787" s="129" t="s">
        <v>4894</v>
      </c>
      <c r="M3787" s="131">
        <v>45895</v>
      </c>
      <c r="N3787" s="131"/>
      <c r="O3787" s="131"/>
      <c r="P3787" s="136" t="str">
        <f ca="1">IF(Proc[[#This Row],[DaysAgeing]]&gt;5,"yep","on track")</f>
        <v>yep</v>
      </c>
      <c r="Q3787" s="3">
        <f ca="1">IF(Proc[[#This Row],[DateClosed]]="",ABS(NETWORKDAYS(Proc[[#This Row],[DateOpened]],TODAY()))-1,ABS(NETWORKDAYS(Proc[[#This Row],[DateOpened]],Proc[[#This Row],[DateClosed]]))-1)</f>
        <v>78</v>
      </c>
      <c r="R3787" s="136" t="s">
        <v>1013</v>
      </c>
      <c r="S3787" s="129"/>
    </row>
    <row r="3788" spans="1:19">
      <c r="A3788" s="135" t="s">
        <v>5856</v>
      </c>
      <c r="B3788" s="149" t="str">
        <f>IFERROR(VLOOKUP(Proc[[#This Row],[App]],Table2[],3,0),"open")</f>
        <v>ok</v>
      </c>
      <c r="C3788" s="138" t="s">
        <v>369</v>
      </c>
      <c r="D3788" t="s">
        <v>5911</v>
      </c>
      <c r="E3788" t="s">
        <v>3401</v>
      </c>
      <c r="F3788" s="129" t="s">
        <v>3401</v>
      </c>
      <c r="G3788" s="135" t="s">
        <v>400</v>
      </c>
      <c r="H3788" s="129" t="str">
        <f>IF(Proc[[#This Row],[type]]="LFF (MDG-F)",MID(Proc[[#This Row],[Obj]],13,10),"")</f>
        <v/>
      </c>
      <c r="J3788" s="129" t="b">
        <f>Proc[[#This Row],[Requested]]=Proc[[#This Row],[CurrentParent]]</f>
        <v>1</v>
      </c>
      <c r="K3788" s="144" t="str">
        <f>IF(Proc[[#This Row],[Author]]="Marcela Urrego",VLOOKUP(LEFT(Proc[[#This Row],[Requested]],1),Table3[#All],2,0),VLOOKUP(Proc[[#This Row],[Author]],Table4[],2,0))</f>
        <v>HC</v>
      </c>
      <c r="L3788" s="129" t="s">
        <v>4894</v>
      </c>
      <c r="M3788" s="131">
        <v>45895</v>
      </c>
      <c r="N3788" s="131"/>
      <c r="O3788" s="131"/>
      <c r="P3788" s="136" t="str">
        <f ca="1">IF(Proc[[#This Row],[DaysAgeing]]&gt;5,"yep","on track")</f>
        <v>yep</v>
      </c>
      <c r="Q3788" s="3">
        <f ca="1">IF(Proc[[#This Row],[DateClosed]]="",ABS(NETWORKDAYS(Proc[[#This Row],[DateOpened]],TODAY()))-1,ABS(NETWORKDAYS(Proc[[#This Row],[DateOpened]],Proc[[#This Row],[DateClosed]]))-1)</f>
        <v>78</v>
      </c>
      <c r="R3788" s="136" t="s">
        <v>1013</v>
      </c>
      <c r="S3788" s="129"/>
    </row>
    <row r="3789" spans="1:19">
      <c r="A3789" s="135" t="s">
        <v>5856</v>
      </c>
      <c r="B3789" s="149" t="str">
        <f>IFERROR(VLOOKUP(Proc[[#This Row],[App]],Table2[],3,0),"open")</f>
        <v>ok</v>
      </c>
      <c r="C3789" s="138" t="s">
        <v>369</v>
      </c>
      <c r="D3789" t="s">
        <v>5912</v>
      </c>
      <c r="E3789" t="s">
        <v>3401</v>
      </c>
      <c r="F3789" s="129" t="s">
        <v>3401</v>
      </c>
      <c r="G3789" s="135" t="s">
        <v>400</v>
      </c>
      <c r="H3789" s="129" t="str">
        <f>IF(Proc[[#This Row],[type]]="LFF (MDG-F)",MID(Proc[[#This Row],[Obj]],13,10),"")</f>
        <v/>
      </c>
      <c r="J3789" s="129" t="b">
        <f>Proc[[#This Row],[Requested]]=Proc[[#This Row],[CurrentParent]]</f>
        <v>1</v>
      </c>
      <c r="K3789" s="144" t="str">
        <f>IF(Proc[[#This Row],[Author]]="Marcela Urrego",VLOOKUP(LEFT(Proc[[#This Row],[Requested]],1),Table3[#All],2,0),VLOOKUP(Proc[[#This Row],[Author]],Table4[],2,0))</f>
        <v>HC</v>
      </c>
      <c r="L3789" s="129" t="s">
        <v>4894</v>
      </c>
      <c r="M3789" s="131">
        <v>45895</v>
      </c>
      <c r="N3789" s="131"/>
      <c r="O3789" s="131"/>
      <c r="P3789" s="136" t="str">
        <f ca="1">IF(Proc[[#This Row],[DaysAgeing]]&gt;5,"yep","on track")</f>
        <v>yep</v>
      </c>
      <c r="Q3789" s="3">
        <f ca="1">IF(Proc[[#This Row],[DateClosed]]="",ABS(NETWORKDAYS(Proc[[#This Row],[DateOpened]],TODAY()))-1,ABS(NETWORKDAYS(Proc[[#This Row],[DateOpened]],Proc[[#This Row],[DateClosed]]))-1)</f>
        <v>78</v>
      </c>
      <c r="R3789" s="136" t="s">
        <v>1013</v>
      </c>
      <c r="S3789" s="129"/>
    </row>
    <row r="3790" spans="1:19">
      <c r="A3790" s="135" t="s">
        <v>5856</v>
      </c>
      <c r="B3790" s="149" t="str">
        <f>IFERROR(VLOOKUP(Proc[[#This Row],[App]],Table2[],3,0),"open")</f>
        <v>ok</v>
      </c>
      <c r="C3790" s="138" t="s">
        <v>369</v>
      </c>
      <c r="D3790" t="s">
        <v>5913</v>
      </c>
      <c r="E3790" t="s">
        <v>3397</v>
      </c>
      <c r="F3790" s="129" t="s">
        <v>3397</v>
      </c>
      <c r="G3790" s="135" t="s">
        <v>400</v>
      </c>
      <c r="H3790" s="129" t="str">
        <f>IF(Proc[[#This Row],[type]]="LFF (MDG-F)",MID(Proc[[#This Row],[Obj]],13,10),"")</f>
        <v/>
      </c>
      <c r="J3790" s="129" t="b">
        <f>Proc[[#This Row],[Requested]]=Proc[[#This Row],[CurrentParent]]</f>
        <v>1</v>
      </c>
      <c r="K3790" s="144" t="str">
        <f>IF(Proc[[#This Row],[Author]]="Marcela Urrego",VLOOKUP(LEFT(Proc[[#This Row],[Requested]],1),Table3[#All],2,0),VLOOKUP(Proc[[#This Row],[Author]],Table4[],2,0))</f>
        <v>HC</v>
      </c>
      <c r="L3790" s="129" t="s">
        <v>4894</v>
      </c>
      <c r="M3790" s="131">
        <v>45895</v>
      </c>
      <c r="N3790" s="131"/>
      <c r="O3790" s="131"/>
      <c r="P3790" s="136" t="str">
        <f ca="1">IF(Proc[[#This Row],[DaysAgeing]]&gt;5,"yep","on track")</f>
        <v>yep</v>
      </c>
      <c r="Q3790" s="3">
        <f ca="1">IF(Proc[[#This Row],[DateClosed]]="",ABS(NETWORKDAYS(Proc[[#This Row],[DateOpened]],TODAY()))-1,ABS(NETWORKDAYS(Proc[[#This Row],[DateOpened]],Proc[[#This Row],[DateClosed]]))-1)</f>
        <v>78</v>
      </c>
      <c r="R3790" s="136" t="s">
        <v>1013</v>
      </c>
      <c r="S3790" s="129"/>
    </row>
    <row r="3791" spans="1:19">
      <c r="A3791" s="135" t="s">
        <v>5856</v>
      </c>
      <c r="B3791" s="149" t="str">
        <f>IFERROR(VLOOKUP(Proc[[#This Row],[App]],Table2[],3,0),"open")</f>
        <v>ok</v>
      </c>
      <c r="C3791" s="138" t="s">
        <v>369</v>
      </c>
      <c r="D3791" t="s">
        <v>5914</v>
      </c>
      <c r="E3791" t="s">
        <v>3401</v>
      </c>
      <c r="F3791" s="129" t="s">
        <v>3401</v>
      </c>
      <c r="G3791" s="135" t="s">
        <v>400</v>
      </c>
      <c r="H3791" s="129" t="str">
        <f>IF(Proc[[#This Row],[type]]="LFF (MDG-F)",MID(Proc[[#This Row],[Obj]],13,10),"")</f>
        <v/>
      </c>
      <c r="J3791" s="129" t="b">
        <f>Proc[[#This Row],[Requested]]=Proc[[#This Row],[CurrentParent]]</f>
        <v>1</v>
      </c>
      <c r="K3791" s="144" t="str">
        <f>IF(Proc[[#This Row],[Author]]="Marcela Urrego",VLOOKUP(LEFT(Proc[[#This Row],[Requested]],1),Table3[#All],2,0),VLOOKUP(Proc[[#This Row],[Author]],Table4[],2,0))</f>
        <v>HC</v>
      </c>
      <c r="L3791" s="129" t="s">
        <v>4894</v>
      </c>
      <c r="M3791" s="131">
        <v>45895</v>
      </c>
      <c r="N3791" s="131"/>
      <c r="O3791" s="131"/>
      <c r="P3791" s="136" t="str">
        <f ca="1">IF(Proc[[#This Row],[DaysAgeing]]&gt;5,"yep","on track")</f>
        <v>yep</v>
      </c>
      <c r="Q3791" s="3">
        <f ca="1">IF(Proc[[#This Row],[DateClosed]]="",ABS(NETWORKDAYS(Proc[[#This Row],[DateOpened]],TODAY()))-1,ABS(NETWORKDAYS(Proc[[#This Row],[DateOpened]],Proc[[#This Row],[DateClosed]]))-1)</f>
        <v>78</v>
      </c>
      <c r="R3791" s="136" t="s">
        <v>1013</v>
      </c>
      <c r="S3791" s="129"/>
    </row>
    <row r="3792" spans="1:19">
      <c r="A3792" s="135" t="s">
        <v>5856</v>
      </c>
      <c r="B3792" s="149" t="str">
        <f>IFERROR(VLOOKUP(Proc[[#This Row],[App]],Table2[],3,0),"open")</f>
        <v>ok</v>
      </c>
      <c r="C3792" s="138" t="s">
        <v>369</v>
      </c>
      <c r="D3792" t="s">
        <v>5915</v>
      </c>
      <c r="E3792" t="s">
        <v>3401</v>
      </c>
      <c r="F3792" s="129" t="s">
        <v>3401</v>
      </c>
      <c r="G3792" s="135" t="s">
        <v>400</v>
      </c>
      <c r="H3792" s="129" t="str">
        <f>IF(Proc[[#This Row],[type]]="LFF (MDG-F)",MID(Proc[[#This Row],[Obj]],13,10),"")</f>
        <v/>
      </c>
      <c r="J3792" s="129" t="b">
        <f>Proc[[#This Row],[Requested]]=Proc[[#This Row],[CurrentParent]]</f>
        <v>1</v>
      </c>
      <c r="K3792" s="144" t="str">
        <f>IF(Proc[[#This Row],[Author]]="Marcela Urrego",VLOOKUP(LEFT(Proc[[#This Row],[Requested]],1),Table3[#All],2,0),VLOOKUP(Proc[[#This Row],[Author]],Table4[],2,0))</f>
        <v>HC</v>
      </c>
      <c r="L3792" s="129" t="s">
        <v>4894</v>
      </c>
      <c r="M3792" s="131">
        <v>45895</v>
      </c>
      <c r="N3792" s="131"/>
      <c r="O3792" s="131"/>
      <c r="P3792" s="136" t="str">
        <f ca="1">IF(Proc[[#This Row],[DaysAgeing]]&gt;5,"yep","on track")</f>
        <v>yep</v>
      </c>
      <c r="Q3792" s="3">
        <f ca="1">IF(Proc[[#This Row],[DateClosed]]="",ABS(NETWORKDAYS(Proc[[#This Row],[DateOpened]],TODAY()))-1,ABS(NETWORKDAYS(Proc[[#This Row],[DateOpened]],Proc[[#This Row],[DateClosed]]))-1)</f>
        <v>78</v>
      </c>
      <c r="R3792" s="136" t="s">
        <v>1013</v>
      </c>
      <c r="S3792" s="129"/>
    </row>
    <row r="3793" spans="1:19">
      <c r="A3793" s="135" t="s">
        <v>5856</v>
      </c>
      <c r="B3793" s="149" t="str">
        <f>IFERROR(VLOOKUP(Proc[[#This Row],[App]],Table2[],3,0),"open")</f>
        <v>ok</v>
      </c>
      <c r="C3793" s="138" t="s">
        <v>369</v>
      </c>
      <c r="D3793" t="s">
        <v>5916</v>
      </c>
      <c r="E3793" t="s">
        <v>3401</v>
      </c>
      <c r="F3793" s="129" t="s">
        <v>3401</v>
      </c>
      <c r="G3793" s="135" t="s">
        <v>400</v>
      </c>
      <c r="H3793" s="129" t="str">
        <f>IF(Proc[[#This Row],[type]]="LFF (MDG-F)",MID(Proc[[#This Row],[Obj]],13,10),"")</f>
        <v/>
      </c>
      <c r="J3793" s="129" t="b">
        <f>Proc[[#This Row],[Requested]]=Proc[[#This Row],[CurrentParent]]</f>
        <v>1</v>
      </c>
      <c r="K3793" s="144" t="str">
        <f>IF(Proc[[#This Row],[Author]]="Marcela Urrego",VLOOKUP(LEFT(Proc[[#This Row],[Requested]],1),Table3[#All],2,0),VLOOKUP(Proc[[#This Row],[Author]],Table4[],2,0))</f>
        <v>HC</v>
      </c>
      <c r="L3793" s="129" t="s">
        <v>4894</v>
      </c>
      <c r="M3793" s="131">
        <v>45895</v>
      </c>
      <c r="N3793" s="131"/>
      <c r="O3793" s="131"/>
      <c r="P3793" s="136" t="str">
        <f ca="1">IF(Proc[[#This Row],[DaysAgeing]]&gt;5,"yep","on track")</f>
        <v>yep</v>
      </c>
      <c r="Q3793" s="3">
        <f ca="1">IF(Proc[[#This Row],[DateClosed]]="",ABS(NETWORKDAYS(Proc[[#This Row],[DateOpened]],TODAY()))-1,ABS(NETWORKDAYS(Proc[[#This Row],[DateOpened]],Proc[[#This Row],[DateClosed]]))-1)</f>
        <v>78</v>
      </c>
      <c r="R3793" s="136" t="s">
        <v>1013</v>
      </c>
      <c r="S3793" s="129"/>
    </row>
    <row r="3794" spans="1:19">
      <c r="A3794" s="135" t="s">
        <v>5918</v>
      </c>
      <c r="B3794" s="149" t="str">
        <f>IFERROR(VLOOKUP(Proc[[#This Row],[App]],Table2[],3,0),"open")</f>
        <v>ok</v>
      </c>
      <c r="C3794" s="138" t="s">
        <v>369</v>
      </c>
      <c r="D3794" s="135" t="s">
        <v>5923</v>
      </c>
      <c r="E3794" t="s">
        <v>1590</v>
      </c>
      <c r="F3794" s="129" t="s">
        <v>1590</v>
      </c>
      <c r="G3794" s="135" t="s">
        <v>406</v>
      </c>
      <c r="H3794" s="129" t="str">
        <f>IF(Proc[[#This Row],[type]]="LFF (MDG-F)",MID(Proc[[#This Row],[Obj]],13,10),"")</f>
        <v>DE10523400</v>
      </c>
      <c r="J3794" s="129" t="b">
        <f>Proc[[#This Row],[Requested]]=Proc[[#This Row],[CurrentParent]]</f>
        <v>1</v>
      </c>
      <c r="K3794" s="144" t="str">
        <f>IF(Proc[[#This Row],[Author]]="Marcela Urrego",VLOOKUP(LEFT(Proc[[#This Row],[Requested]],1),Table3[#All],2,0),VLOOKUP(Proc[[#This Row],[Author]],Table4[],2,0))</f>
        <v>MGF</v>
      </c>
      <c r="L3794" s="129" t="s">
        <v>4894</v>
      </c>
      <c r="M3794" s="131">
        <v>45895</v>
      </c>
      <c r="N3794" s="131"/>
      <c r="O3794" s="131"/>
      <c r="P3794" s="136" t="str">
        <f ca="1">IF(Proc[[#This Row],[DaysAgeing]]&gt;5,"yep","on track")</f>
        <v>yep</v>
      </c>
      <c r="Q3794" s="3">
        <f ca="1">IF(Proc[[#This Row],[DateClosed]]="",ABS(NETWORKDAYS(Proc[[#This Row],[DateOpened]],TODAY()))-1,ABS(NETWORKDAYS(Proc[[#This Row],[DateOpened]],Proc[[#This Row],[DateClosed]]))-1)</f>
        <v>78</v>
      </c>
      <c r="R3794" s="136" t="s">
        <v>452</v>
      </c>
      <c r="S3794" s="129"/>
    </row>
    <row r="3795" spans="1:19">
      <c r="A3795" s="135" t="s">
        <v>5918</v>
      </c>
      <c r="B3795" s="149" t="str">
        <f>IFERROR(VLOOKUP(Proc[[#This Row],[App]],Table2[],3,0),"open")</f>
        <v>ok</v>
      </c>
      <c r="C3795" s="138" t="s">
        <v>369</v>
      </c>
      <c r="D3795" s="135" t="s">
        <v>5924</v>
      </c>
      <c r="E3795" t="s">
        <v>1590</v>
      </c>
      <c r="F3795" s="129" t="s">
        <v>1590</v>
      </c>
      <c r="G3795" s="135" t="s">
        <v>406</v>
      </c>
      <c r="H3795" s="129" t="str">
        <f>IF(Proc[[#This Row],[type]]="LFF (MDG-F)",MID(Proc[[#This Row],[Obj]],13,10),"")</f>
        <v>DE10524300</v>
      </c>
      <c r="J3795" s="129" t="b">
        <f>Proc[[#This Row],[Requested]]=Proc[[#This Row],[CurrentParent]]</f>
        <v>1</v>
      </c>
      <c r="K3795" s="144" t="str">
        <f>IF(Proc[[#This Row],[Author]]="Marcela Urrego",VLOOKUP(LEFT(Proc[[#This Row],[Requested]],1),Table3[#All],2,0),VLOOKUP(Proc[[#This Row],[Author]],Table4[],2,0))</f>
        <v>MGF</v>
      </c>
      <c r="L3795" s="129" t="s">
        <v>4894</v>
      </c>
      <c r="M3795" s="131">
        <v>45895</v>
      </c>
      <c r="N3795" s="131"/>
      <c r="O3795" s="131"/>
      <c r="P3795" s="136" t="str">
        <f ca="1">IF(Proc[[#This Row],[DaysAgeing]]&gt;5,"yep","on track")</f>
        <v>yep</v>
      </c>
      <c r="Q3795" s="3">
        <f ca="1">IF(Proc[[#This Row],[DateClosed]]="",ABS(NETWORKDAYS(Proc[[#This Row],[DateOpened]],TODAY()))-1,ABS(NETWORKDAYS(Proc[[#This Row],[DateOpened]],Proc[[#This Row],[DateClosed]]))-1)</f>
        <v>78</v>
      </c>
      <c r="R3795" s="136" t="s">
        <v>452</v>
      </c>
      <c r="S3795" s="129"/>
    </row>
    <row r="3796" spans="1:19">
      <c r="A3796" s="135" t="s">
        <v>5918</v>
      </c>
      <c r="B3796" s="149" t="str">
        <f>IFERROR(VLOOKUP(Proc[[#This Row],[App]],Table2[],3,0),"open")</f>
        <v>ok</v>
      </c>
      <c r="C3796" s="138" t="s">
        <v>369</v>
      </c>
      <c r="D3796" s="135" t="s">
        <v>5925</v>
      </c>
      <c r="E3796" t="s">
        <v>5919</v>
      </c>
      <c r="F3796" s="129" t="s">
        <v>5919</v>
      </c>
      <c r="G3796" s="135" t="s">
        <v>406</v>
      </c>
      <c r="H3796" s="129" t="str">
        <f>IF(Proc[[#This Row],[type]]="LFF (MDG-F)",MID(Proc[[#This Row],[Obj]],13,10),"")</f>
        <v>DE10625700</v>
      </c>
      <c r="J3796" s="129" t="b">
        <f>Proc[[#This Row],[Requested]]=Proc[[#This Row],[CurrentParent]]</f>
        <v>1</v>
      </c>
      <c r="K3796" s="144" t="str">
        <f>IF(Proc[[#This Row],[Author]]="Marcela Urrego",VLOOKUP(LEFT(Proc[[#This Row],[Requested]],1),Table3[#All],2,0),VLOOKUP(Proc[[#This Row],[Author]],Table4[],2,0))</f>
        <v>MGF</v>
      </c>
      <c r="L3796" s="129" t="s">
        <v>4894</v>
      </c>
      <c r="M3796" s="131">
        <v>45895</v>
      </c>
      <c r="N3796" s="131"/>
      <c r="O3796" s="131"/>
      <c r="P3796" s="136" t="str">
        <f ca="1">IF(Proc[[#This Row],[DaysAgeing]]&gt;5,"yep","on track")</f>
        <v>yep</v>
      </c>
      <c r="Q3796" s="3">
        <f ca="1">IF(Proc[[#This Row],[DateClosed]]="",ABS(NETWORKDAYS(Proc[[#This Row],[DateOpened]],TODAY()))-1,ABS(NETWORKDAYS(Proc[[#This Row],[DateOpened]],Proc[[#This Row],[DateClosed]]))-1)</f>
        <v>78</v>
      </c>
      <c r="R3796" s="136" t="s">
        <v>452</v>
      </c>
      <c r="S3796" s="129"/>
    </row>
    <row r="3797" spans="1:19">
      <c r="A3797" s="135" t="s">
        <v>5918</v>
      </c>
      <c r="B3797" s="149" t="str">
        <f>IFERROR(VLOOKUP(Proc[[#This Row],[App]],Table2[],3,0),"open")</f>
        <v>ok</v>
      </c>
      <c r="C3797" s="138" t="s">
        <v>369</v>
      </c>
      <c r="D3797" s="135" t="s">
        <v>5926</v>
      </c>
      <c r="E3797" t="s">
        <v>5919</v>
      </c>
      <c r="F3797" s="129" t="s">
        <v>5919</v>
      </c>
      <c r="G3797" s="135" t="s">
        <v>406</v>
      </c>
      <c r="H3797" s="129" t="str">
        <f>IF(Proc[[#This Row],[type]]="LFF (MDG-F)",MID(Proc[[#This Row],[Obj]],13,10),"")</f>
        <v>DE10510000</v>
      </c>
      <c r="J3797" s="129" t="b">
        <f>Proc[[#This Row],[Requested]]=Proc[[#This Row],[CurrentParent]]</f>
        <v>1</v>
      </c>
      <c r="K3797" s="144" t="str">
        <f>IF(Proc[[#This Row],[Author]]="Marcela Urrego",VLOOKUP(LEFT(Proc[[#This Row],[Requested]],1),Table3[#All],2,0),VLOOKUP(Proc[[#This Row],[Author]],Table4[],2,0))</f>
        <v>MGF</v>
      </c>
      <c r="L3797" s="129" t="s">
        <v>4894</v>
      </c>
      <c r="M3797" s="131">
        <v>45895</v>
      </c>
      <c r="N3797" s="131"/>
      <c r="O3797" s="131"/>
      <c r="P3797" s="136" t="str">
        <f ca="1">IF(Proc[[#This Row],[DaysAgeing]]&gt;5,"yep","on track")</f>
        <v>yep</v>
      </c>
      <c r="Q3797" s="3">
        <f ca="1">IF(Proc[[#This Row],[DateClosed]]="",ABS(NETWORKDAYS(Proc[[#This Row],[DateOpened]],TODAY()))-1,ABS(NETWORKDAYS(Proc[[#This Row],[DateOpened]],Proc[[#This Row],[DateClosed]]))-1)</f>
        <v>78</v>
      </c>
      <c r="R3797" s="136" t="s">
        <v>452</v>
      </c>
      <c r="S3797" s="129"/>
    </row>
    <row r="3798" spans="1:19">
      <c r="A3798" s="135" t="s">
        <v>5918</v>
      </c>
      <c r="B3798" s="149" t="str">
        <f>IFERROR(VLOOKUP(Proc[[#This Row],[App]],Table2[],3,0),"open")</f>
        <v>ok</v>
      </c>
      <c r="C3798" s="138" t="s">
        <v>369</v>
      </c>
      <c r="D3798" s="135" t="s">
        <v>5927</v>
      </c>
      <c r="E3798" t="s">
        <v>5919</v>
      </c>
      <c r="F3798" s="129" t="s">
        <v>5919</v>
      </c>
      <c r="G3798" s="135" t="s">
        <v>406</v>
      </c>
      <c r="H3798" s="129" t="str">
        <f>IF(Proc[[#This Row],[type]]="LFF (MDG-F)",MID(Proc[[#This Row],[Obj]],13,10),"")</f>
        <v>DE10551100</v>
      </c>
      <c r="J3798" s="129" t="b">
        <f>Proc[[#This Row],[Requested]]=Proc[[#This Row],[CurrentParent]]</f>
        <v>1</v>
      </c>
      <c r="K3798" s="144" t="str">
        <f>IF(Proc[[#This Row],[Author]]="Marcela Urrego",VLOOKUP(LEFT(Proc[[#This Row],[Requested]],1),Table3[#All],2,0),VLOOKUP(Proc[[#This Row],[Author]],Table4[],2,0))</f>
        <v>MGF</v>
      </c>
      <c r="L3798" s="129" t="s">
        <v>4894</v>
      </c>
      <c r="M3798" s="131">
        <v>45895</v>
      </c>
      <c r="N3798" s="131"/>
      <c r="O3798" s="131"/>
      <c r="P3798" s="136" t="str">
        <f ca="1">IF(Proc[[#This Row],[DaysAgeing]]&gt;5,"yep","on track")</f>
        <v>yep</v>
      </c>
      <c r="Q3798" s="3">
        <f ca="1">IF(Proc[[#This Row],[DateClosed]]="",ABS(NETWORKDAYS(Proc[[#This Row],[DateOpened]],TODAY()))-1,ABS(NETWORKDAYS(Proc[[#This Row],[DateOpened]],Proc[[#This Row],[DateClosed]]))-1)</f>
        <v>78</v>
      </c>
      <c r="R3798" s="136" t="s">
        <v>452</v>
      </c>
      <c r="S3798" s="129"/>
    </row>
    <row r="3799" spans="1:19">
      <c r="A3799" t="s">
        <v>5920</v>
      </c>
      <c r="B3799" s="149" t="str">
        <f>IFERROR(VLOOKUP(Proc[[#This Row],[App]],Table2[],3,0),"open")</f>
        <v>ok</v>
      </c>
      <c r="C3799" s="138" t="s">
        <v>369</v>
      </c>
      <c r="D3799" t="s">
        <v>5928</v>
      </c>
      <c r="E3799" t="s">
        <v>3401</v>
      </c>
      <c r="F3799" s="129" t="s">
        <v>3401</v>
      </c>
      <c r="G3799" s="135" t="s">
        <v>400</v>
      </c>
      <c r="H3799" s="129" t="str">
        <f>IF(Proc[[#This Row],[type]]="LFF (MDG-F)",MID(Proc[[#This Row],[Obj]],13,10),"")</f>
        <v/>
      </c>
      <c r="J3799" s="129" t="b">
        <f>Proc[[#This Row],[Requested]]=Proc[[#This Row],[CurrentParent]]</f>
        <v>1</v>
      </c>
      <c r="K3799" s="144" t="str">
        <f>IF(Proc[[#This Row],[Author]]="Marcela Urrego",VLOOKUP(LEFT(Proc[[#This Row],[Requested]],1),Table3[#All],2,0),VLOOKUP(Proc[[#This Row],[Author]],Table4[],2,0))</f>
        <v>HC</v>
      </c>
      <c r="L3799" s="129" t="s">
        <v>4894</v>
      </c>
      <c r="M3799" s="131">
        <v>45895</v>
      </c>
      <c r="N3799" s="131"/>
      <c r="O3799" s="131"/>
      <c r="P3799" s="136" t="str">
        <f ca="1">IF(Proc[[#This Row],[DaysAgeing]]&gt;5,"yep","on track")</f>
        <v>yep</v>
      </c>
      <c r="Q3799" s="3">
        <f ca="1">IF(Proc[[#This Row],[DateClosed]]="",ABS(NETWORKDAYS(Proc[[#This Row],[DateOpened]],TODAY()))-1,ABS(NETWORKDAYS(Proc[[#This Row],[DateOpened]],Proc[[#This Row],[DateClosed]]))-1)</f>
        <v>78</v>
      </c>
      <c r="R3799" s="136" t="s">
        <v>1013</v>
      </c>
      <c r="S3799" s="129"/>
    </row>
    <row r="3800" spans="1:19">
      <c r="A3800" s="135" t="s">
        <v>5920</v>
      </c>
      <c r="B3800" s="149" t="str">
        <f>IFERROR(VLOOKUP(Proc[[#This Row],[App]],Table2[],3,0),"open")</f>
        <v>ok</v>
      </c>
      <c r="C3800" s="138" t="s">
        <v>369</v>
      </c>
      <c r="D3800" t="s">
        <v>5929</v>
      </c>
      <c r="E3800" s="135" t="s">
        <v>3401</v>
      </c>
      <c r="F3800" s="129" t="s">
        <v>3401</v>
      </c>
      <c r="G3800" s="135" t="s">
        <v>400</v>
      </c>
      <c r="H3800" s="129" t="str">
        <f>IF(Proc[[#This Row],[type]]="LFF (MDG-F)",MID(Proc[[#This Row],[Obj]],13,10),"")</f>
        <v/>
      </c>
      <c r="J3800" s="129" t="b">
        <f>Proc[[#This Row],[Requested]]=Proc[[#This Row],[CurrentParent]]</f>
        <v>1</v>
      </c>
      <c r="K3800" s="144" t="str">
        <f>IF(Proc[[#This Row],[Author]]="Marcela Urrego",VLOOKUP(LEFT(Proc[[#This Row],[Requested]],1),Table3[#All],2,0),VLOOKUP(Proc[[#This Row],[Author]],Table4[],2,0))</f>
        <v>HC</v>
      </c>
      <c r="L3800" s="129" t="s">
        <v>4894</v>
      </c>
      <c r="M3800" s="131">
        <v>45895</v>
      </c>
      <c r="N3800" s="131"/>
      <c r="O3800" s="131"/>
      <c r="P3800" s="136" t="str">
        <f ca="1">IF(Proc[[#This Row],[DaysAgeing]]&gt;5,"yep","on track")</f>
        <v>yep</v>
      </c>
      <c r="Q3800" s="3">
        <f ca="1">IF(Proc[[#This Row],[DateClosed]]="",ABS(NETWORKDAYS(Proc[[#This Row],[DateOpened]],TODAY()))-1,ABS(NETWORKDAYS(Proc[[#This Row],[DateOpened]],Proc[[#This Row],[DateClosed]]))-1)</f>
        <v>78</v>
      </c>
      <c r="R3800" s="136" t="s">
        <v>1013</v>
      </c>
      <c r="S3800" s="129"/>
    </row>
    <row r="3801" spans="1:19">
      <c r="A3801" s="135" t="s">
        <v>5920</v>
      </c>
      <c r="B3801" s="149" t="str">
        <f>IFERROR(VLOOKUP(Proc[[#This Row],[App]],Table2[],3,0),"open")</f>
        <v>ok</v>
      </c>
      <c r="C3801" s="138" t="s">
        <v>369</v>
      </c>
      <c r="D3801" t="s">
        <v>5930</v>
      </c>
      <c r="E3801" s="135" t="s">
        <v>3401</v>
      </c>
      <c r="F3801" s="129" t="s">
        <v>3401</v>
      </c>
      <c r="G3801" s="135" t="s">
        <v>400</v>
      </c>
      <c r="H3801" s="129" t="str">
        <f>IF(Proc[[#This Row],[type]]="LFF (MDG-F)",MID(Proc[[#This Row],[Obj]],13,10),"")</f>
        <v/>
      </c>
      <c r="J3801" s="129" t="b">
        <f>Proc[[#This Row],[Requested]]=Proc[[#This Row],[CurrentParent]]</f>
        <v>1</v>
      </c>
      <c r="K3801" s="144" t="str">
        <f>IF(Proc[[#This Row],[Author]]="Marcela Urrego",VLOOKUP(LEFT(Proc[[#This Row],[Requested]],1),Table3[#All],2,0),VLOOKUP(Proc[[#This Row],[Author]],Table4[],2,0))</f>
        <v>HC</v>
      </c>
      <c r="L3801" s="129" t="s">
        <v>4894</v>
      </c>
      <c r="M3801" s="131">
        <v>45895</v>
      </c>
      <c r="N3801" s="131"/>
      <c r="O3801" s="131"/>
      <c r="P3801" s="136" t="str">
        <f ca="1">IF(Proc[[#This Row],[DaysAgeing]]&gt;5,"yep","on track")</f>
        <v>yep</v>
      </c>
      <c r="Q3801" s="3">
        <f ca="1">IF(Proc[[#This Row],[DateClosed]]="",ABS(NETWORKDAYS(Proc[[#This Row],[DateOpened]],TODAY()))-1,ABS(NETWORKDAYS(Proc[[#This Row],[DateOpened]],Proc[[#This Row],[DateClosed]]))-1)</f>
        <v>78</v>
      </c>
      <c r="R3801" s="136" t="s">
        <v>1013</v>
      </c>
      <c r="S3801" s="129"/>
    </row>
    <row r="3802" spans="1:19">
      <c r="A3802" s="135" t="s">
        <v>5920</v>
      </c>
      <c r="B3802" s="149" t="str">
        <f>IFERROR(VLOOKUP(Proc[[#This Row],[App]],Table2[],3,0),"open")</f>
        <v>ok</v>
      </c>
      <c r="C3802" s="138" t="s">
        <v>369</v>
      </c>
      <c r="D3802" t="s">
        <v>5931</v>
      </c>
      <c r="E3802" s="135" t="s">
        <v>3401</v>
      </c>
      <c r="F3802" s="129" t="s">
        <v>3401</v>
      </c>
      <c r="G3802" s="135" t="s">
        <v>400</v>
      </c>
      <c r="H3802" s="129" t="str">
        <f>IF(Proc[[#This Row],[type]]="LFF (MDG-F)",MID(Proc[[#This Row],[Obj]],13,10),"")</f>
        <v/>
      </c>
      <c r="I3802" s="135"/>
      <c r="J3802" s="129" t="b">
        <f>Proc[[#This Row],[Requested]]=Proc[[#This Row],[CurrentParent]]</f>
        <v>1</v>
      </c>
      <c r="K3802" s="144" t="str">
        <f>IF(Proc[[#This Row],[Author]]="Marcela Urrego",VLOOKUP(LEFT(Proc[[#This Row],[Requested]],1),Table3[#All],2,0),VLOOKUP(Proc[[#This Row],[Author]],Table4[],2,0))</f>
        <v>HC</v>
      </c>
      <c r="L3802" s="129" t="s">
        <v>4894</v>
      </c>
      <c r="M3802" s="131">
        <v>45895</v>
      </c>
      <c r="N3802" s="131"/>
      <c r="O3802" s="131"/>
      <c r="P3802" s="136" t="str">
        <f ca="1">IF(Proc[[#This Row],[DaysAgeing]]&gt;5,"yep","on track")</f>
        <v>yep</v>
      </c>
      <c r="Q3802" s="3">
        <f ca="1">IF(Proc[[#This Row],[DateClosed]]="",ABS(NETWORKDAYS(Proc[[#This Row],[DateOpened]],TODAY()))-1,ABS(NETWORKDAYS(Proc[[#This Row],[DateOpened]],Proc[[#This Row],[DateClosed]]))-1)</f>
        <v>78</v>
      </c>
      <c r="R3802" s="136" t="s">
        <v>1013</v>
      </c>
      <c r="S3802" s="129"/>
    </row>
    <row r="3803" spans="1:19">
      <c r="A3803" s="135" t="s">
        <v>5920</v>
      </c>
      <c r="B3803" s="149" t="str">
        <f>IFERROR(VLOOKUP(Proc[[#This Row],[App]],Table2[],3,0),"open")</f>
        <v>ok</v>
      </c>
      <c r="C3803" s="138" t="s">
        <v>369</v>
      </c>
      <c r="D3803" t="s">
        <v>5932</v>
      </c>
      <c r="E3803" s="135" t="s">
        <v>3401</v>
      </c>
      <c r="F3803" s="129" t="s">
        <v>3401</v>
      </c>
      <c r="G3803" s="135" t="s">
        <v>400</v>
      </c>
      <c r="H3803" s="129" t="str">
        <f>IF(Proc[[#This Row],[type]]="LFF (MDG-F)",MID(Proc[[#This Row],[Obj]],13,10),"")</f>
        <v/>
      </c>
      <c r="I3803" s="135"/>
      <c r="J3803" s="129" t="b">
        <f>Proc[[#This Row],[Requested]]=Proc[[#This Row],[CurrentParent]]</f>
        <v>1</v>
      </c>
      <c r="K3803" s="144" t="str">
        <f>IF(Proc[[#This Row],[Author]]="Marcela Urrego",VLOOKUP(LEFT(Proc[[#This Row],[Requested]],1),Table3[#All],2,0),VLOOKUP(Proc[[#This Row],[Author]],Table4[],2,0))</f>
        <v>HC</v>
      </c>
      <c r="L3803" s="129" t="s">
        <v>4894</v>
      </c>
      <c r="M3803" s="131">
        <v>45895</v>
      </c>
      <c r="N3803" s="131"/>
      <c r="O3803" s="131"/>
      <c r="P3803" s="136" t="str">
        <f ca="1">IF(Proc[[#This Row],[DaysAgeing]]&gt;5,"yep","on track")</f>
        <v>yep</v>
      </c>
      <c r="Q3803" s="3">
        <f ca="1">IF(Proc[[#This Row],[DateClosed]]="",ABS(NETWORKDAYS(Proc[[#This Row],[DateOpened]],TODAY()))-1,ABS(NETWORKDAYS(Proc[[#This Row],[DateOpened]],Proc[[#This Row],[DateClosed]]))-1)</f>
        <v>78</v>
      </c>
      <c r="R3803" s="136" t="s">
        <v>1013</v>
      </c>
      <c r="S3803" s="129"/>
    </row>
    <row r="3804" spans="1:19">
      <c r="A3804" s="135" t="s">
        <v>5920</v>
      </c>
      <c r="B3804" s="149" t="str">
        <f>IFERROR(VLOOKUP(Proc[[#This Row],[App]],Table2[],3,0),"open")</f>
        <v>ok</v>
      </c>
      <c r="C3804" s="138" t="s">
        <v>369</v>
      </c>
      <c r="D3804" t="s">
        <v>5933</v>
      </c>
      <c r="E3804" s="135" t="s">
        <v>3401</v>
      </c>
      <c r="F3804" s="129" t="s">
        <v>3401</v>
      </c>
      <c r="G3804" s="135" t="s">
        <v>400</v>
      </c>
      <c r="H3804" s="129" t="str">
        <f>IF(Proc[[#This Row],[type]]="LFF (MDG-F)",MID(Proc[[#This Row],[Obj]],13,10),"")</f>
        <v/>
      </c>
      <c r="I3804" s="135"/>
      <c r="J3804" s="129" t="b">
        <f>Proc[[#This Row],[Requested]]=Proc[[#This Row],[CurrentParent]]</f>
        <v>1</v>
      </c>
      <c r="K3804" s="144" t="str">
        <f>IF(Proc[[#This Row],[Author]]="Marcela Urrego",VLOOKUP(LEFT(Proc[[#This Row],[Requested]],1),Table3[#All],2,0),VLOOKUP(Proc[[#This Row],[Author]],Table4[],2,0))</f>
        <v>HC</v>
      </c>
      <c r="L3804" s="129" t="s">
        <v>4894</v>
      </c>
      <c r="M3804" s="131">
        <v>45895</v>
      </c>
      <c r="N3804" s="131"/>
      <c r="O3804" s="131"/>
      <c r="P3804" s="136" t="str">
        <f ca="1">IF(Proc[[#This Row],[DaysAgeing]]&gt;5,"yep","on track")</f>
        <v>yep</v>
      </c>
      <c r="Q3804" s="3">
        <f ca="1">IF(Proc[[#This Row],[DateClosed]]="",ABS(NETWORKDAYS(Proc[[#This Row],[DateOpened]],TODAY()))-1,ABS(NETWORKDAYS(Proc[[#This Row],[DateOpened]],Proc[[#This Row],[DateClosed]]))-1)</f>
        <v>78</v>
      </c>
      <c r="R3804" s="136" t="s">
        <v>1013</v>
      </c>
      <c r="S3804" s="129"/>
    </row>
    <row r="3805" spans="1:19">
      <c r="A3805" s="135" t="s">
        <v>5920</v>
      </c>
      <c r="B3805" s="149" t="str">
        <f>IFERROR(VLOOKUP(Proc[[#This Row],[App]],Table2[],3,0),"open")</f>
        <v>ok</v>
      </c>
      <c r="C3805" s="138" t="s">
        <v>369</v>
      </c>
      <c r="D3805" t="s">
        <v>5934</v>
      </c>
      <c r="E3805" s="135" t="s">
        <v>3401</v>
      </c>
      <c r="F3805" s="129" t="s">
        <v>3401</v>
      </c>
      <c r="G3805" s="135" t="s">
        <v>400</v>
      </c>
      <c r="H3805" s="129" t="str">
        <f>IF(Proc[[#This Row],[type]]="LFF (MDG-F)",MID(Proc[[#This Row],[Obj]],13,10),"")</f>
        <v/>
      </c>
      <c r="I3805" s="135"/>
      <c r="J3805" s="129" t="b">
        <f>Proc[[#This Row],[Requested]]=Proc[[#This Row],[CurrentParent]]</f>
        <v>1</v>
      </c>
      <c r="K3805" s="144" t="str">
        <f>IF(Proc[[#This Row],[Author]]="Marcela Urrego",VLOOKUP(LEFT(Proc[[#This Row],[Requested]],1),Table3[#All],2,0),VLOOKUP(Proc[[#This Row],[Author]],Table4[],2,0))</f>
        <v>HC</v>
      </c>
      <c r="L3805" s="129" t="s">
        <v>4894</v>
      </c>
      <c r="M3805" s="131">
        <v>45895</v>
      </c>
      <c r="N3805" s="131"/>
      <c r="O3805" s="131"/>
      <c r="P3805" s="136" t="str">
        <f ca="1">IF(Proc[[#This Row],[DaysAgeing]]&gt;5,"yep","on track")</f>
        <v>yep</v>
      </c>
      <c r="Q3805" s="3">
        <f ca="1">IF(Proc[[#This Row],[DateClosed]]="",ABS(NETWORKDAYS(Proc[[#This Row],[DateOpened]],TODAY()))-1,ABS(NETWORKDAYS(Proc[[#This Row],[DateOpened]],Proc[[#This Row],[DateClosed]]))-1)</f>
        <v>78</v>
      </c>
      <c r="R3805" s="136" t="s">
        <v>1013</v>
      </c>
      <c r="S3805" s="129"/>
    </row>
    <row r="3806" spans="1:19">
      <c r="A3806" s="135" t="s">
        <v>5920</v>
      </c>
      <c r="B3806" s="149" t="str">
        <f>IFERROR(VLOOKUP(Proc[[#This Row],[App]],Table2[],3,0),"open")</f>
        <v>ok</v>
      </c>
      <c r="C3806" s="138" t="s">
        <v>369</v>
      </c>
      <c r="D3806" t="s">
        <v>5935</v>
      </c>
      <c r="E3806" s="135" t="s">
        <v>3401</v>
      </c>
      <c r="F3806" s="129" t="s">
        <v>3401</v>
      </c>
      <c r="G3806" s="135" t="s">
        <v>400</v>
      </c>
      <c r="H3806" s="129" t="str">
        <f>IF(Proc[[#This Row],[type]]="LFF (MDG-F)",MID(Proc[[#This Row],[Obj]],13,10),"")</f>
        <v/>
      </c>
      <c r="I3806" s="135"/>
      <c r="J3806" s="129" t="b">
        <f>Proc[[#This Row],[Requested]]=Proc[[#This Row],[CurrentParent]]</f>
        <v>1</v>
      </c>
      <c r="K3806" s="144" t="str">
        <f>IF(Proc[[#This Row],[Author]]="Marcela Urrego",VLOOKUP(LEFT(Proc[[#This Row],[Requested]],1),Table3[#All],2,0),VLOOKUP(Proc[[#This Row],[Author]],Table4[],2,0))</f>
        <v>HC</v>
      </c>
      <c r="L3806" s="129" t="s">
        <v>4894</v>
      </c>
      <c r="M3806" s="131">
        <v>45895</v>
      </c>
      <c r="N3806" s="131"/>
      <c r="O3806" s="131"/>
      <c r="P3806" s="136" t="str">
        <f ca="1">IF(Proc[[#This Row],[DaysAgeing]]&gt;5,"yep","on track")</f>
        <v>yep</v>
      </c>
      <c r="Q3806" s="3">
        <f ca="1">IF(Proc[[#This Row],[DateClosed]]="",ABS(NETWORKDAYS(Proc[[#This Row],[DateOpened]],TODAY()))-1,ABS(NETWORKDAYS(Proc[[#This Row],[DateOpened]],Proc[[#This Row],[DateClosed]]))-1)</f>
        <v>78</v>
      </c>
      <c r="R3806" s="136" t="s">
        <v>1013</v>
      </c>
      <c r="S3806" s="129"/>
    </row>
    <row r="3807" spans="1:19">
      <c r="A3807" s="135" t="s">
        <v>5920</v>
      </c>
      <c r="B3807" s="149" t="str">
        <f>IFERROR(VLOOKUP(Proc[[#This Row],[App]],Table2[],3,0),"open")</f>
        <v>ok</v>
      </c>
      <c r="C3807" s="138" t="s">
        <v>369</v>
      </c>
      <c r="D3807" t="s">
        <v>5936</v>
      </c>
      <c r="E3807" s="135" t="s">
        <v>3401</v>
      </c>
      <c r="F3807" s="129" t="s">
        <v>3401</v>
      </c>
      <c r="G3807" s="135" t="s">
        <v>400</v>
      </c>
      <c r="H3807" s="129" t="str">
        <f>IF(Proc[[#This Row],[type]]="LFF (MDG-F)",MID(Proc[[#This Row],[Obj]],13,10),"")</f>
        <v/>
      </c>
      <c r="I3807" s="135"/>
      <c r="J3807" s="129" t="b">
        <f>Proc[[#This Row],[Requested]]=Proc[[#This Row],[CurrentParent]]</f>
        <v>1</v>
      </c>
      <c r="K3807" s="144" t="str">
        <f>IF(Proc[[#This Row],[Author]]="Marcela Urrego",VLOOKUP(LEFT(Proc[[#This Row],[Requested]],1),Table3[#All],2,0),VLOOKUP(Proc[[#This Row],[Author]],Table4[],2,0))</f>
        <v>HC</v>
      </c>
      <c r="L3807" s="129" t="s">
        <v>4894</v>
      </c>
      <c r="M3807" s="131">
        <v>45895</v>
      </c>
      <c r="N3807" s="131"/>
      <c r="O3807" s="131"/>
      <c r="P3807" s="136" t="str">
        <f ca="1">IF(Proc[[#This Row],[DaysAgeing]]&gt;5,"yep","on track")</f>
        <v>yep</v>
      </c>
      <c r="Q3807" s="3">
        <f ca="1">IF(Proc[[#This Row],[DateClosed]]="",ABS(NETWORKDAYS(Proc[[#This Row],[DateOpened]],TODAY()))-1,ABS(NETWORKDAYS(Proc[[#This Row],[DateOpened]],Proc[[#This Row],[DateClosed]]))-1)</f>
        <v>78</v>
      </c>
      <c r="R3807" s="136" t="s">
        <v>1013</v>
      </c>
      <c r="S3807" s="129"/>
    </row>
    <row r="3808" spans="1:19">
      <c r="A3808" s="135" t="s">
        <v>5920</v>
      </c>
      <c r="B3808" s="149" t="str">
        <f>IFERROR(VLOOKUP(Proc[[#This Row],[App]],Table2[],3,0),"open")</f>
        <v>ok</v>
      </c>
      <c r="C3808" s="138" t="s">
        <v>369</v>
      </c>
      <c r="D3808" t="s">
        <v>5937</v>
      </c>
      <c r="E3808" s="135" t="s">
        <v>3401</v>
      </c>
      <c r="F3808" s="129" t="s">
        <v>3401</v>
      </c>
      <c r="G3808" s="135" t="s">
        <v>400</v>
      </c>
      <c r="H3808" s="129" t="str">
        <f>IF(Proc[[#This Row],[type]]="LFF (MDG-F)",MID(Proc[[#This Row],[Obj]],13,10),"")</f>
        <v/>
      </c>
      <c r="I3808" s="135"/>
      <c r="J3808" s="129" t="b">
        <f>Proc[[#This Row],[Requested]]=Proc[[#This Row],[CurrentParent]]</f>
        <v>1</v>
      </c>
      <c r="K3808" s="144" t="str">
        <f>IF(Proc[[#This Row],[Author]]="Marcela Urrego",VLOOKUP(LEFT(Proc[[#This Row],[Requested]],1),Table3[#All],2,0),VLOOKUP(Proc[[#This Row],[Author]],Table4[],2,0))</f>
        <v>HC</v>
      </c>
      <c r="L3808" s="129" t="s">
        <v>4894</v>
      </c>
      <c r="M3808" s="131">
        <v>45895</v>
      </c>
      <c r="N3808" s="131"/>
      <c r="O3808" s="131"/>
      <c r="P3808" s="136" t="str">
        <f ca="1">IF(Proc[[#This Row],[DaysAgeing]]&gt;5,"yep","on track")</f>
        <v>yep</v>
      </c>
      <c r="Q3808" s="3">
        <f ca="1">IF(Proc[[#This Row],[DateClosed]]="",ABS(NETWORKDAYS(Proc[[#This Row],[DateOpened]],TODAY()))-1,ABS(NETWORKDAYS(Proc[[#This Row],[DateOpened]],Proc[[#This Row],[DateClosed]]))-1)</f>
        <v>78</v>
      </c>
      <c r="R3808" s="136" t="s">
        <v>1013</v>
      </c>
      <c r="S3808" s="129"/>
    </row>
    <row r="3809" spans="1:19">
      <c r="A3809" s="135" t="s">
        <v>5920</v>
      </c>
      <c r="B3809" s="149" t="str">
        <f>IFERROR(VLOOKUP(Proc[[#This Row],[App]],Table2[],3,0),"open")</f>
        <v>ok</v>
      </c>
      <c r="C3809" s="138" t="s">
        <v>369</v>
      </c>
      <c r="D3809" t="s">
        <v>5938</v>
      </c>
      <c r="E3809" s="135" t="s">
        <v>3401</v>
      </c>
      <c r="F3809" s="129" t="s">
        <v>3401</v>
      </c>
      <c r="G3809" s="135" t="s">
        <v>400</v>
      </c>
      <c r="H3809" s="129" t="str">
        <f>IF(Proc[[#This Row],[type]]="LFF (MDG-F)",MID(Proc[[#This Row],[Obj]],13,10),"")</f>
        <v/>
      </c>
      <c r="I3809" s="135"/>
      <c r="J3809" s="129" t="b">
        <f>Proc[[#This Row],[Requested]]=Proc[[#This Row],[CurrentParent]]</f>
        <v>1</v>
      </c>
      <c r="K3809" s="144" t="str">
        <f>IF(Proc[[#This Row],[Author]]="Marcela Urrego",VLOOKUP(LEFT(Proc[[#This Row],[Requested]],1),Table3[#All],2,0),VLOOKUP(Proc[[#This Row],[Author]],Table4[],2,0))</f>
        <v>HC</v>
      </c>
      <c r="L3809" s="129" t="s">
        <v>4894</v>
      </c>
      <c r="M3809" s="131">
        <v>45895</v>
      </c>
      <c r="N3809" s="131"/>
      <c r="O3809" s="131"/>
      <c r="P3809" s="136" t="str">
        <f ca="1">IF(Proc[[#This Row],[DaysAgeing]]&gt;5,"yep","on track")</f>
        <v>yep</v>
      </c>
      <c r="Q3809" s="3">
        <f ca="1">IF(Proc[[#This Row],[DateClosed]]="",ABS(NETWORKDAYS(Proc[[#This Row],[DateOpened]],TODAY()))-1,ABS(NETWORKDAYS(Proc[[#This Row],[DateOpened]],Proc[[#This Row],[DateClosed]]))-1)</f>
        <v>78</v>
      </c>
      <c r="R3809" s="136" t="s">
        <v>1013</v>
      </c>
      <c r="S3809" s="129"/>
    </row>
    <row r="3810" spans="1:19">
      <c r="A3810" s="135" t="s">
        <v>5920</v>
      </c>
      <c r="B3810" s="149" t="str">
        <f>IFERROR(VLOOKUP(Proc[[#This Row],[App]],Table2[],3,0),"open")</f>
        <v>ok</v>
      </c>
      <c r="C3810" s="138" t="s">
        <v>369</v>
      </c>
      <c r="D3810" t="s">
        <v>5939</v>
      </c>
      <c r="E3810" s="135" t="s">
        <v>3401</v>
      </c>
      <c r="F3810" s="129" t="s">
        <v>3401</v>
      </c>
      <c r="G3810" s="135" t="s">
        <v>400</v>
      </c>
      <c r="H3810" s="129" t="str">
        <f>IF(Proc[[#This Row],[type]]="LFF (MDG-F)",MID(Proc[[#This Row],[Obj]],13,10),"")</f>
        <v/>
      </c>
      <c r="I3810" s="135"/>
      <c r="J3810" s="129" t="b">
        <f>Proc[[#This Row],[Requested]]=Proc[[#This Row],[CurrentParent]]</f>
        <v>1</v>
      </c>
      <c r="K3810" s="144" t="str">
        <f>IF(Proc[[#This Row],[Author]]="Marcela Urrego",VLOOKUP(LEFT(Proc[[#This Row],[Requested]],1),Table3[#All],2,0),VLOOKUP(Proc[[#This Row],[Author]],Table4[],2,0))</f>
        <v>HC</v>
      </c>
      <c r="L3810" s="129" t="s">
        <v>4894</v>
      </c>
      <c r="M3810" s="131">
        <v>45895</v>
      </c>
      <c r="N3810" s="131"/>
      <c r="O3810" s="131"/>
      <c r="P3810" s="136" t="str">
        <f ca="1">IF(Proc[[#This Row],[DaysAgeing]]&gt;5,"yep","on track")</f>
        <v>yep</v>
      </c>
      <c r="Q3810" s="3">
        <f ca="1">IF(Proc[[#This Row],[DateClosed]]="",ABS(NETWORKDAYS(Proc[[#This Row],[DateOpened]],TODAY()))-1,ABS(NETWORKDAYS(Proc[[#This Row],[DateOpened]],Proc[[#This Row],[DateClosed]]))-1)</f>
        <v>78</v>
      </c>
      <c r="R3810" s="136" t="s">
        <v>1013</v>
      </c>
      <c r="S3810" s="129"/>
    </row>
    <row r="3811" spans="1:19">
      <c r="A3811" s="135" t="s">
        <v>5920</v>
      </c>
      <c r="B3811" s="149" t="str">
        <f>IFERROR(VLOOKUP(Proc[[#This Row],[App]],Table2[],3,0),"open")</f>
        <v>ok</v>
      </c>
      <c r="C3811" s="138" t="s">
        <v>369</v>
      </c>
      <c r="D3811" t="s">
        <v>5940</v>
      </c>
      <c r="E3811" s="135" t="s">
        <v>3401</v>
      </c>
      <c r="F3811" s="129" t="s">
        <v>3401</v>
      </c>
      <c r="G3811" s="135" t="s">
        <v>400</v>
      </c>
      <c r="H3811" s="129" t="str">
        <f>IF(Proc[[#This Row],[type]]="LFF (MDG-F)",MID(Proc[[#This Row],[Obj]],13,10),"")</f>
        <v/>
      </c>
      <c r="I3811" s="135"/>
      <c r="J3811" s="129" t="b">
        <f>Proc[[#This Row],[Requested]]=Proc[[#This Row],[CurrentParent]]</f>
        <v>1</v>
      </c>
      <c r="K3811" s="144" t="str">
        <f>IF(Proc[[#This Row],[Author]]="Marcela Urrego",VLOOKUP(LEFT(Proc[[#This Row],[Requested]],1),Table3[#All],2,0),VLOOKUP(Proc[[#This Row],[Author]],Table4[],2,0))</f>
        <v>HC</v>
      </c>
      <c r="L3811" s="129" t="s">
        <v>4894</v>
      </c>
      <c r="M3811" s="131">
        <v>45895</v>
      </c>
      <c r="N3811" s="131"/>
      <c r="O3811" s="131"/>
      <c r="P3811" s="136" t="str">
        <f ca="1">IF(Proc[[#This Row],[DaysAgeing]]&gt;5,"yep","on track")</f>
        <v>yep</v>
      </c>
      <c r="Q3811" s="3">
        <f ca="1">IF(Proc[[#This Row],[DateClosed]]="",ABS(NETWORKDAYS(Proc[[#This Row],[DateOpened]],TODAY()))-1,ABS(NETWORKDAYS(Proc[[#This Row],[DateOpened]],Proc[[#This Row],[DateClosed]]))-1)</f>
        <v>78</v>
      </c>
      <c r="R3811" s="136" t="s">
        <v>1013</v>
      </c>
      <c r="S3811" s="129"/>
    </row>
    <row r="3812" spans="1:19">
      <c r="A3812" s="135" t="s">
        <v>5920</v>
      </c>
      <c r="B3812" s="149" t="str">
        <f>IFERROR(VLOOKUP(Proc[[#This Row],[App]],Table2[],3,0),"open")</f>
        <v>ok</v>
      </c>
      <c r="C3812" s="138" t="s">
        <v>369</v>
      </c>
      <c r="D3812" t="s">
        <v>5941</v>
      </c>
      <c r="E3812" s="135" t="s">
        <v>3401</v>
      </c>
      <c r="F3812" s="129" t="s">
        <v>3401</v>
      </c>
      <c r="G3812" s="135" t="s">
        <v>400</v>
      </c>
      <c r="H3812" s="129" t="str">
        <f>IF(Proc[[#This Row],[type]]="LFF (MDG-F)",MID(Proc[[#This Row],[Obj]],13,10),"")</f>
        <v/>
      </c>
      <c r="I3812" s="135"/>
      <c r="J3812" s="129" t="b">
        <f>Proc[[#This Row],[Requested]]=Proc[[#This Row],[CurrentParent]]</f>
        <v>1</v>
      </c>
      <c r="K3812" s="144" t="str">
        <f>IF(Proc[[#This Row],[Author]]="Marcela Urrego",VLOOKUP(LEFT(Proc[[#This Row],[Requested]],1),Table3[#All],2,0),VLOOKUP(Proc[[#This Row],[Author]],Table4[],2,0))</f>
        <v>HC</v>
      </c>
      <c r="L3812" s="129" t="s">
        <v>4894</v>
      </c>
      <c r="M3812" s="131">
        <v>45895</v>
      </c>
      <c r="N3812" s="131"/>
      <c r="O3812" s="131"/>
      <c r="P3812" s="136" t="str">
        <f ca="1">IF(Proc[[#This Row],[DaysAgeing]]&gt;5,"yep","on track")</f>
        <v>yep</v>
      </c>
      <c r="Q3812" s="3">
        <f ca="1">IF(Proc[[#This Row],[DateClosed]]="",ABS(NETWORKDAYS(Proc[[#This Row],[DateOpened]],TODAY()))-1,ABS(NETWORKDAYS(Proc[[#This Row],[DateOpened]],Proc[[#This Row],[DateClosed]]))-1)</f>
        <v>78</v>
      </c>
      <c r="R3812" s="136" t="s">
        <v>1013</v>
      </c>
      <c r="S3812" s="129"/>
    </row>
    <row r="3813" spans="1:19">
      <c r="A3813" s="135" t="s">
        <v>5920</v>
      </c>
      <c r="B3813" s="149" t="str">
        <f>IFERROR(VLOOKUP(Proc[[#This Row],[App]],Table2[],3,0),"open")</f>
        <v>ok</v>
      </c>
      <c r="C3813" s="138" t="s">
        <v>369</v>
      </c>
      <c r="D3813" t="s">
        <v>5942</v>
      </c>
      <c r="E3813" s="135" t="s">
        <v>3401</v>
      </c>
      <c r="F3813" s="129" t="s">
        <v>3401</v>
      </c>
      <c r="G3813" s="135" t="s">
        <v>400</v>
      </c>
      <c r="H3813" s="129" t="str">
        <f>IF(Proc[[#This Row],[type]]="LFF (MDG-F)",MID(Proc[[#This Row],[Obj]],13,10),"")</f>
        <v/>
      </c>
      <c r="I3813" s="135"/>
      <c r="J3813" s="129" t="b">
        <f>Proc[[#This Row],[Requested]]=Proc[[#This Row],[CurrentParent]]</f>
        <v>1</v>
      </c>
      <c r="K3813" s="144" t="str">
        <f>IF(Proc[[#This Row],[Author]]="Marcela Urrego",VLOOKUP(LEFT(Proc[[#This Row],[Requested]],1),Table3[#All],2,0),VLOOKUP(Proc[[#This Row],[Author]],Table4[],2,0))</f>
        <v>HC</v>
      </c>
      <c r="L3813" s="129" t="s">
        <v>4894</v>
      </c>
      <c r="M3813" s="131">
        <v>45895</v>
      </c>
      <c r="N3813" s="131"/>
      <c r="O3813" s="131"/>
      <c r="P3813" s="136" t="str">
        <f ca="1">IF(Proc[[#This Row],[DaysAgeing]]&gt;5,"yep","on track")</f>
        <v>yep</v>
      </c>
      <c r="Q3813" s="3">
        <f ca="1">IF(Proc[[#This Row],[DateClosed]]="",ABS(NETWORKDAYS(Proc[[#This Row],[DateOpened]],TODAY()))-1,ABS(NETWORKDAYS(Proc[[#This Row],[DateOpened]],Proc[[#This Row],[DateClosed]]))-1)</f>
        <v>78</v>
      </c>
      <c r="R3813" s="136" t="s">
        <v>1013</v>
      </c>
      <c r="S3813" s="129"/>
    </row>
    <row r="3814" spans="1:19">
      <c r="A3814" s="135" t="s">
        <v>5920</v>
      </c>
      <c r="B3814" s="149" t="str">
        <f>IFERROR(VLOOKUP(Proc[[#This Row],[App]],Table2[],3,0),"open")</f>
        <v>ok</v>
      </c>
      <c r="C3814" s="138" t="s">
        <v>369</v>
      </c>
      <c r="D3814" t="s">
        <v>5943</v>
      </c>
      <c r="E3814" s="135" t="s">
        <v>3401</v>
      </c>
      <c r="F3814" s="129" t="s">
        <v>3401</v>
      </c>
      <c r="G3814" s="135" t="s">
        <v>400</v>
      </c>
      <c r="H3814" s="129" t="str">
        <f>IF(Proc[[#This Row],[type]]="LFF (MDG-F)",MID(Proc[[#This Row],[Obj]],13,10),"")</f>
        <v/>
      </c>
      <c r="I3814" s="135"/>
      <c r="J3814" s="129" t="b">
        <f>Proc[[#This Row],[Requested]]=Proc[[#This Row],[CurrentParent]]</f>
        <v>1</v>
      </c>
      <c r="K3814" s="144" t="str">
        <f>IF(Proc[[#This Row],[Author]]="Marcela Urrego",VLOOKUP(LEFT(Proc[[#This Row],[Requested]],1),Table3[#All],2,0),VLOOKUP(Proc[[#This Row],[Author]],Table4[],2,0))</f>
        <v>HC</v>
      </c>
      <c r="L3814" s="129" t="s">
        <v>4894</v>
      </c>
      <c r="M3814" s="131">
        <v>45895</v>
      </c>
      <c r="N3814" s="131"/>
      <c r="O3814" s="131"/>
      <c r="P3814" s="136" t="str">
        <f ca="1">IF(Proc[[#This Row],[DaysAgeing]]&gt;5,"yep","on track")</f>
        <v>yep</v>
      </c>
      <c r="Q3814" s="3">
        <f ca="1">IF(Proc[[#This Row],[DateClosed]]="",ABS(NETWORKDAYS(Proc[[#This Row],[DateOpened]],TODAY()))-1,ABS(NETWORKDAYS(Proc[[#This Row],[DateOpened]],Proc[[#This Row],[DateClosed]]))-1)</f>
        <v>78</v>
      </c>
      <c r="R3814" s="136" t="s">
        <v>1013</v>
      </c>
      <c r="S3814" s="129"/>
    </row>
    <row r="3815" spans="1:19">
      <c r="A3815" s="135" t="s">
        <v>5920</v>
      </c>
      <c r="B3815" s="149" t="str">
        <f>IFERROR(VLOOKUP(Proc[[#This Row],[App]],Table2[],3,0),"open")</f>
        <v>ok</v>
      </c>
      <c r="C3815" s="138" t="s">
        <v>369</v>
      </c>
      <c r="D3815" t="s">
        <v>5944</v>
      </c>
      <c r="E3815" s="135" t="s">
        <v>3401</v>
      </c>
      <c r="F3815" s="129" t="s">
        <v>3401</v>
      </c>
      <c r="G3815" s="135" t="s">
        <v>400</v>
      </c>
      <c r="H3815" s="129" t="str">
        <f>IF(Proc[[#This Row],[type]]="LFF (MDG-F)",MID(Proc[[#This Row],[Obj]],13,10),"")</f>
        <v/>
      </c>
      <c r="I3815" s="135"/>
      <c r="J3815" s="129" t="b">
        <f>Proc[[#This Row],[Requested]]=Proc[[#This Row],[CurrentParent]]</f>
        <v>1</v>
      </c>
      <c r="K3815" s="144" t="str">
        <f>IF(Proc[[#This Row],[Author]]="Marcela Urrego",VLOOKUP(LEFT(Proc[[#This Row],[Requested]],1),Table3[#All],2,0),VLOOKUP(Proc[[#This Row],[Author]],Table4[],2,0))</f>
        <v>HC</v>
      </c>
      <c r="L3815" s="129" t="s">
        <v>4894</v>
      </c>
      <c r="M3815" s="131">
        <v>45895</v>
      </c>
      <c r="N3815" s="131"/>
      <c r="O3815" s="131"/>
      <c r="P3815" s="136" t="str">
        <f ca="1">IF(Proc[[#This Row],[DaysAgeing]]&gt;5,"yep","on track")</f>
        <v>yep</v>
      </c>
      <c r="Q3815" s="3">
        <f ca="1">IF(Proc[[#This Row],[DateClosed]]="",ABS(NETWORKDAYS(Proc[[#This Row],[DateOpened]],TODAY()))-1,ABS(NETWORKDAYS(Proc[[#This Row],[DateOpened]],Proc[[#This Row],[DateClosed]]))-1)</f>
        <v>78</v>
      </c>
      <c r="R3815" s="136" t="s">
        <v>1013</v>
      </c>
      <c r="S3815" s="129"/>
    </row>
    <row r="3816" spans="1:19">
      <c r="A3816" s="135" t="s">
        <v>5920</v>
      </c>
      <c r="B3816" s="149" t="str">
        <f>IFERROR(VLOOKUP(Proc[[#This Row],[App]],Table2[],3,0),"open")</f>
        <v>ok</v>
      </c>
      <c r="C3816" s="138" t="s">
        <v>369</v>
      </c>
      <c r="D3816" t="s">
        <v>5921</v>
      </c>
      <c r="E3816" s="135" t="s">
        <v>3401</v>
      </c>
      <c r="F3816" s="129" t="s">
        <v>3401</v>
      </c>
      <c r="G3816" s="135" t="s">
        <v>406</v>
      </c>
      <c r="H3816" s="129" t="str">
        <f>IF(Proc[[#This Row],[type]]="LFF (MDG-F)",MID(Proc[[#This Row],[Obj]],13,10),"")</f>
        <v>CZ50GEQ001</v>
      </c>
      <c r="J3816" s="129" t="b">
        <f>Proc[[#This Row],[Requested]]=Proc[[#This Row],[CurrentParent]]</f>
        <v>1</v>
      </c>
      <c r="K3816" s="144" t="str">
        <f>IF(Proc[[#This Row],[Author]]="Marcela Urrego",VLOOKUP(LEFT(Proc[[#This Row],[Requested]],1),Table3[#All],2,0),VLOOKUP(Proc[[#This Row],[Author]],Table4[],2,0))</f>
        <v>HC</v>
      </c>
      <c r="L3816" s="129" t="s">
        <v>4894</v>
      </c>
      <c r="M3816" s="131">
        <v>45895</v>
      </c>
      <c r="N3816" s="131"/>
      <c r="O3816" s="131"/>
      <c r="P3816" s="136" t="str">
        <f ca="1">IF(Proc[[#This Row],[DaysAgeing]]&gt;5,"yep","on track")</f>
        <v>yep</v>
      </c>
      <c r="Q3816" s="3">
        <f ca="1">IF(Proc[[#This Row],[DateClosed]]="",ABS(NETWORKDAYS(Proc[[#This Row],[DateOpened]],TODAY()))-1,ABS(NETWORKDAYS(Proc[[#This Row],[DateOpened]],Proc[[#This Row],[DateClosed]]))-1)</f>
        <v>78</v>
      </c>
      <c r="R3816" s="136" t="s">
        <v>1013</v>
      </c>
      <c r="S3816" s="129"/>
    </row>
    <row r="3817" spans="1:19">
      <c r="A3817" s="135" t="s">
        <v>5920</v>
      </c>
      <c r="B3817" s="149" t="str">
        <f>IFERROR(VLOOKUP(Proc[[#This Row],[App]],Table2[],3,0),"open")</f>
        <v>ok</v>
      </c>
      <c r="C3817" s="135" t="s">
        <v>369</v>
      </c>
      <c r="D3817" t="s">
        <v>5922</v>
      </c>
      <c r="E3817" s="135" t="s">
        <v>3401</v>
      </c>
      <c r="F3817" s="138" t="s">
        <v>3401</v>
      </c>
      <c r="G3817" s="135" t="s">
        <v>406</v>
      </c>
      <c r="H3817" s="129" t="str">
        <f>IF(Proc[[#This Row],[type]]="LFF (MDG-F)",MID(Proc[[#This Row],[Obj]],13,10),"")</f>
        <v>CZ50Z02185</v>
      </c>
      <c r="J3817" s="129" t="b">
        <f>Proc[[#This Row],[Requested]]=Proc[[#This Row],[CurrentParent]]</f>
        <v>1</v>
      </c>
      <c r="K3817" s="144" t="str">
        <f>IF(Proc[[#This Row],[Author]]="Marcela Urrego",VLOOKUP(LEFT(Proc[[#This Row],[Requested]],1),Table3[#All],2,0),VLOOKUP(Proc[[#This Row],[Author]],Table4[],2,0))</f>
        <v>HC</v>
      </c>
      <c r="L3817" s="129" t="s">
        <v>4894</v>
      </c>
      <c r="M3817" s="131">
        <v>45895</v>
      </c>
      <c r="N3817" s="131"/>
      <c r="O3817" s="131"/>
      <c r="P3817" s="136" t="str">
        <f ca="1">IF(Proc[[#This Row],[DaysAgeing]]&gt;5,"yep","on track")</f>
        <v>yep</v>
      </c>
      <c r="Q3817" s="3">
        <f ca="1">IF(Proc[[#This Row],[DateClosed]]="",ABS(NETWORKDAYS(Proc[[#This Row],[DateOpened]],TODAY()))-1,ABS(NETWORKDAYS(Proc[[#This Row],[DateOpened]],Proc[[#This Row],[DateClosed]]))-1)</f>
        <v>78</v>
      </c>
      <c r="R3817" s="136" t="s">
        <v>1013</v>
      </c>
      <c r="S3817" s="129"/>
    </row>
    <row r="3818" spans="1:19">
      <c r="A3818" s="135" t="s">
        <v>6086</v>
      </c>
      <c r="B3818" s="149" t="str">
        <f>IFERROR(VLOOKUP(Proc[[#This Row],[App]],Table2[],3,0),"open")</f>
        <v>ok</v>
      </c>
      <c r="C3818" s="138" t="s">
        <v>369</v>
      </c>
      <c r="D3818" t="s">
        <v>5945</v>
      </c>
      <c r="E3818" t="s">
        <v>6059</v>
      </c>
      <c r="F3818" s="129" t="s">
        <v>6059</v>
      </c>
      <c r="G3818" s="135" t="s">
        <v>406</v>
      </c>
      <c r="H3818" s="129" t="str">
        <f>IF(Proc[[#This Row],[type]]="LFF (MDG-F)",MID(Proc[[#This Row],[Obj]],13,10),"")</f>
        <v>JP01C00020</v>
      </c>
      <c r="J3818" s="129" t="b">
        <f>Proc[[#This Row],[Requested]]=Proc[[#This Row],[CurrentParent]]</f>
        <v>1</v>
      </c>
      <c r="K3818" s="144" t="str">
        <f>IF(Proc[[#This Row],[Author]]="Marcela Urrego",VLOOKUP(LEFT(Proc[[#This Row],[Requested]],1),Table3[#All],2,0),VLOOKUP(Proc[[#This Row],[Author]],Table4[],2,0))</f>
        <v>EL</v>
      </c>
      <c r="L3818" s="129" t="s">
        <v>4894</v>
      </c>
      <c r="M3818" s="136">
        <v>45895</v>
      </c>
      <c r="N3818" s="137"/>
      <c r="O3818" s="137"/>
      <c r="P3818" s="136" t="str">
        <f ca="1">IF(Proc[[#This Row],[DaysAgeing]]&gt;5,"yep","on track")</f>
        <v>yep</v>
      </c>
      <c r="Q3818" s="3">
        <f ca="1">IF(Proc[[#This Row],[DateClosed]]="",ABS(NETWORKDAYS(Proc[[#This Row],[DateOpened]],TODAY()))-1,ABS(NETWORKDAYS(Proc[[#This Row],[DateOpened]],Proc[[#This Row],[DateClosed]]))-1)</f>
        <v>78</v>
      </c>
      <c r="R3818" s="136" t="s">
        <v>6087</v>
      </c>
      <c r="S3818" s="129"/>
    </row>
    <row r="3819" spans="1:19">
      <c r="A3819" s="135" t="s">
        <v>6086</v>
      </c>
      <c r="B3819" s="149" t="str">
        <f>IFERROR(VLOOKUP(Proc[[#This Row],[App]],Table2[],3,0),"open")</f>
        <v>ok</v>
      </c>
      <c r="C3819" s="138" t="s">
        <v>369</v>
      </c>
      <c r="D3819" t="s">
        <v>5946</v>
      </c>
      <c r="E3819" t="s">
        <v>6059</v>
      </c>
      <c r="F3819" s="129" t="s">
        <v>6059</v>
      </c>
      <c r="G3819" s="135" t="s">
        <v>406</v>
      </c>
      <c r="H3819" s="129" t="str">
        <f>IF(Proc[[#This Row],[type]]="LFF (MDG-F)",MID(Proc[[#This Row],[Obj]],13,10),"")</f>
        <v>JP01C00301</v>
      </c>
      <c r="J3819" s="129" t="b">
        <f>Proc[[#This Row],[Requested]]=Proc[[#This Row],[CurrentParent]]</f>
        <v>1</v>
      </c>
      <c r="K3819" s="144" t="str">
        <f>IF(Proc[[#This Row],[Author]]="Marcela Urrego",VLOOKUP(LEFT(Proc[[#This Row],[Requested]],1),Table3[#All],2,0),VLOOKUP(Proc[[#This Row],[Author]],Table4[],2,0))</f>
        <v>EL</v>
      </c>
      <c r="L3819" s="129" t="s">
        <v>4894</v>
      </c>
      <c r="M3819" s="136">
        <v>45895</v>
      </c>
      <c r="N3819" s="137"/>
      <c r="O3819" s="137"/>
      <c r="P3819" s="136" t="str">
        <f ca="1">IF(Proc[[#This Row],[DaysAgeing]]&gt;5,"yep","on track")</f>
        <v>yep</v>
      </c>
      <c r="Q3819" s="3">
        <f ca="1">IF(Proc[[#This Row],[DateClosed]]="",ABS(NETWORKDAYS(Proc[[#This Row],[DateOpened]],TODAY()))-1,ABS(NETWORKDAYS(Proc[[#This Row],[DateOpened]],Proc[[#This Row],[DateClosed]]))-1)</f>
        <v>78</v>
      </c>
      <c r="R3819" s="136" t="s">
        <v>6087</v>
      </c>
      <c r="S3819" s="129"/>
    </row>
    <row r="3820" spans="1:19">
      <c r="A3820" s="135" t="s">
        <v>6086</v>
      </c>
      <c r="B3820" s="149" t="str">
        <f>IFERROR(VLOOKUP(Proc[[#This Row],[App]],Table2[],3,0),"open")</f>
        <v>ok</v>
      </c>
      <c r="C3820" s="138" t="s">
        <v>369</v>
      </c>
      <c r="D3820" t="s">
        <v>5947</v>
      </c>
      <c r="E3820" t="s">
        <v>6059</v>
      </c>
      <c r="F3820" s="129" t="s">
        <v>6059</v>
      </c>
      <c r="G3820" s="135" t="s">
        <v>406</v>
      </c>
      <c r="H3820" s="129" t="str">
        <f>IF(Proc[[#This Row],[type]]="LFF (MDG-F)",MID(Proc[[#This Row],[Obj]],13,10),"")</f>
        <v>JP01C00401</v>
      </c>
      <c r="J3820" s="129" t="b">
        <f>Proc[[#This Row],[Requested]]=Proc[[#This Row],[CurrentParent]]</f>
        <v>1</v>
      </c>
      <c r="K3820" s="144" t="str">
        <f>IF(Proc[[#This Row],[Author]]="Marcela Urrego",VLOOKUP(LEFT(Proc[[#This Row],[Requested]],1),Table3[#All],2,0),VLOOKUP(Proc[[#This Row],[Author]],Table4[],2,0))</f>
        <v>EL</v>
      </c>
      <c r="L3820" s="129" t="s">
        <v>4894</v>
      </c>
      <c r="M3820" s="136">
        <v>45895</v>
      </c>
      <c r="N3820" s="137"/>
      <c r="O3820" s="137"/>
      <c r="P3820" s="136" t="str">
        <f ca="1">IF(Proc[[#This Row],[DaysAgeing]]&gt;5,"yep","on track")</f>
        <v>yep</v>
      </c>
      <c r="Q3820" s="3">
        <f ca="1">IF(Proc[[#This Row],[DateClosed]]="",ABS(NETWORKDAYS(Proc[[#This Row],[DateOpened]],TODAY()))-1,ABS(NETWORKDAYS(Proc[[#This Row],[DateOpened]],Proc[[#This Row],[DateClosed]]))-1)</f>
        <v>78</v>
      </c>
      <c r="R3820" s="136" t="s">
        <v>6087</v>
      </c>
      <c r="S3820" s="129"/>
    </row>
    <row r="3821" spans="1:19">
      <c r="A3821" s="135" t="s">
        <v>6086</v>
      </c>
      <c r="B3821" s="149" t="str">
        <f>IFERROR(VLOOKUP(Proc[[#This Row],[App]],Table2[],3,0),"open")</f>
        <v>ok</v>
      </c>
      <c r="C3821" s="138" t="s">
        <v>369</v>
      </c>
      <c r="D3821" t="s">
        <v>5948</v>
      </c>
      <c r="E3821" t="s">
        <v>6060</v>
      </c>
      <c r="F3821" s="129" t="s">
        <v>6060</v>
      </c>
      <c r="G3821" s="135" t="s">
        <v>406</v>
      </c>
      <c r="H3821" s="129" t="str">
        <f>IF(Proc[[#This Row],[type]]="LFF (MDG-F)",MID(Proc[[#This Row],[Obj]],13,10),"")</f>
        <v>JP01C0M121</v>
      </c>
      <c r="J3821" s="129" t="b">
        <f>Proc[[#This Row],[Requested]]=Proc[[#This Row],[CurrentParent]]</f>
        <v>1</v>
      </c>
      <c r="K3821" s="144" t="str">
        <f>IF(Proc[[#This Row],[Author]]="Marcela Urrego",VLOOKUP(LEFT(Proc[[#This Row],[Requested]],1),Table3[#All],2,0),VLOOKUP(Proc[[#This Row],[Author]],Table4[],2,0))</f>
        <v>EL</v>
      </c>
      <c r="L3821" s="129" t="s">
        <v>4894</v>
      </c>
      <c r="M3821" s="136">
        <v>45895</v>
      </c>
      <c r="N3821" s="137"/>
      <c r="O3821" s="137"/>
      <c r="P3821" s="136" t="str">
        <f ca="1">IF(Proc[[#This Row],[DaysAgeing]]&gt;5,"yep","on track")</f>
        <v>yep</v>
      </c>
      <c r="Q3821" s="3">
        <f ca="1">IF(Proc[[#This Row],[DateClosed]]="",ABS(NETWORKDAYS(Proc[[#This Row],[DateOpened]],TODAY()))-1,ABS(NETWORKDAYS(Proc[[#This Row],[DateOpened]],Proc[[#This Row],[DateClosed]]))-1)</f>
        <v>78</v>
      </c>
      <c r="R3821" s="136" t="s">
        <v>6087</v>
      </c>
      <c r="S3821" s="129"/>
    </row>
    <row r="3822" spans="1:19">
      <c r="A3822" s="135" t="s">
        <v>6086</v>
      </c>
      <c r="B3822" s="149" t="str">
        <f>IFERROR(VLOOKUP(Proc[[#This Row],[App]],Table2[],3,0),"open")</f>
        <v>ok</v>
      </c>
      <c r="C3822" s="138" t="s">
        <v>369</v>
      </c>
      <c r="D3822" t="s">
        <v>5949</v>
      </c>
      <c r="E3822" t="s">
        <v>6061</v>
      </c>
      <c r="F3822" s="129" t="s">
        <v>6061</v>
      </c>
      <c r="G3822" s="135" t="s">
        <v>406</v>
      </c>
      <c r="H3822" s="129" t="str">
        <f>IF(Proc[[#This Row],[type]]="LFF (MDG-F)",MID(Proc[[#This Row],[Obj]],13,10),"")</f>
        <v>JP01C0M600</v>
      </c>
      <c r="J3822" s="129" t="b">
        <f>Proc[[#This Row],[Requested]]=Proc[[#This Row],[CurrentParent]]</f>
        <v>1</v>
      </c>
      <c r="K3822" s="144" t="str">
        <f>IF(Proc[[#This Row],[Author]]="Marcela Urrego",VLOOKUP(LEFT(Proc[[#This Row],[Requested]],1),Table3[#All],2,0),VLOOKUP(Proc[[#This Row],[Author]],Table4[],2,0))</f>
        <v>EL</v>
      </c>
      <c r="L3822" s="129" t="s">
        <v>4894</v>
      </c>
      <c r="M3822" s="136">
        <v>45895</v>
      </c>
      <c r="N3822" s="137"/>
      <c r="O3822" s="137"/>
      <c r="P3822" s="136" t="str">
        <f ca="1">IF(Proc[[#This Row],[DaysAgeing]]&gt;5,"yep","on track")</f>
        <v>yep</v>
      </c>
      <c r="Q3822" s="3">
        <f ca="1">IF(Proc[[#This Row],[DateClosed]]="",ABS(NETWORKDAYS(Proc[[#This Row],[DateOpened]],TODAY()))-1,ABS(NETWORKDAYS(Proc[[#This Row],[DateOpened]],Proc[[#This Row],[DateClosed]]))-1)</f>
        <v>78</v>
      </c>
      <c r="R3822" s="136" t="s">
        <v>6087</v>
      </c>
      <c r="S3822" s="129"/>
    </row>
    <row r="3823" spans="1:19">
      <c r="A3823" s="135" t="s">
        <v>6086</v>
      </c>
      <c r="B3823" s="149" t="str">
        <f>IFERROR(VLOOKUP(Proc[[#This Row],[App]],Table2[],3,0),"open")</f>
        <v>ok</v>
      </c>
      <c r="C3823" s="138" t="s">
        <v>369</v>
      </c>
      <c r="D3823" t="s">
        <v>5950</v>
      </c>
      <c r="E3823" t="s">
        <v>6061</v>
      </c>
      <c r="F3823" s="129" t="s">
        <v>6061</v>
      </c>
      <c r="G3823" s="135" t="s">
        <v>406</v>
      </c>
      <c r="H3823" s="129" t="str">
        <f>IF(Proc[[#This Row],[type]]="LFF (MDG-F)",MID(Proc[[#This Row],[Obj]],13,10),"")</f>
        <v>JP01C0M621</v>
      </c>
      <c r="J3823" s="129" t="b">
        <f>Proc[[#This Row],[Requested]]=Proc[[#This Row],[CurrentParent]]</f>
        <v>1</v>
      </c>
      <c r="K3823" s="144" t="str">
        <f>IF(Proc[[#This Row],[Author]]="Marcela Urrego",VLOOKUP(LEFT(Proc[[#This Row],[Requested]],1),Table3[#All],2,0),VLOOKUP(Proc[[#This Row],[Author]],Table4[],2,0))</f>
        <v>EL</v>
      </c>
      <c r="L3823" s="129" t="s">
        <v>4894</v>
      </c>
      <c r="M3823" s="136">
        <v>45895</v>
      </c>
      <c r="N3823" s="137"/>
      <c r="O3823" s="137"/>
      <c r="P3823" s="136" t="str">
        <f ca="1">IF(Proc[[#This Row],[DaysAgeing]]&gt;5,"yep","on track")</f>
        <v>yep</v>
      </c>
      <c r="Q3823" s="3">
        <f ca="1">IF(Proc[[#This Row],[DateClosed]]="",ABS(NETWORKDAYS(Proc[[#This Row],[DateOpened]],TODAY()))-1,ABS(NETWORKDAYS(Proc[[#This Row],[DateOpened]],Proc[[#This Row],[DateClosed]]))-1)</f>
        <v>78</v>
      </c>
      <c r="R3823" s="136" t="s">
        <v>6087</v>
      </c>
      <c r="S3823" s="129"/>
    </row>
    <row r="3824" spans="1:19">
      <c r="A3824" s="135" t="s">
        <v>6086</v>
      </c>
      <c r="B3824" s="149" t="str">
        <f>IFERROR(VLOOKUP(Proc[[#This Row],[App]],Table2[],3,0),"open")</f>
        <v>ok</v>
      </c>
      <c r="C3824" s="138" t="s">
        <v>369</v>
      </c>
      <c r="D3824" t="s">
        <v>5951</v>
      </c>
      <c r="E3824" t="s">
        <v>6062</v>
      </c>
      <c r="F3824" s="129" t="s">
        <v>6062</v>
      </c>
      <c r="G3824" s="135" t="s">
        <v>406</v>
      </c>
      <c r="H3824" s="129" t="str">
        <f>IF(Proc[[#This Row],[type]]="LFF (MDG-F)",MID(Proc[[#This Row],[Obj]],13,10),"")</f>
        <v>JP01C0M821</v>
      </c>
      <c r="J3824" s="129" t="b">
        <f>Proc[[#This Row],[Requested]]=Proc[[#This Row],[CurrentParent]]</f>
        <v>1</v>
      </c>
      <c r="K3824" s="144" t="str">
        <f>IF(Proc[[#This Row],[Author]]="Marcela Urrego",VLOOKUP(LEFT(Proc[[#This Row],[Requested]],1),Table3[#All],2,0),VLOOKUP(Proc[[#This Row],[Author]],Table4[],2,0))</f>
        <v>EL</v>
      </c>
      <c r="L3824" s="129" t="s">
        <v>4894</v>
      </c>
      <c r="M3824" s="136">
        <v>45895</v>
      </c>
      <c r="N3824" s="137"/>
      <c r="O3824" s="137"/>
      <c r="P3824" s="136" t="str">
        <f ca="1">IF(Proc[[#This Row],[DaysAgeing]]&gt;5,"yep","on track")</f>
        <v>yep</v>
      </c>
      <c r="Q3824" s="3">
        <f ca="1">IF(Proc[[#This Row],[DateClosed]]="",ABS(NETWORKDAYS(Proc[[#This Row],[DateOpened]],TODAY()))-1,ABS(NETWORKDAYS(Proc[[#This Row],[DateOpened]],Proc[[#This Row],[DateClosed]]))-1)</f>
        <v>78</v>
      </c>
      <c r="R3824" s="136" t="s">
        <v>6087</v>
      </c>
      <c r="S3824" s="129"/>
    </row>
    <row r="3825" spans="1:19">
      <c r="A3825" s="135" t="s">
        <v>6086</v>
      </c>
      <c r="B3825" s="149" t="str">
        <f>IFERROR(VLOOKUP(Proc[[#This Row],[App]],Table2[],3,0),"open")</f>
        <v>ok</v>
      </c>
      <c r="C3825" s="138" t="s">
        <v>369</v>
      </c>
      <c r="D3825" t="s">
        <v>5952</v>
      </c>
      <c r="E3825" t="s">
        <v>6062</v>
      </c>
      <c r="F3825" s="129" t="s">
        <v>6062</v>
      </c>
      <c r="G3825" s="135" t="s">
        <v>406</v>
      </c>
      <c r="H3825" s="129" t="str">
        <f>IF(Proc[[#This Row],[type]]="LFF (MDG-F)",MID(Proc[[#This Row],[Obj]],13,10),"")</f>
        <v>JP01C0M822</v>
      </c>
      <c r="J3825" s="129" t="b">
        <f>Proc[[#This Row],[Requested]]=Proc[[#This Row],[CurrentParent]]</f>
        <v>1</v>
      </c>
      <c r="K3825" s="144" t="str">
        <f>IF(Proc[[#This Row],[Author]]="Marcela Urrego",VLOOKUP(LEFT(Proc[[#This Row],[Requested]],1),Table3[#All],2,0),VLOOKUP(Proc[[#This Row],[Author]],Table4[],2,0))</f>
        <v>EL</v>
      </c>
      <c r="L3825" s="129" t="s">
        <v>4894</v>
      </c>
      <c r="M3825" s="136">
        <v>45895</v>
      </c>
      <c r="N3825" s="137"/>
      <c r="O3825" s="137"/>
      <c r="P3825" s="136" t="str">
        <f ca="1">IF(Proc[[#This Row],[DaysAgeing]]&gt;5,"yep","on track")</f>
        <v>yep</v>
      </c>
      <c r="Q3825" s="3">
        <f ca="1">IF(Proc[[#This Row],[DateClosed]]="",ABS(NETWORKDAYS(Proc[[#This Row],[DateOpened]],TODAY()))-1,ABS(NETWORKDAYS(Proc[[#This Row],[DateOpened]],Proc[[#This Row],[DateClosed]]))-1)</f>
        <v>78</v>
      </c>
      <c r="R3825" s="136" t="s">
        <v>6087</v>
      </c>
      <c r="S3825" s="129"/>
    </row>
    <row r="3826" spans="1:19">
      <c r="A3826" s="135" t="s">
        <v>6086</v>
      </c>
      <c r="B3826" s="149" t="str">
        <f>IFERROR(VLOOKUP(Proc[[#This Row],[App]],Table2[],3,0),"open")</f>
        <v>ok</v>
      </c>
      <c r="C3826" s="144" t="s">
        <v>369</v>
      </c>
      <c r="D3826" t="s">
        <v>5953</v>
      </c>
      <c r="E3826" t="s">
        <v>6063</v>
      </c>
      <c r="F3826" s="150" t="s">
        <v>6063</v>
      </c>
      <c r="G3826" s="135" t="s">
        <v>406</v>
      </c>
      <c r="H3826" s="129" t="str">
        <f>IF(Proc[[#This Row],[type]]="LFF (MDG-F)",MID(Proc[[#This Row],[Obj]],13,10),"")</f>
        <v>JP01C0M825</v>
      </c>
      <c r="J3826" s="129" t="b">
        <f>Proc[[#This Row],[Requested]]=Proc[[#This Row],[CurrentParent]]</f>
        <v>1</v>
      </c>
      <c r="K3826" s="144" t="str">
        <f>IF(Proc[[#This Row],[Author]]="Marcela Urrego",VLOOKUP(LEFT(Proc[[#This Row],[Requested]],1),Table3[#All],2,0),VLOOKUP(Proc[[#This Row],[Author]],Table4[],2,0))</f>
        <v>EL</v>
      </c>
      <c r="L3826" s="129" t="s">
        <v>4894</v>
      </c>
      <c r="M3826" s="136">
        <v>45895</v>
      </c>
      <c r="N3826" s="137"/>
      <c r="O3826" s="137"/>
      <c r="P3826" s="136" t="str">
        <f ca="1">IF(Proc[[#This Row],[DaysAgeing]]&gt;5,"yep","on track")</f>
        <v>yep</v>
      </c>
      <c r="Q3826" s="3">
        <f ca="1">IF(Proc[[#This Row],[DateClosed]]="",ABS(NETWORKDAYS(Proc[[#This Row],[DateOpened]],TODAY()))-1,ABS(NETWORKDAYS(Proc[[#This Row],[DateOpened]],Proc[[#This Row],[DateClosed]]))-1)</f>
        <v>78</v>
      </c>
      <c r="R3826" s="136" t="s">
        <v>6087</v>
      </c>
      <c r="S3826" s="129"/>
    </row>
    <row r="3827" spans="1:19">
      <c r="A3827" s="135" t="s">
        <v>6086</v>
      </c>
      <c r="B3827" s="149" t="str">
        <f>IFERROR(VLOOKUP(Proc[[#This Row],[App]],Table2[],3,0),"open")</f>
        <v>ok</v>
      </c>
      <c r="C3827" s="138" t="s">
        <v>369</v>
      </c>
      <c r="D3827" t="s">
        <v>5954</v>
      </c>
      <c r="E3827" t="s">
        <v>6064</v>
      </c>
      <c r="F3827" s="138" t="s">
        <v>6064</v>
      </c>
      <c r="G3827" s="135" t="s">
        <v>406</v>
      </c>
      <c r="H3827" s="129" t="str">
        <f>IF(Proc[[#This Row],[type]]="LFF (MDG-F)",MID(Proc[[#This Row],[Obj]],13,10),"")</f>
        <v>JP01C0M921</v>
      </c>
      <c r="J3827" s="129" t="b">
        <f>Proc[[#This Row],[Requested]]=Proc[[#This Row],[CurrentParent]]</f>
        <v>1</v>
      </c>
      <c r="K3827" s="144" t="str">
        <f>IF(Proc[[#This Row],[Author]]="Marcela Urrego",VLOOKUP(LEFT(Proc[[#This Row],[Requested]],1),Table3[#All],2,0),VLOOKUP(Proc[[#This Row],[Author]],Table4[],2,0))</f>
        <v>EL</v>
      </c>
      <c r="L3827" s="129" t="s">
        <v>4894</v>
      </c>
      <c r="M3827" s="136">
        <v>45895</v>
      </c>
      <c r="N3827" s="137"/>
      <c r="O3827" s="137"/>
      <c r="P3827" s="136" t="str">
        <f ca="1">IF(Proc[[#This Row],[DaysAgeing]]&gt;5,"yep","on track")</f>
        <v>yep</v>
      </c>
      <c r="Q3827" s="3">
        <f ca="1">IF(Proc[[#This Row],[DateClosed]]="",ABS(NETWORKDAYS(Proc[[#This Row],[DateOpened]],TODAY()))-1,ABS(NETWORKDAYS(Proc[[#This Row],[DateOpened]],Proc[[#This Row],[DateClosed]]))-1)</f>
        <v>78</v>
      </c>
      <c r="R3827" s="136" t="s">
        <v>6087</v>
      </c>
      <c r="S3827" s="129"/>
    </row>
    <row r="3828" spans="1:19">
      <c r="A3828" s="135" t="s">
        <v>6086</v>
      </c>
      <c r="B3828" s="149" t="str">
        <f>IFERROR(VLOOKUP(Proc[[#This Row],[App]],Table2[],3,0),"open")</f>
        <v>ok</v>
      </c>
      <c r="C3828" s="138" t="s">
        <v>369</v>
      </c>
      <c r="D3828" t="s">
        <v>5955</v>
      </c>
      <c r="E3828" t="s">
        <v>6065</v>
      </c>
      <c r="F3828" s="129" t="s">
        <v>6065</v>
      </c>
      <c r="G3828" s="135" t="s">
        <v>406</v>
      </c>
      <c r="H3828" s="129" t="str">
        <f>IF(Proc[[#This Row],[type]]="LFF (MDG-F)",MID(Proc[[#This Row],[Obj]],13,10),"")</f>
        <v>JP01C0O921</v>
      </c>
      <c r="J3828" s="129" t="b">
        <f>Proc[[#This Row],[Requested]]=Proc[[#This Row],[CurrentParent]]</f>
        <v>1</v>
      </c>
      <c r="K3828" s="144" t="str">
        <f>IF(Proc[[#This Row],[Author]]="Marcela Urrego",VLOOKUP(LEFT(Proc[[#This Row],[Requested]],1),Table3[#All],2,0),VLOOKUP(Proc[[#This Row],[Author]],Table4[],2,0))</f>
        <v>EL</v>
      </c>
      <c r="L3828" s="129" t="s">
        <v>4894</v>
      </c>
      <c r="M3828" s="136">
        <v>45895</v>
      </c>
      <c r="N3828" s="137"/>
      <c r="O3828" s="137"/>
      <c r="P3828" s="136" t="str">
        <f ca="1">IF(Proc[[#This Row],[DaysAgeing]]&gt;5,"yep","on track")</f>
        <v>yep</v>
      </c>
      <c r="Q3828" s="3">
        <f ca="1">IF(Proc[[#This Row],[DateClosed]]="",ABS(NETWORKDAYS(Proc[[#This Row],[DateOpened]],TODAY()))-1,ABS(NETWORKDAYS(Proc[[#This Row],[DateOpened]],Proc[[#This Row],[DateClosed]]))-1)</f>
        <v>78</v>
      </c>
      <c r="R3828" s="136" t="s">
        <v>6087</v>
      </c>
      <c r="S3828" s="129"/>
    </row>
    <row r="3829" spans="1:19">
      <c r="A3829" s="135" t="s">
        <v>6086</v>
      </c>
      <c r="B3829" s="149" t="str">
        <f>IFERROR(VLOOKUP(Proc[[#This Row],[App]],Table2[],3,0),"open")</f>
        <v>ok</v>
      </c>
      <c r="C3829" s="138" t="s">
        <v>369</v>
      </c>
      <c r="D3829" t="s">
        <v>5956</v>
      </c>
      <c r="E3829" t="s">
        <v>6062</v>
      </c>
      <c r="F3829" s="129" t="s">
        <v>6062</v>
      </c>
      <c r="G3829" s="135" t="s">
        <v>406</v>
      </c>
      <c r="H3829" s="129" t="str">
        <f>IF(Proc[[#This Row],[type]]="LFF (MDG-F)",MID(Proc[[#This Row],[Obj]],13,10),"")</f>
        <v>JP01C0O999</v>
      </c>
      <c r="J3829" s="129" t="b">
        <f>Proc[[#This Row],[Requested]]=Proc[[#This Row],[CurrentParent]]</f>
        <v>1</v>
      </c>
      <c r="K3829" s="144" t="str">
        <f>IF(Proc[[#This Row],[Author]]="Marcela Urrego",VLOOKUP(LEFT(Proc[[#This Row],[Requested]],1),Table3[#All],2,0),VLOOKUP(Proc[[#This Row],[Author]],Table4[],2,0))</f>
        <v>EL</v>
      </c>
      <c r="L3829" s="129" t="s">
        <v>4894</v>
      </c>
      <c r="M3829" s="136">
        <v>45895</v>
      </c>
      <c r="N3829" s="137"/>
      <c r="O3829" s="137"/>
      <c r="P3829" s="136" t="str">
        <f ca="1">IF(Proc[[#This Row],[DaysAgeing]]&gt;5,"yep","on track")</f>
        <v>yep</v>
      </c>
      <c r="Q3829" s="3">
        <f ca="1">IF(Proc[[#This Row],[DateClosed]]="",ABS(NETWORKDAYS(Proc[[#This Row],[DateOpened]],TODAY()))-1,ABS(NETWORKDAYS(Proc[[#This Row],[DateOpened]],Proc[[#This Row],[DateClosed]]))-1)</f>
        <v>78</v>
      </c>
      <c r="R3829" s="136" t="s">
        <v>6087</v>
      </c>
      <c r="S3829" s="129"/>
    </row>
    <row r="3830" spans="1:19">
      <c r="A3830" s="135" t="s">
        <v>6086</v>
      </c>
      <c r="B3830" s="149" t="str">
        <f>IFERROR(VLOOKUP(Proc[[#This Row],[App]],Table2[],3,0),"open")</f>
        <v>ok</v>
      </c>
      <c r="C3830" s="138" t="s">
        <v>369</v>
      </c>
      <c r="D3830" t="s">
        <v>5957</v>
      </c>
      <c r="E3830" t="s">
        <v>6066</v>
      </c>
      <c r="F3830" s="129" t="s">
        <v>6066</v>
      </c>
      <c r="G3830" s="135" t="s">
        <v>406</v>
      </c>
      <c r="H3830" s="129" t="str">
        <f>IF(Proc[[#This Row],[type]]="LFF (MDG-F)",MID(Proc[[#This Row],[Obj]],13,10),"")</f>
        <v>JP01GBT301</v>
      </c>
      <c r="J3830" s="129" t="b">
        <f>Proc[[#This Row],[Requested]]=Proc[[#This Row],[CurrentParent]]</f>
        <v>1</v>
      </c>
      <c r="K3830" s="144" t="str">
        <f>IF(Proc[[#This Row],[Author]]="Marcela Urrego",VLOOKUP(LEFT(Proc[[#This Row],[Requested]],1),Table3[#All],2,0),VLOOKUP(Proc[[#This Row],[Author]],Table4[],2,0))</f>
        <v>EL</v>
      </c>
      <c r="L3830" s="129" t="s">
        <v>4894</v>
      </c>
      <c r="M3830" s="136">
        <v>45895</v>
      </c>
      <c r="N3830" s="137"/>
      <c r="O3830" s="137"/>
      <c r="P3830" s="136" t="str">
        <f ca="1">IF(Proc[[#This Row],[DaysAgeing]]&gt;5,"yep","on track")</f>
        <v>yep</v>
      </c>
      <c r="Q3830" s="3">
        <f ca="1">IF(Proc[[#This Row],[DateClosed]]="",ABS(NETWORKDAYS(Proc[[#This Row],[DateOpened]],TODAY()))-1,ABS(NETWORKDAYS(Proc[[#This Row],[DateOpened]],Proc[[#This Row],[DateClosed]]))-1)</f>
        <v>78</v>
      </c>
      <c r="R3830" s="136" t="s">
        <v>6087</v>
      </c>
      <c r="S3830" s="129"/>
    </row>
    <row r="3831" spans="1:19">
      <c r="A3831" s="135" t="s">
        <v>6086</v>
      </c>
      <c r="B3831" s="149" t="str">
        <f>IFERROR(VLOOKUP(Proc[[#This Row],[App]],Table2[],3,0),"open")</f>
        <v>ok</v>
      </c>
      <c r="C3831" s="138" t="s">
        <v>369</v>
      </c>
      <c r="D3831" t="s">
        <v>5958</v>
      </c>
      <c r="E3831" t="s">
        <v>6066</v>
      </c>
      <c r="F3831" s="129" t="s">
        <v>6066</v>
      </c>
      <c r="G3831" s="135" t="s">
        <v>406</v>
      </c>
      <c r="H3831" s="129" t="str">
        <f>IF(Proc[[#This Row],[type]]="LFF (MDG-F)",MID(Proc[[#This Row],[Obj]],13,10),"")</f>
        <v>JP01GBT303</v>
      </c>
      <c r="J3831" s="129" t="b">
        <f>Proc[[#This Row],[Requested]]=Proc[[#This Row],[CurrentParent]]</f>
        <v>1</v>
      </c>
      <c r="K3831" s="144" t="str">
        <f>IF(Proc[[#This Row],[Author]]="Marcela Urrego",VLOOKUP(LEFT(Proc[[#This Row],[Requested]],1),Table3[#All],2,0),VLOOKUP(Proc[[#This Row],[Author]],Table4[],2,0))</f>
        <v>EL</v>
      </c>
      <c r="L3831" s="129" t="s">
        <v>4894</v>
      </c>
      <c r="M3831" s="136">
        <v>45895</v>
      </c>
      <c r="N3831" s="137"/>
      <c r="O3831" s="137"/>
      <c r="P3831" s="136" t="str">
        <f ca="1">IF(Proc[[#This Row],[DaysAgeing]]&gt;5,"yep","on track")</f>
        <v>yep</v>
      </c>
      <c r="Q3831" s="3">
        <f ca="1">IF(Proc[[#This Row],[DateClosed]]="",ABS(NETWORKDAYS(Proc[[#This Row],[DateOpened]],TODAY()))-1,ABS(NETWORKDAYS(Proc[[#This Row],[DateOpened]],Proc[[#This Row],[DateClosed]]))-1)</f>
        <v>78</v>
      </c>
      <c r="R3831" s="136" t="s">
        <v>6087</v>
      </c>
      <c r="S3831" s="129"/>
    </row>
    <row r="3832" spans="1:19">
      <c r="A3832" s="135" t="s">
        <v>6086</v>
      </c>
      <c r="B3832" s="149" t="str">
        <f>IFERROR(VLOOKUP(Proc[[#This Row],[App]],Table2[],3,0),"open")</f>
        <v>ok</v>
      </c>
      <c r="C3832" s="138" t="s">
        <v>369</v>
      </c>
      <c r="D3832" t="s">
        <v>5959</v>
      </c>
      <c r="E3832" t="s">
        <v>6066</v>
      </c>
      <c r="F3832" s="129" t="s">
        <v>6066</v>
      </c>
      <c r="G3832" s="135" t="s">
        <v>406</v>
      </c>
      <c r="H3832" s="129" t="str">
        <f>IF(Proc[[#This Row],[type]]="LFF (MDG-F)",MID(Proc[[#This Row],[Obj]],13,10),"")</f>
        <v>JP01GBT304</v>
      </c>
      <c r="J3832" s="129" t="b">
        <f>Proc[[#This Row],[Requested]]=Proc[[#This Row],[CurrentParent]]</f>
        <v>1</v>
      </c>
      <c r="K3832" s="144" t="str">
        <f>IF(Proc[[#This Row],[Author]]="Marcela Urrego",VLOOKUP(LEFT(Proc[[#This Row],[Requested]],1),Table3[#All],2,0),VLOOKUP(Proc[[#This Row],[Author]],Table4[],2,0))</f>
        <v>EL</v>
      </c>
      <c r="L3832" s="129" t="s">
        <v>4894</v>
      </c>
      <c r="M3832" s="136">
        <v>45895</v>
      </c>
      <c r="N3832" s="137"/>
      <c r="O3832" s="137"/>
      <c r="P3832" s="136" t="str">
        <f ca="1">IF(Proc[[#This Row],[DaysAgeing]]&gt;5,"yep","on track")</f>
        <v>yep</v>
      </c>
      <c r="Q3832" s="3">
        <f ca="1">IF(Proc[[#This Row],[DateClosed]]="",ABS(NETWORKDAYS(Proc[[#This Row],[DateOpened]],TODAY()))-1,ABS(NETWORKDAYS(Proc[[#This Row],[DateOpened]],Proc[[#This Row],[DateClosed]]))-1)</f>
        <v>78</v>
      </c>
      <c r="R3832" s="136" t="s">
        <v>6087</v>
      </c>
      <c r="S3832" s="129"/>
    </row>
    <row r="3833" spans="1:19">
      <c r="A3833" s="135" t="s">
        <v>6086</v>
      </c>
      <c r="B3833" s="149" t="str">
        <f>IFERROR(VLOOKUP(Proc[[#This Row],[App]],Table2[],3,0),"open")</f>
        <v>ok</v>
      </c>
      <c r="C3833" s="138" t="s">
        <v>369</v>
      </c>
      <c r="D3833" t="s">
        <v>5960</v>
      </c>
      <c r="E3833" t="s">
        <v>6066</v>
      </c>
      <c r="F3833" s="129" t="s">
        <v>6066</v>
      </c>
      <c r="G3833" s="135" t="s">
        <v>406</v>
      </c>
      <c r="H3833" s="129" t="str">
        <f>IF(Proc[[#This Row],[type]]="LFF (MDG-F)",MID(Proc[[#This Row],[Obj]],13,10),"")</f>
        <v>JP01GBT305</v>
      </c>
      <c r="J3833" s="129" t="b">
        <f>Proc[[#This Row],[Requested]]=Proc[[#This Row],[CurrentParent]]</f>
        <v>1</v>
      </c>
      <c r="K3833" s="144" t="str">
        <f>IF(Proc[[#This Row],[Author]]="Marcela Urrego",VLOOKUP(LEFT(Proc[[#This Row],[Requested]],1),Table3[#All],2,0),VLOOKUP(Proc[[#This Row],[Author]],Table4[],2,0))</f>
        <v>EL</v>
      </c>
      <c r="L3833" s="129" t="s">
        <v>4894</v>
      </c>
      <c r="M3833" s="136">
        <v>45895</v>
      </c>
      <c r="N3833" s="137"/>
      <c r="O3833" s="137"/>
      <c r="P3833" s="136" t="str">
        <f ca="1">IF(Proc[[#This Row],[DaysAgeing]]&gt;5,"yep","on track")</f>
        <v>yep</v>
      </c>
      <c r="Q3833" s="3">
        <f ca="1">IF(Proc[[#This Row],[DateClosed]]="",ABS(NETWORKDAYS(Proc[[#This Row],[DateOpened]],TODAY()))-1,ABS(NETWORKDAYS(Proc[[#This Row],[DateOpened]],Proc[[#This Row],[DateClosed]]))-1)</f>
        <v>78</v>
      </c>
      <c r="R3833" s="136" t="s">
        <v>6087</v>
      </c>
      <c r="S3833" s="129"/>
    </row>
    <row r="3834" spans="1:19">
      <c r="A3834" s="135" t="s">
        <v>6086</v>
      </c>
      <c r="B3834" s="149" t="str">
        <f>IFERROR(VLOOKUP(Proc[[#This Row],[App]],Table2[],3,0),"open")</f>
        <v>ok</v>
      </c>
      <c r="C3834" s="138" t="s">
        <v>369</v>
      </c>
      <c r="D3834" t="s">
        <v>5961</v>
      </c>
      <c r="E3834" t="s">
        <v>6067</v>
      </c>
      <c r="F3834" s="129" t="s">
        <v>6067</v>
      </c>
      <c r="G3834" s="135" t="s">
        <v>406</v>
      </c>
      <c r="H3834" s="129" t="str">
        <f>IF(Proc[[#This Row],[type]]="LFF (MDG-F)",MID(Proc[[#This Row],[Obj]],13,10),"")</f>
        <v>JP01GCM301</v>
      </c>
      <c r="J3834" s="129" t="b">
        <f>Proc[[#This Row],[Requested]]=Proc[[#This Row],[CurrentParent]]</f>
        <v>1</v>
      </c>
      <c r="K3834" s="144" t="str">
        <f>IF(Proc[[#This Row],[Author]]="Marcela Urrego",VLOOKUP(LEFT(Proc[[#This Row],[Requested]],1),Table3[#All],2,0),VLOOKUP(Proc[[#This Row],[Author]],Table4[],2,0))</f>
        <v>EL</v>
      </c>
      <c r="L3834" s="129" t="s">
        <v>4894</v>
      </c>
      <c r="M3834" s="136">
        <v>45895</v>
      </c>
      <c r="N3834" s="137"/>
      <c r="O3834" s="137"/>
      <c r="P3834" s="136" t="str">
        <f ca="1">IF(Proc[[#This Row],[DaysAgeing]]&gt;5,"yep","on track")</f>
        <v>yep</v>
      </c>
      <c r="Q3834" s="3">
        <f ca="1">IF(Proc[[#This Row],[DateClosed]]="",ABS(NETWORKDAYS(Proc[[#This Row],[DateOpened]],TODAY()))-1,ABS(NETWORKDAYS(Proc[[#This Row],[DateOpened]],Proc[[#This Row],[DateClosed]]))-1)</f>
        <v>78</v>
      </c>
      <c r="R3834" s="136" t="s">
        <v>6087</v>
      </c>
      <c r="S3834" s="129"/>
    </row>
    <row r="3835" spans="1:19">
      <c r="A3835" s="135" t="s">
        <v>6086</v>
      </c>
      <c r="B3835" s="149" t="str">
        <f>IFERROR(VLOOKUP(Proc[[#This Row],[App]],Table2[],3,0),"open")</f>
        <v>ok</v>
      </c>
      <c r="C3835" s="138" t="s">
        <v>369</v>
      </c>
      <c r="D3835" t="s">
        <v>5962</v>
      </c>
      <c r="E3835" t="s">
        <v>6068</v>
      </c>
      <c r="F3835" s="129" t="s">
        <v>6068</v>
      </c>
      <c r="G3835" s="135" t="s">
        <v>406</v>
      </c>
      <c r="H3835" s="129" t="str">
        <f>IF(Proc[[#This Row],[type]]="LFF (MDG-F)",MID(Proc[[#This Row],[Obj]],13,10),"")</f>
        <v>JP01GCO301</v>
      </c>
      <c r="J3835" s="129" t="b">
        <f>Proc[[#This Row],[Requested]]=Proc[[#This Row],[CurrentParent]]</f>
        <v>1</v>
      </c>
      <c r="K3835" s="144" t="str">
        <f>IF(Proc[[#This Row],[Author]]="Marcela Urrego",VLOOKUP(LEFT(Proc[[#This Row],[Requested]],1),Table3[#All],2,0),VLOOKUP(Proc[[#This Row],[Author]],Table4[],2,0))</f>
        <v>EL</v>
      </c>
      <c r="L3835" s="129" t="s">
        <v>4894</v>
      </c>
      <c r="M3835" s="136">
        <v>45895</v>
      </c>
      <c r="N3835" s="137"/>
      <c r="O3835" s="137"/>
      <c r="P3835" s="136" t="str">
        <f ca="1">IF(Proc[[#This Row],[DaysAgeing]]&gt;5,"yep","on track")</f>
        <v>yep</v>
      </c>
      <c r="Q3835" s="3">
        <f ca="1">IF(Proc[[#This Row],[DateClosed]]="",ABS(NETWORKDAYS(Proc[[#This Row],[DateOpened]],TODAY()))-1,ABS(NETWORKDAYS(Proc[[#This Row],[DateOpened]],Proc[[#This Row],[DateClosed]]))-1)</f>
        <v>78</v>
      </c>
      <c r="R3835" s="136" t="s">
        <v>6087</v>
      </c>
      <c r="S3835" s="129"/>
    </row>
    <row r="3836" spans="1:19">
      <c r="A3836" s="135" t="s">
        <v>6086</v>
      </c>
      <c r="B3836" s="149" t="str">
        <f>IFERROR(VLOOKUP(Proc[[#This Row],[App]],Table2[],3,0),"open")</f>
        <v>ok</v>
      </c>
      <c r="C3836" s="138" t="s">
        <v>369</v>
      </c>
      <c r="D3836" t="s">
        <v>5963</v>
      </c>
      <c r="E3836" t="s">
        <v>6067</v>
      </c>
      <c r="F3836" s="129" t="s">
        <v>6067</v>
      </c>
      <c r="G3836" s="135" t="s">
        <v>406</v>
      </c>
      <c r="H3836" s="129" t="str">
        <f>IF(Proc[[#This Row],[type]]="LFF (MDG-F)",MID(Proc[[#This Row],[Obj]],13,10),"")</f>
        <v>JP01GFO300</v>
      </c>
      <c r="J3836" s="129" t="b">
        <f>Proc[[#This Row],[Requested]]=Proc[[#This Row],[CurrentParent]]</f>
        <v>1</v>
      </c>
      <c r="K3836" s="144" t="str">
        <f>IF(Proc[[#This Row],[Author]]="Marcela Urrego",VLOOKUP(LEFT(Proc[[#This Row],[Requested]],1),Table3[#All],2,0),VLOOKUP(Proc[[#This Row],[Author]],Table4[],2,0))</f>
        <v>EL</v>
      </c>
      <c r="L3836" s="129" t="s">
        <v>4894</v>
      </c>
      <c r="M3836" s="136">
        <v>45895</v>
      </c>
      <c r="N3836" s="137"/>
      <c r="O3836" s="137"/>
      <c r="P3836" s="136" t="str">
        <f ca="1">IF(Proc[[#This Row],[DaysAgeing]]&gt;5,"yep","on track")</f>
        <v>yep</v>
      </c>
      <c r="Q3836" s="3">
        <f ca="1">IF(Proc[[#This Row],[DateClosed]]="",ABS(NETWORKDAYS(Proc[[#This Row],[DateOpened]],TODAY()))-1,ABS(NETWORKDAYS(Proc[[#This Row],[DateOpened]],Proc[[#This Row],[DateClosed]]))-1)</f>
        <v>78</v>
      </c>
      <c r="R3836" s="136" t="s">
        <v>6087</v>
      </c>
      <c r="S3836" s="129"/>
    </row>
    <row r="3837" spans="1:19">
      <c r="A3837" s="135" t="s">
        <v>6086</v>
      </c>
      <c r="B3837" s="149" t="str">
        <f>IFERROR(VLOOKUP(Proc[[#This Row],[App]],Table2[],3,0),"open")</f>
        <v>ok</v>
      </c>
      <c r="C3837" s="138" t="s">
        <v>369</v>
      </c>
      <c r="D3837" t="s">
        <v>5964</v>
      </c>
      <c r="E3837" t="s">
        <v>6067</v>
      </c>
      <c r="F3837" s="129" t="s">
        <v>6067</v>
      </c>
      <c r="G3837" s="135" t="s">
        <v>406</v>
      </c>
      <c r="H3837" s="129" t="str">
        <f>IF(Proc[[#This Row],[type]]="LFF (MDG-F)",MID(Proc[[#This Row],[Obj]],13,10),"")</f>
        <v>JP01GFO301</v>
      </c>
      <c r="J3837" s="129" t="b">
        <f>Proc[[#This Row],[Requested]]=Proc[[#This Row],[CurrentParent]]</f>
        <v>1</v>
      </c>
      <c r="K3837" s="144" t="str">
        <f>IF(Proc[[#This Row],[Author]]="Marcela Urrego",VLOOKUP(LEFT(Proc[[#This Row],[Requested]],1),Table3[#All],2,0),VLOOKUP(Proc[[#This Row],[Author]],Table4[],2,0))</f>
        <v>EL</v>
      </c>
      <c r="L3837" s="129" t="s">
        <v>4894</v>
      </c>
      <c r="M3837" s="136">
        <v>45895</v>
      </c>
      <c r="N3837" s="137"/>
      <c r="O3837" s="137"/>
      <c r="P3837" s="136" t="str">
        <f ca="1">IF(Proc[[#This Row],[DaysAgeing]]&gt;5,"yep","on track")</f>
        <v>yep</v>
      </c>
      <c r="Q3837" s="3">
        <f ca="1">IF(Proc[[#This Row],[DateClosed]]="",ABS(NETWORKDAYS(Proc[[#This Row],[DateOpened]],TODAY()))-1,ABS(NETWORKDAYS(Proc[[#This Row],[DateOpened]],Proc[[#This Row],[DateClosed]]))-1)</f>
        <v>78</v>
      </c>
      <c r="R3837" s="136" t="s">
        <v>6087</v>
      </c>
      <c r="S3837" s="129"/>
    </row>
    <row r="3838" spans="1:19">
      <c r="A3838" s="135" t="s">
        <v>6086</v>
      </c>
      <c r="B3838" s="149" t="str">
        <f>IFERROR(VLOOKUP(Proc[[#This Row],[App]],Table2[],3,0),"open")</f>
        <v>ok</v>
      </c>
      <c r="C3838" s="138" t="s">
        <v>369</v>
      </c>
      <c r="D3838" t="s">
        <v>5965</v>
      </c>
      <c r="E3838" t="s">
        <v>6069</v>
      </c>
      <c r="F3838" s="129" t="s">
        <v>6069</v>
      </c>
      <c r="G3838" s="135" t="s">
        <v>406</v>
      </c>
      <c r="H3838" s="129" t="str">
        <f>IF(Proc[[#This Row],[type]]="LFF (MDG-F)",MID(Proc[[#This Row],[Obj]],13,10),"")</f>
        <v>JP01GHR301</v>
      </c>
      <c r="J3838" s="129" t="b">
        <f>Proc[[#This Row],[Requested]]=Proc[[#This Row],[CurrentParent]]</f>
        <v>1</v>
      </c>
      <c r="K3838" s="144" t="str">
        <f>IF(Proc[[#This Row],[Author]]="Marcela Urrego",VLOOKUP(LEFT(Proc[[#This Row],[Requested]],1),Table3[#All],2,0),VLOOKUP(Proc[[#This Row],[Author]],Table4[],2,0))</f>
        <v>EL</v>
      </c>
      <c r="L3838" s="129" t="s">
        <v>4894</v>
      </c>
      <c r="M3838" s="136">
        <v>45895</v>
      </c>
      <c r="N3838" s="137"/>
      <c r="O3838" s="137"/>
      <c r="P3838" s="136" t="str">
        <f ca="1">IF(Proc[[#This Row],[DaysAgeing]]&gt;5,"yep","on track")</f>
        <v>yep</v>
      </c>
      <c r="Q3838" s="3">
        <f ca="1">IF(Proc[[#This Row],[DateClosed]]="",ABS(NETWORKDAYS(Proc[[#This Row],[DateOpened]],TODAY()))-1,ABS(NETWORKDAYS(Proc[[#This Row],[DateOpened]],Proc[[#This Row],[DateClosed]]))-1)</f>
        <v>78</v>
      </c>
      <c r="R3838" s="136" t="s">
        <v>6087</v>
      </c>
      <c r="S3838" s="129"/>
    </row>
    <row r="3839" spans="1:19">
      <c r="A3839" s="135" t="s">
        <v>6086</v>
      </c>
      <c r="B3839" s="149" t="str">
        <f>IFERROR(VLOOKUP(Proc[[#This Row],[App]],Table2[],3,0),"open")</f>
        <v>ok</v>
      </c>
      <c r="C3839" s="138" t="s">
        <v>369</v>
      </c>
      <c r="D3839" t="s">
        <v>5966</v>
      </c>
      <c r="E3839" t="s">
        <v>6069</v>
      </c>
      <c r="F3839" s="129" t="s">
        <v>6069</v>
      </c>
      <c r="G3839" s="135" t="s">
        <v>406</v>
      </c>
      <c r="H3839" s="129" t="str">
        <f>IF(Proc[[#This Row],[type]]="LFF (MDG-F)",MID(Proc[[#This Row],[Obj]],13,10),"")</f>
        <v>JP01GHR303</v>
      </c>
      <c r="J3839" s="129" t="b">
        <f>Proc[[#This Row],[Requested]]=Proc[[#This Row],[CurrentParent]]</f>
        <v>1</v>
      </c>
      <c r="K3839" s="144" t="str">
        <f>IF(Proc[[#This Row],[Author]]="Marcela Urrego",VLOOKUP(LEFT(Proc[[#This Row],[Requested]],1),Table3[#All],2,0),VLOOKUP(Proc[[#This Row],[Author]],Table4[],2,0))</f>
        <v>EL</v>
      </c>
      <c r="L3839" s="129" t="s">
        <v>4894</v>
      </c>
      <c r="M3839" s="136">
        <v>45895</v>
      </c>
      <c r="N3839" s="137"/>
      <c r="O3839" s="137"/>
      <c r="P3839" s="136" t="str">
        <f ca="1">IF(Proc[[#This Row],[DaysAgeing]]&gt;5,"yep","on track")</f>
        <v>yep</v>
      </c>
      <c r="Q3839" s="3">
        <f ca="1">IF(Proc[[#This Row],[DateClosed]]="",ABS(NETWORKDAYS(Proc[[#This Row],[DateOpened]],TODAY()))-1,ABS(NETWORKDAYS(Proc[[#This Row],[DateOpened]],Proc[[#This Row],[DateClosed]]))-1)</f>
        <v>78</v>
      </c>
      <c r="R3839" s="136" t="s">
        <v>6087</v>
      </c>
      <c r="S3839" s="129"/>
    </row>
    <row r="3840" spans="1:19">
      <c r="A3840" s="135" t="s">
        <v>6086</v>
      </c>
      <c r="B3840" s="149" t="str">
        <f>IFERROR(VLOOKUP(Proc[[#This Row],[App]],Table2[],3,0),"open")</f>
        <v>ok</v>
      </c>
      <c r="C3840" s="138" t="s">
        <v>369</v>
      </c>
      <c r="D3840" t="s">
        <v>5967</v>
      </c>
      <c r="E3840" t="s">
        <v>6066</v>
      </c>
      <c r="F3840" s="129" t="s">
        <v>6066</v>
      </c>
      <c r="G3840" s="135" t="s">
        <v>406</v>
      </c>
      <c r="H3840" s="129" t="str">
        <f>IF(Proc[[#This Row],[type]]="LFF (MDG-F)",MID(Proc[[#This Row],[Obj]],13,10),"")</f>
        <v>JP01GIT01B</v>
      </c>
      <c r="J3840" s="129" t="b">
        <f>Proc[[#This Row],[Requested]]=Proc[[#This Row],[CurrentParent]]</f>
        <v>1</v>
      </c>
      <c r="K3840" s="144" t="str">
        <f>IF(Proc[[#This Row],[Author]]="Marcela Urrego",VLOOKUP(LEFT(Proc[[#This Row],[Requested]],1),Table3[#All],2,0),VLOOKUP(Proc[[#This Row],[Author]],Table4[],2,0))</f>
        <v>EL</v>
      </c>
      <c r="L3840" s="129" t="s">
        <v>4894</v>
      </c>
      <c r="M3840" s="136">
        <v>45895</v>
      </c>
      <c r="N3840" s="137"/>
      <c r="O3840" s="137"/>
      <c r="P3840" s="136" t="str">
        <f ca="1">IF(Proc[[#This Row],[DaysAgeing]]&gt;5,"yep","on track")</f>
        <v>yep</v>
      </c>
      <c r="Q3840" s="3">
        <f ca="1">IF(Proc[[#This Row],[DateClosed]]="",ABS(NETWORKDAYS(Proc[[#This Row],[DateOpened]],TODAY()))-1,ABS(NETWORKDAYS(Proc[[#This Row],[DateOpened]],Proc[[#This Row],[DateClosed]]))-1)</f>
        <v>78</v>
      </c>
      <c r="R3840" s="136" t="s">
        <v>6087</v>
      </c>
      <c r="S3840" s="129"/>
    </row>
    <row r="3841" spans="1:19">
      <c r="A3841" s="135" t="s">
        <v>6086</v>
      </c>
      <c r="B3841" s="149" t="str">
        <f>IFERROR(VLOOKUP(Proc[[#This Row],[App]],Table2[],3,0),"open")</f>
        <v>ok</v>
      </c>
      <c r="C3841" s="138" t="s">
        <v>369</v>
      </c>
      <c r="D3841" t="s">
        <v>5968</v>
      </c>
      <c r="E3841" t="s">
        <v>6070</v>
      </c>
      <c r="F3841" s="129" t="s">
        <v>6070</v>
      </c>
      <c r="G3841" s="135" t="s">
        <v>406</v>
      </c>
      <c r="H3841" s="129" t="str">
        <f>IF(Proc[[#This Row],[type]]="LFF (MDG-F)",MID(Proc[[#This Row],[Obj]],13,10),"")</f>
        <v>JP01GLE301</v>
      </c>
      <c r="J3841" s="129" t="b">
        <f>Proc[[#This Row],[Requested]]=Proc[[#This Row],[CurrentParent]]</f>
        <v>1</v>
      </c>
      <c r="K3841" s="144" t="str">
        <f>IF(Proc[[#This Row],[Author]]="Marcela Urrego",VLOOKUP(LEFT(Proc[[#This Row],[Requested]],1),Table3[#All],2,0),VLOOKUP(Proc[[#This Row],[Author]],Table4[],2,0))</f>
        <v>EL</v>
      </c>
      <c r="L3841" s="129" t="s">
        <v>4894</v>
      </c>
      <c r="M3841" s="136">
        <v>45895</v>
      </c>
      <c r="N3841" s="137"/>
      <c r="O3841" s="137"/>
      <c r="P3841" s="136" t="str">
        <f ca="1">IF(Proc[[#This Row],[DaysAgeing]]&gt;5,"yep","on track")</f>
        <v>yep</v>
      </c>
      <c r="Q3841" s="3">
        <f ca="1">IF(Proc[[#This Row],[DateClosed]]="",ABS(NETWORKDAYS(Proc[[#This Row],[DateOpened]],TODAY()))-1,ABS(NETWORKDAYS(Proc[[#This Row],[DateOpened]],Proc[[#This Row],[DateClosed]]))-1)</f>
        <v>78</v>
      </c>
      <c r="R3841" s="136" t="s">
        <v>6087</v>
      </c>
      <c r="S3841" s="129"/>
    </row>
    <row r="3842" spans="1:19">
      <c r="A3842" s="135" t="s">
        <v>6086</v>
      </c>
      <c r="B3842" s="149" t="str">
        <f>IFERROR(VLOOKUP(Proc[[#This Row],[App]],Table2[],3,0),"open")</f>
        <v>ok</v>
      </c>
      <c r="C3842" s="138" t="s">
        <v>369</v>
      </c>
      <c r="D3842" t="s">
        <v>5969</v>
      </c>
      <c r="E3842" t="s">
        <v>6070</v>
      </c>
      <c r="F3842" s="129" t="s">
        <v>6070</v>
      </c>
      <c r="G3842" s="135" t="s">
        <v>406</v>
      </c>
      <c r="H3842" s="129" t="str">
        <f>IF(Proc[[#This Row],[type]]="LFF (MDG-F)",MID(Proc[[#This Row],[Obj]],13,10),"")</f>
        <v>JP01GLE302</v>
      </c>
      <c r="J3842" s="129" t="b">
        <f>Proc[[#This Row],[Requested]]=Proc[[#This Row],[CurrentParent]]</f>
        <v>1</v>
      </c>
      <c r="K3842" s="144" t="str">
        <f>IF(Proc[[#This Row],[Author]]="Marcela Urrego",VLOOKUP(LEFT(Proc[[#This Row],[Requested]],1),Table3[#All],2,0),VLOOKUP(Proc[[#This Row],[Author]],Table4[],2,0))</f>
        <v>EL</v>
      </c>
      <c r="L3842" s="129" t="s">
        <v>4894</v>
      </c>
      <c r="M3842" s="136">
        <v>45895</v>
      </c>
      <c r="N3842" s="137"/>
      <c r="O3842" s="137"/>
      <c r="P3842" s="136" t="str">
        <f ca="1">IF(Proc[[#This Row],[DaysAgeing]]&gt;5,"yep","on track")</f>
        <v>yep</v>
      </c>
      <c r="Q3842" s="3">
        <f ca="1">IF(Proc[[#This Row],[DateClosed]]="",ABS(NETWORKDAYS(Proc[[#This Row],[DateOpened]],TODAY()))-1,ABS(NETWORKDAYS(Proc[[#This Row],[DateOpened]],Proc[[#This Row],[DateClosed]]))-1)</f>
        <v>78</v>
      </c>
      <c r="R3842" s="136" t="s">
        <v>6087</v>
      </c>
      <c r="S3842" s="129"/>
    </row>
    <row r="3843" spans="1:19">
      <c r="A3843" s="135" t="s">
        <v>6086</v>
      </c>
      <c r="B3843" s="149" t="str">
        <f>IFERROR(VLOOKUP(Proc[[#This Row],[App]],Table2[],3,0),"open")</f>
        <v>ok</v>
      </c>
      <c r="C3843" s="138" t="s">
        <v>369</v>
      </c>
      <c r="D3843" t="s">
        <v>5970</v>
      </c>
      <c r="E3843" t="s">
        <v>6059</v>
      </c>
      <c r="F3843" s="129" t="s">
        <v>6059</v>
      </c>
      <c r="G3843" s="135" t="s">
        <v>406</v>
      </c>
      <c r="H3843" s="129" t="str">
        <f>IF(Proc[[#This Row],[type]]="LFF (MDG-F)",MID(Proc[[#This Row],[Obj]],13,10),"")</f>
        <v>JP01GM1002</v>
      </c>
      <c r="J3843" s="129" t="b">
        <f>Proc[[#This Row],[Requested]]=Proc[[#This Row],[CurrentParent]]</f>
        <v>1</v>
      </c>
      <c r="K3843" s="144" t="str">
        <f>IF(Proc[[#This Row],[Author]]="Marcela Urrego",VLOOKUP(LEFT(Proc[[#This Row],[Requested]],1),Table3[#All],2,0),VLOOKUP(Proc[[#This Row],[Author]],Table4[],2,0))</f>
        <v>EL</v>
      </c>
      <c r="L3843" s="129" t="s">
        <v>4894</v>
      </c>
      <c r="M3843" s="136">
        <v>45895</v>
      </c>
      <c r="N3843" s="137"/>
      <c r="O3843" s="137"/>
      <c r="P3843" s="136" t="str">
        <f ca="1">IF(Proc[[#This Row],[DaysAgeing]]&gt;5,"yep","on track")</f>
        <v>yep</v>
      </c>
      <c r="Q3843" s="3">
        <f ca="1">IF(Proc[[#This Row],[DateClosed]]="",ABS(NETWORKDAYS(Proc[[#This Row],[DateOpened]],TODAY()))-1,ABS(NETWORKDAYS(Proc[[#This Row],[DateOpened]],Proc[[#This Row],[DateClosed]]))-1)</f>
        <v>78</v>
      </c>
      <c r="R3843" s="136" t="s">
        <v>6087</v>
      </c>
      <c r="S3843" s="129"/>
    </row>
    <row r="3844" spans="1:19">
      <c r="A3844" s="135" t="s">
        <v>6086</v>
      </c>
      <c r="B3844" s="149" t="str">
        <f>IFERROR(VLOOKUP(Proc[[#This Row],[App]],Table2[],3,0),"open")</f>
        <v>ok</v>
      </c>
      <c r="C3844" s="138" t="s">
        <v>369</v>
      </c>
      <c r="D3844" t="s">
        <v>5971</v>
      </c>
      <c r="E3844" t="s">
        <v>6059</v>
      </c>
      <c r="F3844" s="129" t="s">
        <v>6059</v>
      </c>
      <c r="G3844" s="135" t="s">
        <v>406</v>
      </c>
      <c r="H3844" s="129" t="str">
        <f>IF(Proc[[#This Row],[type]]="LFF (MDG-F)",MID(Proc[[#This Row],[Obj]],13,10),"")</f>
        <v>JP01GM4001</v>
      </c>
      <c r="J3844" s="129" t="b">
        <f>Proc[[#This Row],[Requested]]=Proc[[#This Row],[CurrentParent]]</f>
        <v>1</v>
      </c>
      <c r="K3844" s="144" t="str">
        <f>IF(Proc[[#This Row],[Author]]="Marcela Urrego",VLOOKUP(LEFT(Proc[[#This Row],[Requested]],1),Table3[#All],2,0),VLOOKUP(Proc[[#This Row],[Author]],Table4[],2,0))</f>
        <v>EL</v>
      </c>
      <c r="L3844" s="129" t="s">
        <v>4894</v>
      </c>
      <c r="M3844" s="136">
        <v>45895</v>
      </c>
      <c r="N3844" s="137"/>
      <c r="O3844" s="137"/>
      <c r="P3844" s="136" t="str">
        <f ca="1">IF(Proc[[#This Row],[DaysAgeing]]&gt;5,"yep","on track")</f>
        <v>yep</v>
      </c>
      <c r="Q3844" s="3">
        <f ca="1">IF(Proc[[#This Row],[DateClosed]]="",ABS(NETWORKDAYS(Proc[[#This Row],[DateOpened]],TODAY()))-1,ABS(NETWORKDAYS(Proc[[#This Row],[DateOpened]],Proc[[#This Row],[DateClosed]]))-1)</f>
        <v>78</v>
      </c>
      <c r="R3844" s="136" t="s">
        <v>6087</v>
      </c>
      <c r="S3844" s="129"/>
    </row>
    <row r="3845" spans="1:19">
      <c r="A3845" s="135" t="s">
        <v>6086</v>
      </c>
      <c r="B3845" s="149" t="str">
        <f>IFERROR(VLOOKUP(Proc[[#This Row],[App]],Table2[],3,0),"open")</f>
        <v>ok</v>
      </c>
      <c r="C3845" s="138" t="s">
        <v>369</v>
      </c>
      <c r="D3845" t="s">
        <v>5972</v>
      </c>
      <c r="E3845" t="s">
        <v>6059</v>
      </c>
      <c r="F3845" s="129" t="s">
        <v>6059</v>
      </c>
      <c r="G3845" s="135" t="s">
        <v>406</v>
      </c>
      <c r="H3845" s="129" t="str">
        <f>IF(Proc[[#This Row],[type]]="LFF (MDG-F)",MID(Proc[[#This Row],[Obj]],13,10),"")</f>
        <v>JP01GM4002</v>
      </c>
      <c r="J3845" s="129" t="b">
        <f>Proc[[#This Row],[Requested]]=Proc[[#This Row],[CurrentParent]]</f>
        <v>1</v>
      </c>
      <c r="K3845" s="144" t="str">
        <f>IF(Proc[[#This Row],[Author]]="Marcela Urrego",VLOOKUP(LEFT(Proc[[#This Row],[Requested]],1),Table3[#All],2,0),VLOOKUP(Proc[[#This Row],[Author]],Table4[],2,0))</f>
        <v>EL</v>
      </c>
      <c r="L3845" s="129" t="s">
        <v>4894</v>
      </c>
      <c r="M3845" s="136">
        <v>45895</v>
      </c>
      <c r="N3845" s="137"/>
      <c r="O3845" s="137"/>
      <c r="P3845" s="136" t="str">
        <f ca="1">IF(Proc[[#This Row],[DaysAgeing]]&gt;5,"yep","on track")</f>
        <v>yep</v>
      </c>
      <c r="Q3845" s="3">
        <f ca="1">IF(Proc[[#This Row],[DateClosed]]="",ABS(NETWORKDAYS(Proc[[#This Row],[DateOpened]],TODAY()))-1,ABS(NETWORKDAYS(Proc[[#This Row],[DateOpened]],Proc[[#This Row],[DateClosed]]))-1)</f>
        <v>78</v>
      </c>
      <c r="R3845" s="136" t="s">
        <v>6087</v>
      </c>
      <c r="S3845" s="129"/>
    </row>
    <row r="3846" spans="1:19">
      <c r="A3846" s="135" t="s">
        <v>6086</v>
      </c>
      <c r="B3846" s="149" t="str">
        <f>IFERROR(VLOOKUP(Proc[[#This Row],[App]],Table2[],3,0),"open")</f>
        <v>ok</v>
      </c>
      <c r="C3846" s="138" t="s">
        <v>369</v>
      </c>
      <c r="D3846" t="s">
        <v>5973</v>
      </c>
      <c r="E3846" t="s">
        <v>6067</v>
      </c>
      <c r="F3846" s="129" t="s">
        <v>6067</v>
      </c>
      <c r="G3846" s="135" t="s">
        <v>406</v>
      </c>
      <c r="H3846" s="129" t="str">
        <f>IF(Proc[[#This Row],[type]]="LFF (MDG-F)",MID(Proc[[#This Row],[Obj]],13,10),"")</f>
        <v>JP01GM8001</v>
      </c>
      <c r="J3846" s="129" t="b">
        <f>Proc[[#This Row],[Requested]]=Proc[[#This Row],[CurrentParent]]</f>
        <v>1</v>
      </c>
      <c r="K3846" s="144" t="str">
        <f>IF(Proc[[#This Row],[Author]]="Marcela Urrego",VLOOKUP(LEFT(Proc[[#This Row],[Requested]],1),Table3[#All],2,0),VLOOKUP(Proc[[#This Row],[Author]],Table4[],2,0))</f>
        <v>EL</v>
      </c>
      <c r="L3846" s="129" t="s">
        <v>4894</v>
      </c>
      <c r="M3846" s="136">
        <v>45895</v>
      </c>
      <c r="N3846" s="137"/>
      <c r="O3846" s="137"/>
      <c r="P3846" s="136" t="str">
        <f ca="1">IF(Proc[[#This Row],[DaysAgeing]]&gt;5,"yep","on track")</f>
        <v>yep</v>
      </c>
      <c r="Q3846" s="3">
        <f ca="1">IF(Proc[[#This Row],[DateClosed]]="",ABS(NETWORKDAYS(Proc[[#This Row],[DateOpened]],TODAY()))-1,ABS(NETWORKDAYS(Proc[[#This Row],[DateOpened]],Proc[[#This Row],[DateClosed]]))-1)</f>
        <v>78</v>
      </c>
      <c r="R3846" s="136" t="s">
        <v>6087</v>
      </c>
      <c r="S3846" s="129"/>
    </row>
    <row r="3847" spans="1:19">
      <c r="A3847" s="135" t="s">
        <v>6086</v>
      </c>
      <c r="B3847" s="149" t="str">
        <f>IFERROR(VLOOKUP(Proc[[#This Row],[App]],Table2[],3,0),"open")</f>
        <v>ok</v>
      </c>
      <c r="C3847" s="138" t="s">
        <v>369</v>
      </c>
      <c r="D3847" t="s">
        <v>5974</v>
      </c>
      <c r="E3847" t="s">
        <v>6059</v>
      </c>
      <c r="F3847" s="129" t="s">
        <v>6059</v>
      </c>
      <c r="G3847" s="135" t="s">
        <v>406</v>
      </c>
      <c r="H3847" s="129" t="str">
        <f>IF(Proc[[#This Row],[type]]="LFF (MDG-F)",MID(Proc[[#This Row],[Obj]],13,10),"")</f>
        <v>JP01GM8002</v>
      </c>
      <c r="J3847" s="129" t="b">
        <f>Proc[[#This Row],[Requested]]=Proc[[#This Row],[CurrentParent]]</f>
        <v>1</v>
      </c>
      <c r="K3847" s="144" t="str">
        <f>IF(Proc[[#This Row],[Author]]="Marcela Urrego",VLOOKUP(LEFT(Proc[[#This Row],[Requested]],1),Table3[#All],2,0),VLOOKUP(Proc[[#This Row],[Author]],Table4[],2,0))</f>
        <v>EL</v>
      </c>
      <c r="L3847" s="129" t="s">
        <v>4894</v>
      </c>
      <c r="M3847" s="136">
        <v>45895</v>
      </c>
      <c r="N3847" s="137"/>
      <c r="O3847" s="137"/>
      <c r="P3847" s="136" t="str">
        <f ca="1">IF(Proc[[#This Row],[DaysAgeing]]&gt;5,"yep","on track")</f>
        <v>yep</v>
      </c>
      <c r="Q3847" s="3">
        <f ca="1">IF(Proc[[#This Row],[DateClosed]]="",ABS(NETWORKDAYS(Proc[[#This Row],[DateOpened]],TODAY()))-1,ABS(NETWORKDAYS(Proc[[#This Row],[DateOpened]],Proc[[#This Row],[DateClosed]]))-1)</f>
        <v>78</v>
      </c>
      <c r="R3847" s="136" t="s">
        <v>6087</v>
      </c>
      <c r="S3847" s="129"/>
    </row>
    <row r="3848" spans="1:19">
      <c r="A3848" s="135" t="s">
        <v>6086</v>
      </c>
      <c r="B3848" s="149" t="str">
        <f>IFERROR(VLOOKUP(Proc[[#This Row],[App]],Table2[],3,0),"open")</f>
        <v>ok</v>
      </c>
      <c r="C3848" s="138" t="s">
        <v>369</v>
      </c>
      <c r="D3848" t="s">
        <v>5975</v>
      </c>
      <c r="E3848" t="s">
        <v>6059</v>
      </c>
      <c r="F3848" s="129" t="s">
        <v>6059</v>
      </c>
      <c r="G3848" s="135" t="s">
        <v>406</v>
      </c>
      <c r="H3848" s="129" t="str">
        <f>IF(Proc[[#This Row],[type]]="LFF (MDG-F)",MID(Proc[[#This Row],[Obj]],13,10),"")</f>
        <v>JP01GMB040</v>
      </c>
      <c r="J3848" s="129" t="b">
        <f>Proc[[#This Row],[Requested]]=Proc[[#This Row],[CurrentParent]]</f>
        <v>1</v>
      </c>
      <c r="K3848" s="144" t="str">
        <f>IF(Proc[[#This Row],[Author]]="Marcela Urrego",VLOOKUP(LEFT(Proc[[#This Row],[Requested]],1),Table3[#All],2,0),VLOOKUP(Proc[[#This Row],[Author]],Table4[],2,0))</f>
        <v>EL</v>
      </c>
      <c r="L3848" s="129" t="s">
        <v>4894</v>
      </c>
      <c r="M3848" s="136">
        <v>45895</v>
      </c>
      <c r="N3848" s="137"/>
      <c r="O3848" s="137"/>
      <c r="P3848" s="136" t="str">
        <f ca="1">IF(Proc[[#This Row],[DaysAgeing]]&gt;5,"yep","on track")</f>
        <v>yep</v>
      </c>
      <c r="Q3848" s="3">
        <f ca="1">IF(Proc[[#This Row],[DateClosed]]="",ABS(NETWORKDAYS(Proc[[#This Row],[DateOpened]],TODAY()))-1,ABS(NETWORKDAYS(Proc[[#This Row],[DateOpened]],Proc[[#This Row],[DateClosed]]))-1)</f>
        <v>78</v>
      </c>
      <c r="R3848" s="136" t="s">
        <v>6087</v>
      </c>
      <c r="S3848" s="129"/>
    </row>
    <row r="3849" spans="1:19">
      <c r="A3849" s="135" t="s">
        <v>6086</v>
      </c>
      <c r="B3849" s="149" t="str">
        <f>IFERROR(VLOOKUP(Proc[[#This Row],[App]],Table2[],3,0),"open")</f>
        <v>ok</v>
      </c>
      <c r="C3849" s="138" t="s">
        <v>369</v>
      </c>
      <c r="D3849" t="s">
        <v>5976</v>
      </c>
      <c r="E3849" t="s">
        <v>6059</v>
      </c>
      <c r="F3849" s="129" t="s">
        <v>6059</v>
      </c>
      <c r="G3849" s="135" t="s">
        <v>406</v>
      </c>
      <c r="H3849" s="129" t="str">
        <f>IF(Proc[[#This Row],[type]]="LFF (MDG-F)",MID(Proc[[#This Row],[Obj]],13,10),"")</f>
        <v>JP01GMW080</v>
      </c>
      <c r="J3849" s="129" t="b">
        <f>Proc[[#This Row],[Requested]]=Proc[[#This Row],[CurrentParent]]</f>
        <v>1</v>
      </c>
      <c r="K3849" s="144" t="str">
        <f>IF(Proc[[#This Row],[Author]]="Marcela Urrego",VLOOKUP(LEFT(Proc[[#This Row],[Requested]],1),Table3[#All],2,0),VLOOKUP(Proc[[#This Row],[Author]],Table4[],2,0))</f>
        <v>EL</v>
      </c>
      <c r="L3849" s="129" t="s">
        <v>4894</v>
      </c>
      <c r="M3849" s="136">
        <v>45895</v>
      </c>
      <c r="N3849" s="137"/>
      <c r="O3849" s="137"/>
      <c r="P3849" s="136" t="str">
        <f ca="1">IF(Proc[[#This Row],[DaysAgeing]]&gt;5,"yep","on track")</f>
        <v>yep</v>
      </c>
      <c r="Q3849" s="3">
        <f ca="1">IF(Proc[[#This Row],[DateClosed]]="",ABS(NETWORKDAYS(Proc[[#This Row],[DateOpened]],TODAY()))-1,ABS(NETWORKDAYS(Proc[[#This Row],[DateOpened]],Proc[[#This Row],[DateClosed]]))-1)</f>
        <v>78</v>
      </c>
      <c r="R3849" s="136" t="s">
        <v>6087</v>
      </c>
      <c r="S3849" s="129"/>
    </row>
    <row r="3850" spans="1:19">
      <c r="A3850" s="135" t="s">
        <v>6086</v>
      </c>
      <c r="B3850" s="149" t="str">
        <f>IFERROR(VLOOKUP(Proc[[#This Row],[App]],Table2[],3,0),"open")</f>
        <v>ok</v>
      </c>
      <c r="C3850" s="138" t="s">
        <v>369</v>
      </c>
      <c r="D3850" t="s">
        <v>5977</v>
      </c>
      <c r="E3850" t="s">
        <v>6071</v>
      </c>
      <c r="F3850" s="129" t="s">
        <v>6071</v>
      </c>
      <c r="G3850" s="135" t="s">
        <v>406</v>
      </c>
      <c r="H3850" s="129" t="str">
        <f>IF(Proc[[#This Row],[type]]="LFF (MDG-F)",MID(Proc[[#This Row],[Obj]],13,10),"")</f>
        <v>JP01GPO301</v>
      </c>
      <c r="J3850" s="129" t="b">
        <f>Proc[[#This Row],[Requested]]=Proc[[#This Row],[CurrentParent]]</f>
        <v>1</v>
      </c>
      <c r="K3850" s="144" t="str">
        <f>IF(Proc[[#This Row],[Author]]="Marcela Urrego",VLOOKUP(LEFT(Proc[[#This Row],[Requested]],1),Table3[#All],2,0),VLOOKUP(Proc[[#This Row],[Author]],Table4[],2,0))</f>
        <v>EL</v>
      </c>
      <c r="L3850" s="129" t="s">
        <v>4894</v>
      </c>
      <c r="M3850" s="136">
        <v>45895</v>
      </c>
      <c r="N3850" s="137"/>
      <c r="O3850" s="137"/>
      <c r="P3850" s="136" t="str">
        <f ca="1">IF(Proc[[#This Row],[DaysAgeing]]&gt;5,"yep","on track")</f>
        <v>yep</v>
      </c>
      <c r="Q3850" s="3">
        <f ca="1">IF(Proc[[#This Row],[DateClosed]]="",ABS(NETWORKDAYS(Proc[[#This Row],[DateOpened]],TODAY()))-1,ABS(NETWORKDAYS(Proc[[#This Row],[DateOpened]],Proc[[#This Row],[DateClosed]]))-1)</f>
        <v>78</v>
      </c>
      <c r="R3850" s="136" t="s">
        <v>6087</v>
      </c>
      <c r="S3850" s="129"/>
    </row>
    <row r="3851" spans="1:19">
      <c r="A3851" s="135" t="s">
        <v>6086</v>
      </c>
      <c r="B3851" s="149" t="str">
        <f>IFERROR(VLOOKUP(Proc[[#This Row],[App]],Table2[],3,0),"open")</f>
        <v>ok</v>
      </c>
      <c r="C3851" s="138" t="s">
        <v>369</v>
      </c>
      <c r="D3851" t="s">
        <v>5978</v>
      </c>
      <c r="E3851" t="s">
        <v>6071</v>
      </c>
      <c r="F3851" s="129" t="s">
        <v>6071</v>
      </c>
      <c r="G3851" s="135" t="s">
        <v>406</v>
      </c>
      <c r="H3851" s="129" t="str">
        <f>IF(Proc[[#This Row],[type]]="LFF (MDG-F)",MID(Proc[[#This Row],[Obj]],13,10),"")</f>
        <v>JP01GPO302</v>
      </c>
      <c r="J3851" s="129" t="b">
        <f>Proc[[#This Row],[Requested]]=Proc[[#This Row],[CurrentParent]]</f>
        <v>1</v>
      </c>
      <c r="K3851" s="144" t="str">
        <f>IF(Proc[[#This Row],[Author]]="Marcela Urrego",VLOOKUP(LEFT(Proc[[#This Row],[Requested]],1),Table3[#All],2,0),VLOOKUP(Proc[[#This Row],[Author]],Table4[],2,0))</f>
        <v>EL</v>
      </c>
      <c r="L3851" s="129" t="s">
        <v>4894</v>
      </c>
      <c r="M3851" s="136">
        <v>45895</v>
      </c>
      <c r="N3851" s="137"/>
      <c r="O3851" s="137"/>
      <c r="P3851" s="136" t="str">
        <f ca="1">IF(Proc[[#This Row],[DaysAgeing]]&gt;5,"yep","on track")</f>
        <v>yep</v>
      </c>
      <c r="Q3851" s="3">
        <f ca="1">IF(Proc[[#This Row],[DateClosed]]="",ABS(NETWORKDAYS(Proc[[#This Row],[DateOpened]],TODAY()))-1,ABS(NETWORKDAYS(Proc[[#This Row],[DateOpened]],Proc[[#This Row],[DateClosed]]))-1)</f>
        <v>78</v>
      </c>
      <c r="R3851" s="136" t="s">
        <v>6087</v>
      </c>
      <c r="S3851" s="129"/>
    </row>
    <row r="3852" spans="1:19">
      <c r="A3852" s="135" t="s">
        <v>6086</v>
      </c>
      <c r="B3852" s="149" t="str">
        <f>IFERROR(VLOOKUP(Proc[[#This Row],[App]],Table2[],3,0),"open")</f>
        <v>ok</v>
      </c>
      <c r="C3852" s="138" t="s">
        <v>369</v>
      </c>
      <c r="D3852" t="s">
        <v>5979</v>
      </c>
      <c r="E3852" t="s">
        <v>6067</v>
      </c>
      <c r="F3852" s="129" t="s">
        <v>6067</v>
      </c>
      <c r="G3852" s="135" t="s">
        <v>406</v>
      </c>
      <c r="H3852" s="129" t="str">
        <f>IF(Proc[[#This Row],[type]]="LFF (MDG-F)",MID(Proc[[#This Row],[Obj]],13,10),"")</f>
        <v>JP01GPO303</v>
      </c>
      <c r="J3852" s="129" t="b">
        <f>Proc[[#This Row],[Requested]]=Proc[[#This Row],[CurrentParent]]</f>
        <v>1</v>
      </c>
      <c r="K3852" s="144" t="str">
        <f>IF(Proc[[#This Row],[Author]]="Marcela Urrego",VLOOKUP(LEFT(Proc[[#This Row],[Requested]],1),Table3[#All],2,0),VLOOKUP(Proc[[#This Row],[Author]],Table4[],2,0))</f>
        <v>EL</v>
      </c>
      <c r="L3852" s="129" t="s">
        <v>4894</v>
      </c>
      <c r="M3852" s="136">
        <v>45895</v>
      </c>
      <c r="N3852" s="137"/>
      <c r="O3852" s="137"/>
      <c r="P3852" s="136" t="str">
        <f ca="1">IF(Proc[[#This Row],[DaysAgeing]]&gt;5,"yep","on track")</f>
        <v>yep</v>
      </c>
      <c r="Q3852" s="3">
        <f ca="1">IF(Proc[[#This Row],[DateClosed]]="",ABS(NETWORKDAYS(Proc[[#This Row],[DateOpened]],TODAY()))-1,ABS(NETWORKDAYS(Proc[[#This Row],[DateOpened]],Proc[[#This Row],[DateClosed]]))-1)</f>
        <v>78</v>
      </c>
      <c r="R3852" s="136" t="s">
        <v>6087</v>
      </c>
      <c r="S3852" s="129"/>
    </row>
    <row r="3853" spans="1:19">
      <c r="A3853" s="135" t="s">
        <v>6086</v>
      </c>
      <c r="B3853" s="149" t="str">
        <f>IFERROR(VLOOKUP(Proc[[#This Row],[App]],Table2[],3,0),"open")</f>
        <v>ok</v>
      </c>
      <c r="C3853" s="138" t="s">
        <v>369</v>
      </c>
      <c r="D3853" t="s">
        <v>5980</v>
      </c>
      <c r="E3853" t="s">
        <v>6072</v>
      </c>
      <c r="F3853" s="129" t="s">
        <v>6072</v>
      </c>
      <c r="G3853" s="135" t="s">
        <v>406</v>
      </c>
      <c r="H3853" s="129" t="str">
        <f>IF(Proc[[#This Row],[type]]="LFF (MDG-F)",MID(Proc[[#This Row],[Obj]],13,10),"")</f>
        <v>JP01GPS302</v>
      </c>
      <c r="J3853" s="129" t="b">
        <f>Proc[[#This Row],[Requested]]=Proc[[#This Row],[CurrentParent]]</f>
        <v>1</v>
      </c>
      <c r="K3853" s="144" t="str">
        <f>IF(Proc[[#This Row],[Author]]="Marcela Urrego",VLOOKUP(LEFT(Proc[[#This Row],[Requested]],1),Table3[#All],2,0),VLOOKUP(Proc[[#This Row],[Author]],Table4[],2,0))</f>
        <v>EL</v>
      </c>
      <c r="L3853" s="129" t="s">
        <v>4894</v>
      </c>
      <c r="M3853" s="136">
        <v>45895</v>
      </c>
      <c r="N3853" s="137"/>
      <c r="O3853" s="137"/>
      <c r="P3853" s="136" t="str">
        <f ca="1">IF(Proc[[#This Row],[DaysAgeing]]&gt;5,"yep","on track")</f>
        <v>yep</v>
      </c>
      <c r="Q3853" s="3">
        <f ca="1">IF(Proc[[#This Row],[DateClosed]]="",ABS(NETWORKDAYS(Proc[[#This Row],[DateOpened]],TODAY()))-1,ABS(NETWORKDAYS(Proc[[#This Row],[DateOpened]],Proc[[#This Row],[DateClosed]]))-1)</f>
        <v>78</v>
      </c>
      <c r="R3853" s="136" t="s">
        <v>6087</v>
      </c>
      <c r="S3853" s="129"/>
    </row>
    <row r="3854" spans="1:19">
      <c r="A3854" s="135" t="s">
        <v>6086</v>
      </c>
      <c r="B3854" s="149" t="str">
        <f>IFERROR(VLOOKUP(Proc[[#This Row],[App]],Table2[],3,0),"open")</f>
        <v>ok</v>
      </c>
      <c r="C3854" s="138" t="s">
        <v>369</v>
      </c>
      <c r="D3854" t="s">
        <v>5981</v>
      </c>
      <c r="E3854" t="s">
        <v>6066</v>
      </c>
      <c r="F3854" s="129" t="s">
        <v>6066</v>
      </c>
      <c r="G3854" s="135" t="s">
        <v>406</v>
      </c>
      <c r="H3854" s="129" t="str">
        <f>IF(Proc[[#This Row],[type]]="LFF (MDG-F)",MID(Proc[[#This Row],[Obj]],13,10),"")</f>
        <v>JP01GSQ013</v>
      </c>
      <c r="J3854" s="129" t="b">
        <f>Proc[[#This Row],[Requested]]=Proc[[#This Row],[CurrentParent]]</f>
        <v>1</v>
      </c>
      <c r="K3854" s="144" t="str">
        <f>IF(Proc[[#This Row],[Author]]="Marcela Urrego",VLOOKUP(LEFT(Proc[[#This Row],[Requested]],1),Table3[#All],2,0),VLOOKUP(Proc[[#This Row],[Author]],Table4[],2,0))</f>
        <v>EL</v>
      </c>
      <c r="L3854" s="129" t="s">
        <v>4894</v>
      </c>
      <c r="M3854" s="136">
        <v>45895</v>
      </c>
      <c r="N3854" s="137"/>
      <c r="O3854" s="137"/>
      <c r="P3854" s="136" t="str">
        <f ca="1">IF(Proc[[#This Row],[DaysAgeing]]&gt;5,"yep","on track")</f>
        <v>yep</v>
      </c>
      <c r="Q3854" s="3">
        <f ca="1">IF(Proc[[#This Row],[DateClosed]]="",ABS(NETWORKDAYS(Proc[[#This Row],[DateOpened]],TODAY()))-1,ABS(NETWORKDAYS(Proc[[#This Row],[DateOpened]],Proc[[#This Row],[DateClosed]]))-1)</f>
        <v>78</v>
      </c>
      <c r="R3854" s="136" t="s">
        <v>6087</v>
      </c>
      <c r="S3854" s="129"/>
    </row>
    <row r="3855" spans="1:19">
      <c r="A3855" s="135" t="s">
        <v>6086</v>
      </c>
      <c r="B3855" s="149" t="str">
        <f>IFERROR(VLOOKUP(Proc[[#This Row],[App]],Table2[],3,0),"open")</f>
        <v>ok</v>
      </c>
      <c r="C3855" s="138" t="s">
        <v>369</v>
      </c>
      <c r="D3855" t="s">
        <v>5982</v>
      </c>
      <c r="E3855" t="s">
        <v>6067</v>
      </c>
      <c r="F3855" s="129" t="s">
        <v>6067</v>
      </c>
      <c r="G3855" s="135" t="s">
        <v>406</v>
      </c>
      <c r="H3855" s="129" t="str">
        <f>IF(Proc[[#This Row],[type]]="LFF (MDG-F)",MID(Proc[[#This Row],[Obj]],13,10),"")</f>
        <v>JP01L1M001</v>
      </c>
      <c r="J3855" s="129" t="b">
        <f>Proc[[#This Row],[Requested]]=Proc[[#This Row],[CurrentParent]]</f>
        <v>1</v>
      </c>
      <c r="K3855" s="144" t="str">
        <f>IF(Proc[[#This Row],[Author]]="Marcela Urrego",VLOOKUP(LEFT(Proc[[#This Row],[Requested]],1),Table3[#All],2,0),VLOOKUP(Proc[[#This Row],[Author]],Table4[],2,0))</f>
        <v>EL</v>
      </c>
      <c r="L3855" s="129" t="s">
        <v>4894</v>
      </c>
      <c r="M3855" s="136">
        <v>45895</v>
      </c>
      <c r="N3855" s="137"/>
      <c r="O3855" s="137"/>
      <c r="P3855" s="136" t="str">
        <f ca="1">IF(Proc[[#This Row],[DaysAgeing]]&gt;5,"yep","on track")</f>
        <v>yep</v>
      </c>
      <c r="Q3855" s="3">
        <f ca="1">IF(Proc[[#This Row],[DateClosed]]="",ABS(NETWORKDAYS(Proc[[#This Row],[DateOpened]],TODAY()))-1,ABS(NETWORKDAYS(Proc[[#This Row],[DateOpened]],Proc[[#This Row],[DateClosed]]))-1)</f>
        <v>78</v>
      </c>
      <c r="R3855" s="136" t="s">
        <v>6087</v>
      </c>
      <c r="S3855" s="129"/>
    </row>
    <row r="3856" spans="1:19">
      <c r="A3856" s="135" t="s">
        <v>6086</v>
      </c>
      <c r="B3856" s="149" t="str">
        <f>IFERROR(VLOOKUP(Proc[[#This Row],[App]],Table2[],3,0),"open")</f>
        <v>ok</v>
      </c>
      <c r="C3856" s="138" t="s">
        <v>369</v>
      </c>
      <c r="D3856" t="s">
        <v>5983</v>
      </c>
      <c r="E3856" t="s">
        <v>6067</v>
      </c>
      <c r="F3856" s="129" t="s">
        <v>6067</v>
      </c>
      <c r="G3856" s="135" t="s">
        <v>406</v>
      </c>
      <c r="H3856" s="129" t="str">
        <f>IF(Proc[[#This Row],[type]]="LFF (MDG-F)",MID(Proc[[#This Row],[Obj]],13,10),"")</f>
        <v>JP01L3K302</v>
      </c>
      <c r="J3856" s="129" t="b">
        <f>Proc[[#This Row],[Requested]]=Proc[[#This Row],[CurrentParent]]</f>
        <v>1</v>
      </c>
      <c r="K3856" s="144" t="str">
        <f>IF(Proc[[#This Row],[Author]]="Marcela Urrego",VLOOKUP(LEFT(Proc[[#This Row],[Requested]],1),Table3[#All],2,0),VLOOKUP(Proc[[#This Row],[Author]],Table4[],2,0))</f>
        <v>EL</v>
      </c>
      <c r="L3856" s="129" t="s">
        <v>4894</v>
      </c>
      <c r="M3856" s="136">
        <v>45895</v>
      </c>
      <c r="N3856" s="137"/>
      <c r="O3856" s="137"/>
      <c r="P3856" s="136" t="str">
        <f ca="1">IF(Proc[[#This Row],[DaysAgeing]]&gt;5,"yep","on track")</f>
        <v>yep</v>
      </c>
      <c r="Q3856" s="3">
        <f ca="1">IF(Proc[[#This Row],[DateClosed]]="",ABS(NETWORKDAYS(Proc[[#This Row],[DateOpened]],TODAY()))-1,ABS(NETWORKDAYS(Proc[[#This Row],[DateOpened]],Proc[[#This Row],[DateClosed]]))-1)</f>
        <v>78</v>
      </c>
      <c r="R3856" s="136" t="s">
        <v>6087</v>
      </c>
      <c r="S3856" s="129"/>
    </row>
    <row r="3857" spans="1:19">
      <c r="A3857" s="135" t="s">
        <v>6086</v>
      </c>
      <c r="B3857" s="149" t="str">
        <f>IFERROR(VLOOKUP(Proc[[#This Row],[App]],Table2[],3,0),"open")</f>
        <v>ok</v>
      </c>
      <c r="C3857" s="138" t="s">
        <v>369</v>
      </c>
      <c r="D3857" t="s">
        <v>5984</v>
      </c>
      <c r="E3857" t="s">
        <v>6067</v>
      </c>
      <c r="F3857" s="129" t="s">
        <v>6067</v>
      </c>
      <c r="G3857" s="135" t="s">
        <v>406</v>
      </c>
      <c r="H3857" s="129" t="str">
        <f>IF(Proc[[#This Row],[type]]="LFF (MDG-F)",MID(Proc[[#This Row],[Obj]],13,10),"")</f>
        <v>JP01L3K304</v>
      </c>
      <c r="J3857" s="129" t="b">
        <f>Proc[[#This Row],[Requested]]=Proc[[#This Row],[CurrentParent]]</f>
        <v>1</v>
      </c>
      <c r="K3857" s="144" t="str">
        <f>IF(Proc[[#This Row],[Author]]="Marcela Urrego",VLOOKUP(LEFT(Proc[[#This Row],[Requested]],1),Table3[#All],2,0),VLOOKUP(Proc[[#This Row],[Author]],Table4[],2,0))</f>
        <v>EL</v>
      </c>
      <c r="L3857" s="129" t="s">
        <v>4894</v>
      </c>
      <c r="M3857" s="136">
        <v>45895</v>
      </c>
      <c r="N3857" s="137"/>
      <c r="O3857" s="137"/>
      <c r="P3857" s="136" t="str">
        <f ca="1">IF(Proc[[#This Row],[DaysAgeing]]&gt;5,"yep","on track")</f>
        <v>yep</v>
      </c>
      <c r="Q3857" s="3">
        <f ca="1">IF(Proc[[#This Row],[DateClosed]]="",ABS(NETWORKDAYS(Proc[[#This Row],[DateOpened]],TODAY()))-1,ABS(NETWORKDAYS(Proc[[#This Row],[DateOpened]],Proc[[#This Row],[DateClosed]]))-1)</f>
        <v>78</v>
      </c>
      <c r="R3857" s="136" t="s">
        <v>6087</v>
      </c>
      <c r="S3857" s="129"/>
    </row>
    <row r="3858" spans="1:19">
      <c r="A3858" s="135" t="s">
        <v>6086</v>
      </c>
      <c r="B3858" s="149" t="str">
        <f>IFERROR(VLOOKUP(Proc[[#This Row],[App]],Table2[],3,0),"open")</f>
        <v>ok</v>
      </c>
      <c r="C3858" s="138" t="s">
        <v>369</v>
      </c>
      <c r="D3858" t="s">
        <v>5985</v>
      </c>
      <c r="E3858" t="s">
        <v>6067</v>
      </c>
      <c r="F3858" s="129" t="s">
        <v>6067</v>
      </c>
      <c r="G3858" s="135" t="s">
        <v>406</v>
      </c>
      <c r="H3858" s="129" t="str">
        <f>IF(Proc[[#This Row],[type]]="LFF (MDG-F)",MID(Proc[[#This Row],[Obj]],13,10),"")</f>
        <v>JP01L3M301</v>
      </c>
      <c r="J3858" s="129" t="b">
        <f>Proc[[#This Row],[Requested]]=Proc[[#This Row],[CurrentParent]]</f>
        <v>1</v>
      </c>
      <c r="K3858" s="144" t="str">
        <f>IF(Proc[[#This Row],[Author]]="Marcela Urrego",VLOOKUP(LEFT(Proc[[#This Row],[Requested]],1),Table3[#All],2,0),VLOOKUP(Proc[[#This Row],[Author]],Table4[],2,0))</f>
        <v>EL</v>
      </c>
      <c r="L3858" s="129" t="s">
        <v>4894</v>
      </c>
      <c r="M3858" s="136">
        <v>45895</v>
      </c>
      <c r="N3858" s="137"/>
      <c r="O3858" s="137"/>
      <c r="P3858" s="136" t="str">
        <f ca="1">IF(Proc[[#This Row],[DaysAgeing]]&gt;5,"yep","on track")</f>
        <v>yep</v>
      </c>
      <c r="Q3858" s="3">
        <f ca="1">IF(Proc[[#This Row],[DateClosed]]="",ABS(NETWORKDAYS(Proc[[#This Row],[DateOpened]],TODAY()))-1,ABS(NETWORKDAYS(Proc[[#This Row],[DateOpened]],Proc[[#This Row],[DateClosed]]))-1)</f>
        <v>78</v>
      </c>
      <c r="R3858" s="136" t="s">
        <v>6087</v>
      </c>
      <c r="S3858" s="129"/>
    </row>
    <row r="3859" spans="1:19">
      <c r="A3859" s="135" t="s">
        <v>6086</v>
      </c>
      <c r="B3859" s="149" t="str">
        <f>IFERROR(VLOOKUP(Proc[[#This Row],[App]],Table2[],3,0),"open")</f>
        <v>ok</v>
      </c>
      <c r="C3859" s="138" t="s">
        <v>369</v>
      </c>
      <c r="D3859" t="s">
        <v>5986</v>
      </c>
      <c r="E3859" t="s">
        <v>6067</v>
      </c>
      <c r="F3859" s="129" t="s">
        <v>6067</v>
      </c>
      <c r="G3859" s="135" t="s">
        <v>406</v>
      </c>
      <c r="H3859" s="129" t="str">
        <f>IF(Proc[[#This Row],[type]]="LFF (MDG-F)",MID(Proc[[#This Row],[Obj]],13,10),"")</f>
        <v>JP01L3M303</v>
      </c>
      <c r="J3859" s="129" t="b">
        <f>Proc[[#This Row],[Requested]]=Proc[[#This Row],[CurrentParent]]</f>
        <v>1</v>
      </c>
      <c r="K3859" s="144" t="str">
        <f>IF(Proc[[#This Row],[Author]]="Marcela Urrego",VLOOKUP(LEFT(Proc[[#This Row],[Requested]],1),Table3[#All],2,0),VLOOKUP(Proc[[#This Row],[Author]],Table4[],2,0))</f>
        <v>EL</v>
      </c>
      <c r="L3859" s="129" t="s">
        <v>4894</v>
      </c>
      <c r="M3859" s="136">
        <v>45895</v>
      </c>
      <c r="N3859" s="137"/>
      <c r="O3859" s="137"/>
      <c r="P3859" s="136" t="str">
        <f ca="1">IF(Proc[[#This Row],[DaysAgeing]]&gt;5,"yep","on track")</f>
        <v>yep</v>
      </c>
      <c r="Q3859" s="3">
        <f ca="1">IF(Proc[[#This Row],[DateClosed]]="",ABS(NETWORKDAYS(Proc[[#This Row],[DateOpened]],TODAY()))-1,ABS(NETWORKDAYS(Proc[[#This Row],[DateOpened]],Proc[[#This Row],[DateClosed]]))-1)</f>
        <v>78</v>
      </c>
      <c r="R3859" s="136" t="s">
        <v>6087</v>
      </c>
      <c r="S3859" s="129"/>
    </row>
    <row r="3860" spans="1:19">
      <c r="A3860" s="135" t="s">
        <v>6086</v>
      </c>
      <c r="B3860" s="149" t="str">
        <f>IFERROR(VLOOKUP(Proc[[#This Row],[App]],Table2[],3,0),"open")</f>
        <v>ok</v>
      </c>
      <c r="C3860" s="138" t="s">
        <v>369</v>
      </c>
      <c r="D3860" t="s">
        <v>5987</v>
      </c>
      <c r="E3860" t="s">
        <v>6067</v>
      </c>
      <c r="F3860" s="129" t="s">
        <v>6067</v>
      </c>
      <c r="G3860" s="135" t="s">
        <v>406</v>
      </c>
      <c r="H3860" s="129" t="str">
        <f>IF(Proc[[#This Row],[type]]="LFF (MDG-F)",MID(Proc[[#This Row],[Obj]],13,10),"")</f>
        <v>JP01L4M301</v>
      </c>
      <c r="J3860" s="129" t="b">
        <f>Proc[[#This Row],[Requested]]=Proc[[#This Row],[CurrentParent]]</f>
        <v>1</v>
      </c>
      <c r="K3860" s="144" t="str">
        <f>IF(Proc[[#This Row],[Author]]="Marcela Urrego",VLOOKUP(LEFT(Proc[[#This Row],[Requested]],1),Table3[#All],2,0),VLOOKUP(Proc[[#This Row],[Author]],Table4[],2,0))</f>
        <v>EL</v>
      </c>
      <c r="L3860" s="129" t="s">
        <v>4894</v>
      </c>
      <c r="M3860" s="136">
        <v>45895</v>
      </c>
      <c r="N3860" s="137"/>
      <c r="O3860" s="137"/>
      <c r="P3860" s="136" t="str">
        <f ca="1">IF(Proc[[#This Row],[DaysAgeing]]&gt;5,"yep","on track")</f>
        <v>yep</v>
      </c>
      <c r="Q3860" s="3">
        <f ca="1">IF(Proc[[#This Row],[DateClosed]]="",ABS(NETWORKDAYS(Proc[[#This Row],[DateOpened]],TODAY()))-1,ABS(NETWORKDAYS(Proc[[#This Row],[DateOpened]],Proc[[#This Row],[DateClosed]]))-1)</f>
        <v>78</v>
      </c>
      <c r="R3860" s="136" t="s">
        <v>6087</v>
      </c>
      <c r="S3860" s="129"/>
    </row>
    <row r="3861" spans="1:19">
      <c r="A3861" s="135" t="s">
        <v>6086</v>
      </c>
      <c r="B3861" s="149" t="str">
        <f>IFERROR(VLOOKUP(Proc[[#This Row],[App]],Table2[],3,0),"open")</f>
        <v>ok</v>
      </c>
      <c r="C3861" s="138" t="s">
        <v>369</v>
      </c>
      <c r="D3861" t="s">
        <v>5988</v>
      </c>
      <c r="E3861" t="s">
        <v>6069</v>
      </c>
      <c r="F3861" s="129" t="s">
        <v>6069</v>
      </c>
      <c r="G3861" s="135" t="s">
        <v>406</v>
      </c>
      <c r="H3861" s="129" t="str">
        <f>IF(Proc[[#This Row],[type]]="LFF (MDG-F)",MID(Proc[[#This Row],[Obj]],13,10),"")</f>
        <v>JP01L4M302</v>
      </c>
      <c r="J3861" s="129" t="b">
        <f>Proc[[#This Row],[Requested]]=Proc[[#This Row],[CurrentParent]]</f>
        <v>1</v>
      </c>
      <c r="K3861" s="144" t="str">
        <f>IF(Proc[[#This Row],[Author]]="Marcela Urrego",VLOOKUP(LEFT(Proc[[#This Row],[Requested]],1),Table3[#All],2,0),VLOOKUP(Proc[[#This Row],[Author]],Table4[],2,0))</f>
        <v>EL</v>
      </c>
      <c r="L3861" s="129" t="s">
        <v>4894</v>
      </c>
      <c r="M3861" s="136">
        <v>45895</v>
      </c>
      <c r="N3861" s="137"/>
      <c r="O3861" s="137"/>
      <c r="P3861" s="136" t="str">
        <f ca="1">IF(Proc[[#This Row],[DaysAgeing]]&gt;5,"yep","on track")</f>
        <v>yep</v>
      </c>
      <c r="Q3861" s="3">
        <f ca="1">IF(Proc[[#This Row],[DateClosed]]="",ABS(NETWORKDAYS(Proc[[#This Row],[DateOpened]],TODAY()))-1,ABS(NETWORKDAYS(Proc[[#This Row],[DateOpened]],Proc[[#This Row],[DateClosed]]))-1)</f>
        <v>78</v>
      </c>
      <c r="R3861" s="136" t="s">
        <v>6087</v>
      </c>
      <c r="S3861" s="129"/>
    </row>
    <row r="3862" spans="1:19">
      <c r="A3862" s="135" t="s">
        <v>6086</v>
      </c>
      <c r="B3862" s="149" t="str">
        <f>IFERROR(VLOOKUP(Proc[[#This Row],[App]],Table2[],3,0),"open")</f>
        <v>ok</v>
      </c>
      <c r="C3862" s="138" t="s">
        <v>369</v>
      </c>
      <c r="D3862" t="s">
        <v>5989</v>
      </c>
      <c r="E3862" t="s">
        <v>6067</v>
      </c>
      <c r="F3862" s="129" t="s">
        <v>6067</v>
      </c>
      <c r="G3862" s="135" t="s">
        <v>406</v>
      </c>
      <c r="H3862" s="129" t="str">
        <f>IF(Proc[[#This Row],[type]]="LFF (MDG-F)",MID(Proc[[#This Row],[Obj]],13,10),"")</f>
        <v>JP01L5M301</v>
      </c>
      <c r="J3862" s="129" t="b">
        <f>Proc[[#This Row],[Requested]]=Proc[[#This Row],[CurrentParent]]</f>
        <v>1</v>
      </c>
      <c r="K3862" s="144" t="str">
        <f>IF(Proc[[#This Row],[Author]]="Marcela Urrego",VLOOKUP(LEFT(Proc[[#This Row],[Requested]],1),Table3[#All],2,0),VLOOKUP(Proc[[#This Row],[Author]],Table4[],2,0))</f>
        <v>EL</v>
      </c>
      <c r="L3862" s="129" t="s">
        <v>4894</v>
      </c>
      <c r="M3862" s="136">
        <v>45895</v>
      </c>
      <c r="N3862" s="137"/>
      <c r="O3862" s="137"/>
      <c r="P3862" s="136" t="str">
        <f ca="1">IF(Proc[[#This Row],[DaysAgeing]]&gt;5,"yep","on track")</f>
        <v>yep</v>
      </c>
      <c r="Q3862" s="3">
        <f ca="1">IF(Proc[[#This Row],[DateClosed]]="",ABS(NETWORKDAYS(Proc[[#This Row],[DateOpened]],TODAY()))-1,ABS(NETWORKDAYS(Proc[[#This Row],[DateOpened]],Proc[[#This Row],[DateClosed]]))-1)</f>
        <v>78</v>
      </c>
      <c r="R3862" s="136" t="s">
        <v>6087</v>
      </c>
      <c r="S3862" s="129"/>
    </row>
    <row r="3863" spans="1:19">
      <c r="A3863" s="135" t="s">
        <v>6086</v>
      </c>
      <c r="B3863" s="149" t="str">
        <f>IFERROR(VLOOKUP(Proc[[#This Row],[App]],Table2[],3,0),"open")</f>
        <v>ok</v>
      </c>
      <c r="C3863" s="138" t="s">
        <v>369</v>
      </c>
      <c r="D3863" t="s">
        <v>5990</v>
      </c>
      <c r="E3863" t="s">
        <v>6067</v>
      </c>
      <c r="F3863" s="129" t="s">
        <v>6067</v>
      </c>
      <c r="G3863" s="135" t="s">
        <v>406</v>
      </c>
      <c r="H3863" s="129" t="str">
        <f>IF(Proc[[#This Row],[type]]="LFF (MDG-F)",MID(Proc[[#This Row],[Obj]],13,10),"")</f>
        <v>JP01L5M302</v>
      </c>
      <c r="J3863" s="129" t="b">
        <f>Proc[[#This Row],[Requested]]=Proc[[#This Row],[CurrentParent]]</f>
        <v>1</v>
      </c>
      <c r="K3863" s="144" t="str">
        <f>IF(Proc[[#This Row],[Author]]="Marcela Urrego",VLOOKUP(LEFT(Proc[[#This Row],[Requested]],1),Table3[#All],2,0),VLOOKUP(Proc[[#This Row],[Author]],Table4[],2,0))</f>
        <v>EL</v>
      </c>
      <c r="L3863" s="129" t="s">
        <v>4894</v>
      </c>
      <c r="M3863" s="136">
        <v>45895</v>
      </c>
      <c r="N3863" s="137"/>
      <c r="O3863" s="137"/>
      <c r="P3863" s="136" t="str">
        <f ca="1">IF(Proc[[#This Row],[DaysAgeing]]&gt;5,"yep","on track")</f>
        <v>yep</v>
      </c>
      <c r="Q3863" s="3">
        <f ca="1">IF(Proc[[#This Row],[DateClosed]]="",ABS(NETWORKDAYS(Proc[[#This Row],[DateOpened]],TODAY()))-1,ABS(NETWORKDAYS(Proc[[#This Row],[DateOpened]],Proc[[#This Row],[DateClosed]]))-1)</f>
        <v>78</v>
      </c>
      <c r="R3863" s="136" t="s">
        <v>6087</v>
      </c>
      <c r="S3863" s="129"/>
    </row>
    <row r="3864" spans="1:19">
      <c r="A3864" s="135" t="s">
        <v>6086</v>
      </c>
      <c r="B3864" s="149" t="str">
        <f>IFERROR(VLOOKUP(Proc[[#This Row],[App]],Table2[],3,0),"open")</f>
        <v>ok</v>
      </c>
      <c r="C3864" s="138" t="s">
        <v>369</v>
      </c>
      <c r="D3864" t="s">
        <v>5991</v>
      </c>
      <c r="E3864" t="s">
        <v>6067</v>
      </c>
      <c r="F3864" s="129" t="s">
        <v>6067</v>
      </c>
      <c r="G3864" s="135" t="s">
        <v>406</v>
      </c>
      <c r="H3864" s="129" t="str">
        <f>IF(Proc[[#This Row],[type]]="LFF (MDG-F)",MID(Proc[[#This Row],[Obj]],13,10),"")</f>
        <v>JP01L7M301</v>
      </c>
      <c r="J3864" s="129" t="b">
        <f>Proc[[#This Row],[Requested]]=Proc[[#This Row],[CurrentParent]]</f>
        <v>1</v>
      </c>
      <c r="K3864" s="144" t="str">
        <f>IF(Proc[[#This Row],[Author]]="Marcela Urrego",VLOOKUP(LEFT(Proc[[#This Row],[Requested]],1),Table3[#All],2,0),VLOOKUP(Proc[[#This Row],[Author]],Table4[],2,0))</f>
        <v>EL</v>
      </c>
      <c r="L3864" s="129" t="s">
        <v>4894</v>
      </c>
      <c r="M3864" s="136">
        <v>45895</v>
      </c>
      <c r="N3864" s="137"/>
      <c r="O3864" s="137"/>
      <c r="P3864" s="136" t="str">
        <f ca="1">IF(Proc[[#This Row],[DaysAgeing]]&gt;5,"yep","on track")</f>
        <v>yep</v>
      </c>
      <c r="Q3864" s="3">
        <f ca="1">IF(Proc[[#This Row],[DateClosed]]="",ABS(NETWORKDAYS(Proc[[#This Row],[DateOpened]],TODAY()))-1,ABS(NETWORKDAYS(Proc[[#This Row],[DateOpened]],Proc[[#This Row],[DateClosed]]))-1)</f>
        <v>78</v>
      </c>
      <c r="R3864" s="136" t="s">
        <v>6087</v>
      </c>
      <c r="S3864" s="129"/>
    </row>
    <row r="3865" spans="1:19">
      <c r="A3865" s="135" t="s">
        <v>6086</v>
      </c>
      <c r="B3865" s="149" t="str">
        <f>IFERROR(VLOOKUP(Proc[[#This Row],[App]],Table2[],3,0),"open")</f>
        <v>ok</v>
      </c>
      <c r="C3865" s="138" t="s">
        <v>369</v>
      </c>
      <c r="D3865" t="s">
        <v>5992</v>
      </c>
      <c r="E3865" t="s">
        <v>6067</v>
      </c>
      <c r="F3865" s="129" t="s">
        <v>6067</v>
      </c>
      <c r="G3865" s="135" t="s">
        <v>406</v>
      </c>
      <c r="H3865" s="129" t="str">
        <f>IF(Proc[[#This Row],[type]]="LFF (MDG-F)",MID(Proc[[#This Row],[Obj]],13,10),"")</f>
        <v>JP01L7M302</v>
      </c>
      <c r="J3865" s="129" t="b">
        <f>Proc[[#This Row],[Requested]]=Proc[[#This Row],[CurrentParent]]</f>
        <v>1</v>
      </c>
      <c r="K3865" s="144" t="str">
        <f>IF(Proc[[#This Row],[Author]]="Marcela Urrego",VLOOKUP(LEFT(Proc[[#This Row],[Requested]],1),Table3[#All],2,0),VLOOKUP(Proc[[#This Row],[Author]],Table4[],2,0))</f>
        <v>EL</v>
      </c>
      <c r="L3865" s="129" t="s">
        <v>4894</v>
      </c>
      <c r="M3865" s="136">
        <v>45895</v>
      </c>
      <c r="N3865" s="137"/>
      <c r="O3865" s="137"/>
      <c r="P3865" s="136" t="str">
        <f ca="1">IF(Proc[[#This Row],[DaysAgeing]]&gt;5,"yep","on track")</f>
        <v>yep</v>
      </c>
      <c r="Q3865" s="3">
        <f ca="1">IF(Proc[[#This Row],[DateClosed]]="",ABS(NETWORKDAYS(Proc[[#This Row],[DateOpened]],TODAY()))-1,ABS(NETWORKDAYS(Proc[[#This Row],[DateOpened]],Proc[[#This Row],[DateClosed]]))-1)</f>
        <v>78</v>
      </c>
      <c r="R3865" s="136" t="s">
        <v>6087</v>
      </c>
      <c r="S3865" s="129"/>
    </row>
    <row r="3866" spans="1:19">
      <c r="A3866" s="135" t="s">
        <v>6086</v>
      </c>
      <c r="B3866" s="149" t="str">
        <f>IFERROR(VLOOKUP(Proc[[#This Row],[App]],Table2[],3,0),"open")</f>
        <v>ok</v>
      </c>
      <c r="C3866" s="138" t="s">
        <v>369</v>
      </c>
      <c r="D3866" t="s">
        <v>5993</v>
      </c>
      <c r="E3866" t="s">
        <v>6067</v>
      </c>
      <c r="F3866" s="129" t="s">
        <v>6067</v>
      </c>
      <c r="G3866" s="135" t="s">
        <v>406</v>
      </c>
      <c r="H3866" s="129" t="str">
        <f>IF(Proc[[#This Row],[type]]="LFF (MDG-F)",MID(Proc[[#This Row],[Obj]],13,10),"")</f>
        <v>JP01L7M303</v>
      </c>
      <c r="J3866" s="129" t="b">
        <f>Proc[[#This Row],[Requested]]=Proc[[#This Row],[CurrentParent]]</f>
        <v>1</v>
      </c>
      <c r="K3866" s="144" t="str">
        <f>IF(Proc[[#This Row],[Author]]="Marcela Urrego",VLOOKUP(LEFT(Proc[[#This Row],[Requested]],1),Table3[#All],2,0),VLOOKUP(Proc[[#This Row],[Author]],Table4[],2,0))</f>
        <v>EL</v>
      </c>
      <c r="L3866" s="129" t="s">
        <v>4894</v>
      </c>
      <c r="M3866" s="136">
        <v>45895</v>
      </c>
      <c r="N3866" s="137"/>
      <c r="O3866" s="137"/>
      <c r="P3866" s="136" t="str">
        <f ca="1">IF(Proc[[#This Row],[DaysAgeing]]&gt;5,"yep","on track")</f>
        <v>yep</v>
      </c>
      <c r="Q3866" s="3">
        <f ca="1">IF(Proc[[#This Row],[DateClosed]]="",ABS(NETWORKDAYS(Proc[[#This Row],[DateOpened]],TODAY()))-1,ABS(NETWORKDAYS(Proc[[#This Row],[DateOpened]],Proc[[#This Row],[DateClosed]]))-1)</f>
        <v>78</v>
      </c>
      <c r="R3866" s="136" t="s">
        <v>6087</v>
      </c>
      <c r="S3866" s="129"/>
    </row>
    <row r="3867" spans="1:19">
      <c r="A3867" s="135" t="s">
        <v>6086</v>
      </c>
      <c r="B3867" s="149" t="str">
        <f>IFERROR(VLOOKUP(Proc[[#This Row],[App]],Table2[],3,0),"open")</f>
        <v>ok</v>
      </c>
      <c r="C3867" s="138" t="s">
        <v>369</v>
      </c>
      <c r="D3867" t="s">
        <v>5994</v>
      </c>
      <c r="E3867" t="s">
        <v>6066</v>
      </c>
      <c r="F3867" s="129" t="s">
        <v>6066</v>
      </c>
      <c r="G3867" s="135" t="s">
        <v>406</v>
      </c>
      <c r="H3867" s="129" t="str">
        <f>IF(Proc[[#This Row],[type]]="LFF (MDG-F)",MID(Proc[[#This Row],[Obj]],13,10),"")</f>
        <v>JP01O05000</v>
      </c>
      <c r="J3867" s="129" t="b">
        <f>Proc[[#This Row],[Requested]]=Proc[[#This Row],[CurrentParent]]</f>
        <v>1</v>
      </c>
      <c r="K3867" s="144" t="str">
        <f>IF(Proc[[#This Row],[Author]]="Marcela Urrego",VLOOKUP(LEFT(Proc[[#This Row],[Requested]],1),Table3[#All],2,0),VLOOKUP(Proc[[#This Row],[Author]],Table4[],2,0))</f>
        <v>EL</v>
      </c>
      <c r="L3867" s="129" t="s">
        <v>4894</v>
      </c>
      <c r="M3867" s="136">
        <v>45895</v>
      </c>
      <c r="N3867" s="137"/>
      <c r="O3867" s="137"/>
      <c r="P3867" s="136" t="str">
        <f ca="1">IF(Proc[[#This Row],[DaysAgeing]]&gt;5,"yep","on track")</f>
        <v>yep</v>
      </c>
      <c r="Q3867" s="3">
        <f ca="1">IF(Proc[[#This Row],[DateClosed]]="",ABS(NETWORKDAYS(Proc[[#This Row],[DateOpened]],TODAY()))-1,ABS(NETWORKDAYS(Proc[[#This Row],[DateOpened]],Proc[[#This Row],[DateClosed]]))-1)</f>
        <v>78</v>
      </c>
      <c r="R3867" s="136" t="s">
        <v>6087</v>
      </c>
      <c r="S3867" s="129"/>
    </row>
    <row r="3868" spans="1:19">
      <c r="A3868" s="135" t="s">
        <v>6086</v>
      </c>
      <c r="B3868" s="149" t="str">
        <f>IFERROR(VLOOKUP(Proc[[#This Row],[App]],Table2[],3,0),"open")</f>
        <v>ok</v>
      </c>
      <c r="C3868" s="138" t="s">
        <v>369</v>
      </c>
      <c r="D3868" t="s">
        <v>5995</v>
      </c>
      <c r="E3868" t="s">
        <v>6066</v>
      </c>
      <c r="F3868" s="129" t="s">
        <v>6066</v>
      </c>
      <c r="G3868" s="135" t="s">
        <v>406</v>
      </c>
      <c r="H3868" s="129" t="str">
        <f>IF(Proc[[#This Row],[type]]="LFF (MDG-F)",MID(Proc[[#This Row],[Obj]],13,10),"")</f>
        <v>JP01O05001</v>
      </c>
      <c r="J3868" s="129" t="b">
        <f>Proc[[#This Row],[Requested]]=Proc[[#This Row],[CurrentParent]]</f>
        <v>1</v>
      </c>
      <c r="K3868" s="144" t="str">
        <f>IF(Proc[[#This Row],[Author]]="Marcela Urrego",VLOOKUP(LEFT(Proc[[#This Row],[Requested]],1),Table3[#All],2,0),VLOOKUP(Proc[[#This Row],[Author]],Table4[],2,0))</f>
        <v>EL</v>
      </c>
      <c r="L3868" s="129" t="s">
        <v>4894</v>
      </c>
      <c r="M3868" s="136">
        <v>45895</v>
      </c>
      <c r="N3868" s="137"/>
      <c r="O3868" s="137"/>
      <c r="P3868" s="136" t="str">
        <f ca="1">IF(Proc[[#This Row],[DaysAgeing]]&gt;5,"yep","on track")</f>
        <v>yep</v>
      </c>
      <c r="Q3868" s="3">
        <f ca="1">IF(Proc[[#This Row],[DateClosed]]="",ABS(NETWORKDAYS(Proc[[#This Row],[DateOpened]],TODAY()))-1,ABS(NETWORKDAYS(Proc[[#This Row],[DateOpened]],Proc[[#This Row],[DateClosed]]))-1)</f>
        <v>78</v>
      </c>
      <c r="R3868" s="136" t="s">
        <v>6087</v>
      </c>
      <c r="S3868" s="129"/>
    </row>
    <row r="3869" spans="1:19">
      <c r="A3869" s="135" t="s">
        <v>6086</v>
      </c>
      <c r="B3869" s="149" t="str">
        <f>IFERROR(VLOOKUP(Proc[[#This Row],[App]],Table2[],3,0),"open")</f>
        <v>ok</v>
      </c>
      <c r="C3869" s="138" t="s">
        <v>369</v>
      </c>
      <c r="D3869" t="s">
        <v>5996</v>
      </c>
      <c r="E3869" t="s">
        <v>6066</v>
      </c>
      <c r="F3869" s="129" t="s">
        <v>6066</v>
      </c>
      <c r="G3869" s="135" t="s">
        <v>406</v>
      </c>
      <c r="H3869" s="129" t="str">
        <f>IF(Proc[[#This Row],[type]]="LFF (MDG-F)",MID(Proc[[#This Row],[Obj]],13,10),"")</f>
        <v>JP01O05002</v>
      </c>
      <c r="J3869" s="129" t="b">
        <f>Proc[[#This Row],[Requested]]=Proc[[#This Row],[CurrentParent]]</f>
        <v>1</v>
      </c>
      <c r="K3869" s="144" t="str">
        <f>IF(Proc[[#This Row],[Author]]="Marcela Urrego",VLOOKUP(LEFT(Proc[[#This Row],[Requested]],1),Table3[#All],2,0),VLOOKUP(Proc[[#This Row],[Author]],Table4[],2,0))</f>
        <v>EL</v>
      </c>
      <c r="L3869" s="129" t="s">
        <v>4894</v>
      </c>
      <c r="M3869" s="136">
        <v>45895</v>
      </c>
      <c r="N3869" s="137"/>
      <c r="O3869" s="137"/>
      <c r="P3869" s="136" t="str">
        <f ca="1">IF(Proc[[#This Row],[DaysAgeing]]&gt;5,"yep","on track")</f>
        <v>yep</v>
      </c>
      <c r="Q3869" s="3">
        <f ca="1">IF(Proc[[#This Row],[DateClosed]]="",ABS(NETWORKDAYS(Proc[[#This Row],[DateOpened]],TODAY()))-1,ABS(NETWORKDAYS(Proc[[#This Row],[DateOpened]],Proc[[#This Row],[DateClosed]]))-1)</f>
        <v>78</v>
      </c>
      <c r="R3869" s="136" t="s">
        <v>6087</v>
      </c>
      <c r="S3869" s="129"/>
    </row>
    <row r="3870" spans="1:19">
      <c r="A3870" s="135" t="s">
        <v>6086</v>
      </c>
      <c r="B3870" s="149" t="str">
        <f>IFERROR(VLOOKUP(Proc[[#This Row],[App]],Table2[],3,0),"open")</f>
        <v>ok</v>
      </c>
      <c r="C3870" s="138" t="s">
        <v>369</v>
      </c>
      <c r="D3870" t="s">
        <v>5997</v>
      </c>
      <c r="E3870" t="s">
        <v>6066</v>
      </c>
      <c r="F3870" s="129" t="s">
        <v>6066</v>
      </c>
      <c r="G3870" s="135" t="s">
        <v>406</v>
      </c>
      <c r="H3870" s="129" t="str">
        <f>IF(Proc[[#This Row],[type]]="LFF (MDG-F)",MID(Proc[[#This Row],[Obj]],13,10),"")</f>
        <v>JP01O05003</v>
      </c>
      <c r="J3870" s="129" t="b">
        <f>Proc[[#This Row],[Requested]]=Proc[[#This Row],[CurrentParent]]</f>
        <v>1</v>
      </c>
      <c r="K3870" s="144" t="str">
        <f>IF(Proc[[#This Row],[Author]]="Marcela Urrego",VLOOKUP(LEFT(Proc[[#This Row],[Requested]],1),Table3[#All],2,0),VLOOKUP(Proc[[#This Row],[Author]],Table4[],2,0))</f>
        <v>EL</v>
      </c>
      <c r="L3870" s="129" t="s">
        <v>4894</v>
      </c>
      <c r="M3870" s="136">
        <v>45895</v>
      </c>
      <c r="N3870" s="137"/>
      <c r="O3870" s="137"/>
      <c r="P3870" s="136" t="str">
        <f ca="1">IF(Proc[[#This Row],[DaysAgeing]]&gt;5,"yep","on track")</f>
        <v>yep</v>
      </c>
      <c r="Q3870" s="3">
        <f ca="1">IF(Proc[[#This Row],[DateClosed]]="",ABS(NETWORKDAYS(Proc[[#This Row],[DateOpened]],TODAY()))-1,ABS(NETWORKDAYS(Proc[[#This Row],[DateOpened]],Proc[[#This Row],[DateClosed]]))-1)</f>
        <v>78</v>
      </c>
      <c r="R3870" s="136" t="s">
        <v>6087</v>
      </c>
      <c r="S3870" s="129"/>
    </row>
    <row r="3871" spans="1:19">
      <c r="A3871" s="135" t="s">
        <v>6086</v>
      </c>
      <c r="B3871" s="149" t="str">
        <f>IFERROR(VLOOKUP(Proc[[#This Row],[App]],Table2[],3,0),"open")</f>
        <v>ok</v>
      </c>
      <c r="C3871" s="138" t="s">
        <v>369</v>
      </c>
      <c r="D3871" t="s">
        <v>5998</v>
      </c>
      <c r="E3871" t="s">
        <v>6066</v>
      </c>
      <c r="F3871" s="129" t="s">
        <v>6066</v>
      </c>
      <c r="G3871" s="135" t="s">
        <v>406</v>
      </c>
      <c r="H3871" s="129" t="str">
        <f>IF(Proc[[#This Row],[type]]="LFF (MDG-F)",MID(Proc[[#This Row],[Obj]],13,10),"")</f>
        <v>JP01O05004</v>
      </c>
      <c r="J3871" s="129" t="b">
        <f>Proc[[#This Row],[Requested]]=Proc[[#This Row],[CurrentParent]]</f>
        <v>1</v>
      </c>
      <c r="K3871" s="144" t="str">
        <f>IF(Proc[[#This Row],[Author]]="Marcela Urrego",VLOOKUP(LEFT(Proc[[#This Row],[Requested]],1),Table3[#All],2,0),VLOOKUP(Proc[[#This Row],[Author]],Table4[],2,0))</f>
        <v>EL</v>
      </c>
      <c r="L3871" s="129" t="s">
        <v>4894</v>
      </c>
      <c r="M3871" s="136">
        <v>45895</v>
      </c>
      <c r="N3871" s="137"/>
      <c r="O3871" s="137"/>
      <c r="P3871" s="136" t="str">
        <f ca="1">IF(Proc[[#This Row],[DaysAgeing]]&gt;5,"yep","on track")</f>
        <v>yep</v>
      </c>
      <c r="Q3871" s="3">
        <f ca="1">IF(Proc[[#This Row],[DateClosed]]="",ABS(NETWORKDAYS(Proc[[#This Row],[DateOpened]],TODAY()))-1,ABS(NETWORKDAYS(Proc[[#This Row],[DateOpened]],Proc[[#This Row],[DateClosed]]))-1)</f>
        <v>78</v>
      </c>
      <c r="R3871" s="136" t="s">
        <v>6087</v>
      </c>
      <c r="S3871" s="129"/>
    </row>
    <row r="3872" spans="1:19">
      <c r="A3872" s="135" t="s">
        <v>6086</v>
      </c>
      <c r="B3872" s="149" t="str">
        <f>IFERROR(VLOOKUP(Proc[[#This Row],[App]],Table2[],3,0),"open")</f>
        <v>ok</v>
      </c>
      <c r="C3872" s="138" t="s">
        <v>369</v>
      </c>
      <c r="D3872" t="s">
        <v>5999</v>
      </c>
      <c r="E3872" t="s">
        <v>6072</v>
      </c>
      <c r="F3872" s="129" t="s">
        <v>6072</v>
      </c>
      <c r="G3872" s="135" t="s">
        <v>406</v>
      </c>
      <c r="H3872" s="129" t="str">
        <f>IF(Proc[[#This Row],[type]]="LFF (MDG-F)",MID(Proc[[#This Row],[Obj]],13,10),"")</f>
        <v>JP01OF0203</v>
      </c>
      <c r="J3872" s="129" t="b">
        <f>Proc[[#This Row],[Requested]]=Proc[[#This Row],[CurrentParent]]</f>
        <v>1</v>
      </c>
      <c r="K3872" s="144" t="str">
        <f>IF(Proc[[#This Row],[Author]]="Marcela Urrego",VLOOKUP(LEFT(Proc[[#This Row],[Requested]],1),Table3[#All],2,0),VLOOKUP(Proc[[#This Row],[Author]],Table4[],2,0))</f>
        <v>EL</v>
      </c>
      <c r="L3872" s="129" t="s">
        <v>4894</v>
      </c>
      <c r="M3872" s="136">
        <v>45895</v>
      </c>
      <c r="N3872" s="137"/>
      <c r="O3872" s="137"/>
      <c r="P3872" s="136" t="str">
        <f ca="1">IF(Proc[[#This Row],[DaysAgeing]]&gt;5,"yep","on track")</f>
        <v>yep</v>
      </c>
      <c r="Q3872" s="3">
        <f ca="1">IF(Proc[[#This Row],[DateClosed]]="",ABS(NETWORKDAYS(Proc[[#This Row],[DateOpened]],TODAY()))-1,ABS(NETWORKDAYS(Proc[[#This Row],[DateOpened]],Proc[[#This Row],[DateClosed]]))-1)</f>
        <v>78</v>
      </c>
      <c r="R3872" s="136" t="s">
        <v>6087</v>
      </c>
      <c r="S3872" s="129"/>
    </row>
    <row r="3873" spans="1:19">
      <c r="A3873" s="135" t="s">
        <v>6086</v>
      </c>
      <c r="B3873" s="149" t="str">
        <f>IFERROR(VLOOKUP(Proc[[#This Row],[App]],Table2[],3,0),"open")</f>
        <v>ok</v>
      </c>
      <c r="C3873" s="138" t="s">
        <v>369</v>
      </c>
      <c r="D3873" t="s">
        <v>6000</v>
      </c>
      <c r="E3873" t="s">
        <v>6065</v>
      </c>
      <c r="F3873" s="129" t="s">
        <v>6065</v>
      </c>
      <c r="G3873" s="135" t="s">
        <v>406</v>
      </c>
      <c r="H3873" s="129" t="str">
        <f>IF(Proc[[#This Row],[type]]="LFF (MDG-F)",MID(Proc[[#This Row],[Obj]],13,10),"")</f>
        <v>JP01R0O721</v>
      </c>
      <c r="J3873" s="129" t="b">
        <f>Proc[[#This Row],[Requested]]=Proc[[#This Row],[CurrentParent]]</f>
        <v>1</v>
      </c>
      <c r="K3873" s="144" t="str">
        <f>IF(Proc[[#This Row],[Author]]="Marcela Urrego",VLOOKUP(LEFT(Proc[[#This Row],[Requested]],1),Table3[#All],2,0),VLOOKUP(Proc[[#This Row],[Author]],Table4[],2,0))</f>
        <v>EL</v>
      </c>
      <c r="L3873" s="129" t="s">
        <v>4894</v>
      </c>
      <c r="M3873" s="136">
        <v>45895</v>
      </c>
      <c r="N3873" s="137"/>
      <c r="O3873" s="137"/>
      <c r="P3873" s="136" t="str">
        <f ca="1">IF(Proc[[#This Row],[DaysAgeing]]&gt;5,"yep","on track")</f>
        <v>yep</v>
      </c>
      <c r="Q3873" s="3">
        <f ca="1">IF(Proc[[#This Row],[DateClosed]]="",ABS(NETWORKDAYS(Proc[[#This Row],[DateOpened]],TODAY()))-1,ABS(NETWORKDAYS(Proc[[#This Row],[DateOpened]],Proc[[#This Row],[DateClosed]]))-1)</f>
        <v>78</v>
      </c>
      <c r="R3873" s="136" t="s">
        <v>6087</v>
      </c>
      <c r="S3873" s="129"/>
    </row>
    <row r="3874" spans="1:19">
      <c r="A3874" s="135" t="s">
        <v>6086</v>
      </c>
      <c r="B3874" s="149" t="str">
        <f>IFERROR(VLOOKUP(Proc[[#This Row],[App]],Table2[],3,0),"open")</f>
        <v>ok</v>
      </c>
      <c r="C3874" s="138" t="s">
        <v>369</v>
      </c>
      <c r="D3874" t="s">
        <v>6001</v>
      </c>
      <c r="E3874" t="s">
        <v>6073</v>
      </c>
      <c r="F3874" s="129" t="s">
        <v>6073</v>
      </c>
      <c r="G3874" s="135" t="s">
        <v>406</v>
      </c>
      <c r="H3874" s="129" t="str">
        <f>IF(Proc[[#This Row],[type]]="LFF (MDG-F)",MID(Proc[[#This Row],[Obj]],13,10),"")</f>
        <v>JP01TAOA00</v>
      </c>
      <c r="J3874" s="129" t="b">
        <f>Proc[[#This Row],[Requested]]=Proc[[#This Row],[CurrentParent]]</f>
        <v>1</v>
      </c>
      <c r="K3874" s="144" t="str">
        <f>IF(Proc[[#This Row],[Author]]="Marcela Urrego",VLOOKUP(LEFT(Proc[[#This Row],[Requested]],1),Table3[#All],2,0),VLOOKUP(Proc[[#This Row],[Author]],Table4[],2,0))</f>
        <v>EL</v>
      </c>
      <c r="L3874" s="129" t="s">
        <v>4894</v>
      </c>
      <c r="M3874" s="136">
        <v>45895</v>
      </c>
      <c r="N3874" s="137"/>
      <c r="O3874" s="137"/>
      <c r="P3874" s="136" t="str">
        <f ca="1">IF(Proc[[#This Row],[DaysAgeing]]&gt;5,"yep","on track")</f>
        <v>yep</v>
      </c>
      <c r="Q3874" s="3">
        <f ca="1">IF(Proc[[#This Row],[DateClosed]]="",ABS(NETWORKDAYS(Proc[[#This Row],[DateOpened]],TODAY()))-1,ABS(NETWORKDAYS(Proc[[#This Row],[DateOpened]],Proc[[#This Row],[DateClosed]]))-1)</f>
        <v>78</v>
      </c>
      <c r="R3874" s="136" t="s">
        <v>6087</v>
      </c>
      <c r="S3874" s="129"/>
    </row>
    <row r="3875" spans="1:19">
      <c r="A3875" s="135" t="s">
        <v>6086</v>
      </c>
      <c r="B3875" s="149" t="str">
        <f>IFERROR(VLOOKUP(Proc[[#This Row],[App]],Table2[],3,0),"open")</f>
        <v>ok</v>
      </c>
      <c r="C3875" s="138" t="s">
        <v>369</v>
      </c>
      <c r="D3875" t="s">
        <v>6002</v>
      </c>
      <c r="E3875" t="s">
        <v>6073</v>
      </c>
      <c r="F3875" s="129" t="s">
        <v>6073</v>
      </c>
      <c r="G3875" s="135" t="s">
        <v>406</v>
      </c>
      <c r="H3875" s="129" t="str">
        <f>IF(Proc[[#This Row],[type]]="LFF (MDG-F)",MID(Proc[[#This Row],[Obj]],13,10),"")</f>
        <v>JP01TAOA01</v>
      </c>
      <c r="J3875" s="129" t="b">
        <f>Proc[[#This Row],[Requested]]=Proc[[#This Row],[CurrentParent]]</f>
        <v>1</v>
      </c>
      <c r="K3875" s="144" t="str">
        <f>IF(Proc[[#This Row],[Author]]="Marcela Urrego",VLOOKUP(LEFT(Proc[[#This Row],[Requested]],1),Table3[#All],2,0),VLOOKUP(Proc[[#This Row],[Author]],Table4[],2,0))</f>
        <v>EL</v>
      </c>
      <c r="L3875" s="129" t="s">
        <v>4894</v>
      </c>
      <c r="M3875" s="136">
        <v>45895</v>
      </c>
      <c r="N3875" s="137"/>
      <c r="O3875" s="137"/>
      <c r="P3875" s="136" t="str">
        <f ca="1">IF(Proc[[#This Row],[DaysAgeing]]&gt;5,"yep","on track")</f>
        <v>yep</v>
      </c>
      <c r="Q3875" s="3">
        <f ca="1">IF(Proc[[#This Row],[DateClosed]]="",ABS(NETWORKDAYS(Proc[[#This Row],[DateOpened]],TODAY()))-1,ABS(NETWORKDAYS(Proc[[#This Row],[DateOpened]],Proc[[#This Row],[DateClosed]]))-1)</f>
        <v>78</v>
      </c>
      <c r="R3875" s="136" t="s">
        <v>6087</v>
      </c>
      <c r="S3875" s="129"/>
    </row>
    <row r="3876" spans="1:19">
      <c r="A3876" s="135" t="s">
        <v>6086</v>
      </c>
      <c r="B3876" s="149" t="str">
        <f>IFERROR(VLOOKUP(Proc[[#This Row],[App]],Table2[],3,0),"open")</f>
        <v>ok</v>
      </c>
      <c r="C3876" s="138" t="s">
        <v>369</v>
      </c>
      <c r="D3876" t="s">
        <v>6003</v>
      </c>
      <c r="E3876" t="s">
        <v>6073</v>
      </c>
      <c r="F3876" s="129" t="s">
        <v>6073</v>
      </c>
      <c r="G3876" s="135" t="s">
        <v>406</v>
      </c>
      <c r="H3876" s="129" t="str">
        <f>IF(Proc[[#This Row],[type]]="LFF (MDG-F)",MID(Proc[[#This Row],[Obj]],13,10),"")</f>
        <v>JP01TAOA99</v>
      </c>
      <c r="J3876" s="129" t="b">
        <f>Proc[[#This Row],[Requested]]=Proc[[#This Row],[CurrentParent]]</f>
        <v>1</v>
      </c>
      <c r="K3876" s="144" t="str">
        <f>IF(Proc[[#This Row],[Author]]="Marcela Urrego",VLOOKUP(LEFT(Proc[[#This Row],[Requested]],1),Table3[#All],2,0),VLOOKUP(Proc[[#This Row],[Author]],Table4[],2,0))</f>
        <v>EL</v>
      </c>
      <c r="L3876" s="129" t="s">
        <v>4894</v>
      </c>
      <c r="M3876" s="136">
        <v>45895</v>
      </c>
      <c r="N3876" s="137"/>
      <c r="O3876" s="137"/>
      <c r="P3876" s="136" t="str">
        <f ca="1">IF(Proc[[#This Row],[DaysAgeing]]&gt;5,"yep","on track")</f>
        <v>yep</v>
      </c>
      <c r="Q3876" s="3">
        <f ca="1">IF(Proc[[#This Row],[DateClosed]]="",ABS(NETWORKDAYS(Proc[[#This Row],[DateOpened]],TODAY()))-1,ABS(NETWORKDAYS(Proc[[#This Row],[DateOpened]],Proc[[#This Row],[DateClosed]]))-1)</f>
        <v>78</v>
      </c>
      <c r="R3876" s="136" t="s">
        <v>6087</v>
      </c>
      <c r="S3876" s="129"/>
    </row>
    <row r="3877" spans="1:19">
      <c r="A3877" s="135" t="s">
        <v>6086</v>
      </c>
      <c r="B3877" s="149" t="str">
        <f>IFERROR(VLOOKUP(Proc[[#This Row],[App]],Table2[],3,0),"open")</f>
        <v>ok</v>
      </c>
      <c r="C3877" s="138" t="s">
        <v>369</v>
      </c>
      <c r="D3877" t="s">
        <v>6004</v>
      </c>
      <c r="E3877" t="s">
        <v>6073</v>
      </c>
      <c r="F3877" s="129" t="s">
        <v>6073</v>
      </c>
      <c r="G3877" s="135" t="s">
        <v>406</v>
      </c>
      <c r="H3877" s="129" t="str">
        <f>IF(Proc[[#This Row],[type]]="LFF (MDG-F)",MID(Proc[[#This Row],[Obj]],13,10),"")</f>
        <v>JP01TAOB00</v>
      </c>
      <c r="J3877" s="129" t="b">
        <f>Proc[[#This Row],[Requested]]=Proc[[#This Row],[CurrentParent]]</f>
        <v>1</v>
      </c>
      <c r="K3877" s="144" t="str">
        <f>IF(Proc[[#This Row],[Author]]="Marcela Urrego",VLOOKUP(LEFT(Proc[[#This Row],[Requested]],1),Table3[#All],2,0),VLOOKUP(Proc[[#This Row],[Author]],Table4[],2,0))</f>
        <v>EL</v>
      </c>
      <c r="L3877" s="129" t="s">
        <v>4894</v>
      </c>
      <c r="M3877" s="136">
        <v>45895</v>
      </c>
      <c r="N3877" s="137"/>
      <c r="O3877" s="137"/>
      <c r="P3877" s="136" t="str">
        <f ca="1">IF(Proc[[#This Row],[DaysAgeing]]&gt;5,"yep","on track")</f>
        <v>yep</v>
      </c>
      <c r="Q3877" s="3">
        <f ca="1">IF(Proc[[#This Row],[DateClosed]]="",ABS(NETWORKDAYS(Proc[[#This Row],[DateOpened]],TODAY()))-1,ABS(NETWORKDAYS(Proc[[#This Row],[DateOpened]],Proc[[#This Row],[DateClosed]]))-1)</f>
        <v>78</v>
      </c>
      <c r="R3877" s="136" t="s">
        <v>6087</v>
      </c>
      <c r="S3877" s="129"/>
    </row>
    <row r="3878" spans="1:19">
      <c r="A3878" s="135" t="s">
        <v>6086</v>
      </c>
      <c r="B3878" s="149" t="str">
        <f>IFERROR(VLOOKUP(Proc[[#This Row],[App]],Table2[],3,0),"open")</f>
        <v>ok</v>
      </c>
      <c r="C3878" s="138" t="s">
        <v>369</v>
      </c>
      <c r="D3878" t="s">
        <v>6005</v>
      </c>
      <c r="E3878" t="s">
        <v>6073</v>
      </c>
      <c r="F3878" s="129" t="s">
        <v>6073</v>
      </c>
      <c r="G3878" s="135" t="s">
        <v>406</v>
      </c>
      <c r="H3878" s="129" t="str">
        <f>IF(Proc[[#This Row],[type]]="LFF (MDG-F)",MID(Proc[[#This Row],[Obj]],13,10),"")</f>
        <v>JP01TAOB01</v>
      </c>
      <c r="J3878" s="129" t="b">
        <f>Proc[[#This Row],[Requested]]=Proc[[#This Row],[CurrentParent]]</f>
        <v>1</v>
      </c>
      <c r="K3878" s="144" t="str">
        <f>IF(Proc[[#This Row],[Author]]="Marcela Urrego",VLOOKUP(LEFT(Proc[[#This Row],[Requested]],1),Table3[#All],2,0),VLOOKUP(Proc[[#This Row],[Author]],Table4[],2,0))</f>
        <v>EL</v>
      </c>
      <c r="L3878" s="129" t="s">
        <v>4894</v>
      </c>
      <c r="M3878" s="136">
        <v>45895</v>
      </c>
      <c r="N3878" s="137"/>
      <c r="O3878" s="137"/>
      <c r="P3878" s="136" t="str">
        <f ca="1">IF(Proc[[#This Row],[DaysAgeing]]&gt;5,"yep","on track")</f>
        <v>yep</v>
      </c>
      <c r="Q3878" s="3">
        <f ca="1">IF(Proc[[#This Row],[DateClosed]]="",ABS(NETWORKDAYS(Proc[[#This Row],[DateOpened]],TODAY()))-1,ABS(NETWORKDAYS(Proc[[#This Row],[DateOpened]],Proc[[#This Row],[DateClosed]]))-1)</f>
        <v>78</v>
      </c>
      <c r="R3878" s="136" t="s">
        <v>6087</v>
      </c>
      <c r="S3878" s="129"/>
    </row>
    <row r="3879" spans="1:19">
      <c r="A3879" s="135" t="s">
        <v>6086</v>
      </c>
      <c r="B3879" s="149" t="str">
        <f>IFERROR(VLOOKUP(Proc[[#This Row],[App]],Table2[],3,0),"open")</f>
        <v>ok</v>
      </c>
      <c r="C3879" s="138" t="s">
        <v>369</v>
      </c>
      <c r="D3879" t="s">
        <v>6006</v>
      </c>
      <c r="E3879" t="s">
        <v>6073</v>
      </c>
      <c r="F3879" s="129" t="s">
        <v>6073</v>
      </c>
      <c r="G3879" s="135" t="s">
        <v>406</v>
      </c>
      <c r="H3879" s="129" t="str">
        <f>IF(Proc[[#This Row],[type]]="LFF (MDG-F)",MID(Proc[[#This Row],[Obj]],13,10),"")</f>
        <v>JP01TAOB02</v>
      </c>
      <c r="J3879" s="129" t="b">
        <f>Proc[[#This Row],[Requested]]=Proc[[#This Row],[CurrentParent]]</f>
        <v>1</v>
      </c>
      <c r="K3879" s="144" t="str">
        <f>IF(Proc[[#This Row],[Author]]="Marcela Urrego",VLOOKUP(LEFT(Proc[[#This Row],[Requested]],1),Table3[#All],2,0),VLOOKUP(Proc[[#This Row],[Author]],Table4[],2,0))</f>
        <v>EL</v>
      </c>
      <c r="L3879" s="129" t="s">
        <v>4894</v>
      </c>
      <c r="M3879" s="136">
        <v>45895</v>
      </c>
      <c r="N3879" s="137"/>
      <c r="O3879" s="137"/>
      <c r="P3879" s="136" t="str">
        <f ca="1">IF(Proc[[#This Row],[DaysAgeing]]&gt;5,"yep","on track")</f>
        <v>yep</v>
      </c>
      <c r="Q3879" s="3">
        <f ca="1">IF(Proc[[#This Row],[DateClosed]]="",ABS(NETWORKDAYS(Proc[[#This Row],[DateOpened]],TODAY()))-1,ABS(NETWORKDAYS(Proc[[#This Row],[DateOpened]],Proc[[#This Row],[DateClosed]]))-1)</f>
        <v>78</v>
      </c>
      <c r="R3879" s="136" t="s">
        <v>6087</v>
      </c>
      <c r="S3879" s="129"/>
    </row>
    <row r="3880" spans="1:19">
      <c r="A3880" s="135" t="s">
        <v>6086</v>
      </c>
      <c r="B3880" s="149" t="str">
        <f>IFERROR(VLOOKUP(Proc[[#This Row],[App]],Table2[],3,0),"open")</f>
        <v>ok</v>
      </c>
      <c r="C3880" s="138" t="s">
        <v>369</v>
      </c>
      <c r="D3880" t="s">
        <v>6007</v>
      </c>
      <c r="E3880" t="s">
        <v>6073</v>
      </c>
      <c r="F3880" s="129" t="s">
        <v>6073</v>
      </c>
      <c r="G3880" s="135" t="s">
        <v>406</v>
      </c>
      <c r="H3880" s="129" t="str">
        <f>IF(Proc[[#This Row],[type]]="LFF (MDG-F)",MID(Proc[[#This Row],[Obj]],13,10),"")</f>
        <v>JP01TAOB99</v>
      </c>
      <c r="J3880" s="129" t="b">
        <f>Proc[[#This Row],[Requested]]=Proc[[#This Row],[CurrentParent]]</f>
        <v>1</v>
      </c>
      <c r="K3880" s="144" t="str">
        <f>IF(Proc[[#This Row],[Author]]="Marcela Urrego",VLOOKUP(LEFT(Proc[[#This Row],[Requested]],1),Table3[#All],2,0),VLOOKUP(Proc[[#This Row],[Author]],Table4[],2,0))</f>
        <v>EL</v>
      </c>
      <c r="L3880" s="129" t="s">
        <v>4894</v>
      </c>
      <c r="M3880" s="136">
        <v>45895</v>
      </c>
      <c r="N3880" s="137"/>
      <c r="O3880" s="137"/>
      <c r="P3880" s="136" t="str">
        <f ca="1">IF(Proc[[#This Row],[DaysAgeing]]&gt;5,"yep","on track")</f>
        <v>yep</v>
      </c>
      <c r="Q3880" s="3">
        <f ca="1">IF(Proc[[#This Row],[DateClosed]]="",ABS(NETWORKDAYS(Proc[[#This Row],[DateOpened]],TODAY()))-1,ABS(NETWORKDAYS(Proc[[#This Row],[DateOpened]],Proc[[#This Row],[DateClosed]]))-1)</f>
        <v>78</v>
      </c>
      <c r="R3880" s="136" t="s">
        <v>6087</v>
      </c>
      <c r="S3880" s="129"/>
    </row>
    <row r="3881" spans="1:19">
      <c r="A3881" s="135" t="s">
        <v>6086</v>
      </c>
      <c r="B3881" s="149" t="str">
        <f>IFERROR(VLOOKUP(Proc[[#This Row],[App]],Table2[],3,0),"open")</f>
        <v>ok</v>
      </c>
      <c r="C3881" s="138" t="s">
        <v>369</v>
      </c>
      <c r="D3881" t="s">
        <v>6008</v>
      </c>
      <c r="E3881" t="s">
        <v>6073</v>
      </c>
      <c r="F3881" s="129" t="s">
        <v>6073</v>
      </c>
      <c r="G3881" s="135" t="s">
        <v>406</v>
      </c>
      <c r="H3881" s="129" t="str">
        <f>IF(Proc[[#This Row],[type]]="LFF (MDG-F)",MID(Proc[[#This Row],[Obj]],13,10),"")</f>
        <v>JP01TAOC00</v>
      </c>
      <c r="J3881" s="129" t="b">
        <f>Proc[[#This Row],[Requested]]=Proc[[#This Row],[CurrentParent]]</f>
        <v>1</v>
      </c>
      <c r="K3881" s="144" t="str">
        <f>IF(Proc[[#This Row],[Author]]="Marcela Urrego",VLOOKUP(LEFT(Proc[[#This Row],[Requested]],1),Table3[#All],2,0),VLOOKUP(Proc[[#This Row],[Author]],Table4[],2,0))</f>
        <v>EL</v>
      </c>
      <c r="L3881" s="129" t="s">
        <v>4894</v>
      </c>
      <c r="M3881" s="136">
        <v>45895</v>
      </c>
      <c r="N3881" s="137"/>
      <c r="O3881" s="137"/>
      <c r="P3881" s="136" t="str">
        <f ca="1">IF(Proc[[#This Row],[DaysAgeing]]&gt;5,"yep","on track")</f>
        <v>yep</v>
      </c>
      <c r="Q3881" s="3">
        <f ca="1">IF(Proc[[#This Row],[DateClosed]]="",ABS(NETWORKDAYS(Proc[[#This Row],[DateOpened]],TODAY()))-1,ABS(NETWORKDAYS(Proc[[#This Row],[DateOpened]],Proc[[#This Row],[DateClosed]]))-1)</f>
        <v>78</v>
      </c>
      <c r="R3881" s="136" t="s">
        <v>6087</v>
      </c>
      <c r="S3881" s="129"/>
    </row>
    <row r="3882" spans="1:19">
      <c r="A3882" s="135" t="s">
        <v>6086</v>
      </c>
      <c r="B3882" s="149" t="str">
        <f>IFERROR(VLOOKUP(Proc[[#This Row],[App]],Table2[],3,0),"open")</f>
        <v>ok</v>
      </c>
      <c r="C3882" s="138" t="s">
        <v>369</v>
      </c>
      <c r="D3882" t="s">
        <v>6009</v>
      </c>
      <c r="E3882" t="s">
        <v>6073</v>
      </c>
      <c r="F3882" s="129" t="s">
        <v>6073</v>
      </c>
      <c r="G3882" s="135" t="s">
        <v>406</v>
      </c>
      <c r="H3882" s="129" t="str">
        <f>IF(Proc[[#This Row],[type]]="LFF (MDG-F)",MID(Proc[[#This Row],[Obj]],13,10),"")</f>
        <v>JP01TAOC01</v>
      </c>
      <c r="J3882" s="129" t="b">
        <f>Proc[[#This Row],[Requested]]=Proc[[#This Row],[CurrentParent]]</f>
        <v>1</v>
      </c>
      <c r="K3882" s="144" t="str">
        <f>IF(Proc[[#This Row],[Author]]="Marcela Urrego",VLOOKUP(LEFT(Proc[[#This Row],[Requested]],1),Table3[#All],2,0),VLOOKUP(Proc[[#This Row],[Author]],Table4[],2,0))</f>
        <v>EL</v>
      </c>
      <c r="L3882" s="129" t="s">
        <v>4894</v>
      </c>
      <c r="M3882" s="136">
        <v>45895</v>
      </c>
      <c r="N3882" s="137"/>
      <c r="O3882" s="137"/>
      <c r="P3882" s="136" t="str">
        <f ca="1">IF(Proc[[#This Row],[DaysAgeing]]&gt;5,"yep","on track")</f>
        <v>yep</v>
      </c>
      <c r="Q3882" s="3">
        <f ca="1">IF(Proc[[#This Row],[DateClosed]]="",ABS(NETWORKDAYS(Proc[[#This Row],[DateOpened]],TODAY()))-1,ABS(NETWORKDAYS(Proc[[#This Row],[DateOpened]],Proc[[#This Row],[DateClosed]]))-1)</f>
        <v>78</v>
      </c>
      <c r="R3882" s="136" t="s">
        <v>6087</v>
      </c>
      <c r="S3882" s="129"/>
    </row>
    <row r="3883" spans="1:19">
      <c r="A3883" s="135" t="s">
        <v>6086</v>
      </c>
      <c r="B3883" s="149" t="str">
        <f>IFERROR(VLOOKUP(Proc[[#This Row],[App]],Table2[],3,0),"open")</f>
        <v>ok</v>
      </c>
      <c r="C3883" s="138" t="s">
        <v>369</v>
      </c>
      <c r="D3883" t="s">
        <v>6010</v>
      </c>
      <c r="E3883" t="s">
        <v>6073</v>
      </c>
      <c r="F3883" s="129" t="s">
        <v>6073</v>
      </c>
      <c r="G3883" s="135" t="s">
        <v>406</v>
      </c>
      <c r="H3883" s="129" t="str">
        <f>IF(Proc[[#This Row],[type]]="LFF (MDG-F)",MID(Proc[[#This Row],[Obj]],13,10),"")</f>
        <v>JP01TAOC02</v>
      </c>
      <c r="J3883" s="129" t="b">
        <f>Proc[[#This Row],[Requested]]=Proc[[#This Row],[CurrentParent]]</f>
        <v>1</v>
      </c>
      <c r="K3883" s="144" t="str">
        <f>IF(Proc[[#This Row],[Author]]="Marcela Urrego",VLOOKUP(LEFT(Proc[[#This Row],[Requested]],1),Table3[#All],2,0),VLOOKUP(Proc[[#This Row],[Author]],Table4[],2,0))</f>
        <v>EL</v>
      </c>
      <c r="L3883" s="129" t="s">
        <v>4894</v>
      </c>
      <c r="M3883" s="136">
        <v>45895</v>
      </c>
      <c r="N3883" s="137"/>
      <c r="O3883" s="137"/>
      <c r="P3883" s="136" t="str">
        <f ca="1">IF(Proc[[#This Row],[DaysAgeing]]&gt;5,"yep","on track")</f>
        <v>yep</v>
      </c>
      <c r="Q3883" s="3">
        <f ca="1">IF(Proc[[#This Row],[DateClosed]]="",ABS(NETWORKDAYS(Proc[[#This Row],[DateOpened]],TODAY()))-1,ABS(NETWORKDAYS(Proc[[#This Row],[DateOpened]],Proc[[#This Row],[DateClosed]]))-1)</f>
        <v>78</v>
      </c>
      <c r="R3883" s="136" t="s">
        <v>6087</v>
      </c>
      <c r="S3883" s="129"/>
    </row>
    <row r="3884" spans="1:19">
      <c r="A3884" s="135" t="s">
        <v>6086</v>
      </c>
      <c r="B3884" s="149" t="str">
        <f>IFERROR(VLOOKUP(Proc[[#This Row],[App]],Table2[],3,0),"open")</f>
        <v>ok</v>
      </c>
      <c r="C3884" s="138" t="s">
        <v>369</v>
      </c>
      <c r="D3884" t="s">
        <v>6011</v>
      </c>
      <c r="E3884" t="s">
        <v>6073</v>
      </c>
      <c r="F3884" s="129" t="s">
        <v>6073</v>
      </c>
      <c r="G3884" s="135" t="s">
        <v>406</v>
      </c>
      <c r="H3884" s="129" t="str">
        <f>IF(Proc[[#This Row],[type]]="LFF (MDG-F)",MID(Proc[[#This Row],[Obj]],13,10),"")</f>
        <v>JP01TAOC03</v>
      </c>
      <c r="J3884" s="129" t="b">
        <f>Proc[[#This Row],[Requested]]=Proc[[#This Row],[CurrentParent]]</f>
        <v>1</v>
      </c>
      <c r="K3884" s="144" t="str">
        <f>IF(Proc[[#This Row],[Author]]="Marcela Urrego",VLOOKUP(LEFT(Proc[[#This Row],[Requested]],1),Table3[#All],2,0),VLOOKUP(Proc[[#This Row],[Author]],Table4[],2,0))</f>
        <v>EL</v>
      </c>
      <c r="L3884" s="129" t="s">
        <v>4894</v>
      </c>
      <c r="M3884" s="136">
        <v>45895</v>
      </c>
      <c r="N3884" s="137"/>
      <c r="O3884" s="137"/>
      <c r="P3884" s="136" t="str">
        <f ca="1">IF(Proc[[#This Row],[DaysAgeing]]&gt;5,"yep","on track")</f>
        <v>yep</v>
      </c>
      <c r="Q3884" s="3">
        <f ca="1">IF(Proc[[#This Row],[DateClosed]]="",ABS(NETWORKDAYS(Proc[[#This Row],[DateOpened]],TODAY()))-1,ABS(NETWORKDAYS(Proc[[#This Row],[DateOpened]],Proc[[#This Row],[DateClosed]]))-1)</f>
        <v>78</v>
      </c>
      <c r="R3884" s="136" t="s">
        <v>6087</v>
      </c>
      <c r="S3884" s="129"/>
    </row>
    <row r="3885" spans="1:19">
      <c r="A3885" s="135" t="s">
        <v>6086</v>
      </c>
      <c r="B3885" s="149" t="str">
        <f>IFERROR(VLOOKUP(Proc[[#This Row],[App]],Table2[],3,0),"open")</f>
        <v>ok</v>
      </c>
      <c r="C3885" s="138" t="s">
        <v>369</v>
      </c>
      <c r="D3885" t="s">
        <v>6012</v>
      </c>
      <c r="E3885" t="s">
        <v>6073</v>
      </c>
      <c r="F3885" s="129" t="s">
        <v>6073</v>
      </c>
      <c r="G3885" s="135" t="s">
        <v>406</v>
      </c>
      <c r="H3885" s="129" t="str">
        <f>IF(Proc[[#This Row],[type]]="LFF (MDG-F)",MID(Proc[[#This Row],[Obj]],13,10),"")</f>
        <v>JP01TAOC99</v>
      </c>
      <c r="J3885" s="129" t="b">
        <f>Proc[[#This Row],[Requested]]=Proc[[#This Row],[CurrentParent]]</f>
        <v>1</v>
      </c>
      <c r="K3885" s="144" t="str">
        <f>IF(Proc[[#This Row],[Author]]="Marcela Urrego",VLOOKUP(LEFT(Proc[[#This Row],[Requested]],1),Table3[#All],2,0),VLOOKUP(Proc[[#This Row],[Author]],Table4[],2,0))</f>
        <v>EL</v>
      </c>
      <c r="L3885" s="129" t="s">
        <v>4894</v>
      </c>
      <c r="M3885" s="136">
        <v>45895</v>
      </c>
      <c r="N3885" s="137"/>
      <c r="O3885" s="137"/>
      <c r="P3885" s="136" t="str">
        <f ca="1">IF(Proc[[#This Row],[DaysAgeing]]&gt;5,"yep","on track")</f>
        <v>yep</v>
      </c>
      <c r="Q3885" s="3">
        <f ca="1">IF(Proc[[#This Row],[DateClosed]]="",ABS(NETWORKDAYS(Proc[[#This Row],[DateOpened]],TODAY()))-1,ABS(NETWORKDAYS(Proc[[#This Row],[DateOpened]],Proc[[#This Row],[DateClosed]]))-1)</f>
        <v>78</v>
      </c>
      <c r="R3885" s="136" t="s">
        <v>6087</v>
      </c>
      <c r="S3885" s="129"/>
    </row>
    <row r="3886" spans="1:19">
      <c r="A3886" s="135" t="s">
        <v>6086</v>
      </c>
      <c r="B3886" s="149" t="str">
        <f>IFERROR(VLOOKUP(Proc[[#This Row],[App]],Table2[],3,0),"open")</f>
        <v>ok</v>
      </c>
      <c r="C3886" s="138" t="s">
        <v>369</v>
      </c>
      <c r="D3886" t="s">
        <v>6013</v>
      </c>
      <c r="E3886" t="s">
        <v>6073</v>
      </c>
      <c r="F3886" s="129" t="s">
        <v>6073</v>
      </c>
      <c r="G3886" s="135" t="s">
        <v>406</v>
      </c>
      <c r="H3886" s="129" t="str">
        <f>IF(Proc[[#This Row],[type]]="LFF (MDG-F)",MID(Proc[[#This Row],[Obj]],13,10),"")</f>
        <v>JP01TAOD00</v>
      </c>
      <c r="J3886" s="129" t="b">
        <f>Proc[[#This Row],[Requested]]=Proc[[#This Row],[CurrentParent]]</f>
        <v>1</v>
      </c>
      <c r="K3886" s="144" t="str">
        <f>IF(Proc[[#This Row],[Author]]="Marcela Urrego",VLOOKUP(LEFT(Proc[[#This Row],[Requested]],1),Table3[#All],2,0),VLOOKUP(Proc[[#This Row],[Author]],Table4[],2,0))</f>
        <v>EL</v>
      </c>
      <c r="L3886" s="129" t="s">
        <v>4894</v>
      </c>
      <c r="M3886" s="136">
        <v>45895</v>
      </c>
      <c r="N3886" s="137"/>
      <c r="O3886" s="137"/>
      <c r="P3886" s="136" t="str">
        <f ca="1">IF(Proc[[#This Row],[DaysAgeing]]&gt;5,"yep","on track")</f>
        <v>yep</v>
      </c>
      <c r="Q3886" s="3">
        <f ca="1">IF(Proc[[#This Row],[DateClosed]]="",ABS(NETWORKDAYS(Proc[[#This Row],[DateOpened]],TODAY()))-1,ABS(NETWORKDAYS(Proc[[#This Row],[DateOpened]],Proc[[#This Row],[DateClosed]]))-1)</f>
        <v>78</v>
      </c>
      <c r="R3886" s="136" t="s">
        <v>6087</v>
      </c>
      <c r="S3886" s="129"/>
    </row>
    <row r="3887" spans="1:19">
      <c r="A3887" s="135" t="s">
        <v>6086</v>
      </c>
      <c r="B3887" s="149" t="str">
        <f>IFERROR(VLOOKUP(Proc[[#This Row],[App]],Table2[],3,0),"open")</f>
        <v>ok</v>
      </c>
      <c r="C3887" s="138" t="s">
        <v>369</v>
      </c>
      <c r="D3887" t="s">
        <v>6014</v>
      </c>
      <c r="E3887" t="s">
        <v>6073</v>
      </c>
      <c r="F3887" s="129" t="s">
        <v>6073</v>
      </c>
      <c r="G3887" s="135" t="s">
        <v>406</v>
      </c>
      <c r="H3887" s="129" t="str">
        <f>IF(Proc[[#This Row],[type]]="LFF (MDG-F)",MID(Proc[[#This Row],[Obj]],13,10),"")</f>
        <v>JP01TAOD01</v>
      </c>
      <c r="J3887" s="129" t="b">
        <f>Proc[[#This Row],[Requested]]=Proc[[#This Row],[CurrentParent]]</f>
        <v>1</v>
      </c>
      <c r="K3887" s="144" t="str">
        <f>IF(Proc[[#This Row],[Author]]="Marcela Urrego",VLOOKUP(LEFT(Proc[[#This Row],[Requested]],1),Table3[#All],2,0),VLOOKUP(Proc[[#This Row],[Author]],Table4[],2,0))</f>
        <v>EL</v>
      </c>
      <c r="L3887" s="129" t="s">
        <v>4894</v>
      </c>
      <c r="M3887" s="136">
        <v>45895</v>
      </c>
      <c r="N3887" s="137"/>
      <c r="O3887" s="137"/>
      <c r="P3887" s="136" t="str">
        <f ca="1">IF(Proc[[#This Row],[DaysAgeing]]&gt;5,"yep","on track")</f>
        <v>yep</v>
      </c>
      <c r="Q3887" s="3">
        <f ca="1">IF(Proc[[#This Row],[DateClosed]]="",ABS(NETWORKDAYS(Proc[[#This Row],[DateOpened]],TODAY()))-1,ABS(NETWORKDAYS(Proc[[#This Row],[DateOpened]],Proc[[#This Row],[DateClosed]]))-1)</f>
        <v>78</v>
      </c>
      <c r="R3887" s="136" t="s">
        <v>6087</v>
      </c>
      <c r="S3887" s="129"/>
    </row>
    <row r="3888" spans="1:19">
      <c r="A3888" s="135" t="s">
        <v>6086</v>
      </c>
      <c r="B3888" s="149" t="str">
        <f>IFERROR(VLOOKUP(Proc[[#This Row],[App]],Table2[],3,0),"open")</f>
        <v>ok</v>
      </c>
      <c r="C3888" s="138" t="s">
        <v>369</v>
      </c>
      <c r="D3888" t="s">
        <v>6015</v>
      </c>
      <c r="E3888" t="s">
        <v>6073</v>
      </c>
      <c r="F3888" s="129" t="s">
        <v>6073</v>
      </c>
      <c r="G3888" s="135" t="s">
        <v>406</v>
      </c>
      <c r="H3888" s="129" t="str">
        <f>IF(Proc[[#This Row],[type]]="LFF (MDG-F)",MID(Proc[[#This Row],[Obj]],13,10),"")</f>
        <v>JP01TAOD02</v>
      </c>
      <c r="J3888" s="129" t="b">
        <f>Proc[[#This Row],[Requested]]=Proc[[#This Row],[CurrentParent]]</f>
        <v>1</v>
      </c>
      <c r="K3888" s="144" t="str">
        <f>IF(Proc[[#This Row],[Author]]="Marcela Urrego",VLOOKUP(LEFT(Proc[[#This Row],[Requested]],1),Table3[#All],2,0),VLOOKUP(Proc[[#This Row],[Author]],Table4[],2,0))</f>
        <v>EL</v>
      </c>
      <c r="L3888" s="129" t="s">
        <v>4894</v>
      </c>
      <c r="M3888" s="136">
        <v>45895</v>
      </c>
      <c r="N3888" s="137"/>
      <c r="O3888" s="137"/>
      <c r="P3888" s="136" t="str">
        <f ca="1">IF(Proc[[#This Row],[DaysAgeing]]&gt;5,"yep","on track")</f>
        <v>yep</v>
      </c>
      <c r="Q3888" s="3">
        <f ca="1">IF(Proc[[#This Row],[DateClosed]]="",ABS(NETWORKDAYS(Proc[[#This Row],[DateOpened]],TODAY()))-1,ABS(NETWORKDAYS(Proc[[#This Row],[DateOpened]],Proc[[#This Row],[DateClosed]]))-1)</f>
        <v>78</v>
      </c>
      <c r="R3888" s="136" t="s">
        <v>6087</v>
      </c>
      <c r="S3888" s="129"/>
    </row>
    <row r="3889" spans="1:19">
      <c r="A3889" s="135" t="s">
        <v>6086</v>
      </c>
      <c r="B3889" s="149" t="str">
        <f>IFERROR(VLOOKUP(Proc[[#This Row],[App]],Table2[],3,0),"open")</f>
        <v>ok</v>
      </c>
      <c r="C3889" s="138" t="s">
        <v>369</v>
      </c>
      <c r="D3889" t="s">
        <v>6016</v>
      </c>
      <c r="E3889" t="s">
        <v>6073</v>
      </c>
      <c r="F3889" s="129" t="s">
        <v>6073</v>
      </c>
      <c r="G3889" s="135" t="s">
        <v>406</v>
      </c>
      <c r="H3889" s="129" t="str">
        <f>IF(Proc[[#This Row],[type]]="LFF (MDG-F)",MID(Proc[[#This Row],[Obj]],13,10),"")</f>
        <v>JP01TAOD99</v>
      </c>
      <c r="J3889" s="129" t="b">
        <f>Proc[[#This Row],[Requested]]=Proc[[#This Row],[CurrentParent]]</f>
        <v>1</v>
      </c>
      <c r="K3889" s="144" t="str">
        <f>IF(Proc[[#This Row],[Author]]="Marcela Urrego",VLOOKUP(LEFT(Proc[[#This Row],[Requested]],1),Table3[#All],2,0),VLOOKUP(Proc[[#This Row],[Author]],Table4[],2,0))</f>
        <v>EL</v>
      </c>
      <c r="L3889" s="129" t="s">
        <v>4894</v>
      </c>
      <c r="M3889" s="136">
        <v>45895</v>
      </c>
      <c r="N3889" s="137"/>
      <c r="O3889" s="137"/>
      <c r="P3889" s="136" t="str">
        <f ca="1">IF(Proc[[#This Row],[DaysAgeing]]&gt;5,"yep","on track")</f>
        <v>yep</v>
      </c>
      <c r="Q3889" s="3">
        <f ca="1">IF(Proc[[#This Row],[DateClosed]]="",ABS(NETWORKDAYS(Proc[[#This Row],[DateOpened]],TODAY()))-1,ABS(NETWORKDAYS(Proc[[#This Row],[DateOpened]],Proc[[#This Row],[DateClosed]]))-1)</f>
        <v>78</v>
      </c>
      <c r="R3889" s="136" t="s">
        <v>6087</v>
      </c>
      <c r="S3889" s="129"/>
    </row>
    <row r="3890" spans="1:19">
      <c r="A3890" s="135" t="s">
        <v>6086</v>
      </c>
      <c r="B3890" s="149" t="str">
        <f>IFERROR(VLOOKUP(Proc[[#This Row],[App]],Table2[],3,0),"open")</f>
        <v>ok</v>
      </c>
      <c r="C3890" s="138" t="s">
        <v>369</v>
      </c>
      <c r="D3890" t="s">
        <v>6017</v>
      </c>
      <c r="E3890" t="s">
        <v>6073</v>
      </c>
      <c r="F3890" s="129" t="s">
        <v>6073</v>
      </c>
      <c r="G3890" s="135" t="s">
        <v>406</v>
      </c>
      <c r="H3890" s="129" t="str">
        <f>IF(Proc[[#This Row],[type]]="LFF (MDG-F)",MID(Proc[[#This Row],[Obj]],13,10),"")</f>
        <v>JP01TAOE00</v>
      </c>
      <c r="J3890" s="129" t="b">
        <f>Proc[[#This Row],[Requested]]=Proc[[#This Row],[CurrentParent]]</f>
        <v>1</v>
      </c>
      <c r="K3890" s="144" t="str">
        <f>IF(Proc[[#This Row],[Author]]="Marcela Urrego",VLOOKUP(LEFT(Proc[[#This Row],[Requested]],1),Table3[#All],2,0),VLOOKUP(Proc[[#This Row],[Author]],Table4[],2,0))</f>
        <v>EL</v>
      </c>
      <c r="L3890" s="129" t="s">
        <v>4894</v>
      </c>
      <c r="M3890" s="136">
        <v>45895</v>
      </c>
      <c r="N3890" s="137"/>
      <c r="O3890" s="137"/>
      <c r="P3890" s="136" t="str">
        <f ca="1">IF(Proc[[#This Row],[DaysAgeing]]&gt;5,"yep","on track")</f>
        <v>yep</v>
      </c>
      <c r="Q3890" s="3">
        <f ca="1">IF(Proc[[#This Row],[DateClosed]]="",ABS(NETWORKDAYS(Proc[[#This Row],[DateOpened]],TODAY()))-1,ABS(NETWORKDAYS(Proc[[#This Row],[DateOpened]],Proc[[#This Row],[DateClosed]]))-1)</f>
        <v>78</v>
      </c>
      <c r="R3890" s="136" t="s">
        <v>6087</v>
      </c>
      <c r="S3890" s="129"/>
    </row>
    <row r="3891" spans="1:19">
      <c r="A3891" s="135" t="s">
        <v>6086</v>
      </c>
      <c r="B3891" s="149" t="str">
        <f>IFERROR(VLOOKUP(Proc[[#This Row],[App]],Table2[],3,0),"open")</f>
        <v>ok</v>
      </c>
      <c r="C3891" s="138" t="s">
        <v>369</v>
      </c>
      <c r="D3891" t="s">
        <v>6018</v>
      </c>
      <c r="E3891" t="s">
        <v>6073</v>
      </c>
      <c r="F3891" s="129" t="s">
        <v>6073</v>
      </c>
      <c r="G3891" s="135" t="s">
        <v>406</v>
      </c>
      <c r="H3891" s="129" t="str">
        <f>IF(Proc[[#This Row],[type]]="LFF (MDG-F)",MID(Proc[[#This Row],[Obj]],13,10),"")</f>
        <v>JP01TAOE01</v>
      </c>
      <c r="J3891" s="129" t="b">
        <f>Proc[[#This Row],[Requested]]=Proc[[#This Row],[CurrentParent]]</f>
        <v>1</v>
      </c>
      <c r="K3891" s="144" t="str">
        <f>IF(Proc[[#This Row],[Author]]="Marcela Urrego",VLOOKUP(LEFT(Proc[[#This Row],[Requested]],1),Table3[#All],2,0),VLOOKUP(Proc[[#This Row],[Author]],Table4[],2,0))</f>
        <v>EL</v>
      </c>
      <c r="L3891" s="129" t="s">
        <v>4894</v>
      </c>
      <c r="M3891" s="136">
        <v>45895</v>
      </c>
      <c r="N3891" s="137"/>
      <c r="O3891" s="137"/>
      <c r="P3891" s="136" t="str">
        <f ca="1">IF(Proc[[#This Row],[DaysAgeing]]&gt;5,"yep","on track")</f>
        <v>yep</v>
      </c>
      <c r="Q3891" s="3">
        <f ca="1">IF(Proc[[#This Row],[DateClosed]]="",ABS(NETWORKDAYS(Proc[[#This Row],[DateOpened]],TODAY()))-1,ABS(NETWORKDAYS(Proc[[#This Row],[DateOpened]],Proc[[#This Row],[DateClosed]]))-1)</f>
        <v>78</v>
      </c>
      <c r="R3891" s="136" t="s">
        <v>6087</v>
      </c>
      <c r="S3891" s="129"/>
    </row>
    <row r="3892" spans="1:19">
      <c r="A3892" s="135" t="s">
        <v>6086</v>
      </c>
      <c r="B3892" s="149" t="str">
        <f>IFERROR(VLOOKUP(Proc[[#This Row],[App]],Table2[],3,0),"open")</f>
        <v>ok</v>
      </c>
      <c r="C3892" s="138" t="s">
        <v>369</v>
      </c>
      <c r="D3892" t="s">
        <v>6019</v>
      </c>
      <c r="E3892" t="s">
        <v>6073</v>
      </c>
      <c r="F3892" s="129" t="s">
        <v>6073</v>
      </c>
      <c r="G3892" s="135" t="s">
        <v>406</v>
      </c>
      <c r="H3892" s="129" t="str">
        <f>IF(Proc[[#This Row],[type]]="LFF (MDG-F)",MID(Proc[[#This Row],[Obj]],13,10),"")</f>
        <v>JP01TAOE99</v>
      </c>
      <c r="J3892" s="129" t="b">
        <f>Proc[[#This Row],[Requested]]=Proc[[#This Row],[CurrentParent]]</f>
        <v>1</v>
      </c>
      <c r="K3892" s="144" t="str">
        <f>IF(Proc[[#This Row],[Author]]="Marcela Urrego",VLOOKUP(LEFT(Proc[[#This Row],[Requested]],1),Table3[#All],2,0),VLOOKUP(Proc[[#This Row],[Author]],Table4[],2,0))</f>
        <v>EL</v>
      </c>
      <c r="L3892" s="129" t="s">
        <v>4894</v>
      </c>
      <c r="M3892" s="136">
        <v>45895</v>
      </c>
      <c r="N3892" s="137"/>
      <c r="O3892" s="137"/>
      <c r="P3892" s="136" t="str">
        <f ca="1">IF(Proc[[#This Row],[DaysAgeing]]&gt;5,"yep","on track")</f>
        <v>yep</v>
      </c>
      <c r="Q3892" s="3">
        <f ca="1">IF(Proc[[#This Row],[DateClosed]]="",ABS(NETWORKDAYS(Proc[[#This Row],[DateOpened]],TODAY()))-1,ABS(NETWORKDAYS(Proc[[#This Row],[DateOpened]],Proc[[#This Row],[DateClosed]]))-1)</f>
        <v>78</v>
      </c>
      <c r="R3892" s="136" t="s">
        <v>6087</v>
      </c>
      <c r="S3892" s="129"/>
    </row>
    <row r="3893" spans="1:19">
      <c r="A3893" s="135" t="s">
        <v>6086</v>
      </c>
      <c r="B3893" s="149" t="str">
        <f>IFERROR(VLOOKUP(Proc[[#This Row],[App]],Table2[],3,0),"open")</f>
        <v>ok</v>
      </c>
      <c r="C3893" s="138" t="s">
        <v>369</v>
      </c>
      <c r="D3893" t="s">
        <v>6020</v>
      </c>
      <c r="E3893" t="s">
        <v>6073</v>
      </c>
      <c r="F3893" s="129" t="s">
        <v>6073</v>
      </c>
      <c r="G3893" s="135" t="s">
        <v>406</v>
      </c>
      <c r="H3893" s="129" t="str">
        <f>IF(Proc[[#This Row],[type]]="LFF (MDG-F)",MID(Proc[[#This Row],[Obj]],13,10),"")</f>
        <v>JP01TAOZ01</v>
      </c>
      <c r="J3893" s="129" t="b">
        <f>Proc[[#This Row],[Requested]]=Proc[[#This Row],[CurrentParent]]</f>
        <v>1</v>
      </c>
      <c r="K3893" s="144" t="str">
        <f>IF(Proc[[#This Row],[Author]]="Marcela Urrego",VLOOKUP(LEFT(Proc[[#This Row],[Requested]],1),Table3[#All],2,0),VLOOKUP(Proc[[#This Row],[Author]],Table4[],2,0))</f>
        <v>EL</v>
      </c>
      <c r="L3893" s="129" t="s">
        <v>4894</v>
      </c>
      <c r="M3893" s="136">
        <v>45895</v>
      </c>
      <c r="N3893" s="137"/>
      <c r="O3893" s="137"/>
      <c r="P3893" s="136" t="str">
        <f ca="1">IF(Proc[[#This Row],[DaysAgeing]]&gt;5,"yep","on track")</f>
        <v>yep</v>
      </c>
      <c r="Q3893" s="3">
        <f ca="1">IF(Proc[[#This Row],[DateClosed]]="",ABS(NETWORKDAYS(Proc[[#This Row],[DateOpened]],TODAY()))-1,ABS(NETWORKDAYS(Proc[[#This Row],[DateOpened]],Proc[[#This Row],[DateClosed]]))-1)</f>
        <v>78</v>
      </c>
      <c r="R3893" s="136" t="s">
        <v>6087</v>
      </c>
      <c r="S3893" s="129"/>
    </row>
    <row r="3894" spans="1:19">
      <c r="A3894" s="135" t="s">
        <v>6086</v>
      </c>
      <c r="B3894" s="149" t="str">
        <f>IFERROR(VLOOKUP(Proc[[#This Row],[App]],Table2[],3,0),"open")</f>
        <v>ok</v>
      </c>
      <c r="C3894" s="138" t="s">
        <v>369</v>
      </c>
      <c r="D3894" t="s">
        <v>6021</v>
      </c>
      <c r="E3894" t="s">
        <v>6073</v>
      </c>
      <c r="F3894" s="129" t="s">
        <v>6073</v>
      </c>
      <c r="G3894" s="135" t="s">
        <v>406</v>
      </c>
      <c r="H3894" s="129" t="str">
        <f>IF(Proc[[#This Row],[type]]="LFF (MDG-F)",MID(Proc[[#This Row],[Obj]],13,10),"")</f>
        <v>JP01TAOZ02</v>
      </c>
      <c r="J3894" s="129" t="b">
        <f>Proc[[#This Row],[Requested]]=Proc[[#This Row],[CurrentParent]]</f>
        <v>1</v>
      </c>
      <c r="K3894" s="144" t="str">
        <f>IF(Proc[[#This Row],[Author]]="Marcela Urrego",VLOOKUP(LEFT(Proc[[#This Row],[Requested]],1),Table3[#All],2,0),VLOOKUP(Proc[[#This Row],[Author]],Table4[],2,0))</f>
        <v>EL</v>
      </c>
      <c r="L3894" s="129" t="s">
        <v>4894</v>
      </c>
      <c r="M3894" s="136">
        <v>45895</v>
      </c>
      <c r="N3894" s="137"/>
      <c r="O3894" s="137"/>
      <c r="P3894" s="136" t="str">
        <f ca="1">IF(Proc[[#This Row],[DaysAgeing]]&gt;5,"yep","on track")</f>
        <v>yep</v>
      </c>
      <c r="Q3894" s="3">
        <f ca="1">IF(Proc[[#This Row],[DateClosed]]="",ABS(NETWORKDAYS(Proc[[#This Row],[DateOpened]],TODAY()))-1,ABS(NETWORKDAYS(Proc[[#This Row],[DateOpened]],Proc[[#This Row],[DateClosed]]))-1)</f>
        <v>78</v>
      </c>
      <c r="R3894" s="136" t="s">
        <v>6087</v>
      </c>
      <c r="S3894" s="129"/>
    </row>
    <row r="3895" spans="1:19">
      <c r="A3895" s="135" t="s">
        <v>6086</v>
      </c>
      <c r="B3895" s="149" t="str">
        <f>IFERROR(VLOOKUP(Proc[[#This Row],[App]],Table2[],3,0),"open")</f>
        <v>ok</v>
      </c>
      <c r="C3895" s="138" t="s">
        <v>369</v>
      </c>
      <c r="D3895" t="s">
        <v>6022</v>
      </c>
      <c r="E3895" t="s">
        <v>6073</v>
      </c>
      <c r="F3895" s="129" t="s">
        <v>6073</v>
      </c>
      <c r="G3895" s="135" t="s">
        <v>406</v>
      </c>
      <c r="H3895" s="129" t="str">
        <f>IF(Proc[[#This Row],[type]]="LFF (MDG-F)",MID(Proc[[#This Row],[Obj]],13,10),"")</f>
        <v>JP01TAOZ03</v>
      </c>
      <c r="J3895" s="129" t="b">
        <f>Proc[[#This Row],[Requested]]=Proc[[#This Row],[CurrentParent]]</f>
        <v>1</v>
      </c>
      <c r="K3895" s="144" t="str">
        <f>IF(Proc[[#This Row],[Author]]="Marcela Urrego",VLOOKUP(LEFT(Proc[[#This Row],[Requested]],1),Table3[#All],2,0),VLOOKUP(Proc[[#This Row],[Author]],Table4[],2,0))</f>
        <v>EL</v>
      </c>
      <c r="L3895" s="129" t="s">
        <v>4894</v>
      </c>
      <c r="M3895" s="136">
        <v>45895</v>
      </c>
      <c r="N3895" s="137"/>
      <c r="O3895" s="137"/>
      <c r="P3895" s="136" t="str">
        <f ca="1">IF(Proc[[#This Row],[DaysAgeing]]&gt;5,"yep","on track")</f>
        <v>yep</v>
      </c>
      <c r="Q3895" s="3">
        <f ca="1">IF(Proc[[#This Row],[DateClosed]]="",ABS(NETWORKDAYS(Proc[[#This Row],[DateOpened]],TODAY()))-1,ABS(NETWORKDAYS(Proc[[#This Row],[DateOpened]],Proc[[#This Row],[DateClosed]]))-1)</f>
        <v>78</v>
      </c>
      <c r="R3895" s="136" t="s">
        <v>6087</v>
      </c>
      <c r="S3895" s="129"/>
    </row>
    <row r="3896" spans="1:19">
      <c r="A3896" s="135" t="s">
        <v>6086</v>
      </c>
      <c r="B3896" s="149" t="str">
        <f>IFERROR(VLOOKUP(Proc[[#This Row],[App]],Table2[],3,0),"open")</f>
        <v>ok</v>
      </c>
      <c r="C3896" s="138" t="s">
        <v>369</v>
      </c>
      <c r="D3896" t="s">
        <v>6023</v>
      </c>
      <c r="E3896" t="s">
        <v>6073</v>
      </c>
      <c r="F3896" s="129" t="s">
        <v>6073</v>
      </c>
      <c r="G3896" s="135" t="s">
        <v>406</v>
      </c>
      <c r="H3896" s="129" t="str">
        <f>IF(Proc[[#This Row],[type]]="LFF (MDG-F)",MID(Proc[[#This Row],[Obj]],13,10),"")</f>
        <v>JP01TAOZ04</v>
      </c>
      <c r="J3896" s="129" t="b">
        <f>Proc[[#This Row],[Requested]]=Proc[[#This Row],[CurrentParent]]</f>
        <v>1</v>
      </c>
      <c r="K3896" s="144" t="str">
        <f>IF(Proc[[#This Row],[Author]]="Marcela Urrego",VLOOKUP(LEFT(Proc[[#This Row],[Requested]],1),Table3[#All],2,0),VLOOKUP(Proc[[#This Row],[Author]],Table4[],2,0))</f>
        <v>EL</v>
      </c>
      <c r="L3896" s="129" t="s">
        <v>4894</v>
      </c>
      <c r="M3896" s="136">
        <v>45895</v>
      </c>
      <c r="N3896" s="137"/>
      <c r="O3896" s="137"/>
      <c r="P3896" s="136" t="str">
        <f ca="1">IF(Proc[[#This Row],[DaysAgeing]]&gt;5,"yep","on track")</f>
        <v>yep</v>
      </c>
      <c r="Q3896" s="3">
        <f ca="1">IF(Proc[[#This Row],[DateClosed]]="",ABS(NETWORKDAYS(Proc[[#This Row],[DateOpened]],TODAY()))-1,ABS(NETWORKDAYS(Proc[[#This Row],[DateOpened]],Proc[[#This Row],[DateClosed]]))-1)</f>
        <v>78</v>
      </c>
      <c r="R3896" s="136" t="s">
        <v>6087</v>
      </c>
      <c r="S3896" s="129"/>
    </row>
    <row r="3897" spans="1:19">
      <c r="A3897" s="135" t="s">
        <v>6086</v>
      </c>
      <c r="B3897" s="149" t="str">
        <f>IFERROR(VLOOKUP(Proc[[#This Row],[App]],Table2[],3,0),"open")</f>
        <v>ok</v>
      </c>
      <c r="C3897" s="138" t="s">
        <v>369</v>
      </c>
      <c r="D3897" t="s">
        <v>6024</v>
      </c>
      <c r="E3897" t="s">
        <v>6074</v>
      </c>
      <c r="F3897" s="129" t="s">
        <v>6074</v>
      </c>
      <c r="G3897" s="135" t="s">
        <v>406</v>
      </c>
      <c r="H3897" s="129" t="str">
        <f>IF(Proc[[#This Row],[type]]="LFF (MDG-F)",MID(Proc[[#This Row],[Obj]],13,10),"")</f>
        <v>JP01TAOZ05</v>
      </c>
      <c r="J3897" s="129" t="b">
        <f>Proc[[#This Row],[Requested]]=Proc[[#This Row],[CurrentParent]]</f>
        <v>1</v>
      </c>
      <c r="K3897" s="144" t="str">
        <f>IF(Proc[[#This Row],[Author]]="Marcela Urrego",VLOOKUP(LEFT(Proc[[#This Row],[Requested]],1),Table3[#All],2,0),VLOOKUP(Proc[[#This Row],[Author]],Table4[],2,0))</f>
        <v>EL</v>
      </c>
      <c r="L3897" s="129" t="s">
        <v>4894</v>
      </c>
      <c r="M3897" s="136">
        <v>45895</v>
      </c>
      <c r="N3897" s="137"/>
      <c r="O3897" s="137"/>
      <c r="P3897" s="136" t="str">
        <f ca="1">IF(Proc[[#This Row],[DaysAgeing]]&gt;5,"yep","on track")</f>
        <v>yep</v>
      </c>
      <c r="Q3897" s="3">
        <f ca="1">IF(Proc[[#This Row],[DateClosed]]="",ABS(NETWORKDAYS(Proc[[#This Row],[DateOpened]],TODAY()))-1,ABS(NETWORKDAYS(Proc[[#This Row],[DateOpened]],Proc[[#This Row],[DateClosed]]))-1)</f>
        <v>78</v>
      </c>
      <c r="R3897" s="136" t="s">
        <v>6087</v>
      </c>
      <c r="S3897" s="129"/>
    </row>
    <row r="3898" spans="1:19">
      <c r="A3898" s="135" t="s">
        <v>6086</v>
      </c>
      <c r="B3898" s="149" t="str">
        <f>IFERROR(VLOOKUP(Proc[[#This Row],[App]],Table2[],3,0),"open")</f>
        <v>ok</v>
      </c>
      <c r="C3898" s="138" t="s">
        <v>369</v>
      </c>
      <c r="D3898" t="s">
        <v>6025</v>
      </c>
      <c r="E3898" t="s">
        <v>6073</v>
      </c>
      <c r="F3898" s="129" t="s">
        <v>6073</v>
      </c>
      <c r="G3898" s="135" t="s">
        <v>406</v>
      </c>
      <c r="H3898" s="129" t="str">
        <f>IF(Proc[[#This Row],[type]]="LFF (MDG-F)",MID(Proc[[#This Row],[Obj]],13,10),"")</f>
        <v>JP01TAOZ06</v>
      </c>
      <c r="J3898" s="129" t="b">
        <f>Proc[[#This Row],[Requested]]=Proc[[#This Row],[CurrentParent]]</f>
        <v>1</v>
      </c>
      <c r="K3898" s="144" t="str">
        <f>IF(Proc[[#This Row],[Author]]="Marcela Urrego",VLOOKUP(LEFT(Proc[[#This Row],[Requested]],1),Table3[#All],2,0),VLOOKUP(Proc[[#This Row],[Author]],Table4[],2,0))</f>
        <v>EL</v>
      </c>
      <c r="L3898" s="129" t="s">
        <v>4894</v>
      </c>
      <c r="M3898" s="136">
        <v>45895</v>
      </c>
      <c r="N3898" s="137"/>
      <c r="O3898" s="137"/>
      <c r="P3898" s="136" t="str">
        <f ca="1">IF(Proc[[#This Row],[DaysAgeing]]&gt;5,"yep","on track")</f>
        <v>yep</v>
      </c>
      <c r="Q3898" s="3">
        <f ca="1">IF(Proc[[#This Row],[DateClosed]]="",ABS(NETWORKDAYS(Proc[[#This Row],[DateOpened]],TODAY()))-1,ABS(NETWORKDAYS(Proc[[#This Row],[DateOpened]],Proc[[#This Row],[DateClosed]]))-1)</f>
        <v>78</v>
      </c>
      <c r="R3898" s="136" t="s">
        <v>6087</v>
      </c>
      <c r="S3898" s="129"/>
    </row>
    <row r="3899" spans="1:19">
      <c r="A3899" s="135" t="s">
        <v>6086</v>
      </c>
      <c r="B3899" s="149" t="str">
        <f>IFERROR(VLOOKUP(Proc[[#This Row],[App]],Table2[],3,0),"open")</f>
        <v>ok</v>
      </c>
      <c r="C3899" s="138" t="s">
        <v>369</v>
      </c>
      <c r="D3899" t="s">
        <v>6026</v>
      </c>
      <c r="E3899" t="s">
        <v>6075</v>
      </c>
      <c r="F3899" s="129" t="s">
        <v>6075</v>
      </c>
      <c r="G3899" s="135" t="s">
        <v>406</v>
      </c>
      <c r="H3899" s="129" t="str">
        <f>IF(Proc[[#This Row],[type]]="LFF (MDG-F)",MID(Proc[[#This Row],[Obj]],13,10),"")</f>
        <v>JP01TBOZ01</v>
      </c>
      <c r="J3899" s="129" t="b">
        <f>Proc[[#This Row],[Requested]]=Proc[[#This Row],[CurrentParent]]</f>
        <v>1</v>
      </c>
      <c r="K3899" s="144" t="str">
        <f>IF(Proc[[#This Row],[Author]]="Marcela Urrego",VLOOKUP(LEFT(Proc[[#This Row],[Requested]],1),Table3[#All],2,0),VLOOKUP(Proc[[#This Row],[Author]],Table4[],2,0))</f>
        <v>EL</v>
      </c>
      <c r="L3899" s="129" t="s">
        <v>4894</v>
      </c>
      <c r="M3899" s="136">
        <v>45895</v>
      </c>
      <c r="N3899" s="137"/>
      <c r="O3899" s="137"/>
      <c r="P3899" s="136" t="str">
        <f ca="1">IF(Proc[[#This Row],[DaysAgeing]]&gt;5,"yep","on track")</f>
        <v>yep</v>
      </c>
      <c r="Q3899" s="3">
        <f ca="1">IF(Proc[[#This Row],[DateClosed]]="",ABS(NETWORKDAYS(Proc[[#This Row],[DateOpened]],TODAY()))-1,ABS(NETWORKDAYS(Proc[[#This Row],[DateOpened]],Proc[[#This Row],[DateClosed]]))-1)</f>
        <v>78</v>
      </c>
      <c r="R3899" s="136" t="s">
        <v>6087</v>
      </c>
      <c r="S3899" s="129"/>
    </row>
    <row r="3900" spans="1:19">
      <c r="A3900" s="135" t="s">
        <v>6086</v>
      </c>
      <c r="B3900" s="149" t="str">
        <f>IFERROR(VLOOKUP(Proc[[#This Row],[App]],Table2[],3,0),"open")</f>
        <v>ok</v>
      </c>
      <c r="C3900" s="138" t="s">
        <v>369</v>
      </c>
      <c r="D3900" t="s">
        <v>6027</v>
      </c>
      <c r="E3900" t="s">
        <v>6076</v>
      </c>
      <c r="F3900" s="129" t="s">
        <v>6076</v>
      </c>
      <c r="G3900" s="135" t="s">
        <v>406</v>
      </c>
      <c r="H3900" s="129" t="str">
        <f>IF(Proc[[#This Row],[type]]="LFF (MDG-F)",MID(Proc[[#This Row],[Obj]],13,10),"")</f>
        <v>JP01TBOZ05</v>
      </c>
      <c r="J3900" s="129" t="b">
        <f>Proc[[#This Row],[Requested]]=Proc[[#This Row],[CurrentParent]]</f>
        <v>1</v>
      </c>
      <c r="K3900" s="144" t="str">
        <f>IF(Proc[[#This Row],[Author]]="Marcela Urrego",VLOOKUP(LEFT(Proc[[#This Row],[Requested]],1),Table3[#All],2,0),VLOOKUP(Proc[[#This Row],[Author]],Table4[],2,0))</f>
        <v>EL</v>
      </c>
      <c r="L3900" s="129" t="s">
        <v>4894</v>
      </c>
      <c r="M3900" s="136">
        <v>45895</v>
      </c>
      <c r="N3900" s="137"/>
      <c r="O3900" s="137"/>
      <c r="P3900" s="136" t="str">
        <f ca="1">IF(Proc[[#This Row],[DaysAgeing]]&gt;5,"yep","on track")</f>
        <v>yep</v>
      </c>
      <c r="Q3900" s="3">
        <f ca="1">IF(Proc[[#This Row],[DateClosed]]="",ABS(NETWORKDAYS(Proc[[#This Row],[DateOpened]],TODAY()))-1,ABS(NETWORKDAYS(Proc[[#This Row],[DateOpened]],Proc[[#This Row],[DateClosed]]))-1)</f>
        <v>78</v>
      </c>
      <c r="R3900" s="136" t="s">
        <v>6087</v>
      </c>
      <c r="S3900" s="129"/>
    </row>
    <row r="3901" spans="1:19">
      <c r="A3901" s="135" t="s">
        <v>6086</v>
      </c>
      <c r="B3901" s="149" t="str">
        <f>IFERROR(VLOOKUP(Proc[[#This Row],[App]],Table2[],3,0),"open")</f>
        <v>ok</v>
      </c>
      <c r="C3901" s="138" t="s">
        <v>369</v>
      </c>
      <c r="D3901" t="s">
        <v>6028</v>
      </c>
      <c r="E3901" t="s">
        <v>6077</v>
      </c>
      <c r="F3901" s="129" t="s">
        <v>6077</v>
      </c>
      <c r="G3901" s="135" t="s">
        <v>406</v>
      </c>
      <c r="H3901" s="129" t="str">
        <f>IF(Proc[[#This Row],[type]]="LFF (MDG-F)",MID(Proc[[#This Row],[Obj]],13,10),"")</f>
        <v>JP01TCOZ01</v>
      </c>
      <c r="J3901" s="129" t="b">
        <f>Proc[[#This Row],[Requested]]=Proc[[#This Row],[CurrentParent]]</f>
        <v>1</v>
      </c>
      <c r="K3901" s="144" t="str">
        <f>IF(Proc[[#This Row],[Author]]="Marcela Urrego",VLOOKUP(LEFT(Proc[[#This Row],[Requested]],1),Table3[#All],2,0),VLOOKUP(Proc[[#This Row],[Author]],Table4[],2,0))</f>
        <v>EL</v>
      </c>
      <c r="L3901" s="129" t="s">
        <v>4894</v>
      </c>
      <c r="M3901" s="136">
        <v>45895</v>
      </c>
      <c r="N3901" s="137"/>
      <c r="O3901" s="137"/>
      <c r="P3901" s="136" t="str">
        <f ca="1">IF(Proc[[#This Row],[DaysAgeing]]&gt;5,"yep","on track")</f>
        <v>yep</v>
      </c>
      <c r="Q3901" s="3">
        <f ca="1">IF(Proc[[#This Row],[DateClosed]]="",ABS(NETWORKDAYS(Proc[[#This Row],[DateOpened]],TODAY()))-1,ABS(NETWORKDAYS(Proc[[#This Row],[DateOpened]],Proc[[#This Row],[DateClosed]]))-1)</f>
        <v>78</v>
      </c>
      <c r="R3901" s="136" t="s">
        <v>6087</v>
      </c>
      <c r="S3901" s="129"/>
    </row>
    <row r="3902" spans="1:19">
      <c r="A3902" s="135" t="s">
        <v>6086</v>
      </c>
      <c r="B3902" s="149" t="str">
        <f>IFERROR(VLOOKUP(Proc[[#This Row],[App]],Table2[],3,0),"open")</f>
        <v>ok</v>
      </c>
      <c r="C3902" s="138" t="s">
        <v>369</v>
      </c>
      <c r="D3902" t="s">
        <v>6029</v>
      </c>
      <c r="E3902" t="s">
        <v>6078</v>
      </c>
      <c r="F3902" s="129" t="s">
        <v>6078</v>
      </c>
      <c r="G3902" s="135" t="s">
        <v>406</v>
      </c>
      <c r="H3902" s="129" t="str">
        <f>IF(Proc[[#This Row],[type]]="LFF (MDG-F)",MID(Proc[[#This Row],[Obj]],13,10),"")</f>
        <v>JP01TDOZ01</v>
      </c>
      <c r="J3902" s="129" t="b">
        <f>Proc[[#This Row],[Requested]]=Proc[[#This Row],[CurrentParent]]</f>
        <v>1</v>
      </c>
      <c r="K3902" s="144" t="str">
        <f>IF(Proc[[#This Row],[Author]]="Marcela Urrego",VLOOKUP(LEFT(Proc[[#This Row],[Requested]],1),Table3[#All],2,0),VLOOKUP(Proc[[#This Row],[Author]],Table4[],2,0))</f>
        <v>EL</v>
      </c>
      <c r="L3902" s="129" t="s">
        <v>4894</v>
      </c>
      <c r="M3902" s="136">
        <v>45895</v>
      </c>
      <c r="N3902" s="137"/>
      <c r="O3902" s="137"/>
      <c r="P3902" s="136" t="str">
        <f ca="1">IF(Proc[[#This Row],[DaysAgeing]]&gt;5,"yep","on track")</f>
        <v>yep</v>
      </c>
      <c r="Q3902" s="3">
        <f ca="1">IF(Proc[[#This Row],[DateClosed]]="",ABS(NETWORKDAYS(Proc[[#This Row],[DateOpened]],TODAY()))-1,ABS(NETWORKDAYS(Proc[[#This Row],[DateOpened]],Proc[[#This Row],[DateClosed]]))-1)</f>
        <v>78</v>
      </c>
      <c r="R3902" s="136" t="s">
        <v>6087</v>
      </c>
      <c r="S3902" s="129"/>
    </row>
    <row r="3903" spans="1:19">
      <c r="A3903" s="135" t="s">
        <v>6086</v>
      </c>
      <c r="B3903" s="149" t="str">
        <f>IFERROR(VLOOKUP(Proc[[#This Row],[App]],Table2[],3,0),"open")</f>
        <v>ok</v>
      </c>
      <c r="C3903" s="138" t="s">
        <v>369</v>
      </c>
      <c r="D3903" t="s">
        <v>6030</v>
      </c>
      <c r="E3903" t="s">
        <v>6078</v>
      </c>
      <c r="F3903" s="129" t="s">
        <v>6078</v>
      </c>
      <c r="G3903" s="135" t="s">
        <v>406</v>
      </c>
      <c r="H3903" s="129" t="str">
        <f>IF(Proc[[#This Row],[type]]="LFF (MDG-F)",MID(Proc[[#This Row],[Obj]],13,10),"")</f>
        <v>JP01TDOZ02</v>
      </c>
      <c r="J3903" s="129" t="b">
        <f>Proc[[#This Row],[Requested]]=Proc[[#This Row],[CurrentParent]]</f>
        <v>1</v>
      </c>
      <c r="K3903" s="144" t="str">
        <f>IF(Proc[[#This Row],[Author]]="Marcela Urrego",VLOOKUP(LEFT(Proc[[#This Row],[Requested]],1),Table3[#All],2,0),VLOOKUP(Proc[[#This Row],[Author]],Table4[],2,0))</f>
        <v>EL</v>
      </c>
      <c r="L3903" s="129" t="s">
        <v>4894</v>
      </c>
      <c r="M3903" s="136">
        <v>45895</v>
      </c>
      <c r="N3903" s="137"/>
      <c r="O3903" s="137"/>
      <c r="P3903" s="136" t="str">
        <f ca="1">IF(Proc[[#This Row],[DaysAgeing]]&gt;5,"yep","on track")</f>
        <v>yep</v>
      </c>
      <c r="Q3903" s="3">
        <f ca="1">IF(Proc[[#This Row],[DateClosed]]="",ABS(NETWORKDAYS(Proc[[#This Row],[DateOpened]],TODAY()))-1,ABS(NETWORKDAYS(Proc[[#This Row],[DateOpened]],Proc[[#This Row],[DateClosed]]))-1)</f>
        <v>78</v>
      </c>
      <c r="R3903" s="136" t="s">
        <v>6087</v>
      </c>
      <c r="S3903" s="129"/>
    </row>
    <row r="3904" spans="1:19">
      <c r="A3904" s="135" t="s">
        <v>6086</v>
      </c>
      <c r="B3904" s="149" t="str">
        <f>IFERROR(VLOOKUP(Proc[[#This Row],[App]],Table2[],3,0),"open")</f>
        <v>ok</v>
      </c>
      <c r="C3904" s="138" t="s">
        <v>369</v>
      </c>
      <c r="D3904" t="s">
        <v>6031</v>
      </c>
      <c r="E3904" t="s">
        <v>6078</v>
      </c>
      <c r="F3904" s="129" t="s">
        <v>6078</v>
      </c>
      <c r="G3904" s="135" t="s">
        <v>406</v>
      </c>
      <c r="H3904" s="129" t="str">
        <f>IF(Proc[[#This Row],[type]]="LFF (MDG-F)",MID(Proc[[#This Row],[Obj]],13,10),"")</f>
        <v>JP01TDOZ03</v>
      </c>
      <c r="J3904" s="129" t="b">
        <f>Proc[[#This Row],[Requested]]=Proc[[#This Row],[CurrentParent]]</f>
        <v>1</v>
      </c>
      <c r="K3904" s="144" t="str">
        <f>IF(Proc[[#This Row],[Author]]="Marcela Urrego",VLOOKUP(LEFT(Proc[[#This Row],[Requested]],1),Table3[#All],2,0),VLOOKUP(Proc[[#This Row],[Author]],Table4[],2,0))</f>
        <v>EL</v>
      </c>
      <c r="L3904" s="129" t="s">
        <v>4894</v>
      </c>
      <c r="M3904" s="136">
        <v>45895</v>
      </c>
      <c r="N3904" s="137"/>
      <c r="O3904" s="137"/>
      <c r="P3904" s="136" t="str">
        <f ca="1">IF(Proc[[#This Row],[DaysAgeing]]&gt;5,"yep","on track")</f>
        <v>yep</v>
      </c>
      <c r="Q3904" s="3">
        <f ca="1">IF(Proc[[#This Row],[DateClosed]]="",ABS(NETWORKDAYS(Proc[[#This Row],[DateOpened]],TODAY()))-1,ABS(NETWORKDAYS(Proc[[#This Row],[DateOpened]],Proc[[#This Row],[DateClosed]]))-1)</f>
        <v>78</v>
      </c>
      <c r="R3904" s="136" t="s">
        <v>6087</v>
      </c>
      <c r="S3904" s="129"/>
    </row>
    <row r="3905" spans="1:19">
      <c r="A3905" s="135" t="s">
        <v>6086</v>
      </c>
      <c r="B3905" s="149" t="str">
        <f>IFERROR(VLOOKUP(Proc[[#This Row],[App]],Table2[],3,0),"open")</f>
        <v>ok</v>
      </c>
      <c r="C3905" s="138" t="s">
        <v>369</v>
      </c>
      <c r="D3905" t="s">
        <v>6032</v>
      </c>
      <c r="E3905" t="s">
        <v>6078</v>
      </c>
      <c r="F3905" s="129" t="s">
        <v>6078</v>
      </c>
      <c r="G3905" s="135" t="s">
        <v>406</v>
      </c>
      <c r="H3905" s="129" t="str">
        <f>IF(Proc[[#This Row],[type]]="LFF (MDG-F)",MID(Proc[[#This Row],[Obj]],13,10),"")</f>
        <v>JP01TDOZ04</v>
      </c>
      <c r="J3905" s="129" t="b">
        <f>Proc[[#This Row],[Requested]]=Proc[[#This Row],[CurrentParent]]</f>
        <v>1</v>
      </c>
      <c r="K3905" s="144" t="str">
        <f>IF(Proc[[#This Row],[Author]]="Marcela Urrego",VLOOKUP(LEFT(Proc[[#This Row],[Requested]],1),Table3[#All],2,0),VLOOKUP(Proc[[#This Row],[Author]],Table4[],2,0))</f>
        <v>EL</v>
      </c>
      <c r="L3905" s="129" t="s">
        <v>4894</v>
      </c>
      <c r="M3905" s="136">
        <v>45895</v>
      </c>
      <c r="N3905" s="137"/>
      <c r="O3905" s="137"/>
      <c r="P3905" s="136" t="str">
        <f ca="1">IF(Proc[[#This Row],[DaysAgeing]]&gt;5,"yep","on track")</f>
        <v>yep</v>
      </c>
      <c r="Q3905" s="3">
        <f ca="1">IF(Proc[[#This Row],[DateClosed]]="",ABS(NETWORKDAYS(Proc[[#This Row],[DateOpened]],TODAY()))-1,ABS(NETWORKDAYS(Proc[[#This Row],[DateOpened]],Proc[[#This Row],[DateClosed]]))-1)</f>
        <v>78</v>
      </c>
      <c r="R3905" s="136" t="s">
        <v>6087</v>
      </c>
      <c r="S3905" s="129"/>
    </row>
    <row r="3906" spans="1:19">
      <c r="A3906" s="135" t="s">
        <v>6086</v>
      </c>
      <c r="B3906" s="149" t="str">
        <f>IFERROR(VLOOKUP(Proc[[#This Row],[App]],Table2[],3,0),"open")</f>
        <v>ok</v>
      </c>
      <c r="C3906" s="138" t="s">
        <v>369</v>
      </c>
      <c r="D3906" t="s">
        <v>6033</v>
      </c>
      <c r="E3906" t="s">
        <v>6078</v>
      </c>
      <c r="F3906" s="129" t="s">
        <v>6078</v>
      </c>
      <c r="G3906" s="135" t="s">
        <v>406</v>
      </c>
      <c r="H3906" s="129" t="str">
        <f>IF(Proc[[#This Row],[type]]="LFF (MDG-F)",MID(Proc[[#This Row],[Obj]],13,10),"")</f>
        <v>JP01TDOZ05</v>
      </c>
      <c r="J3906" s="129" t="b">
        <f>Proc[[#This Row],[Requested]]=Proc[[#This Row],[CurrentParent]]</f>
        <v>1</v>
      </c>
      <c r="K3906" s="144" t="str">
        <f>IF(Proc[[#This Row],[Author]]="Marcela Urrego",VLOOKUP(LEFT(Proc[[#This Row],[Requested]],1),Table3[#All],2,0),VLOOKUP(Proc[[#This Row],[Author]],Table4[],2,0))</f>
        <v>EL</v>
      </c>
      <c r="L3906" s="129" t="s">
        <v>4894</v>
      </c>
      <c r="M3906" s="136">
        <v>45895</v>
      </c>
      <c r="N3906" s="137"/>
      <c r="O3906" s="137"/>
      <c r="P3906" s="136" t="str">
        <f ca="1">IF(Proc[[#This Row],[DaysAgeing]]&gt;5,"yep","on track")</f>
        <v>yep</v>
      </c>
      <c r="Q3906" s="3">
        <f ca="1">IF(Proc[[#This Row],[DateClosed]]="",ABS(NETWORKDAYS(Proc[[#This Row],[DateOpened]],TODAY()))-1,ABS(NETWORKDAYS(Proc[[#This Row],[DateOpened]],Proc[[#This Row],[DateClosed]]))-1)</f>
        <v>78</v>
      </c>
      <c r="R3906" s="136" t="s">
        <v>6087</v>
      </c>
      <c r="S3906" s="129"/>
    </row>
    <row r="3907" spans="1:19">
      <c r="A3907" s="135" t="s">
        <v>6086</v>
      </c>
      <c r="B3907" s="149" t="str">
        <f>IFERROR(VLOOKUP(Proc[[#This Row],[App]],Table2[],3,0),"open")</f>
        <v>ok</v>
      </c>
      <c r="C3907" s="138" t="s">
        <v>369</v>
      </c>
      <c r="D3907" t="s">
        <v>6034</v>
      </c>
      <c r="E3907" t="s">
        <v>6078</v>
      </c>
      <c r="F3907" s="129" t="s">
        <v>6078</v>
      </c>
      <c r="G3907" s="135" t="s">
        <v>406</v>
      </c>
      <c r="H3907" s="129" t="str">
        <f>IF(Proc[[#This Row],[type]]="LFF (MDG-F)",MID(Proc[[#This Row],[Obj]],13,10),"")</f>
        <v>JP01TDOZ06</v>
      </c>
      <c r="J3907" s="129" t="b">
        <f>Proc[[#This Row],[Requested]]=Proc[[#This Row],[CurrentParent]]</f>
        <v>1</v>
      </c>
      <c r="K3907" s="144" t="str">
        <f>IF(Proc[[#This Row],[Author]]="Marcela Urrego",VLOOKUP(LEFT(Proc[[#This Row],[Requested]],1),Table3[#All],2,0),VLOOKUP(Proc[[#This Row],[Author]],Table4[],2,0))</f>
        <v>EL</v>
      </c>
      <c r="L3907" s="129" t="s">
        <v>4894</v>
      </c>
      <c r="M3907" s="136">
        <v>45895</v>
      </c>
      <c r="N3907" s="137"/>
      <c r="O3907" s="137"/>
      <c r="P3907" s="136" t="str">
        <f ca="1">IF(Proc[[#This Row],[DaysAgeing]]&gt;5,"yep","on track")</f>
        <v>yep</v>
      </c>
      <c r="Q3907" s="3">
        <f ca="1">IF(Proc[[#This Row],[DateClosed]]="",ABS(NETWORKDAYS(Proc[[#This Row],[DateOpened]],TODAY()))-1,ABS(NETWORKDAYS(Proc[[#This Row],[DateOpened]],Proc[[#This Row],[DateClosed]]))-1)</f>
        <v>78</v>
      </c>
      <c r="R3907" s="136" t="s">
        <v>6087</v>
      </c>
      <c r="S3907" s="129"/>
    </row>
    <row r="3908" spans="1:19">
      <c r="A3908" s="135" t="s">
        <v>6086</v>
      </c>
      <c r="B3908" s="149" t="str">
        <f>IFERROR(VLOOKUP(Proc[[#This Row],[App]],Table2[],3,0),"open")</f>
        <v>ok</v>
      </c>
      <c r="C3908" s="138" t="s">
        <v>369</v>
      </c>
      <c r="D3908" t="s">
        <v>6035</v>
      </c>
      <c r="E3908" t="s">
        <v>6079</v>
      </c>
      <c r="F3908" s="129" t="s">
        <v>6079</v>
      </c>
      <c r="G3908" s="135" t="s">
        <v>406</v>
      </c>
      <c r="H3908" s="129" t="str">
        <f>IF(Proc[[#This Row],[type]]="LFF (MDG-F)",MID(Proc[[#This Row],[Obj]],13,10),"")</f>
        <v>JP01TEOZ01</v>
      </c>
      <c r="J3908" s="129" t="b">
        <f>Proc[[#This Row],[Requested]]=Proc[[#This Row],[CurrentParent]]</f>
        <v>1</v>
      </c>
      <c r="K3908" s="144" t="str">
        <f>IF(Proc[[#This Row],[Author]]="Marcela Urrego",VLOOKUP(LEFT(Proc[[#This Row],[Requested]],1),Table3[#All],2,0),VLOOKUP(Proc[[#This Row],[Author]],Table4[],2,0))</f>
        <v>EL</v>
      </c>
      <c r="L3908" s="129" t="s">
        <v>4894</v>
      </c>
      <c r="M3908" s="136">
        <v>45895</v>
      </c>
      <c r="N3908" s="137"/>
      <c r="O3908" s="137"/>
      <c r="P3908" s="136" t="str">
        <f ca="1">IF(Proc[[#This Row],[DaysAgeing]]&gt;5,"yep","on track")</f>
        <v>yep</v>
      </c>
      <c r="Q3908" s="3">
        <f ca="1">IF(Proc[[#This Row],[DateClosed]]="",ABS(NETWORKDAYS(Proc[[#This Row],[DateOpened]],TODAY()))-1,ABS(NETWORKDAYS(Proc[[#This Row],[DateOpened]],Proc[[#This Row],[DateClosed]]))-1)</f>
        <v>78</v>
      </c>
      <c r="R3908" s="136" t="s">
        <v>6087</v>
      </c>
      <c r="S3908" s="129"/>
    </row>
    <row r="3909" spans="1:19">
      <c r="A3909" s="135" t="s">
        <v>6086</v>
      </c>
      <c r="B3909" s="149" t="str">
        <f>IFERROR(VLOOKUP(Proc[[#This Row],[App]],Table2[],3,0),"open")</f>
        <v>ok</v>
      </c>
      <c r="C3909" s="138" t="s">
        <v>369</v>
      </c>
      <c r="D3909" t="s">
        <v>6036</v>
      </c>
      <c r="E3909" t="s">
        <v>6074</v>
      </c>
      <c r="F3909" s="129" t="s">
        <v>6074</v>
      </c>
      <c r="G3909" s="135" t="s">
        <v>406</v>
      </c>
      <c r="H3909" s="129" t="str">
        <f>IF(Proc[[#This Row],[type]]="LFF (MDG-F)",MID(Proc[[#This Row],[Obj]],13,10),"")</f>
        <v>JP01TFOZ01</v>
      </c>
      <c r="J3909" s="129" t="b">
        <f>Proc[[#This Row],[Requested]]=Proc[[#This Row],[CurrentParent]]</f>
        <v>1</v>
      </c>
      <c r="K3909" s="144" t="str">
        <f>IF(Proc[[#This Row],[Author]]="Marcela Urrego",VLOOKUP(LEFT(Proc[[#This Row],[Requested]],1),Table3[#All],2,0),VLOOKUP(Proc[[#This Row],[Author]],Table4[],2,0))</f>
        <v>EL</v>
      </c>
      <c r="L3909" s="129" t="s">
        <v>4894</v>
      </c>
      <c r="M3909" s="136">
        <v>45895</v>
      </c>
      <c r="N3909" s="137"/>
      <c r="O3909" s="137"/>
      <c r="P3909" s="136" t="str">
        <f ca="1">IF(Proc[[#This Row],[DaysAgeing]]&gt;5,"yep","on track")</f>
        <v>yep</v>
      </c>
      <c r="Q3909" s="3">
        <f ca="1">IF(Proc[[#This Row],[DateClosed]]="",ABS(NETWORKDAYS(Proc[[#This Row],[DateOpened]],TODAY()))-1,ABS(NETWORKDAYS(Proc[[#This Row],[DateOpened]],Proc[[#This Row],[DateClosed]]))-1)</f>
        <v>78</v>
      </c>
      <c r="R3909" s="136" t="s">
        <v>6087</v>
      </c>
      <c r="S3909" s="129"/>
    </row>
    <row r="3910" spans="1:19">
      <c r="A3910" s="135" t="s">
        <v>6086</v>
      </c>
      <c r="B3910" s="149" t="str">
        <f>IFERROR(VLOOKUP(Proc[[#This Row],[App]],Table2[],3,0),"open")</f>
        <v>ok</v>
      </c>
      <c r="C3910" s="138" t="s">
        <v>369</v>
      </c>
      <c r="D3910" t="s">
        <v>6037</v>
      </c>
      <c r="E3910" t="s">
        <v>6074</v>
      </c>
      <c r="F3910" s="129" t="s">
        <v>6074</v>
      </c>
      <c r="G3910" s="135" t="s">
        <v>406</v>
      </c>
      <c r="H3910" s="129" t="str">
        <f>IF(Proc[[#This Row],[type]]="LFF (MDG-F)",MID(Proc[[#This Row],[Obj]],13,10),"")</f>
        <v>JP01TFOZ02</v>
      </c>
      <c r="J3910" s="129" t="b">
        <f>Proc[[#This Row],[Requested]]=Proc[[#This Row],[CurrentParent]]</f>
        <v>1</v>
      </c>
      <c r="K3910" s="144" t="str">
        <f>IF(Proc[[#This Row],[Author]]="Marcela Urrego",VLOOKUP(LEFT(Proc[[#This Row],[Requested]],1),Table3[#All],2,0),VLOOKUP(Proc[[#This Row],[Author]],Table4[],2,0))</f>
        <v>EL</v>
      </c>
      <c r="L3910" s="129" t="s">
        <v>4894</v>
      </c>
      <c r="M3910" s="136">
        <v>45895</v>
      </c>
      <c r="N3910" s="137"/>
      <c r="O3910" s="137"/>
      <c r="P3910" s="136" t="str">
        <f ca="1">IF(Proc[[#This Row],[DaysAgeing]]&gt;5,"yep","on track")</f>
        <v>yep</v>
      </c>
      <c r="Q3910" s="3">
        <f ca="1">IF(Proc[[#This Row],[DateClosed]]="",ABS(NETWORKDAYS(Proc[[#This Row],[DateOpened]],TODAY()))-1,ABS(NETWORKDAYS(Proc[[#This Row],[DateOpened]],Proc[[#This Row],[DateClosed]]))-1)</f>
        <v>78</v>
      </c>
      <c r="R3910" s="136" t="s">
        <v>6087</v>
      </c>
      <c r="S3910" s="129"/>
    </row>
    <row r="3911" spans="1:19">
      <c r="A3911" s="135" t="s">
        <v>6086</v>
      </c>
      <c r="B3911" s="149" t="str">
        <f>IFERROR(VLOOKUP(Proc[[#This Row],[App]],Table2[],3,0),"open")</f>
        <v>ok</v>
      </c>
      <c r="C3911" s="138" t="s">
        <v>369</v>
      </c>
      <c r="D3911" t="s">
        <v>6038</v>
      </c>
      <c r="E3911" t="s">
        <v>6074</v>
      </c>
      <c r="F3911" s="129" t="s">
        <v>6074</v>
      </c>
      <c r="G3911" s="135" t="s">
        <v>406</v>
      </c>
      <c r="H3911" s="129" t="str">
        <f>IF(Proc[[#This Row],[type]]="LFF (MDG-F)",MID(Proc[[#This Row],[Obj]],13,10),"")</f>
        <v>JP01TFOZ03</v>
      </c>
      <c r="J3911" s="129" t="b">
        <f>Proc[[#This Row],[Requested]]=Proc[[#This Row],[CurrentParent]]</f>
        <v>1</v>
      </c>
      <c r="K3911" s="144" t="str">
        <f>IF(Proc[[#This Row],[Author]]="Marcela Urrego",VLOOKUP(LEFT(Proc[[#This Row],[Requested]],1),Table3[#All],2,0),VLOOKUP(Proc[[#This Row],[Author]],Table4[],2,0))</f>
        <v>EL</v>
      </c>
      <c r="L3911" s="129" t="s">
        <v>4894</v>
      </c>
      <c r="M3911" s="136">
        <v>45895</v>
      </c>
      <c r="N3911" s="137"/>
      <c r="O3911" s="137"/>
      <c r="P3911" s="136" t="str">
        <f ca="1">IF(Proc[[#This Row],[DaysAgeing]]&gt;5,"yep","on track")</f>
        <v>yep</v>
      </c>
      <c r="Q3911" s="3">
        <f ca="1">IF(Proc[[#This Row],[DateClosed]]="",ABS(NETWORKDAYS(Proc[[#This Row],[DateOpened]],TODAY()))-1,ABS(NETWORKDAYS(Proc[[#This Row],[DateOpened]],Proc[[#This Row],[DateClosed]]))-1)</f>
        <v>78</v>
      </c>
      <c r="R3911" s="136" t="s">
        <v>6087</v>
      </c>
      <c r="S3911" s="129"/>
    </row>
    <row r="3912" spans="1:19">
      <c r="A3912" s="135" t="s">
        <v>6086</v>
      </c>
      <c r="B3912" s="149" t="str">
        <f>IFERROR(VLOOKUP(Proc[[#This Row],[App]],Table2[],3,0),"open")</f>
        <v>ok</v>
      </c>
      <c r="C3912" s="138" t="s">
        <v>369</v>
      </c>
      <c r="D3912" t="s">
        <v>6039</v>
      </c>
      <c r="E3912" t="s">
        <v>6080</v>
      </c>
      <c r="F3912" s="129" t="s">
        <v>6080</v>
      </c>
      <c r="G3912" s="135" t="s">
        <v>406</v>
      </c>
      <c r="H3912" s="129" t="str">
        <f>IF(Proc[[#This Row],[type]]="LFF (MDG-F)",MID(Proc[[#This Row],[Obj]],13,10),"")</f>
        <v>JP01TKOZ00</v>
      </c>
      <c r="J3912" s="129" t="b">
        <f>Proc[[#This Row],[Requested]]=Proc[[#This Row],[CurrentParent]]</f>
        <v>1</v>
      </c>
      <c r="K3912" s="144" t="str">
        <f>IF(Proc[[#This Row],[Author]]="Marcela Urrego",VLOOKUP(LEFT(Proc[[#This Row],[Requested]],1),Table3[#All],2,0),VLOOKUP(Proc[[#This Row],[Author]],Table4[],2,0))</f>
        <v>EL</v>
      </c>
      <c r="L3912" s="129" t="s">
        <v>4894</v>
      </c>
      <c r="M3912" s="136">
        <v>45895</v>
      </c>
      <c r="N3912" s="137"/>
      <c r="O3912" s="137"/>
      <c r="P3912" s="136" t="str">
        <f ca="1">IF(Proc[[#This Row],[DaysAgeing]]&gt;5,"yep","on track")</f>
        <v>yep</v>
      </c>
      <c r="Q3912" s="3">
        <f ca="1">IF(Proc[[#This Row],[DateClosed]]="",ABS(NETWORKDAYS(Proc[[#This Row],[DateOpened]],TODAY()))-1,ABS(NETWORKDAYS(Proc[[#This Row],[DateOpened]],Proc[[#This Row],[DateClosed]]))-1)</f>
        <v>78</v>
      </c>
      <c r="R3912" s="136" t="s">
        <v>6087</v>
      </c>
      <c r="S3912" s="129"/>
    </row>
    <row r="3913" spans="1:19">
      <c r="A3913" s="135" t="s">
        <v>6086</v>
      </c>
      <c r="B3913" s="149" t="str">
        <f>IFERROR(VLOOKUP(Proc[[#This Row],[App]],Table2[],3,0),"open")</f>
        <v>ok</v>
      </c>
      <c r="C3913" s="138" t="s">
        <v>369</v>
      </c>
      <c r="D3913" t="s">
        <v>6040</v>
      </c>
      <c r="E3913" t="s">
        <v>6081</v>
      </c>
      <c r="F3913" s="129" t="s">
        <v>6081</v>
      </c>
      <c r="G3913" s="135" t="s">
        <v>406</v>
      </c>
      <c r="H3913" s="129" t="str">
        <f>IF(Proc[[#This Row],[type]]="LFF (MDG-F)",MID(Proc[[#This Row],[Obj]],13,10),"")</f>
        <v>JP01TLOZ01</v>
      </c>
      <c r="J3913" s="129" t="b">
        <f>Proc[[#This Row],[Requested]]=Proc[[#This Row],[CurrentParent]]</f>
        <v>1</v>
      </c>
      <c r="K3913" s="144" t="str">
        <f>IF(Proc[[#This Row],[Author]]="Marcela Urrego",VLOOKUP(LEFT(Proc[[#This Row],[Requested]],1),Table3[#All],2,0),VLOOKUP(Proc[[#This Row],[Author]],Table4[],2,0))</f>
        <v>EL</v>
      </c>
      <c r="L3913" s="129" t="s">
        <v>4894</v>
      </c>
      <c r="M3913" s="136">
        <v>45895</v>
      </c>
      <c r="N3913" s="137"/>
      <c r="O3913" s="137"/>
      <c r="P3913" s="136" t="str">
        <f ca="1">IF(Proc[[#This Row],[DaysAgeing]]&gt;5,"yep","on track")</f>
        <v>yep</v>
      </c>
      <c r="Q3913" s="3">
        <f ca="1">IF(Proc[[#This Row],[DateClosed]]="",ABS(NETWORKDAYS(Proc[[#This Row],[DateOpened]],TODAY()))-1,ABS(NETWORKDAYS(Proc[[#This Row],[DateOpened]],Proc[[#This Row],[DateClosed]]))-1)</f>
        <v>78</v>
      </c>
      <c r="R3913" s="136" t="s">
        <v>6087</v>
      </c>
      <c r="S3913" s="129"/>
    </row>
    <row r="3914" spans="1:19">
      <c r="A3914" s="135" t="s">
        <v>6086</v>
      </c>
      <c r="B3914" s="149" t="str">
        <f>IFERROR(VLOOKUP(Proc[[#This Row],[App]],Table2[],3,0),"open")</f>
        <v>ok</v>
      </c>
      <c r="C3914" s="138" t="s">
        <v>369</v>
      </c>
      <c r="D3914" t="s">
        <v>6041</v>
      </c>
      <c r="E3914" t="s">
        <v>6082</v>
      </c>
      <c r="F3914" s="129" t="s">
        <v>6082</v>
      </c>
      <c r="G3914" s="135" t="s">
        <v>406</v>
      </c>
      <c r="H3914" s="129" t="str">
        <f>IF(Proc[[#This Row],[type]]="LFF (MDG-F)",MID(Proc[[#This Row],[Obj]],13,10),"")</f>
        <v>JP01TNMZ04</v>
      </c>
      <c r="J3914" s="129" t="b">
        <f>Proc[[#This Row],[Requested]]=Proc[[#This Row],[CurrentParent]]</f>
        <v>1</v>
      </c>
      <c r="K3914" s="144" t="str">
        <f>IF(Proc[[#This Row],[Author]]="Marcela Urrego",VLOOKUP(LEFT(Proc[[#This Row],[Requested]],1),Table3[#All],2,0),VLOOKUP(Proc[[#This Row],[Author]],Table4[],2,0))</f>
        <v>EL</v>
      </c>
      <c r="L3914" s="129" t="s">
        <v>4894</v>
      </c>
      <c r="M3914" s="136">
        <v>45895</v>
      </c>
      <c r="N3914" s="137"/>
      <c r="O3914" s="137"/>
      <c r="P3914" s="136" t="str">
        <f ca="1">IF(Proc[[#This Row],[DaysAgeing]]&gt;5,"yep","on track")</f>
        <v>yep</v>
      </c>
      <c r="Q3914" s="3">
        <f ca="1">IF(Proc[[#This Row],[DateClosed]]="",ABS(NETWORKDAYS(Proc[[#This Row],[DateOpened]],TODAY()))-1,ABS(NETWORKDAYS(Proc[[#This Row],[DateOpened]],Proc[[#This Row],[DateClosed]]))-1)</f>
        <v>78</v>
      </c>
      <c r="R3914" s="136" t="s">
        <v>6087</v>
      </c>
      <c r="S3914" s="129"/>
    </row>
    <row r="3915" spans="1:19">
      <c r="A3915" s="135" t="s">
        <v>6086</v>
      </c>
      <c r="B3915" s="149" t="str">
        <f>IFERROR(VLOOKUP(Proc[[#This Row],[App]],Table2[],3,0),"open")</f>
        <v>ok</v>
      </c>
      <c r="C3915" s="138" t="s">
        <v>369</v>
      </c>
      <c r="D3915" t="s">
        <v>6042</v>
      </c>
      <c r="E3915" t="s">
        <v>6083</v>
      </c>
      <c r="F3915" s="129" t="s">
        <v>6083</v>
      </c>
      <c r="G3915" s="135" t="s">
        <v>406</v>
      </c>
      <c r="H3915" s="129" t="str">
        <f>IF(Proc[[#This Row],[type]]="LFF (MDG-F)",MID(Proc[[#This Row],[Obj]],13,10),"")</f>
        <v>JP01TPOZ01</v>
      </c>
      <c r="J3915" s="129" t="b">
        <f>Proc[[#This Row],[Requested]]=Proc[[#This Row],[CurrentParent]]</f>
        <v>1</v>
      </c>
      <c r="K3915" s="144" t="str">
        <f>IF(Proc[[#This Row],[Author]]="Marcela Urrego",VLOOKUP(LEFT(Proc[[#This Row],[Requested]],1),Table3[#All],2,0),VLOOKUP(Proc[[#This Row],[Author]],Table4[],2,0))</f>
        <v>EL</v>
      </c>
      <c r="L3915" s="129" t="s">
        <v>4894</v>
      </c>
      <c r="M3915" s="136">
        <v>45895</v>
      </c>
      <c r="N3915" s="137"/>
      <c r="O3915" s="137"/>
      <c r="P3915" s="136" t="str">
        <f ca="1">IF(Proc[[#This Row],[DaysAgeing]]&gt;5,"yep","on track")</f>
        <v>yep</v>
      </c>
      <c r="Q3915" s="3">
        <f ca="1">IF(Proc[[#This Row],[DateClosed]]="",ABS(NETWORKDAYS(Proc[[#This Row],[DateOpened]],TODAY()))-1,ABS(NETWORKDAYS(Proc[[#This Row],[DateOpened]],Proc[[#This Row],[DateClosed]]))-1)</f>
        <v>78</v>
      </c>
      <c r="R3915" s="136" t="s">
        <v>6087</v>
      </c>
      <c r="S3915" s="129"/>
    </row>
    <row r="3916" spans="1:19">
      <c r="A3916" s="135" t="s">
        <v>6086</v>
      </c>
      <c r="B3916" s="149" t="str">
        <f>IFERROR(VLOOKUP(Proc[[#This Row],[App]],Table2[],3,0),"open")</f>
        <v>ok</v>
      </c>
      <c r="C3916" s="138" t="s">
        <v>369</v>
      </c>
      <c r="D3916" t="s">
        <v>6043</v>
      </c>
      <c r="E3916" t="s">
        <v>6084</v>
      </c>
      <c r="F3916" s="129" t="s">
        <v>6084</v>
      </c>
      <c r="G3916" s="135" t="s">
        <v>406</v>
      </c>
      <c r="H3916" s="129" t="str">
        <f>IF(Proc[[#This Row],[type]]="LFF (MDG-F)",MID(Proc[[#This Row],[Obj]],13,10),"")</f>
        <v>JP01TQOZ01</v>
      </c>
      <c r="J3916" s="129" t="b">
        <f>Proc[[#This Row],[Requested]]=Proc[[#This Row],[CurrentParent]]</f>
        <v>1</v>
      </c>
      <c r="K3916" s="144" t="str">
        <f>IF(Proc[[#This Row],[Author]]="Marcela Urrego",VLOOKUP(LEFT(Proc[[#This Row],[Requested]],1),Table3[#All],2,0),VLOOKUP(Proc[[#This Row],[Author]],Table4[],2,0))</f>
        <v>EL</v>
      </c>
      <c r="L3916" s="129" t="s">
        <v>4894</v>
      </c>
      <c r="M3916" s="136">
        <v>45895</v>
      </c>
      <c r="N3916" s="137"/>
      <c r="O3916" s="137"/>
      <c r="P3916" s="136" t="str">
        <f ca="1">IF(Proc[[#This Row],[DaysAgeing]]&gt;5,"yep","on track")</f>
        <v>yep</v>
      </c>
      <c r="Q3916" s="3">
        <f ca="1">IF(Proc[[#This Row],[DateClosed]]="",ABS(NETWORKDAYS(Proc[[#This Row],[DateOpened]],TODAY()))-1,ABS(NETWORKDAYS(Proc[[#This Row],[DateOpened]],Proc[[#This Row],[DateClosed]]))-1)</f>
        <v>78</v>
      </c>
      <c r="R3916" s="136" t="s">
        <v>6087</v>
      </c>
      <c r="S3916" s="129"/>
    </row>
    <row r="3917" spans="1:19">
      <c r="A3917" s="135" t="s">
        <v>6086</v>
      </c>
      <c r="B3917" s="149" t="str">
        <f>IFERROR(VLOOKUP(Proc[[#This Row],[App]],Table2[],3,0),"open")</f>
        <v>ok</v>
      </c>
      <c r="C3917" s="138" t="s">
        <v>369</v>
      </c>
      <c r="D3917" t="s">
        <v>6044</v>
      </c>
      <c r="E3917" t="s">
        <v>6085</v>
      </c>
      <c r="F3917" s="129" t="s">
        <v>6085</v>
      </c>
      <c r="G3917" s="135" t="s">
        <v>406</v>
      </c>
      <c r="H3917" s="129" t="str">
        <f>IF(Proc[[#This Row],[type]]="LFF (MDG-F)",MID(Proc[[#This Row],[Obj]],13,10),"")</f>
        <v>JP01TQOZ03</v>
      </c>
      <c r="J3917" s="129" t="b">
        <f>Proc[[#This Row],[Requested]]=Proc[[#This Row],[CurrentParent]]</f>
        <v>1</v>
      </c>
      <c r="K3917" s="144" t="str">
        <f>IF(Proc[[#This Row],[Author]]="Marcela Urrego",VLOOKUP(LEFT(Proc[[#This Row],[Requested]],1),Table3[#All],2,0),VLOOKUP(Proc[[#This Row],[Author]],Table4[],2,0))</f>
        <v>EL</v>
      </c>
      <c r="L3917" s="129" t="s">
        <v>4894</v>
      </c>
      <c r="M3917" s="136">
        <v>45895</v>
      </c>
      <c r="N3917" s="137"/>
      <c r="O3917" s="137"/>
      <c r="P3917" s="136" t="str">
        <f ca="1">IF(Proc[[#This Row],[DaysAgeing]]&gt;5,"yep","on track")</f>
        <v>yep</v>
      </c>
      <c r="Q3917" s="3">
        <f ca="1">IF(Proc[[#This Row],[DateClosed]]="",ABS(NETWORKDAYS(Proc[[#This Row],[DateOpened]],TODAY()))-1,ABS(NETWORKDAYS(Proc[[#This Row],[DateOpened]],Proc[[#This Row],[DateClosed]]))-1)</f>
        <v>78</v>
      </c>
      <c r="R3917" s="136" t="s">
        <v>6087</v>
      </c>
      <c r="S3917" s="129"/>
    </row>
    <row r="3918" spans="1:19">
      <c r="A3918" s="135" t="s">
        <v>6086</v>
      </c>
      <c r="B3918" s="149" t="str">
        <f>IFERROR(VLOOKUP(Proc[[#This Row],[App]],Table2[],3,0),"open")</f>
        <v>ok</v>
      </c>
      <c r="C3918" s="138" t="s">
        <v>369</v>
      </c>
      <c r="D3918" t="s">
        <v>6045</v>
      </c>
      <c r="E3918" t="s">
        <v>6085</v>
      </c>
      <c r="F3918" s="129" t="s">
        <v>6085</v>
      </c>
      <c r="G3918" s="135" t="s">
        <v>406</v>
      </c>
      <c r="H3918" s="129" t="str">
        <f>IF(Proc[[#This Row],[type]]="LFF (MDG-F)",MID(Proc[[#This Row],[Obj]],13,10),"")</f>
        <v>JP01TQOZ04</v>
      </c>
      <c r="J3918" s="129" t="b">
        <f>Proc[[#This Row],[Requested]]=Proc[[#This Row],[CurrentParent]]</f>
        <v>1</v>
      </c>
      <c r="K3918" s="144" t="str">
        <f>IF(Proc[[#This Row],[Author]]="Marcela Urrego",VLOOKUP(LEFT(Proc[[#This Row],[Requested]],1),Table3[#All],2,0),VLOOKUP(Proc[[#This Row],[Author]],Table4[],2,0))</f>
        <v>EL</v>
      </c>
      <c r="L3918" s="129" t="s">
        <v>4894</v>
      </c>
      <c r="M3918" s="136">
        <v>45895</v>
      </c>
      <c r="N3918" s="137"/>
      <c r="O3918" s="137"/>
      <c r="P3918" s="136" t="str">
        <f ca="1">IF(Proc[[#This Row],[DaysAgeing]]&gt;5,"yep","on track")</f>
        <v>yep</v>
      </c>
      <c r="Q3918" s="3">
        <f ca="1">IF(Proc[[#This Row],[DateClosed]]="",ABS(NETWORKDAYS(Proc[[#This Row],[DateOpened]],TODAY()))-1,ABS(NETWORKDAYS(Proc[[#This Row],[DateOpened]],Proc[[#This Row],[DateClosed]]))-1)</f>
        <v>78</v>
      </c>
      <c r="R3918" s="136" t="s">
        <v>6087</v>
      </c>
      <c r="S3918" s="129"/>
    </row>
    <row r="3919" spans="1:19">
      <c r="A3919" s="135" t="s">
        <v>6086</v>
      </c>
      <c r="B3919" s="149" t="str">
        <f>IFERROR(VLOOKUP(Proc[[#This Row],[App]],Table2[],3,0),"open")</f>
        <v>ok</v>
      </c>
      <c r="C3919" s="138" t="s">
        <v>369</v>
      </c>
      <c r="D3919" t="s">
        <v>6046</v>
      </c>
      <c r="E3919" t="s">
        <v>6059</v>
      </c>
      <c r="F3919" s="129" t="s">
        <v>6059</v>
      </c>
      <c r="G3919" s="135" t="s">
        <v>406</v>
      </c>
      <c r="H3919" s="129" t="str">
        <f>IF(Proc[[#This Row],[type]]="LFF (MDG-F)",MID(Proc[[#This Row],[Obj]],13,10),"")</f>
        <v>JP01Z01000</v>
      </c>
      <c r="J3919" s="129" t="b">
        <f>Proc[[#This Row],[Requested]]=Proc[[#This Row],[CurrentParent]]</f>
        <v>1</v>
      </c>
      <c r="K3919" s="144" t="str">
        <f>IF(Proc[[#This Row],[Author]]="Marcela Urrego",VLOOKUP(LEFT(Proc[[#This Row],[Requested]],1),Table3[#All],2,0),VLOOKUP(Proc[[#This Row],[Author]],Table4[],2,0))</f>
        <v>EL</v>
      </c>
      <c r="L3919" s="129" t="s">
        <v>4894</v>
      </c>
      <c r="M3919" s="136">
        <v>45895</v>
      </c>
      <c r="N3919" s="137"/>
      <c r="O3919" s="137"/>
      <c r="P3919" s="136" t="str">
        <f ca="1">IF(Proc[[#This Row],[DaysAgeing]]&gt;5,"yep","on track")</f>
        <v>yep</v>
      </c>
      <c r="Q3919" s="3">
        <f ca="1">IF(Proc[[#This Row],[DateClosed]]="",ABS(NETWORKDAYS(Proc[[#This Row],[DateOpened]],TODAY()))-1,ABS(NETWORKDAYS(Proc[[#This Row],[DateOpened]],Proc[[#This Row],[DateClosed]]))-1)</f>
        <v>78</v>
      </c>
      <c r="R3919" s="136" t="s">
        <v>6087</v>
      </c>
      <c r="S3919" s="129"/>
    </row>
    <row r="3920" spans="1:19">
      <c r="A3920" s="135" t="s">
        <v>6086</v>
      </c>
      <c r="B3920" s="149" t="str">
        <f>IFERROR(VLOOKUP(Proc[[#This Row],[App]],Table2[],3,0),"open")</f>
        <v>ok</v>
      </c>
      <c r="C3920" s="138" t="s">
        <v>369</v>
      </c>
      <c r="D3920" t="s">
        <v>6047</v>
      </c>
      <c r="E3920" t="s">
        <v>6059</v>
      </c>
      <c r="F3920" s="129" t="s">
        <v>6059</v>
      </c>
      <c r="G3920" s="135" t="s">
        <v>406</v>
      </c>
      <c r="H3920" s="129" t="str">
        <f>IF(Proc[[#This Row],[type]]="LFF (MDG-F)",MID(Proc[[#This Row],[Obj]],13,10),"")</f>
        <v>JP01Z01IF9</v>
      </c>
      <c r="J3920" s="129" t="b">
        <f>Proc[[#This Row],[Requested]]=Proc[[#This Row],[CurrentParent]]</f>
        <v>1</v>
      </c>
      <c r="K3920" s="144" t="str">
        <f>IF(Proc[[#This Row],[Author]]="Marcela Urrego",VLOOKUP(LEFT(Proc[[#This Row],[Requested]],1),Table3[#All],2,0),VLOOKUP(Proc[[#This Row],[Author]],Table4[],2,0))</f>
        <v>EL</v>
      </c>
      <c r="L3920" s="129" t="s">
        <v>4894</v>
      </c>
      <c r="M3920" s="136">
        <v>45895</v>
      </c>
      <c r="N3920" s="137"/>
      <c r="O3920" s="137"/>
      <c r="P3920" s="136" t="str">
        <f ca="1">IF(Proc[[#This Row],[DaysAgeing]]&gt;5,"yep","on track")</f>
        <v>yep</v>
      </c>
      <c r="Q3920" s="3">
        <f ca="1">IF(Proc[[#This Row],[DateClosed]]="",ABS(NETWORKDAYS(Proc[[#This Row],[DateOpened]],TODAY()))-1,ABS(NETWORKDAYS(Proc[[#This Row],[DateOpened]],Proc[[#This Row],[DateClosed]]))-1)</f>
        <v>78</v>
      </c>
      <c r="R3920" s="136" t="s">
        <v>6087</v>
      </c>
      <c r="S3920" s="129"/>
    </row>
    <row r="3921" spans="1:19">
      <c r="A3921" s="135" t="s">
        <v>6086</v>
      </c>
      <c r="B3921" s="149" t="str">
        <f>IFERROR(VLOOKUP(Proc[[#This Row],[App]],Table2[],3,0),"open")</f>
        <v>ok</v>
      </c>
      <c r="C3921" s="138" t="s">
        <v>369</v>
      </c>
      <c r="D3921" t="s">
        <v>6048</v>
      </c>
      <c r="E3921" t="s">
        <v>6059</v>
      </c>
      <c r="F3921" s="129" t="s">
        <v>6059</v>
      </c>
      <c r="G3921" s="135" t="s">
        <v>406</v>
      </c>
      <c r="H3921" s="129" t="str">
        <f>IF(Proc[[#This Row],[type]]="LFF (MDG-F)",MID(Proc[[#This Row],[Obj]],13,10),"")</f>
        <v>JP01Z02141</v>
      </c>
      <c r="J3921" s="129" t="b">
        <f>Proc[[#This Row],[Requested]]=Proc[[#This Row],[CurrentParent]]</f>
        <v>1</v>
      </c>
      <c r="K3921" s="144" t="str">
        <f>IF(Proc[[#This Row],[Author]]="Marcela Urrego",VLOOKUP(LEFT(Proc[[#This Row],[Requested]],1),Table3[#All],2,0),VLOOKUP(Proc[[#This Row],[Author]],Table4[],2,0))</f>
        <v>EL</v>
      </c>
      <c r="L3921" s="129" t="s">
        <v>4894</v>
      </c>
      <c r="M3921" s="136">
        <v>45895</v>
      </c>
      <c r="N3921" s="137"/>
      <c r="O3921" s="137"/>
      <c r="P3921" s="136" t="str">
        <f ca="1">IF(Proc[[#This Row],[DaysAgeing]]&gt;5,"yep","on track")</f>
        <v>yep</v>
      </c>
      <c r="Q3921" s="3">
        <f ca="1">IF(Proc[[#This Row],[DateClosed]]="",ABS(NETWORKDAYS(Proc[[#This Row],[DateOpened]],TODAY()))-1,ABS(NETWORKDAYS(Proc[[#This Row],[DateOpened]],Proc[[#This Row],[DateClosed]]))-1)</f>
        <v>78</v>
      </c>
      <c r="R3921" s="136" t="s">
        <v>6087</v>
      </c>
      <c r="S3921" s="129"/>
    </row>
    <row r="3922" spans="1:19">
      <c r="A3922" s="135" t="s">
        <v>6086</v>
      </c>
      <c r="B3922" s="149" t="str">
        <f>IFERROR(VLOOKUP(Proc[[#This Row],[App]],Table2[],3,0),"open")</f>
        <v>ok</v>
      </c>
      <c r="C3922" s="138" t="s">
        <v>369</v>
      </c>
      <c r="D3922" t="s">
        <v>6049</v>
      </c>
      <c r="E3922" t="s">
        <v>6059</v>
      </c>
      <c r="F3922" s="129" t="s">
        <v>6059</v>
      </c>
      <c r="G3922" s="135" t="s">
        <v>406</v>
      </c>
      <c r="H3922" s="129" t="str">
        <f>IF(Proc[[#This Row],[type]]="LFF (MDG-F)",MID(Proc[[#This Row],[Obj]],13,10),"")</f>
        <v>JP01Z02171</v>
      </c>
      <c r="J3922" s="129" t="b">
        <f>Proc[[#This Row],[Requested]]=Proc[[#This Row],[CurrentParent]]</f>
        <v>1</v>
      </c>
      <c r="K3922" s="144" t="str">
        <f>IF(Proc[[#This Row],[Author]]="Marcela Urrego",VLOOKUP(LEFT(Proc[[#This Row],[Requested]],1),Table3[#All],2,0),VLOOKUP(Proc[[#This Row],[Author]],Table4[],2,0))</f>
        <v>EL</v>
      </c>
      <c r="L3922" s="129" t="s">
        <v>4894</v>
      </c>
      <c r="M3922" s="136">
        <v>45895</v>
      </c>
      <c r="N3922" s="137"/>
      <c r="O3922" s="137"/>
      <c r="P3922" s="136" t="str">
        <f ca="1">IF(Proc[[#This Row],[DaysAgeing]]&gt;5,"yep","on track")</f>
        <v>yep</v>
      </c>
      <c r="Q3922" s="3">
        <f ca="1">IF(Proc[[#This Row],[DateClosed]]="",ABS(NETWORKDAYS(Proc[[#This Row],[DateOpened]],TODAY()))-1,ABS(NETWORKDAYS(Proc[[#This Row],[DateOpened]],Proc[[#This Row],[DateClosed]]))-1)</f>
        <v>78</v>
      </c>
      <c r="R3922" s="136" t="s">
        <v>6087</v>
      </c>
      <c r="S3922" s="129"/>
    </row>
    <row r="3923" spans="1:19">
      <c r="A3923" s="135" t="s">
        <v>6086</v>
      </c>
      <c r="B3923" s="149" t="str">
        <f>IFERROR(VLOOKUP(Proc[[#This Row],[App]],Table2[],3,0),"open")</f>
        <v>ok</v>
      </c>
      <c r="C3923" s="138" t="s">
        <v>369</v>
      </c>
      <c r="D3923" t="s">
        <v>6050</v>
      </c>
      <c r="E3923" t="s">
        <v>6059</v>
      </c>
      <c r="F3923" s="129" t="s">
        <v>6059</v>
      </c>
      <c r="G3923" s="135" t="s">
        <v>406</v>
      </c>
      <c r="H3923" s="129" t="str">
        <f>IF(Proc[[#This Row],[type]]="LFF (MDG-F)",MID(Proc[[#This Row],[Obj]],13,10),"")</f>
        <v>JP01Z02173</v>
      </c>
      <c r="J3923" s="129" t="b">
        <f>Proc[[#This Row],[Requested]]=Proc[[#This Row],[CurrentParent]]</f>
        <v>1</v>
      </c>
      <c r="K3923" s="144" t="str">
        <f>IF(Proc[[#This Row],[Author]]="Marcela Urrego",VLOOKUP(LEFT(Proc[[#This Row],[Requested]],1),Table3[#All],2,0),VLOOKUP(Proc[[#This Row],[Author]],Table4[],2,0))</f>
        <v>EL</v>
      </c>
      <c r="L3923" s="129" t="s">
        <v>4894</v>
      </c>
      <c r="M3923" s="136">
        <v>45895</v>
      </c>
      <c r="N3923" s="137"/>
      <c r="O3923" s="137"/>
      <c r="P3923" s="136" t="str">
        <f ca="1">IF(Proc[[#This Row],[DaysAgeing]]&gt;5,"yep","on track")</f>
        <v>yep</v>
      </c>
      <c r="Q3923" s="3">
        <f ca="1">IF(Proc[[#This Row],[DateClosed]]="",ABS(NETWORKDAYS(Proc[[#This Row],[DateOpened]],TODAY()))-1,ABS(NETWORKDAYS(Proc[[#This Row],[DateOpened]],Proc[[#This Row],[DateClosed]]))-1)</f>
        <v>78</v>
      </c>
      <c r="R3923" s="136" t="s">
        <v>6087</v>
      </c>
      <c r="S3923" s="129"/>
    </row>
    <row r="3924" spans="1:19">
      <c r="A3924" s="135" t="s">
        <v>6086</v>
      </c>
      <c r="B3924" s="149" t="str">
        <f>IFERROR(VLOOKUP(Proc[[#This Row],[App]],Table2[],3,0),"open")</f>
        <v>ok</v>
      </c>
      <c r="C3924" s="138" t="s">
        <v>369</v>
      </c>
      <c r="D3924" t="s">
        <v>6051</v>
      </c>
      <c r="E3924" t="s">
        <v>6059</v>
      </c>
      <c r="F3924" s="129" t="s">
        <v>6059</v>
      </c>
      <c r="G3924" s="135" t="s">
        <v>406</v>
      </c>
      <c r="H3924" s="129" t="str">
        <f>IF(Proc[[#This Row],[type]]="LFF (MDG-F)",MID(Proc[[#This Row],[Obj]],13,10),"")</f>
        <v>JP01Z02174</v>
      </c>
      <c r="J3924" s="129" t="b">
        <f>Proc[[#This Row],[Requested]]=Proc[[#This Row],[CurrentParent]]</f>
        <v>1</v>
      </c>
      <c r="K3924" s="144" t="str">
        <f>IF(Proc[[#This Row],[Author]]="Marcela Urrego",VLOOKUP(LEFT(Proc[[#This Row],[Requested]],1),Table3[#All],2,0),VLOOKUP(Proc[[#This Row],[Author]],Table4[],2,0))</f>
        <v>EL</v>
      </c>
      <c r="L3924" s="129" t="s">
        <v>4894</v>
      </c>
      <c r="M3924" s="136">
        <v>45895</v>
      </c>
      <c r="N3924" s="137"/>
      <c r="O3924" s="137"/>
      <c r="P3924" s="136" t="str">
        <f ca="1">IF(Proc[[#This Row],[DaysAgeing]]&gt;5,"yep","on track")</f>
        <v>yep</v>
      </c>
      <c r="Q3924" s="3">
        <f ca="1">IF(Proc[[#This Row],[DateClosed]]="",ABS(NETWORKDAYS(Proc[[#This Row],[DateOpened]],TODAY()))-1,ABS(NETWORKDAYS(Proc[[#This Row],[DateOpened]],Proc[[#This Row],[DateClosed]]))-1)</f>
        <v>78</v>
      </c>
      <c r="R3924" s="136" t="s">
        <v>6087</v>
      </c>
      <c r="S3924" s="129"/>
    </row>
    <row r="3925" spans="1:19">
      <c r="A3925" s="135" t="s">
        <v>6086</v>
      </c>
      <c r="B3925" s="149" t="str">
        <f>IFERROR(VLOOKUP(Proc[[#This Row],[App]],Table2[],3,0),"open")</f>
        <v>ok</v>
      </c>
      <c r="C3925" s="138" t="s">
        <v>369</v>
      </c>
      <c r="D3925" t="s">
        <v>6052</v>
      </c>
      <c r="E3925" t="s">
        <v>6059</v>
      </c>
      <c r="F3925" s="129" t="s">
        <v>6059</v>
      </c>
      <c r="G3925" s="135" t="s">
        <v>406</v>
      </c>
      <c r="H3925" s="129" t="str">
        <f>IF(Proc[[#This Row],[type]]="LFF (MDG-F)",MID(Proc[[#This Row],[Obj]],13,10),"")</f>
        <v>JP01Z02175</v>
      </c>
      <c r="J3925" s="129" t="b">
        <f>Proc[[#This Row],[Requested]]=Proc[[#This Row],[CurrentParent]]</f>
        <v>1</v>
      </c>
      <c r="K3925" s="144" t="str">
        <f>IF(Proc[[#This Row],[Author]]="Marcela Urrego",VLOOKUP(LEFT(Proc[[#This Row],[Requested]],1),Table3[#All],2,0),VLOOKUP(Proc[[#This Row],[Author]],Table4[],2,0))</f>
        <v>EL</v>
      </c>
      <c r="L3925" s="129" t="s">
        <v>4894</v>
      </c>
      <c r="M3925" s="136">
        <v>45895</v>
      </c>
      <c r="N3925" s="137"/>
      <c r="O3925" s="137"/>
      <c r="P3925" s="136" t="str">
        <f ca="1">IF(Proc[[#This Row],[DaysAgeing]]&gt;5,"yep","on track")</f>
        <v>yep</v>
      </c>
      <c r="Q3925" s="3">
        <f ca="1">IF(Proc[[#This Row],[DateClosed]]="",ABS(NETWORKDAYS(Proc[[#This Row],[DateOpened]],TODAY()))-1,ABS(NETWORKDAYS(Proc[[#This Row],[DateOpened]],Proc[[#This Row],[DateClosed]]))-1)</f>
        <v>78</v>
      </c>
      <c r="R3925" s="136" t="s">
        <v>6087</v>
      </c>
      <c r="S3925" s="129"/>
    </row>
    <row r="3926" spans="1:19">
      <c r="A3926" s="135" t="s">
        <v>6086</v>
      </c>
      <c r="B3926" s="149" t="str">
        <f>IFERROR(VLOOKUP(Proc[[#This Row],[App]],Table2[],3,0),"open")</f>
        <v>ok</v>
      </c>
      <c r="C3926" s="138" t="s">
        <v>369</v>
      </c>
      <c r="D3926" t="s">
        <v>6053</v>
      </c>
      <c r="E3926" t="s">
        <v>6059</v>
      </c>
      <c r="F3926" s="129" t="s">
        <v>6059</v>
      </c>
      <c r="G3926" s="135" t="s">
        <v>406</v>
      </c>
      <c r="H3926" s="129" t="str">
        <f>IF(Proc[[#This Row],[type]]="LFF (MDG-F)",MID(Proc[[#This Row],[Obj]],13,10),"")</f>
        <v>JP01Z02183</v>
      </c>
      <c r="J3926" s="129" t="b">
        <f>Proc[[#This Row],[Requested]]=Proc[[#This Row],[CurrentParent]]</f>
        <v>1</v>
      </c>
      <c r="K3926" s="144" t="str">
        <f>IF(Proc[[#This Row],[Author]]="Marcela Urrego",VLOOKUP(LEFT(Proc[[#This Row],[Requested]],1),Table3[#All],2,0),VLOOKUP(Proc[[#This Row],[Author]],Table4[],2,0))</f>
        <v>EL</v>
      </c>
      <c r="L3926" s="129" t="s">
        <v>4894</v>
      </c>
      <c r="M3926" s="136">
        <v>45895</v>
      </c>
      <c r="N3926" s="137"/>
      <c r="O3926" s="137"/>
      <c r="P3926" s="136" t="str">
        <f ca="1">IF(Proc[[#This Row],[DaysAgeing]]&gt;5,"yep","on track")</f>
        <v>yep</v>
      </c>
      <c r="Q3926" s="3">
        <f ca="1">IF(Proc[[#This Row],[DateClosed]]="",ABS(NETWORKDAYS(Proc[[#This Row],[DateOpened]],TODAY()))-1,ABS(NETWORKDAYS(Proc[[#This Row],[DateOpened]],Proc[[#This Row],[DateClosed]]))-1)</f>
        <v>78</v>
      </c>
      <c r="R3926" s="136" t="s">
        <v>6087</v>
      </c>
      <c r="S3926" s="129"/>
    </row>
    <row r="3927" spans="1:19">
      <c r="A3927" s="135" t="s">
        <v>6086</v>
      </c>
      <c r="B3927" s="149" t="str">
        <f>IFERROR(VLOOKUP(Proc[[#This Row],[App]],Table2[],3,0),"open")</f>
        <v>ok</v>
      </c>
      <c r="C3927" s="138" t="s">
        <v>369</v>
      </c>
      <c r="D3927" t="s">
        <v>6054</v>
      </c>
      <c r="E3927" t="s">
        <v>6069</v>
      </c>
      <c r="F3927" s="129" t="s">
        <v>6069</v>
      </c>
      <c r="G3927" s="135" t="s">
        <v>406</v>
      </c>
      <c r="H3927" s="129" t="str">
        <f>IF(Proc[[#This Row],[type]]="LFF (MDG-F)",MID(Proc[[#This Row],[Obj]],13,10),"")</f>
        <v>JP01Z03103</v>
      </c>
      <c r="J3927" s="129" t="b">
        <f>Proc[[#This Row],[Requested]]=Proc[[#This Row],[CurrentParent]]</f>
        <v>1</v>
      </c>
      <c r="K3927" s="144" t="str">
        <f>IF(Proc[[#This Row],[Author]]="Marcela Urrego",VLOOKUP(LEFT(Proc[[#This Row],[Requested]],1),Table3[#All],2,0),VLOOKUP(Proc[[#This Row],[Author]],Table4[],2,0))</f>
        <v>EL</v>
      </c>
      <c r="L3927" s="129" t="s">
        <v>4894</v>
      </c>
      <c r="M3927" s="136">
        <v>45895</v>
      </c>
      <c r="N3927" s="137"/>
      <c r="O3927" s="137"/>
      <c r="P3927" s="136" t="str">
        <f ca="1">IF(Proc[[#This Row],[DaysAgeing]]&gt;5,"yep","on track")</f>
        <v>yep</v>
      </c>
      <c r="Q3927" s="3">
        <f ca="1">IF(Proc[[#This Row],[DateClosed]]="",ABS(NETWORKDAYS(Proc[[#This Row],[DateOpened]],TODAY()))-1,ABS(NETWORKDAYS(Proc[[#This Row],[DateOpened]],Proc[[#This Row],[DateClosed]]))-1)</f>
        <v>78</v>
      </c>
      <c r="R3927" s="136" t="s">
        <v>6087</v>
      </c>
      <c r="S3927" s="129"/>
    </row>
    <row r="3928" spans="1:19">
      <c r="A3928" s="135" t="s">
        <v>6086</v>
      </c>
      <c r="B3928" s="149" t="str">
        <f>IFERROR(VLOOKUP(Proc[[#This Row],[App]],Table2[],3,0),"open")</f>
        <v>ok</v>
      </c>
      <c r="C3928" s="138" t="s">
        <v>369</v>
      </c>
      <c r="D3928" t="s">
        <v>6055</v>
      </c>
      <c r="E3928" t="s">
        <v>6059</v>
      </c>
      <c r="F3928" s="129" t="s">
        <v>6059</v>
      </c>
      <c r="G3928" s="135" t="s">
        <v>406</v>
      </c>
      <c r="H3928" s="129" t="str">
        <f>IF(Proc[[#This Row],[type]]="LFF (MDG-F)",MID(Proc[[#This Row],[Obj]],13,10),"")</f>
        <v>JP01Z03104</v>
      </c>
      <c r="J3928" s="129" t="b">
        <f>Proc[[#This Row],[Requested]]=Proc[[#This Row],[CurrentParent]]</f>
        <v>1</v>
      </c>
      <c r="K3928" s="144" t="str">
        <f>IF(Proc[[#This Row],[Author]]="Marcela Urrego",VLOOKUP(LEFT(Proc[[#This Row],[Requested]],1),Table3[#All],2,0),VLOOKUP(Proc[[#This Row],[Author]],Table4[],2,0))</f>
        <v>EL</v>
      </c>
      <c r="L3928" s="129" t="s">
        <v>4894</v>
      </c>
      <c r="M3928" s="136">
        <v>45895</v>
      </c>
      <c r="N3928" s="137"/>
      <c r="O3928" s="137"/>
      <c r="P3928" s="136" t="str">
        <f ca="1">IF(Proc[[#This Row],[DaysAgeing]]&gt;5,"yep","on track")</f>
        <v>yep</v>
      </c>
      <c r="Q3928" s="3">
        <f ca="1">IF(Proc[[#This Row],[DateClosed]]="",ABS(NETWORKDAYS(Proc[[#This Row],[DateOpened]],TODAY()))-1,ABS(NETWORKDAYS(Proc[[#This Row],[DateOpened]],Proc[[#This Row],[DateClosed]]))-1)</f>
        <v>78</v>
      </c>
      <c r="R3928" s="136" t="s">
        <v>6087</v>
      </c>
      <c r="S3928" s="129"/>
    </row>
    <row r="3929" spans="1:19">
      <c r="A3929" s="135" t="s">
        <v>6086</v>
      </c>
      <c r="B3929" s="149" t="str">
        <f>IFERROR(VLOOKUP(Proc[[#This Row],[App]],Table2[],3,0),"open")</f>
        <v>ok</v>
      </c>
      <c r="C3929" s="138" t="s">
        <v>369</v>
      </c>
      <c r="D3929" t="s">
        <v>6056</v>
      </c>
      <c r="E3929" t="s">
        <v>6059</v>
      </c>
      <c r="F3929" s="129" t="s">
        <v>6059</v>
      </c>
      <c r="G3929" s="135" t="s">
        <v>406</v>
      </c>
      <c r="H3929" s="129" t="str">
        <f>IF(Proc[[#This Row],[type]]="LFF (MDG-F)",MID(Proc[[#This Row],[Obj]],13,10),"")</f>
        <v>JP01Z03105</v>
      </c>
      <c r="J3929" s="129" t="b">
        <f>Proc[[#This Row],[Requested]]=Proc[[#This Row],[CurrentParent]]</f>
        <v>1</v>
      </c>
      <c r="K3929" s="144" t="str">
        <f>IF(Proc[[#This Row],[Author]]="Marcela Urrego",VLOOKUP(LEFT(Proc[[#This Row],[Requested]],1),Table3[#All],2,0),VLOOKUP(Proc[[#This Row],[Author]],Table4[],2,0))</f>
        <v>EL</v>
      </c>
      <c r="L3929" s="129" t="s">
        <v>4894</v>
      </c>
      <c r="M3929" s="136">
        <v>45895</v>
      </c>
      <c r="N3929" s="137"/>
      <c r="O3929" s="137"/>
      <c r="P3929" s="136" t="str">
        <f ca="1">IF(Proc[[#This Row],[DaysAgeing]]&gt;5,"yep","on track")</f>
        <v>yep</v>
      </c>
      <c r="Q3929" s="3">
        <f ca="1">IF(Proc[[#This Row],[DateClosed]]="",ABS(NETWORKDAYS(Proc[[#This Row],[DateOpened]],TODAY()))-1,ABS(NETWORKDAYS(Proc[[#This Row],[DateOpened]],Proc[[#This Row],[DateClosed]]))-1)</f>
        <v>78</v>
      </c>
      <c r="R3929" s="136" t="s">
        <v>6087</v>
      </c>
      <c r="S3929" s="129"/>
    </row>
    <row r="3930" spans="1:19">
      <c r="A3930" s="135" t="s">
        <v>6086</v>
      </c>
      <c r="B3930" s="149" t="str">
        <f>IFERROR(VLOOKUP(Proc[[#This Row],[App]],Table2[],3,0),"open")</f>
        <v>ok</v>
      </c>
      <c r="C3930" s="138" t="s">
        <v>369</v>
      </c>
      <c r="D3930" t="s">
        <v>6057</v>
      </c>
      <c r="E3930" t="s">
        <v>6059</v>
      </c>
      <c r="F3930" s="129" t="s">
        <v>6059</v>
      </c>
      <c r="G3930" s="135" t="s">
        <v>406</v>
      </c>
      <c r="H3930" s="129" t="str">
        <f>IF(Proc[[#This Row],[type]]="LFF (MDG-F)",MID(Proc[[#This Row],[Obj]],13,10),"")</f>
        <v>JP01Z03700</v>
      </c>
      <c r="J3930" s="129" t="b">
        <f>Proc[[#This Row],[Requested]]=Proc[[#This Row],[CurrentParent]]</f>
        <v>1</v>
      </c>
      <c r="K3930" s="144" t="str">
        <f>IF(Proc[[#This Row],[Author]]="Marcela Urrego",VLOOKUP(LEFT(Proc[[#This Row],[Requested]],1),Table3[#All],2,0),VLOOKUP(Proc[[#This Row],[Author]],Table4[],2,0))</f>
        <v>EL</v>
      </c>
      <c r="L3930" s="129" t="s">
        <v>4894</v>
      </c>
      <c r="M3930" s="136">
        <v>45895</v>
      </c>
      <c r="N3930" s="137"/>
      <c r="O3930" s="137"/>
      <c r="P3930" s="136" t="str">
        <f ca="1">IF(Proc[[#This Row],[DaysAgeing]]&gt;5,"yep","on track")</f>
        <v>yep</v>
      </c>
      <c r="Q3930" s="3">
        <f ca="1">IF(Proc[[#This Row],[DateClosed]]="",ABS(NETWORKDAYS(Proc[[#This Row],[DateOpened]],TODAY()))-1,ABS(NETWORKDAYS(Proc[[#This Row],[DateOpened]],Proc[[#This Row],[DateClosed]]))-1)</f>
        <v>78</v>
      </c>
      <c r="R3930" s="136" t="s">
        <v>6087</v>
      </c>
      <c r="S3930" s="129"/>
    </row>
    <row r="3931" spans="1:19">
      <c r="A3931" s="135" t="s">
        <v>6086</v>
      </c>
      <c r="B3931" s="149" t="str">
        <f>IFERROR(VLOOKUP(Proc[[#This Row],[App]],Table2[],3,0),"open")</f>
        <v>ok</v>
      </c>
      <c r="C3931" s="138" t="s">
        <v>369</v>
      </c>
      <c r="D3931" t="s">
        <v>6058</v>
      </c>
      <c r="E3931" t="s">
        <v>6059</v>
      </c>
      <c r="F3931" s="129" t="s">
        <v>6059</v>
      </c>
      <c r="G3931" s="135" t="s">
        <v>406</v>
      </c>
      <c r="H3931" s="129" t="str">
        <f>IF(Proc[[#This Row],[type]]="LFF (MDG-F)",MID(Proc[[#This Row],[Obj]],13,10),"")</f>
        <v>JP01Z03725</v>
      </c>
      <c r="J3931" s="129" t="b">
        <f>Proc[[#This Row],[Requested]]=Proc[[#This Row],[CurrentParent]]</f>
        <v>1</v>
      </c>
      <c r="K3931" s="144" t="str">
        <f>IF(Proc[[#This Row],[Author]]="Marcela Urrego",VLOOKUP(LEFT(Proc[[#This Row],[Requested]],1),Table3[#All],2,0),VLOOKUP(Proc[[#This Row],[Author]],Table4[],2,0))</f>
        <v>EL</v>
      </c>
      <c r="L3931" s="129" t="s">
        <v>4894</v>
      </c>
      <c r="M3931" s="136">
        <v>45895</v>
      </c>
      <c r="N3931" s="137"/>
      <c r="O3931" s="137"/>
      <c r="P3931" s="136" t="str">
        <f ca="1">IF(Proc[[#This Row],[DaysAgeing]]&gt;5,"yep","on track")</f>
        <v>yep</v>
      </c>
      <c r="Q3931" s="3">
        <f ca="1">IF(Proc[[#This Row],[DateClosed]]="",ABS(NETWORKDAYS(Proc[[#This Row],[DateOpened]],TODAY()))-1,ABS(NETWORKDAYS(Proc[[#This Row],[DateOpened]],Proc[[#This Row],[DateClosed]]))-1)</f>
        <v>78</v>
      </c>
      <c r="R3931" s="136" t="s">
        <v>6087</v>
      </c>
      <c r="S3931" s="129"/>
    </row>
    <row r="3932" spans="1:19">
      <c r="A3932" t="s">
        <v>6089</v>
      </c>
      <c r="B3932" s="149" t="str">
        <f>IFERROR(VLOOKUP(Proc[[#This Row],[App]],Table2[],3,0),"open")</f>
        <v>ok</v>
      </c>
      <c r="C3932" t="s">
        <v>369</v>
      </c>
      <c r="D3932" t="s">
        <v>5337</v>
      </c>
      <c r="E3932" t="s">
        <v>6088</v>
      </c>
      <c r="F3932" s="129" t="s">
        <v>6088</v>
      </c>
      <c r="G3932" t="s">
        <v>406</v>
      </c>
      <c r="H3932" s="129" t="str">
        <f>IF(Proc[[#This Row],[type]]="LFF (MDG-F)",MID(Proc[[#This Row],[Obj]],13,10),"")</f>
        <v>DE10YIT011</v>
      </c>
      <c r="J3932" s="129" t="b">
        <f>Proc[[#This Row],[Requested]]=Proc[[#This Row],[CurrentParent]]</f>
        <v>1</v>
      </c>
      <c r="K3932" s="144" t="str">
        <f>IF(Proc[[#This Row],[Author]]="Marcela Urrego",VLOOKUP(LEFT(Proc[[#This Row],[Requested]],1),Table3[#All],2,0),VLOOKUP(Proc[[#This Row],[Author]],Table4[],2,0))</f>
        <v>MGF</v>
      </c>
      <c r="L3932" s="129" t="s">
        <v>4894</v>
      </c>
      <c r="M3932" s="136">
        <v>45897</v>
      </c>
      <c r="N3932" s="137"/>
      <c r="O3932" s="137"/>
      <c r="P3932" s="136" t="str">
        <f ca="1">IF(Proc[[#This Row],[DaysAgeing]]&gt;5,"yep","on track")</f>
        <v>yep</v>
      </c>
      <c r="Q3932" s="3">
        <f ca="1">IF(Proc[[#This Row],[DateClosed]]="",ABS(NETWORKDAYS(Proc[[#This Row],[DateOpened]],TODAY()))-1,ABS(NETWORKDAYS(Proc[[#This Row],[DateOpened]],Proc[[#This Row],[DateClosed]]))-1)</f>
        <v>76</v>
      </c>
      <c r="R3932" s="136" t="s">
        <v>1459</v>
      </c>
      <c r="S3932" s="129"/>
    </row>
    <row r="3933" spans="1:19">
      <c r="A3933" s="135" t="s">
        <v>6089</v>
      </c>
      <c r="B3933" s="149" t="str">
        <f>IFERROR(VLOOKUP(Proc[[#This Row],[App]],Table2[],3,0),"open")</f>
        <v>ok</v>
      </c>
      <c r="C3933" s="138" t="s">
        <v>369</v>
      </c>
      <c r="D3933" t="s">
        <v>5336</v>
      </c>
      <c r="E3933" t="s">
        <v>6088</v>
      </c>
      <c r="F3933" s="129" t="s">
        <v>6088</v>
      </c>
      <c r="G3933" s="135" t="s">
        <v>406</v>
      </c>
      <c r="H3933" s="129" t="str">
        <f>IF(Proc[[#This Row],[type]]="LFF (MDG-F)",MID(Proc[[#This Row],[Obj]],13,10),"")</f>
        <v>DE10YIT012</v>
      </c>
      <c r="J3933" s="129" t="b">
        <f>Proc[[#This Row],[Requested]]=Proc[[#This Row],[CurrentParent]]</f>
        <v>1</v>
      </c>
      <c r="K3933" s="144" t="str">
        <f>IF(Proc[[#This Row],[Author]]="Marcela Urrego",VLOOKUP(LEFT(Proc[[#This Row],[Requested]],1),Table3[#All],2,0),VLOOKUP(Proc[[#This Row],[Author]],Table4[],2,0))</f>
        <v>MGF</v>
      </c>
      <c r="L3933" s="129" t="s">
        <v>4894</v>
      </c>
      <c r="M3933" s="136">
        <v>45897</v>
      </c>
      <c r="N3933" s="137"/>
      <c r="O3933" s="137"/>
      <c r="P3933" s="136" t="str">
        <f ca="1">IF(Proc[[#This Row],[DaysAgeing]]&gt;5,"yep","on track")</f>
        <v>yep</v>
      </c>
      <c r="Q3933" s="3">
        <f ca="1">IF(Proc[[#This Row],[DateClosed]]="",ABS(NETWORKDAYS(Proc[[#This Row],[DateOpened]],TODAY()))-1,ABS(NETWORKDAYS(Proc[[#This Row],[DateOpened]],Proc[[#This Row],[DateClosed]]))-1)</f>
        <v>76</v>
      </c>
      <c r="R3933" s="136" t="s">
        <v>1459</v>
      </c>
      <c r="S3933" s="129"/>
    </row>
    <row r="3934" spans="1:19">
      <c r="A3934" s="135" t="s">
        <v>6089</v>
      </c>
      <c r="B3934" s="149" t="str">
        <f>IFERROR(VLOOKUP(Proc[[#This Row],[App]],Table2[],3,0),"open")</f>
        <v>ok</v>
      </c>
      <c r="C3934" s="138" t="s">
        <v>369</v>
      </c>
      <c r="D3934" t="s">
        <v>5334</v>
      </c>
      <c r="E3934" t="s">
        <v>6088</v>
      </c>
      <c r="F3934" s="129" t="s">
        <v>6088</v>
      </c>
      <c r="G3934" s="135" t="s">
        <v>406</v>
      </c>
      <c r="H3934" s="129" t="str">
        <f>IF(Proc[[#This Row],[type]]="LFF (MDG-F)",MID(Proc[[#This Row],[Obj]],13,10),"")</f>
        <v>DE10YIT009</v>
      </c>
      <c r="J3934" s="129" t="b">
        <f>Proc[[#This Row],[Requested]]=Proc[[#This Row],[CurrentParent]]</f>
        <v>1</v>
      </c>
      <c r="K3934" s="144" t="str">
        <f>IF(Proc[[#This Row],[Author]]="Marcela Urrego",VLOOKUP(LEFT(Proc[[#This Row],[Requested]],1),Table3[#All],2,0),VLOOKUP(Proc[[#This Row],[Author]],Table4[],2,0))</f>
        <v>MGF</v>
      </c>
      <c r="L3934" s="129" t="s">
        <v>4894</v>
      </c>
      <c r="M3934" s="136">
        <v>45897</v>
      </c>
      <c r="N3934" s="137"/>
      <c r="O3934" s="137"/>
      <c r="P3934" s="136" t="str">
        <f ca="1">IF(Proc[[#This Row],[DaysAgeing]]&gt;5,"yep","on track")</f>
        <v>yep</v>
      </c>
      <c r="Q3934" s="3">
        <f ca="1">IF(Proc[[#This Row],[DateClosed]]="",ABS(NETWORKDAYS(Proc[[#This Row],[DateOpened]],TODAY()))-1,ABS(NETWORKDAYS(Proc[[#This Row],[DateOpened]],Proc[[#This Row],[DateClosed]]))-1)</f>
        <v>76</v>
      </c>
      <c r="R3934" s="136" t="s">
        <v>1459</v>
      </c>
      <c r="S3934" s="129"/>
    </row>
    <row r="3935" spans="1:19">
      <c r="A3935" s="135" t="s">
        <v>6089</v>
      </c>
      <c r="B3935" s="149" t="str">
        <f>IFERROR(VLOOKUP(Proc[[#This Row],[App]],Table2[],3,0),"open")</f>
        <v>ok</v>
      </c>
      <c r="C3935" s="138" t="s">
        <v>369</v>
      </c>
      <c r="D3935" t="s">
        <v>5368</v>
      </c>
      <c r="E3935" t="s">
        <v>6088</v>
      </c>
      <c r="F3935" s="129" t="s">
        <v>6088</v>
      </c>
      <c r="G3935" s="135" t="s">
        <v>406</v>
      </c>
      <c r="H3935" s="129" t="str">
        <f>IF(Proc[[#This Row],[type]]="LFF (MDG-F)",MID(Proc[[#This Row],[Obj]],13,10),"")</f>
        <v>CH65YIT001</v>
      </c>
      <c r="J3935" s="129" t="b">
        <f>Proc[[#This Row],[Requested]]=Proc[[#This Row],[CurrentParent]]</f>
        <v>1</v>
      </c>
      <c r="K3935" s="144" t="str">
        <f>IF(Proc[[#This Row],[Author]]="Marcela Urrego",VLOOKUP(LEFT(Proc[[#This Row],[Requested]],1),Table3[#All],2,0),VLOOKUP(Proc[[#This Row],[Author]],Table4[],2,0))</f>
        <v>MGF</v>
      </c>
      <c r="L3935" s="129" t="s">
        <v>4894</v>
      </c>
      <c r="M3935" s="136">
        <v>45897</v>
      </c>
      <c r="N3935" s="137"/>
      <c r="O3935" s="137"/>
      <c r="P3935" s="136" t="str">
        <f ca="1">IF(Proc[[#This Row],[DaysAgeing]]&gt;5,"yep","on track")</f>
        <v>yep</v>
      </c>
      <c r="Q3935" s="3">
        <f ca="1">IF(Proc[[#This Row],[DateClosed]]="",ABS(NETWORKDAYS(Proc[[#This Row],[DateOpened]],TODAY()))-1,ABS(NETWORKDAYS(Proc[[#This Row],[DateOpened]],Proc[[#This Row],[DateClosed]]))-1)</f>
        <v>76</v>
      </c>
      <c r="R3935" s="136" t="s">
        <v>1459</v>
      </c>
      <c r="S3935" s="129"/>
    </row>
    <row r="3936" spans="1:19">
      <c r="A3936" s="135" t="s">
        <v>6089</v>
      </c>
      <c r="B3936" s="149" t="str">
        <f>IFERROR(VLOOKUP(Proc[[#This Row],[App]],Table2[],3,0),"open")</f>
        <v>ok</v>
      </c>
      <c r="C3936" s="138" t="s">
        <v>369</v>
      </c>
      <c r="D3936" t="s">
        <v>5335</v>
      </c>
      <c r="E3936" t="s">
        <v>6088</v>
      </c>
      <c r="F3936" s="129" t="s">
        <v>6088</v>
      </c>
      <c r="G3936" s="135" t="s">
        <v>406</v>
      </c>
      <c r="H3936" s="129" t="str">
        <f>IF(Proc[[#This Row],[type]]="LFF (MDG-F)",MID(Proc[[#This Row],[Obj]],13,10),"")</f>
        <v>DE10YIT008</v>
      </c>
      <c r="J3936" s="129" t="b">
        <f>Proc[[#This Row],[Requested]]=Proc[[#This Row],[CurrentParent]]</f>
        <v>1</v>
      </c>
      <c r="K3936" s="144" t="str">
        <f>IF(Proc[[#This Row],[Author]]="Marcela Urrego",VLOOKUP(LEFT(Proc[[#This Row],[Requested]],1),Table3[#All],2,0),VLOOKUP(Proc[[#This Row],[Author]],Table4[],2,0))</f>
        <v>MGF</v>
      </c>
      <c r="L3936" s="129" t="s">
        <v>4894</v>
      </c>
      <c r="M3936" s="136">
        <v>45897</v>
      </c>
      <c r="N3936" s="137"/>
      <c r="O3936" s="137"/>
      <c r="P3936" s="136" t="str">
        <f ca="1">IF(Proc[[#This Row],[DaysAgeing]]&gt;5,"yep","on track")</f>
        <v>yep</v>
      </c>
      <c r="Q3936" s="3">
        <f ca="1">IF(Proc[[#This Row],[DateClosed]]="",ABS(NETWORKDAYS(Proc[[#This Row],[DateOpened]],TODAY()))-1,ABS(NETWORKDAYS(Proc[[#This Row],[DateOpened]],Proc[[#This Row],[DateClosed]]))-1)</f>
        <v>76</v>
      </c>
      <c r="R3936" s="136" t="s">
        <v>1459</v>
      </c>
      <c r="S3936" s="129"/>
    </row>
    <row r="3937" spans="1:19">
      <c r="A3937" t="s">
        <v>6098</v>
      </c>
      <c r="B3937" s="149" t="str">
        <f>IFERROR(VLOOKUP(Proc[[#This Row],[App]],Table2[],3,0),"open")</f>
        <v>ok</v>
      </c>
      <c r="C3937" s="138" t="s">
        <v>369</v>
      </c>
      <c r="D3937" t="s">
        <v>6090</v>
      </c>
      <c r="E3937" t="s">
        <v>496</v>
      </c>
      <c r="F3937" s="129" t="s">
        <v>496</v>
      </c>
      <c r="G3937" s="135" t="s">
        <v>406</v>
      </c>
      <c r="H3937" s="129" t="str">
        <f>IF(Proc[[#This Row],[type]]="LFF (MDG-F)",MID(Proc[[#This Row],[Obj]],13,10),"")</f>
        <v>DE10GM8401</v>
      </c>
      <c r="J3937" s="129" t="b">
        <f>Proc[[#This Row],[Requested]]=Proc[[#This Row],[CurrentParent]]</f>
        <v>1</v>
      </c>
      <c r="K3937" s="144" t="str">
        <f>IF(Proc[[#This Row],[Author]]="Marcela Urrego",VLOOKUP(LEFT(Proc[[#This Row],[Requested]],1),Table3[#All],2,0),VLOOKUP(Proc[[#This Row],[Author]],Table4[],2,0))</f>
        <v>LS</v>
      </c>
      <c r="L3937" s="129" t="s">
        <v>4894</v>
      </c>
      <c r="M3937" s="136">
        <v>45897</v>
      </c>
      <c r="N3937" s="137"/>
      <c r="O3937" s="137"/>
      <c r="P3937" s="136" t="str">
        <f ca="1">IF(Proc[[#This Row],[DaysAgeing]]&gt;5,"yep","on track")</f>
        <v>yep</v>
      </c>
      <c r="Q3937" s="3">
        <f ca="1">IF(Proc[[#This Row],[DateClosed]]="",ABS(NETWORKDAYS(Proc[[#This Row],[DateOpened]],TODAY()))-1,ABS(NETWORKDAYS(Proc[[#This Row],[DateOpened]],Proc[[#This Row],[DateClosed]]))-1)</f>
        <v>76</v>
      </c>
      <c r="R3937" s="136" t="s">
        <v>972</v>
      </c>
      <c r="S3937" s="129"/>
    </row>
    <row r="3938" spans="1:19">
      <c r="A3938" s="135" t="s">
        <v>6098</v>
      </c>
      <c r="B3938" s="149" t="str">
        <f>IFERROR(VLOOKUP(Proc[[#This Row],[App]],Table2[],3,0),"open")</f>
        <v>ok</v>
      </c>
      <c r="C3938" s="138" t="s">
        <v>369</v>
      </c>
      <c r="D3938" t="s">
        <v>6091</v>
      </c>
      <c r="E3938" t="s">
        <v>6097</v>
      </c>
      <c r="F3938" s="129" t="s">
        <v>6097</v>
      </c>
      <c r="G3938" t="s">
        <v>400</v>
      </c>
      <c r="H3938" s="129" t="str">
        <f>IF(Proc[[#This Row],[type]]="LFF (MDG-F)",MID(Proc[[#This Row],[Obj]],13,10),"")</f>
        <v/>
      </c>
      <c r="J3938" s="129" t="b">
        <f>Proc[[#This Row],[Requested]]=Proc[[#This Row],[CurrentParent]]</f>
        <v>1</v>
      </c>
      <c r="K3938" s="144" t="str">
        <f>IF(Proc[[#This Row],[Author]]="Marcela Urrego",VLOOKUP(LEFT(Proc[[#This Row],[Requested]],1),Table3[#All],2,0),VLOOKUP(Proc[[#This Row],[Author]],Table4[],2,0))</f>
        <v>LS</v>
      </c>
      <c r="L3938" s="129" t="s">
        <v>4894</v>
      </c>
      <c r="M3938" s="136">
        <v>45897</v>
      </c>
      <c r="N3938" s="137"/>
      <c r="O3938" s="137"/>
      <c r="P3938" s="136" t="str">
        <f ca="1">IF(Proc[[#This Row],[DaysAgeing]]&gt;5,"yep","on track")</f>
        <v>yep</v>
      </c>
      <c r="Q3938" s="3">
        <f ca="1">IF(Proc[[#This Row],[DateClosed]]="",ABS(NETWORKDAYS(Proc[[#This Row],[DateOpened]],TODAY()))-1,ABS(NETWORKDAYS(Proc[[#This Row],[DateOpened]],Proc[[#This Row],[DateClosed]]))-1)</f>
        <v>76</v>
      </c>
      <c r="R3938" s="136" t="s">
        <v>972</v>
      </c>
      <c r="S3938" s="129"/>
    </row>
    <row r="3939" spans="1:19">
      <c r="A3939" s="135" t="s">
        <v>6098</v>
      </c>
      <c r="B3939" s="149" t="str">
        <f>IFERROR(VLOOKUP(Proc[[#This Row],[App]],Table2[],3,0),"open")</f>
        <v>ok</v>
      </c>
      <c r="C3939" s="138" t="s">
        <v>369</v>
      </c>
      <c r="D3939" t="s">
        <v>6092</v>
      </c>
      <c r="E3939" t="s">
        <v>2813</v>
      </c>
      <c r="F3939" s="129" t="s">
        <v>2813</v>
      </c>
      <c r="G3939" s="135" t="s">
        <v>400</v>
      </c>
      <c r="H3939" s="129" t="str">
        <f>IF(Proc[[#This Row],[type]]="LFF (MDG-F)",MID(Proc[[#This Row],[Obj]],13,10),"")</f>
        <v/>
      </c>
      <c r="J3939" s="129" t="b">
        <f>Proc[[#This Row],[Requested]]=Proc[[#This Row],[CurrentParent]]</f>
        <v>1</v>
      </c>
      <c r="K3939" s="144" t="str">
        <f>IF(Proc[[#This Row],[Author]]="Marcela Urrego",VLOOKUP(LEFT(Proc[[#This Row],[Requested]],1),Table3[#All],2,0),VLOOKUP(Proc[[#This Row],[Author]],Table4[],2,0))</f>
        <v>LS</v>
      </c>
      <c r="L3939" s="129" t="s">
        <v>4894</v>
      </c>
      <c r="M3939" s="136">
        <v>45897</v>
      </c>
      <c r="N3939" s="137"/>
      <c r="O3939" s="137"/>
      <c r="P3939" s="136" t="str">
        <f ca="1">IF(Proc[[#This Row],[DaysAgeing]]&gt;5,"yep","on track")</f>
        <v>yep</v>
      </c>
      <c r="Q3939" s="3">
        <f ca="1">IF(Proc[[#This Row],[DateClosed]]="",ABS(NETWORKDAYS(Proc[[#This Row],[DateOpened]],TODAY()))-1,ABS(NETWORKDAYS(Proc[[#This Row],[DateOpened]],Proc[[#This Row],[DateClosed]]))-1)</f>
        <v>76</v>
      </c>
      <c r="R3939" s="136" t="s">
        <v>972</v>
      </c>
      <c r="S3939" s="129"/>
    </row>
    <row r="3940" spans="1:19">
      <c r="A3940" s="135" t="s">
        <v>6098</v>
      </c>
      <c r="B3940" s="149" t="str">
        <f>IFERROR(VLOOKUP(Proc[[#This Row],[App]],Table2[],3,0),"open")</f>
        <v>ok</v>
      </c>
      <c r="C3940" s="138" t="s">
        <v>369</v>
      </c>
      <c r="D3940" t="s">
        <v>6093</v>
      </c>
      <c r="E3940" t="s">
        <v>2813</v>
      </c>
      <c r="F3940" s="129" t="s">
        <v>2813</v>
      </c>
      <c r="G3940" s="135" t="s">
        <v>400</v>
      </c>
      <c r="H3940" s="129" t="str">
        <f>IF(Proc[[#This Row],[type]]="LFF (MDG-F)",MID(Proc[[#This Row],[Obj]],13,10),"")</f>
        <v/>
      </c>
      <c r="J3940" s="129" t="b">
        <f>Proc[[#This Row],[Requested]]=Proc[[#This Row],[CurrentParent]]</f>
        <v>1</v>
      </c>
      <c r="K3940" s="144" t="str">
        <f>IF(Proc[[#This Row],[Author]]="Marcela Urrego",VLOOKUP(LEFT(Proc[[#This Row],[Requested]],1),Table3[#All],2,0),VLOOKUP(Proc[[#This Row],[Author]],Table4[],2,0))</f>
        <v>LS</v>
      </c>
      <c r="L3940" s="129" t="s">
        <v>4894</v>
      </c>
      <c r="M3940" s="136">
        <v>45897</v>
      </c>
      <c r="N3940" s="137"/>
      <c r="O3940" s="137"/>
      <c r="P3940" s="136" t="str">
        <f ca="1">IF(Proc[[#This Row],[DaysAgeing]]&gt;5,"yep","on track")</f>
        <v>yep</v>
      </c>
      <c r="Q3940" s="3">
        <f ca="1">IF(Proc[[#This Row],[DateClosed]]="",ABS(NETWORKDAYS(Proc[[#This Row],[DateOpened]],TODAY()))-1,ABS(NETWORKDAYS(Proc[[#This Row],[DateOpened]],Proc[[#This Row],[DateClosed]]))-1)</f>
        <v>76</v>
      </c>
      <c r="R3940" s="136" t="s">
        <v>972</v>
      </c>
      <c r="S3940" s="129"/>
    </row>
    <row r="3941" spans="1:19">
      <c r="A3941" s="135" t="s">
        <v>6098</v>
      </c>
      <c r="B3941" s="149" t="str">
        <f>IFERROR(VLOOKUP(Proc[[#This Row],[App]],Table2[],3,0),"open")</f>
        <v>ok</v>
      </c>
      <c r="C3941" s="138" t="s">
        <v>369</v>
      </c>
      <c r="D3941" t="s">
        <v>6094</v>
      </c>
      <c r="E3941" t="s">
        <v>2813</v>
      </c>
      <c r="F3941" s="129" t="s">
        <v>2813</v>
      </c>
      <c r="G3941" s="135" t="s">
        <v>400</v>
      </c>
      <c r="H3941" s="129" t="str">
        <f>IF(Proc[[#This Row],[type]]="LFF (MDG-F)",MID(Proc[[#This Row],[Obj]],13,10),"")</f>
        <v/>
      </c>
      <c r="J3941" s="129" t="b">
        <f>Proc[[#This Row],[Requested]]=Proc[[#This Row],[CurrentParent]]</f>
        <v>1</v>
      </c>
      <c r="K3941" s="144" t="str">
        <f>IF(Proc[[#This Row],[Author]]="Marcela Urrego",VLOOKUP(LEFT(Proc[[#This Row],[Requested]],1),Table3[#All],2,0),VLOOKUP(Proc[[#This Row],[Author]],Table4[],2,0))</f>
        <v>LS</v>
      </c>
      <c r="L3941" s="129" t="s">
        <v>4894</v>
      </c>
      <c r="M3941" s="136">
        <v>45897</v>
      </c>
      <c r="N3941" s="137"/>
      <c r="O3941" s="137"/>
      <c r="P3941" s="136" t="str">
        <f ca="1">IF(Proc[[#This Row],[DaysAgeing]]&gt;5,"yep","on track")</f>
        <v>yep</v>
      </c>
      <c r="Q3941" s="3">
        <f ca="1">IF(Proc[[#This Row],[DateClosed]]="",ABS(NETWORKDAYS(Proc[[#This Row],[DateOpened]],TODAY()))-1,ABS(NETWORKDAYS(Proc[[#This Row],[DateOpened]],Proc[[#This Row],[DateClosed]]))-1)</f>
        <v>76</v>
      </c>
      <c r="R3941" s="136" t="s">
        <v>972</v>
      </c>
      <c r="S3941" s="129"/>
    </row>
    <row r="3942" spans="1:19">
      <c r="A3942" s="135" t="s">
        <v>6098</v>
      </c>
      <c r="B3942" s="149" t="str">
        <f>IFERROR(VLOOKUP(Proc[[#This Row],[App]],Table2[],3,0),"open")</f>
        <v>ok</v>
      </c>
      <c r="C3942" s="138" t="s">
        <v>369</v>
      </c>
      <c r="D3942" t="s">
        <v>6095</v>
      </c>
      <c r="E3942" t="s">
        <v>2813</v>
      </c>
      <c r="F3942" s="129" t="s">
        <v>2813</v>
      </c>
      <c r="G3942" s="135" t="s">
        <v>400</v>
      </c>
      <c r="H3942" s="129" t="str">
        <f>IF(Proc[[#This Row],[type]]="LFF (MDG-F)",MID(Proc[[#This Row],[Obj]],13,10),"")</f>
        <v/>
      </c>
      <c r="J3942" s="129" t="b">
        <f>Proc[[#This Row],[Requested]]=Proc[[#This Row],[CurrentParent]]</f>
        <v>1</v>
      </c>
      <c r="K3942" s="144" t="str">
        <f>IF(Proc[[#This Row],[Author]]="Marcela Urrego",VLOOKUP(LEFT(Proc[[#This Row],[Requested]],1),Table3[#All],2,0),VLOOKUP(Proc[[#This Row],[Author]],Table4[],2,0))</f>
        <v>LS</v>
      </c>
      <c r="L3942" s="129" t="s">
        <v>4894</v>
      </c>
      <c r="M3942" s="136">
        <v>45897</v>
      </c>
      <c r="N3942" s="137"/>
      <c r="O3942" s="137"/>
      <c r="P3942" s="136" t="str">
        <f ca="1">IF(Proc[[#This Row],[DaysAgeing]]&gt;5,"yep","on track")</f>
        <v>yep</v>
      </c>
      <c r="Q3942" s="3">
        <f ca="1">IF(Proc[[#This Row],[DateClosed]]="",ABS(NETWORKDAYS(Proc[[#This Row],[DateOpened]],TODAY()))-1,ABS(NETWORKDAYS(Proc[[#This Row],[DateOpened]],Proc[[#This Row],[DateClosed]]))-1)</f>
        <v>76</v>
      </c>
      <c r="R3942" s="136" t="s">
        <v>972</v>
      </c>
      <c r="S3942" s="129"/>
    </row>
    <row r="3943" spans="1:19">
      <c r="A3943" s="135" t="s">
        <v>6098</v>
      </c>
      <c r="B3943" s="149" t="str">
        <f>IFERROR(VLOOKUP(Proc[[#This Row],[App]],Table2[],3,0),"open")</f>
        <v>ok</v>
      </c>
      <c r="C3943" s="138" t="s">
        <v>369</v>
      </c>
      <c r="D3943" t="s">
        <v>6096</v>
      </c>
      <c r="E3943" t="s">
        <v>2813</v>
      </c>
      <c r="F3943" s="129" t="s">
        <v>2813</v>
      </c>
      <c r="G3943" s="135" t="s">
        <v>400</v>
      </c>
      <c r="H3943" s="129" t="str">
        <f>IF(Proc[[#This Row],[type]]="LFF (MDG-F)",MID(Proc[[#This Row],[Obj]],13,10),"")</f>
        <v/>
      </c>
      <c r="J3943" s="129" t="b">
        <f>Proc[[#This Row],[Requested]]=Proc[[#This Row],[CurrentParent]]</f>
        <v>1</v>
      </c>
      <c r="K3943" s="144" t="str">
        <f>IF(Proc[[#This Row],[Author]]="Marcela Urrego",VLOOKUP(LEFT(Proc[[#This Row],[Requested]],1),Table3[#All],2,0),VLOOKUP(Proc[[#This Row],[Author]],Table4[],2,0))</f>
        <v>LS</v>
      </c>
      <c r="L3943" s="129" t="s">
        <v>4894</v>
      </c>
      <c r="M3943" s="136">
        <v>45897</v>
      </c>
      <c r="N3943" s="137"/>
      <c r="O3943" s="137"/>
      <c r="P3943" s="136" t="str">
        <f ca="1">IF(Proc[[#This Row],[DaysAgeing]]&gt;5,"yep","on track")</f>
        <v>yep</v>
      </c>
      <c r="Q3943" s="3">
        <f ca="1">IF(Proc[[#This Row],[DateClosed]]="",ABS(NETWORKDAYS(Proc[[#This Row],[DateOpened]],TODAY()))-1,ABS(NETWORKDAYS(Proc[[#This Row],[DateOpened]],Proc[[#This Row],[DateClosed]]))-1)</f>
        <v>76</v>
      </c>
      <c r="R3943" s="136" t="s">
        <v>972</v>
      </c>
      <c r="S3943" s="129"/>
    </row>
    <row r="3944" spans="1:19">
      <c r="A3944" t="s">
        <v>6099</v>
      </c>
      <c r="B3944" s="149" t="str">
        <f>IFERROR(VLOOKUP(Proc[[#This Row],[App]],Table2[],3,0),"open")</f>
        <v>ok</v>
      </c>
      <c r="C3944" s="138" t="s">
        <v>369</v>
      </c>
      <c r="D3944" t="s">
        <v>6100</v>
      </c>
      <c r="E3944" t="s">
        <v>5668</v>
      </c>
      <c r="F3944" s="142" t="s">
        <v>5668</v>
      </c>
      <c r="G3944" s="138" t="s">
        <v>400</v>
      </c>
      <c r="H3944" s="129" t="str">
        <f>IF(Proc[[#This Row],[type]]="LFF (MDG-F)",MID(Proc[[#This Row],[Obj]],13,10),"")</f>
        <v/>
      </c>
      <c r="J3944" s="129" t="b">
        <f>Proc[[#This Row],[Requested]]=Proc[[#This Row],[CurrentParent]]</f>
        <v>1</v>
      </c>
      <c r="K3944" s="144" t="str">
        <f>IF(Proc[[#This Row],[Author]]="Marcela Urrego",VLOOKUP(LEFT(Proc[[#This Row],[Requested]],1),Table3[#All],2,0),VLOOKUP(Proc[[#This Row],[Author]],Table4[],2,0))</f>
        <v>MGF</v>
      </c>
      <c r="L3944" s="129" t="s">
        <v>4894</v>
      </c>
      <c r="M3944" s="136">
        <v>45897</v>
      </c>
      <c r="N3944" s="137"/>
      <c r="O3944" s="137"/>
      <c r="P3944" s="136" t="str">
        <f ca="1">IF(Proc[[#This Row],[DaysAgeing]]&gt;5,"yep","on track")</f>
        <v>yep</v>
      </c>
      <c r="Q3944" s="3">
        <f ca="1">IF(Proc[[#This Row],[DateClosed]]="",ABS(NETWORKDAYS(Proc[[#This Row],[DateOpened]],TODAY()))-1,ABS(NETWORKDAYS(Proc[[#This Row],[DateOpened]],Proc[[#This Row],[DateClosed]]))-1)</f>
        <v>76</v>
      </c>
      <c r="R3944" s="136" t="s">
        <v>515</v>
      </c>
      <c r="S3944" s="129"/>
    </row>
    <row r="3945" spans="1:19">
      <c r="A3945" s="138" t="s">
        <v>6099</v>
      </c>
      <c r="B3945" s="149" t="str">
        <f>IFERROR(VLOOKUP(Proc[[#This Row],[App]],Table2[],3,0),"open")</f>
        <v>ok</v>
      </c>
      <c r="C3945" s="138" t="s">
        <v>369</v>
      </c>
      <c r="D3945" t="s">
        <v>6101</v>
      </c>
      <c r="E3945" t="s">
        <v>5668</v>
      </c>
      <c r="F3945" s="129" t="s">
        <v>5668</v>
      </c>
      <c r="G3945" t="s">
        <v>406</v>
      </c>
      <c r="H3945" s="129" t="str">
        <f>IF(Proc[[#This Row],[type]]="LFF (MDG-F)",MID(Proc[[#This Row],[Obj]],13,10),"")</f>
        <v>NL50GPO180</v>
      </c>
      <c r="J3945" s="129" t="b">
        <f>Proc[[#This Row],[Requested]]=Proc[[#This Row],[CurrentParent]]</f>
        <v>1</v>
      </c>
      <c r="K3945" s="144" t="str">
        <f>IF(Proc[[#This Row],[Author]]="Marcela Urrego",VLOOKUP(LEFT(Proc[[#This Row],[Requested]],1),Table3[#All],2,0),VLOOKUP(Proc[[#This Row],[Author]],Table4[],2,0))</f>
        <v>MGF</v>
      </c>
      <c r="L3945" s="129" t="s">
        <v>4894</v>
      </c>
      <c r="M3945" s="136">
        <v>45897</v>
      </c>
      <c r="N3945" s="137"/>
      <c r="O3945" s="137"/>
      <c r="P3945" s="136" t="str">
        <f ca="1">IF(Proc[[#This Row],[DaysAgeing]]&gt;5,"yep","on track")</f>
        <v>yep</v>
      </c>
      <c r="Q3945" s="3">
        <f ca="1">IF(Proc[[#This Row],[DateClosed]]="",ABS(NETWORKDAYS(Proc[[#This Row],[DateOpened]],TODAY()))-1,ABS(NETWORKDAYS(Proc[[#This Row],[DateOpened]],Proc[[#This Row],[DateClosed]]))-1)</f>
        <v>76</v>
      </c>
      <c r="R3945" s="136" t="s">
        <v>515</v>
      </c>
      <c r="S3945" s="129"/>
    </row>
    <row r="3946" spans="1:19">
      <c r="A3946" s="138" t="s">
        <v>6099</v>
      </c>
      <c r="B3946" s="149" t="str">
        <f>IFERROR(VLOOKUP(Proc[[#This Row],[App]],Table2[],3,0),"open")</f>
        <v>ok</v>
      </c>
      <c r="C3946" s="142" t="s">
        <v>369</v>
      </c>
      <c r="D3946" t="s">
        <v>6102</v>
      </c>
      <c r="E3946" t="s">
        <v>5668</v>
      </c>
      <c r="F3946" s="142" t="s">
        <v>5668</v>
      </c>
      <c r="G3946" s="138" t="s">
        <v>400</v>
      </c>
      <c r="H3946" s="129" t="str">
        <f>IF(Proc[[#This Row],[type]]="LFF (MDG-F)",MID(Proc[[#This Row],[Obj]],13,10),"")</f>
        <v/>
      </c>
      <c r="J3946" s="129" t="b">
        <f>Proc[[#This Row],[Requested]]=Proc[[#This Row],[CurrentParent]]</f>
        <v>1</v>
      </c>
      <c r="K3946" s="144" t="str">
        <f>IF(Proc[[#This Row],[Author]]="Marcela Urrego",VLOOKUP(LEFT(Proc[[#This Row],[Requested]],1),Table3[#All],2,0),VLOOKUP(Proc[[#This Row],[Author]],Table4[],2,0))</f>
        <v>MGF</v>
      </c>
      <c r="L3946" s="129" t="s">
        <v>4894</v>
      </c>
      <c r="M3946" s="136">
        <v>45897</v>
      </c>
      <c r="N3946" s="137"/>
      <c r="O3946" s="137"/>
      <c r="P3946" s="136" t="str">
        <f ca="1">IF(Proc[[#This Row],[DaysAgeing]]&gt;5,"yep","on track")</f>
        <v>yep</v>
      </c>
      <c r="Q3946" s="3">
        <f ca="1">IF(Proc[[#This Row],[DateClosed]]="",ABS(NETWORKDAYS(Proc[[#This Row],[DateOpened]],TODAY()))-1,ABS(NETWORKDAYS(Proc[[#This Row],[DateOpened]],Proc[[#This Row],[DateClosed]]))-1)</f>
        <v>76</v>
      </c>
      <c r="R3946" s="136" t="s">
        <v>515</v>
      </c>
      <c r="S3946" s="129"/>
    </row>
    <row r="3947" spans="1:19">
      <c r="A3947" t="s">
        <v>6105</v>
      </c>
      <c r="B3947" s="149" t="str">
        <f>IFERROR(VLOOKUP(Proc[[#This Row],[App]],Table2[],3,0),"open")</f>
        <v>ok</v>
      </c>
      <c r="C3947" s="149" t="s">
        <v>369</v>
      </c>
      <c r="D3947" s="138" t="s">
        <v>5953</v>
      </c>
      <c r="E3947" s="138" t="s">
        <v>6063</v>
      </c>
      <c r="F3947" s="150" t="s">
        <v>6063</v>
      </c>
      <c r="G3947" t="s">
        <v>406</v>
      </c>
      <c r="H3947" s="129" t="str">
        <f>IF(Proc[[#This Row],[type]]="LFF (MDG-F)",MID(Proc[[#This Row],[Obj]],13,10),"")</f>
        <v>JP01C0M825</v>
      </c>
      <c r="J3947" s="129" t="b">
        <f>Proc[[#This Row],[Requested]]=Proc[[#This Row],[CurrentParent]]</f>
        <v>1</v>
      </c>
      <c r="K3947" s="144" t="str">
        <f>IF(Proc[[#This Row],[Author]]="Marcela Urrego",VLOOKUP(LEFT(Proc[[#This Row],[Requested]],1),Table3[#All],2,0),VLOOKUP(Proc[[#This Row],[Author]],Table4[],2,0))</f>
        <v>EL</v>
      </c>
      <c r="L3947" s="129" t="s">
        <v>4894</v>
      </c>
      <c r="M3947" s="136">
        <v>45897</v>
      </c>
      <c r="N3947" s="137"/>
      <c r="O3947" s="137"/>
      <c r="P3947" s="136" t="str">
        <f ca="1">IF(Proc[[#This Row],[DaysAgeing]]&gt;5,"yep","on track")</f>
        <v>yep</v>
      </c>
      <c r="Q3947" s="3">
        <f ca="1">IF(Proc[[#This Row],[DateClosed]]="",ABS(NETWORKDAYS(Proc[[#This Row],[DateOpened]],TODAY()))-1,ABS(NETWORKDAYS(Proc[[#This Row],[DateOpened]],Proc[[#This Row],[DateClosed]]))-1)</f>
        <v>76</v>
      </c>
      <c r="R3947" s="136" t="s">
        <v>6087</v>
      </c>
      <c r="S3947" s="129"/>
    </row>
    <row r="3948" spans="1:19">
      <c r="A3948" t="s">
        <v>6106</v>
      </c>
      <c r="B3948" s="149" t="str">
        <f>IFERROR(VLOOKUP(Proc[[#This Row],[App]],Table2[],3,0),"open")</f>
        <v>ok</v>
      </c>
      <c r="C3948" s="138" t="s">
        <v>369</v>
      </c>
      <c r="D3948" t="s">
        <v>6107</v>
      </c>
      <c r="E3948" t="s">
        <v>555</v>
      </c>
      <c r="F3948" s="129" t="s">
        <v>555</v>
      </c>
      <c r="G3948" s="138" t="s">
        <v>400</v>
      </c>
      <c r="H3948" s="129" t="str">
        <f>IF(Proc[[#This Row],[type]]="LFF (MDG-F)",MID(Proc[[#This Row],[Obj]],13,10),"")</f>
        <v/>
      </c>
      <c r="J3948" s="129" t="b">
        <f>Proc[[#This Row],[Requested]]=Proc[[#This Row],[CurrentParent]]</f>
        <v>1</v>
      </c>
      <c r="K3948" s="144" t="str">
        <f>IF(Proc[[#This Row],[Author]]="Marcela Urrego",VLOOKUP(LEFT(Proc[[#This Row],[Requested]],1),Table3[#All],2,0),VLOOKUP(Proc[[#This Row],[Author]],Table4[],2,0))</f>
        <v>HC</v>
      </c>
      <c r="L3948" s="129" t="s">
        <v>4894</v>
      </c>
      <c r="M3948" s="136">
        <v>45898</v>
      </c>
      <c r="N3948" s="137"/>
      <c r="O3948" s="137"/>
      <c r="P3948" s="136" t="str">
        <f ca="1">IF(Proc[[#This Row],[DaysAgeing]]&gt;5,"yep","on track")</f>
        <v>yep</v>
      </c>
      <c r="Q3948" s="3">
        <f ca="1">IF(Proc[[#This Row],[DateClosed]]="",ABS(NETWORKDAYS(Proc[[#This Row],[DateOpened]],TODAY()))-1,ABS(NETWORKDAYS(Proc[[#This Row],[DateOpened]],Proc[[#This Row],[DateClosed]]))-1)</f>
        <v>75</v>
      </c>
      <c r="R3948" s="136" t="s">
        <v>1013</v>
      </c>
      <c r="S3948" s="129"/>
    </row>
    <row r="3949" spans="1:19">
      <c r="A3949" s="138" t="s">
        <v>6106</v>
      </c>
      <c r="B3949" s="149" t="str">
        <f>IFERROR(VLOOKUP(Proc[[#This Row],[App]],Table2[],3,0),"open")</f>
        <v>ok</v>
      </c>
      <c r="C3949" s="138" t="s">
        <v>369</v>
      </c>
      <c r="D3949" t="s">
        <v>6108</v>
      </c>
      <c r="E3949" t="s">
        <v>555</v>
      </c>
      <c r="F3949" s="129" t="s">
        <v>555</v>
      </c>
      <c r="G3949" s="138" t="s">
        <v>400</v>
      </c>
      <c r="H3949" s="129" t="str">
        <f>IF(Proc[[#This Row],[type]]="LFF (MDG-F)",MID(Proc[[#This Row],[Obj]],13,10),"")</f>
        <v/>
      </c>
      <c r="J3949" s="129" t="b">
        <f>Proc[[#This Row],[Requested]]=Proc[[#This Row],[CurrentParent]]</f>
        <v>1</v>
      </c>
      <c r="K3949" s="144" t="str">
        <f>IF(Proc[[#This Row],[Author]]="Marcela Urrego",VLOOKUP(LEFT(Proc[[#This Row],[Requested]],1),Table3[#All],2,0),VLOOKUP(Proc[[#This Row],[Author]],Table4[],2,0))</f>
        <v>HC</v>
      </c>
      <c r="L3949" s="129" t="s">
        <v>4894</v>
      </c>
      <c r="M3949" s="136">
        <v>45898</v>
      </c>
      <c r="N3949" s="137"/>
      <c r="O3949" s="137"/>
      <c r="P3949" s="136" t="str">
        <f ca="1">IF(Proc[[#This Row],[DaysAgeing]]&gt;5,"yep","on track")</f>
        <v>yep</v>
      </c>
      <c r="Q3949" s="3">
        <f ca="1">IF(Proc[[#This Row],[DateClosed]]="",ABS(NETWORKDAYS(Proc[[#This Row],[DateOpened]],TODAY()))-1,ABS(NETWORKDAYS(Proc[[#This Row],[DateOpened]],Proc[[#This Row],[DateClosed]]))-1)</f>
        <v>75</v>
      </c>
      <c r="R3949" s="136" t="s">
        <v>1013</v>
      </c>
      <c r="S3949" s="129"/>
    </row>
    <row r="3950" spans="1:19">
      <c r="A3950" s="138" t="s">
        <v>6106</v>
      </c>
      <c r="B3950" s="149" t="str">
        <f>IFERROR(VLOOKUP(Proc[[#This Row],[App]],Table2[],3,0),"open")</f>
        <v>ok</v>
      </c>
      <c r="C3950" s="138" t="s">
        <v>369</v>
      </c>
      <c r="D3950" t="s">
        <v>6109</v>
      </c>
      <c r="E3950" t="s">
        <v>1012</v>
      </c>
      <c r="F3950" s="129" t="s">
        <v>1012</v>
      </c>
      <c r="G3950" s="138" t="s">
        <v>400</v>
      </c>
      <c r="H3950" s="129" t="str">
        <f>IF(Proc[[#This Row],[type]]="LFF (MDG-F)",MID(Proc[[#This Row],[Obj]],13,10),"")</f>
        <v/>
      </c>
      <c r="J3950" s="129" t="b">
        <f>Proc[[#This Row],[Requested]]=Proc[[#This Row],[CurrentParent]]</f>
        <v>1</v>
      </c>
      <c r="K3950" s="144" t="str">
        <f>IF(Proc[[#This Row],[Author]]="Marcela Urrego",VLOOKUP(LEFT(Proc[[#This Row],[Requested]],1),Table3[#All],2,0),VLOOKUP(Proc[[#This Row],[Author]],Table4[],2,0))</f>
        <v>HC</v>
      </c>
      <c r="L3950" s="129" t="s">
        <v>4894</v>
      </c>
      <c r="M3950" s="136">
        <v>45898</v>
      </c>
      <c r="N3950" s="137"/>
      <c r="O3950" s="137"/>
      <c r="P3950" s="136" t="str">
        <f ca="1">IF(Proc[[#This Row],[DaysAgeing]]&gt;5,"yep","on track")</f>
        <v>yep</v>
      </c>
      <c r="Q3950" s="3">
        <f ca="1">IF(Proc[[#This Row],[DateClosed]]="",ABS(NETWORKDAYS(Proc[[#This Row],[DateOpened]],TODAY()))-1,ABS(NETWORKDAYS(Proc[[#This Row],[DateOpened]],Proc[[#This Row],[DateClosed]]))-1)</f>
        <v>75</v>
      </c>
      <c r="R3950" s="136" t="s">
        <v>1013</v>
      </c>
      <c r="S3950" s="129"/>
    </row>
    <row r="3951" spans="1:19">
      <c r="A3951" s="138" t="s">
        <v>6106</v>
      </c>
      <c r="B3951" s="149" t="str">
        <f>IFERROR(VLOOKUP(Proc[[#This Row],[App]],Table2[],3,0),"open")</f>
        <v>ok</v>
      </c>
      <c r="C3951" s="138" t="s">
        <v>369</v>
      </c>
      <c r="D3951" t="s">
        <v>6110</v>
      </c>
      <c r="E3951" t="s">
        <v>555</v>
      </c>
      <c r="F3951" s="129" t="s">
        <v>555</v>
      </c>
      <c r="G3951" s="138" t="s">
        <v>400</v>
      </c>
      <c r="H3951" s="129" t="str">
        <f>IF(Proc[[#This Row],[type]]="LFF (MDG-F)",MID(Proc[[#This Row],[Obj]],13,10),"")</f>
        <v/>
      </c>
      <c r="J3951" s="129" t="b">
        <f>Proc[[#This Row],[Requested]]=Proc[[#This Row],[CurrentParent]]</f>
        <v>1</v>
      </c>
      <c r="K3951" s="144" t="str">
        <f>IF(Proc[[#This Row],[Author]]="Marcela Urrego",VLOOKUP(LEFT(Proc[[#This Row],[Requested]],1),Table3[#All],2,0),VLOOKUP(Proc[[#This Row],[Author]],Table4[],2,0))</f>
        <v>HC</v>
      </c>
      <c r="L3951" s="129" t="s">
        <v>4894</v>
      </c>
      <c r="M3951" s="136">
        <v>45898</v>
      </c>
      <c r="N3951" s="137"/>
      <c r="O3951" s="137"/>
      <c r="P3951" s="136" t="str">
        <f ca="1">IF(Proc[[#This Row],[DaysAgeing]]&gt;5,"yep","on track")</f>
        <v>yep</v>
      </c>
      <c r="Q3951" s="3">
        <f ca="1">IF(Proc[[#This Row],[DateClosed]]="",ABS(NETWORKDAYS(Proc[[#This Row],[DateOpened]],TODAY()))-1,ABS(NETWORKDAYS(Proc[[#This Row],[DateOpened]],Proc[[#This Row],[DateClosed]]))-1)</f>
        <v>75</v>
      </c>
      <c r="R3951" s="136" t="s">
        <v>1013</v>
      </c>
      <c r="S3951" s="129"/>
    </row>
    <row r="3952" spans="1:19">
      <c r="A3952" s="138" t="s">
        <v>6106</v>
      </c>
      <c r="B3952" s="149" t="str">
        <f>IFERROR(VLOOKUP(Proc[[#This Row],[App]],Table2[],3,0),"open")</f>
        <v>ok</v>
      </c>
      <c r="C3952" s="138" t="s">
        <v>369</v>
      </c>
      <c r="D3952" t="s">
        <v>6111</v>
      </c>
      <c r="E3952" t="s">
        <v>1012</v>
      </c>
      <c r="F3952" s="129" t="s">
        <v>1012</v>
      </c>
      <c r="G3952" s="138" t="s">
        <v>400</v>
      </c>
      <c r="H3952" s="129" t="str">
        <f>IF(Proc[[#This Row],[type]]="LFF (MDG-F)",MID(Proc[[#This Row],[Obj]],13,10),"")</f>
        <v/>
      </c>
      <c r="J3952" s="129" t="b">
        <f>Proc[[#This Row],[Requested]]=Proc[[#This Row],[CurrentParent]]</f>
        <v>1</v>
      </c>
      <c r="K3952" s="144" t="str">
        <f>IF(Proc[[#This Row],[Author]]="Marcela Urrego",VLOOKUP(LEFT(Proc[[#This Row],[Requested]],1),Table3[#All],2,0),VLOOKUP(Proc[[#This Row],[Author]],Table4[],2,0))</f>
        <v>HC</v>
      </c>
      <c r="L3952" s="129" t="s">
        <v>4894</v>
      </c>
      <c r="M3952" s="136">
        <v>45898</v>
      </c>
      <c r="N3952" s="137"/>
      <c r="O3952" s="137"/>
      <c r="P3952" s="136" t="str">
        <f ca="1">IF(Proc[[#This Row],[DaysAgeing]]&gt;5,"yep","on track")</f>
        <v>yep</v>
      </c>
      <c r="Q3952" s="3">
        <f ca="1">IF(Proc[[#This Row],[DateClosed]]="",ABS(NETWORKDAYS(Proc[[#This Row],[DateOpened]],TODAY()))-1,ABS(NETWORKDAYS(Proc[[#This Row],[DateOpened]],Proc[[#This Row],[DateClosed]]))-1)</f>
        <v>75</v>
      </c>
      <c r="R3952" s="136" t="s">
        <v>1013</v>
      </c>
      <c r="S3952" s="129"/>
    </row>
    <row r="3953" spans="1:19">
      <c r="A3953" s="138" t="s">
        <v>6106</v>
      </c>
      <c r="B3953" s="149" t="str">
        <f>IFERROR(VLOOKUP(Proc[[#This Row],[App]],Table2[],3,0),"open")</f>
        <v>ok</v>
      </c>
      <c r="C3953" s="138" t="s">
        <v>369</v>
      </c>
      <c r="D3953" t="s">
        <v>6112</v>
      </c>
      <c r="E3953" t="s">
        <v>555</v>
      </c>
      <c r="F3953" s="129" t="s">
        <v>555</v>
      </c>
      <c r="G3953" s="138" t="s">
        <v>400</v>
      </c>
      <c r="H3953" s="129" t="str">
        <f>IF(Proc[[#This Row],[type]]="LFF (MDG-F)",MID(Proc[[#This Row],[Obj]],13,10),"")</f>
        <v/>
      </c>
      <c r="J3953" s="129" t="b">
        <f>Proc[[#This Row],[Requested]]=Proc[[#This Row],[CurrentParent]]</f>
        <v>1</v>
      </c>
      <c r="K3953" s="144" t="str">
        <f>IF(Proc[[#This Row],[Author]]="Marcela Urrego",VLOOKUP(LEFT(Proc[[#This Row],[Requested]],1),Table3[#All],2,0),VLOOKUP(Proc[[#This Row],[Author]],Table4[],2,0))</f>
        <v>HC</v>
      </c>
      <c r="L3953" s="129" t="s">
        <v>4894</v>
      </c>
      <c r="M3953" s="136">
        <v>45898</v>
      </c>
      <c r="N3953" s="137"/>
      <c r="O3953" s="137"/>
      <c r="P3953" s="136" t="str">
        <f ca="1">IF(Proc[[#This Row],[DaysAgeing]]&gt;5,"yep","on track")</f>
        <v>yep</v>
      </c>
      <c r="Q3953" s="3">
        <f ca="1">IF(Proc[[#This Row],[DateClosed]]="",ABS(NETWORKDAYS(Proc[[#This Row],[DateOpened]],TODAY()))-1,ABS(NETWORKDAYS(Proc[[#This Row],[DateOpened]],Proc[[#This Row],[DateClosed]]))-1)</f>
        <v>75</v>
      </c>
      <c r="R3953" s="136" t="s">
        <v>1013</v>
      </c>
      <c r="S3953" s="129"/>
    </row>
    <row r="3954" spans="1:19">
      <c r="A3954" s="138" t="s">
        <v>6106</v>
      </c>
      <c r="B3954" s="149" t="str">
        <f>IFERROR(VLOOKUP(Proc[[#This Row],[App]],Table2[],3,0),"open")</f>
        <v>ok</v>
      </c>
      <c r="C3954" s="138" t="s">
        <v>369</v>
      </c>
      <c r="D3954" t="s">
        <v>6113</v>
      </c>
      <c r="E3954" t="s">
        <v>555</v>
      </c>
      <c r="F3954" s="129" t="s">
        <v>555</v>
      </c>
      <c r="G3954" s="138" t="s">
        <v>400</v>
      </c>
      <c r="H3954" s="129" t="str">
        <f>IF(Proc[[#This Row],[type]]="LFF (MDG-F)",MID(Proc[[#This Row],[Obj]],13,10),"")</f>
        <v/>
      </c>
      <c r="J3954" s="129" t="b">
        <f>Proc[[#This Row],[Requested]]=Proc[[#This Row],[CurrentParent]]</f>
        <v>1</v>
      </c>
      <c r="K3954" s="144" t="str">
        <f>IF(Proc[[#This Row],[Author]]="Marcela Urrego",VLOOKUP(LEFT(Proc[[#This Row],[Requested]],1),Table3[#All],2,0),VLOOKUP(Proc[[#This Row],[Author]],Table4[],2,0))</f>
        <v>HC</v>
      </c>
      <c r="L3954" s="129" t="s">
        <v>4894</v>
      </c>
      <c r="M3954" s="136">
        <v>45898</v>
      </c>
      <c r="N3954" s="137"/>
      <c r="O3954" s="137"/>
      <c r="P3954" s="136" t="str">
        <f ca="1">IF(Proc[[#This Row],[DaysAgeing]]&gt;5,"yep","on track")</f>
        <v>yep</v>
      </c>
      <c r="Q3954" s="3">
        <f ca="1">IF(Proc[[#This Row],[DateClosed]]="",ABS(NETWORKDAYS(Proc[[#This Row],[DateOpened]],TODAY()))-1,ABS(NETWORKDAYS(Proc[[#This Row],[DateOpened]],Proc[[#This Row],[DateClosed]]))-1)</f>
        <v>75</v>
      </c>
      <c r="R3954" s="136" t="s">
        <v>1013</v>
      </c>
      <c r="S3954" s="129"/>
    </row>
    <row r="3955" spans="1:19">
      <c r="A3955" s="138" t="s">
        <v>6106</v>
      </c>
      <c r="B3955" s="149" t="str">
        <f>IFERROR(VLOOKUP(Proc[[#This Row],[App]],Table2[],3,0),"open")</f>
        <v>ok</v>
      </c>
      <c r="C3955" s="138" t="s">
        <v>369</v>
      </c>
      <c r="D3955" t="s">
        <v>6114</v>
      </c>
      <c r="E3955" t="s">
        <v>1012</v>
      </c>
      <c r="F3955" s="129" t="s">
        <v>1012</v>
      </c>
      <c r="G3955" s="138" t="s">
        <v>400</v>
      </c>
      <c r="H3955" s="129" t="str">
        <f>IF(Proc[[#This Row],[type]]="LFF (MDG-F)",MID(Proc[[#This Row],[Obj]],13,10),"")</f>
        <v/>
      </c>
      <c r="J3955" s="129" t="b">
        <f>Proc[[#This Row],[Requested]]=Proc[[#This Row],[CurrentParent]]</f>
        <v>1</v>
      </c>
      <c r="K3955" s="144" t="str">
        <f>IF(Proc[[#This Row],[Author]]="Marcela Urrego",VLOOKUP(LEFT(Proc[[#This Row],[Requested]],1),Table3[#All],2,0),VLOOKUP(Proc[[#This Row],[Author]],Table4[],2,0))</f>
        <v>HC</v>
      </c>
      <c r="L3955" s="129" t="s">
        <v>4894</v>
      </c>
      <c r="M3955" s="136">
        <v>45898</v>
      </c>
      <c r="N3955" s="137"/>
      <c r="O3955" s="137"/>
      <c r="P3955" s="136" t="str">
        <f ca="1">IF(Proc[[#This Row],[DaysAgeing]]&gt;5,"yep","on track")</f>
        <v>yep</v>
      </c>
      <c r="Q3955" s="3">
        <f ca="1">IF(Proc[[#This Row],[DateClosed]]="",ABS(NETWORKDAYS(Proc[[#This Row],[DateOpened]],TODAY()))-1,ABS(NETWORKDAYS(Proc[[#This Row],[DateOpened]],Proc[[#This Row],[DateClosed]]))-1)</f>
        <v>75</v>
      </c>
      <c r="R3955" s="136" t="s">
        <v>1013</v>
      </c>
      <c r="S3955" s="129"/>
    </row>
    <row r="3956" spans="1:19">
      <c r="A3956" s="138" t="s">
        <v>6106</v>
      </c>
      <c r="B3956" s="149" t="str">
        <f>IFERROR(VLOOKUP(Proc[[#This Row],[App]],Table2[],3,0),"open")</f>
        <v>ok</v>
      </c>
      <c r="C3956" s="138" t="s">
        <v>369</v>
      </c>
      <c r="D3956" t="s">
        <v>6115</v>
      </c>
      <c r="E3956" t="s">
        <v>556</v>
      </c>
      <c r="F3956" s="129" t="s">
        <v>556</v>
      </c>
      <c r="G3956" s="138" t="s">
        <v>400</v>
      </c>
      <c r="H3956" s="129" t="str">
        <f>IF(Proc[[#This Row],[type]]="LFF (MDG-F)",MID(Proc[[#This Row],[Obj]],13,10),"")</f>
        <v/>
      </c>
      <c r="J3956" s="129" t="b">
        <f>Proc[[#This Row],[Requested]]=Proc[[#This Row],[CurrentParent]]</f>
        <v>1</v>
      </c>
      <c r="K3956" s="144" t="str">
        <f>IF(Proc[[#This Row],[Author]]="Marcela Urrego",VLOOKUP(LEFT(Proc[[#This Row],[Requested]],1),Table3[#All],2,0),VLOOKUP(Proc[[#This Row],[Author]],Table4[],2,0))</f>
        <v>HC</v>
      </c>
      <c r="L3956" s="129" t="s">
        <v>4894</v>
      </c>
      <c r="M3956" s="136">
        <v>45898</v>
      </c>
      <c r="N3956" s="137"/>
      <c r="O3956" s="137"/>
      <c r="P3956" s="136" t="str">
        <f ca="1">IF(Proc[[#This Row],[DaysAgeing]]&gt;5,"yep","on track")</f>
        <v>yep</v>
      </c>
      <c r="Q3956" s="3">
        <f ca="1">IF(Proc[[#This Row],[DateClosed]]="",ABS(NETWORKDAYS(Proc[[#This Row],[DateOpened]],TODAY()))-1,ABS(NETWORKDAYS(Proc[[#This Row],[DateOpened]],Proc[[#This Row],[DateClosed]]))-1)</f>
        <v>75</v>
      </c>
      <c r="R3956" s="136" t="s">
        <v>1013</v>
      </c>
      <c r="S3956" s="129"/>
    </row>
    <row r="3957" spans="1:19">
      <c r="A3957" s="138" t="s">
        <v>6106</v>
      </c>
      <c r="B3957" s="149" t="str">
        <f>IFERROR(VLOOKUP(Proc[[#This Row],[App]],Table2[],3,0),"open")</f>
        <v>ok</v>
      </c>
      <c r="C3957" s="138" t="s">
        <v>369</v>
      </c>
      <c r="D3957" t="s">
        <v>6116</v>
      </c>
      <c r="E3957" t="s">
        <v>1012</v>
      </c>
      <c r="F3957" s="129" t="s">
        <v>1012</v>
      </c>
      <c r="G3957" s="138" t="s">
        <v>400</v>
      </c>
      <c r="H3957" s="129" t="str">
        <f>IF(Proc[[#This Row],[type]]="LFF (MDG-F)",MID(Proc[[#This Row],[Obj]],13,10),"")</f>
        <v/>
      </c>
      <c r="J3957" s="129" t="b">
        <f>Proc[[#This Row],[Requested]]=Proc[[#This Row],[CurrentParent]]</f>
        <v>1</v>
      </c>
      <c r="K3957" s="144" t="str">
        <f>IF(Proc[[#This Row],[Author]]="Marcela Urrego",VLOOKUP(LEFT(Proc[[#This Row],[Requested]],1),Table3[#All],2,0),VLOOKUP(Proc[[#This Row],[Author]],Table4[],2,0))</f>
        <v>HC</v>
      </c>
      <c r="L3957" s="129" t="s">
        <v>4894</v>
      </c>
      <c r="M3957" s="136">
        <v>45898</v>
      </c>
      <c r="N3957" s="137"/>
      <c r="O3957" s="137"/>
      <c r="P3957" s="136" t="str">
        <f ca="1">IF(Proc[[#This Row],[DaysAgeing]]&gt;5,"yep","on track")</f>
        <v>yep</v>
      </c>
      <c r="Q3957" s="3">
        <f ca="1">IF(Proc[[#This Row],[DateClosed]]="",ABS(NETWORKDAYS(Proc[[#This Row],[DateOpened]],TODAY()))-1,ABS(NETWORKDAYS(Proc[[#This Row],[DateOpened]],Proc[[#This Row],[DateClosed]]))-1)</f>
        <v>75</v>
      </c>
      <c r="R3957" s="136" t="s">
        <v>1013</v>
      </c>
      <c r="S3957" s="129"/>
    </row>
    <row r="3958" spans="1:19">
      <c r="A3958" s="138" t="s">
        <v>6106</v>
      </c>
      <c r="B3958" s="149" t="str">
        <f>IFERROR(VLOOKUP(Proc[[#This Row],[App]],Table2[],3,0),"open")</f>
        <v>ok</v>
      </c>
      <c r="C3958" s="138" t="s">
        <v>369</v>
      </c>
      <c r="D3958" t="s">
        <v>6117</v>
      </c>
      <c r="E3958" t="s">
        <v>1012</v>
      </c>
      <c r="F3958" s="129" t="s">
        <v>1012</v>
      </c>
      <c r="G3958" s="138" t="s">
        <v>400</v>
      </c>
      <c r="H3958" s="129" t="str">
        <f>IF(Proc[[#This Row],[type]]="LFF (MDG-F)",MID(Proc[[#This Row],[Obj]],13,10),"")</f>
        <v/>
      </c>
      <c r="J3958" s="129" t="b">
        <f>Proc[[#This Row],[Requested]]=Proc[[#This Row],[CurrentParent]]</f>
        <v>1</v>
      </c>
      <c r="K3958" s="144" t="str">
        <f>IF(Proc[[#This Row],[Author]]="Marcela Urrego",VLOOKUP(LEFT(Proc[[#This Row],[Requested]],1),Table3[#All],2,0),VLOOKUP(Proc[[#This Row],[Author]],Table4[],2,0))</f>
        <v>HC</v>
      </c>
      <c r="L3958" s="129" t="s">
        <v>4894</v>
      </c>
      <c r="M3958" s="136">
        <v>45898</v>
      </c>
      <c r="N3958" s="137"/>
      <c r="O3958" s="137"/>
      <c r="P3958" s="136" t="str">
        <f ca="1">IF(Proc[[#This Row],[DaysAgeing]]&gt;5,"yep","on track")</f>
        <v>yep</v>
      </c>
      <c r="Q3958" s="3">
        <f ca="1">IF(Proc[[#This Row],[DateClosed]]="",ABS(NETWORKDAYS(Proc[[#This Row],[DateOpened]],TODAY()))-1,ABS(NETWORKDAYS(Proc[[#This Row],[DateOpened]],Proc[[#This Row],[DateClosed]]))-1)</f>
        <v>75</v>
      </c>
      <c r="R3958" s="136" t="s">
        <v>1013</v>
      </c>
      <c r="S3958" s="129"/>
    </row>
    <row r="3959" spans="1:19">
      <c r="A3959" s="138" t="s">
        <v>6106</v>
      </c>
      <c r="B3959" s="149" t="str">
        <f>IFERROR(VLOOKUP(Proc[[#This Row],[App]],Table2[],3,0),"open")</f>
        <v>ok</v>
      </c>
      <c r="C3959" s="138" t="s">
        <v>369</v>
      </c>
      <c r="D3959" t="s">
        <v>6118</v>
      </c>
      <c r="E3959" t="s">
        <v>1012</v>
      </c>
      <c r="F3959" s="129" t="s">
        <v>1012</v>
      </c>
      <c r="G3959" s="138" t="s">
        <v>400</v>
      </c>
      <c r="H3959" s="129" t="str">
        <f>IF(Proc[[#This Row],[type]]="LFF (MDG-F)",MID(Proc[[#This Row],[Obj]],13,10),"")</f>
        <v/>
      </c>
      <c r="J3959" s="129" t="b">
        <f>Proc[[#This Row],[Requested]]=Proc[[#This Row],[CurrentParent]]</f>
        <v>1</v>
      </c>
      <c r="K3959" s="144" t="str">
        <f>IF(Proc[[#This Row],[Author]]="Marcela Urrego",VLOOKUP(LEFT(Proc[[#This Row],[Requested]],1),Table3[#All],2,0),VLOOKUP(Proc[[#This Row],[Author]],Table4[],2,0))</f>
        <v>HC</v>
      </c>
      <c r="L3959" s="129" t="s">
        <v>4894</v>
      </c>
      <c r="M3959" s="136">
        <v>45898</v>
      </c>
      <c r="N3959" s="137"/>
      <c r="O3959" s="137"/>
      <c r="P3959" s="136" t="str">
        <f ca="1">IF(Proc[[#This Row],[DaysAgeing]]&gt;5,"yep","on track")</f>
        <v>yep</v>
      </c>
      <c r="Q3959" s="3">
        <f ca="1">IF(Proc[[#This Row],[DateClosed]]="",ABS(NETWORKDAYS(Proc[[#This Row],[DateOpened]],TODAY()))-1,ABS(NETWORKDAYS(Proc[[#This Row],[DateOpened]],Proc[[#This Row],[DateClosed]]))-1)</f>
        <v>75</v>
      </c>
      <c r="R3959" s="136" t="s">
        <v>1013</v>
      </c>
      <c r="S3959" s="129"/>
    </row>
    <row r="3960" spans="1:19">
      <c r="A3960" s="138" t="s">
        <v>6106</v>
      </c>
      <c r="B3960" s="149" t="str">
        <f>IFERROR(VLOOKUP(Proc[[#This Row],[App]],Table2[],3,0),"open")</f>
        <v>ok</v>
      </c>
      <c r="C3960" s="138" t="s">
        <v>369</v>
      </c>
      <c r="D3960" t="s">
        <v>6119</v>
      </c>
      <c r="E3960" t="s">
        <v>555</v>
      </c>
      <c r="F3960" s="129" t="s">
        <v>555</v>
      </c>
      <c r="G3960" s="138" t="s">
        <v>400</v>
      </c>
      <c r="H3960" s="129" t="str">
        <f>IF(Proc[[#This Row],[type]]="LFF (MDG-F)",MID(Proc[[#This Row],[Obj]],13,10),"")</f>
        <v/>
      </c>
      <c r="J3960" s="129" t="b">
        <f>Proc[[#This Row],[Requested]]=Proc[[#This Row],[CurrentParent]]</f>
        <v>1</v>
      </c>
      <c r="K3960" s="144" t="str">
        <f>IF(Proc[[#This Row],[Author]]="Marcela Urrego",VLOOKUP(LEFT(Proc[[#This Row],[Requested]],1),Table3[#All],2,0),VLOOKUP(Proc[[#This Row],[Author]],Table4[],2,0))</f>
        <v>HC</v>
      </c>
      <c r="L3960" s="129" t="s">
        <v>4894</v>
      </c>
      <c r="M3960" s="136">
        <v>45898</v>
      </c>
      <c r="N3960" s="137"/>
      <c r="O3960" s="137"/>
      <c r="P3960" s="136" t="str">
        <f ca="1">IF(Proc[[#This Row],[DaysAgeing]]&gt;5,"yep","on track")</f>
        <v>yep</v>
      </c>
      <c r="Q3960" s="3">
        <f ca="1">IF(Proc[[#This Row],[DateClosed]]="",ABS(NETWORKDAYS(Proc[[#This Row],[DateOpened]],TODAY()))-1,ABS(NETWORKDAYS(Proc[[#This Row],[DateOpened]],Proc[[#This Row],[DateClosed]]))-1)</f>
        <v>75</v>
      </c>
      <c r="R3960" s="136" t="s">
        <v>1013</v>
      </c>
      <c r="S3960" s="129"/>
    </row>
    <row r="3961" spans="1:19">
      <c r="A3961" s="138" t="s">
        <v>6106</v>
      </c>
      <c r="B3961" s="149" t="str">
        <f>IFERROR(VLOOKUP(Proc[[#This Row],[App]],Table2[],3,0),"open")</f>
        <v>ok</v>
      </c>
      <c r="C3961" s="138" t="s">
        <v>369</v>
      </c>
      <c r="D3961" t="s">
        <v>6120</v>
      </c>
      <c r="E3961" t="s">
        <v>554</v>
      </c>
      <c r="F3961" s="129" t="s">
        <v>554</v>
      </c>
      <c r="G3961" s="138" t="s">
        <v>400</v>
      </c>
      <c r="H3961" s="129" t="str">
        <f>IF(Proc[[#This Row],[type]]="LFF (MDG-F)",MID(Proc[[#This Row],[Obj]],13,10),"")</f>
        <v/>
      </c>
      <c r="J3961" s="129" t="b">
        <f>Proc[[#This Row],[Requested]]=Proc[[#This Row],[CurrentParent]]</f>
        <v>1</v>
      </c>
      <c r="K3961" s="144" t="str">
        <f>IF(Proc[[#This Row],[Author]]="Marcela Urrego",VLOOKUP(LEFT(Proc[[#This Row],[Requested]],1),Table3[#All],2,0),VLOOKUP(Proc[[#This Row],[Author]],Table4[],2,0))</f>
        <v>HC</v>
      </c>
      <c r="L3961" s="129" t="s">
        <v>4894</v>
      </c>
      <c r="M3961" s="136">
        <v>45898</v>
      </c>
      <c r="N3961" s="137"/>
      <c r="O3961" s="137"/>
      <c r="P3961" s="136" t="str">
        <f ca="1">IF(Proc[[#This Row],[DaysAgeing]]&gt;5,"yep","on track")</f>
        <v>yep</v>
      </c>
      <c r="Q3961" s="3">
        <f ca="1">IF(Proc[[#This Row],[DateClosed]]="",ABS(NETWORKDAYS(Proc[[#This Row],[DateOpened]],TODAY()))-1,ABS(NETWORKDAYS(Proc[[#This Row],[DateOpened]],Proc[[#This Row],[DateClosed]]))-1)</f>
        <v>75</v>
      </c>
      <c r="R3961" s="136" t="s">
        <v>1013</v>
      </c>
      <c r="S3961" s="129"/>
    </row>
    <row r="3962" spans="1:19">
      <c r="A3962" s="138" t="s">
        <v>6106</v>
      </c>
      <c r="B3962" s="149" t="str">
        <f>IFERROR(VLOOKUP(Proc[[#This Row],[App]],Table2[],3,0),"open")</f>
        <v>ok</v>
      </c>
      <c r="C3962" s="138" t="s">
        <v>369</v>
      </c>
      <c r="D3962" t="s">
        <v>6121</v>
      </c>
      <c r="E3962" t="s">
        <v>554</v>
      </c>
      <c r="F3962" s="129" t="s">
        <v>554</v>
      </c>
      <c r="G3962" s="138" t="s">
        <v>400</v>
      </c>
      <c r="H3962" s="129" t="str">
        <f>IF(Proc[[#This Row],[type]]="LFF (MDG-F)",MID(Proc[[#This Row],[Obj]],13,10),"")</f>
        <v/>
      </c>
      <c r="J3962" s="129" t="b">
        <f>Proc[[#This Row],[Requested]]=Proc[[#This Row],[CurrentParent]]</f>
        <v>1</v>
      </c>
      <c r="K3962" s="144" t="str">
        <f>IF(Proc[[#This Row],[Author]]="Marcela Urrego",VLOOKUP(LEFT(Proc[[#This Row],[Requested]],1),Table3[#All],2,0),VLOOKUP(Proc[[#This Row],[Author]],Table4[],2,0))</f>
        <v>HC</v>
      </c>
      <c r="L3962" s="129" t="s">
        <v>4894</v>
      </c>
      <c r="M3962" s="136">
        <v>45898</v>
      </c>
      <c r="N3962" s="137"/>
      <c r="O3962" s="137"/>
      <c r="P3962" s="136" t="str">
        <f ca="1">IF(Proc[[#This Row],[DaysAgeing]]&gt;5,"yep","on track")</f>
        <v>yep</v>
      </c>
      <c r="Q3962" s="3">
        <f ca="1">IF(Proc[[#This Row],[DateClosed]]="",ABS(NETWORKDAYS(Proc[[#This Row],[DateOpened]],TODAY()))-1,ABS(NETWORKDAYS(Proc[[#This Row],[DateOpened]],Proc[[#This Row],[DateClosed]]))-1)</f>
        <v>75</v>
      </c>
      <c r="R3962" s="136" t="s">
        <v>1013</v>
      </c>
      <c r="S3962" s="129"/>
    </row>
    <row r="3963" spans="1:19">
      <c r="A3963" s="138" t="s">
        <v>6106</v>
      </c>
      <c r="B3963" s="149" t="str">
        <f>IFERROR(VLOOKUP(Proc[[#This Row],[App]],Table2[],3,0),"open")</f>
        <v>ok</v>
      </c>
      <c r="C3963" s="138" t="s">
        <v>369</v>
      </c>
      <c r="D3963" t="s">
        <v>6122</v>
      </c>
      <c r="E3963" t="s">
        <v>554</v>
      </c>
      <c r="F3963" s="129" t="s">
        <v>554</v>
      </c>
      <c r="G3963" s="138" t="s">
        <v>400</v>
      </c>
      <c r="H3963" s="129" t="str">
        <f>IF(Proc[[#This Row],[type]]="LFF (MDG-F)",MID(Proc[[#This Row],[Obj]],13,10),"")</f>
        <v/>
      </c>
      <c r="J3963" s="129" t="b">
        <f>Proc[[#This Row],[Requested]]=Proc[[#This Row],[CurrentParent]]</f>
        <v>1</v>
      </c>
      <c r="K3963" s="144" t="str">
        <f>IF(Proc[[#This Row],[Author]]="Marcela Urrego",VLOOKUP(LEFT(Proc[[#This Row],[Requested]],1),Table3[#All],2,0),VLOOKUP(Proc[[#This Row],[Author]],Table4[],2,0))</f>
        <v>HC</v>
      </c>
      <c r="L3963" s="129" t="s">
        <v>4894</v>
      </c>
      <c r="M3963" s="136">
        <v>45898</v>
      </c>
      <c r="N3963" s="137"/>
      <c r="O3963" s="137"/>
      <c r="P3963" s="136" t="str">
        <f ca="1">IF(Proc[[#This Row],[DaysAgeing]]&gt;5,"yep","on track")</f>
        <v>yep</v>
      </c>
      <c r="Q3963" s="3">
        <f ca="1">IF(Proc[[#This Row],[DateClosed]]="",ABS(NETWORKDAYS(Proc[[#This Row],[DateOpened]],TODAY()))-1,ABS(NETWORKDAYS(Proc[[#This Row],[DateOpened]],Proc[[#This Row],[DateClosed]]))-1)</f>
        <v>75</v>
      </c>
      <c r="R3963" s="136" t="s">
        <v>1013</v>
      </c>
      <c r="S3963" s="129"/>
    </row>
    <row r="3964" spans="1:19">
      <c r="A3964" s="138" t="s">
        <v>6106</v>
      </c>
      <c r="B3964" s="149" t="str">
        <f>IFERROR(VLOOKUP(Proc[[#This Row],[App]],Table2[],3,0),"open")</f>
        <v>ok</v>
      </c>
      <c r="C3964" s="138" t="s">
        <v>369</v>
      </c>
      <c r="D3964" t="s">
        <v>6123</v>
      </c>
      <c r="E3964" t="s">
        <v>557</v>
      </c>
      <c r="F3964" s="129" t="s">
        <v>557</v>
      </c>
      <c r="G3964" s="138" t="s">
        <v>400</v>
      </c>
      <c r="H3964" s="129" t="str">
        <f>IF(Proc[[#This Row],[type]]="LFF (MDG-F)",MID(Proc[[#This Row],[Obj]],13,10),"")</f>
        <v/>
      </c>
      <c r="J3964" s="129" t="b">
        <f>Proc[[#This Row],[Requested]]=Proc[[#This Row],[CurrentParent]]</f>
        <v>1</v>
      </c>
      <c r="K3964" s="144" t="str">
        <f>IF(Proc[[#This Row],[Author]]="Marcela Urrego",VLOOKUP(LEFT(Proc[[#This Row],[Requested]],1),Table3[#All],2,0),VLOOKUP(Proc[[#This Row],[Author]],Table4[],2,0))</f>
        <v>HC</v>
      </c>
      <c r="L3964" s="129" t="s">
        <v>4894</v>
      </c>
      <c r="M3964" s="136">
        <v>45898</v>
      </c>
      <c r="N3964" s="137"/>
      <c r="O3964" s="137"/>
      <c r="P3964" s="136" t="str">
        <f ca="1">IF(Proc[[#This Row],[DaysAgeing]]&gt;5,"yep","on track")</f>
        <v>yep</v>
      </c>
      <c r="Q3964" s="3">
        <f ca="1">IF(Proc[[#This Row],[DateClosed]]="",ABS(NETWORKDAYS(Proc[[#This Row],[DateOpened]],TODAY()))-1,ABS(NETWORKDAYS(Proc[[#This Row],[DateOpened]],Proc[[#This Row],[DateClosed]]))-1)</f>
        <v>75</v>
      </c>
      <c r="R3964" s="136" t="s">
        <v>1013</v>
      </c>
      <c r="S3964" s="129"/>
    </row>
    <row r="3965" spans="1:19">
      <c r="A3965" s="138" t="s">
        <v>6106</v>
      </c>
      <c r="B3965" s="149" t="str">
        <f>IFERROR(VLOOKUP(Proc[[#This Row],[App]],Table2[],3,0),"open")</f>
        <v>ok</v>
      </c>
      <c r="C3965" s="138" t="s">
        <v>369</v>
      </c>
      <c r="D3965" t="s">
        <v>6124</v>
      </c>
      <c r="E3965" t="s">
        <v>557</v>
      </c>
      <c r="F3965" s="129" t="s">
        <v>557</v>
      </c>
      <c r="G3965" s="138" t="s">
        <v>400</v>
      </c>
      <c r="H3965" s="129" t="str">
        <f>IF(Proc[[#This Row],[type]]="LFF (MDG-F)",MID(Proc[[#This Row],[Obj]],13,10),"")</f>
        <v/>
      </c>
      <c r="J3965" s="129" t="b">
        <f>Proc[[#This Row],[Requested]]=Proc[[#This Row],[CurrentParent]]</f>
        <v>1</v>
      </c>
      <c r="K3965" s="144" t="str">
        <f>IF(Proc[[#This Row],[Author]]="Marcela Urrego",VLOOKUP(LEFT(Proc[[#This Row],[Requested]],1),Table3[#All],2,0),VLOOKUP(Proc[[#This Row],[Author]],Table4[],2,0))</f>
        <v>HC</v>
      </c>
      <c r="L3965" s="129" t="s">
        <v>4894</v>
      </c>
      <c r="M3965" s="136">
        <v>45898</v>
      </c>
      <c r="N3965" s="137"/>
      <c r="O3965" s="137"/>
      <c r="P3965" s="136" t="str">
        <f ca="1">IF(Proc[[#This Row],[DaysAgeing]]&gt;5,"yep","on track")</f>
        <v>yep</v>
      </c>
      <c r="Q3965" s="3">
        <f ca="1">IF(Proc[[#This Row],[DateClosed]]="",ABS(NETWORKDAYS(Proc[[#This Row],[DateOpened]],TODAY()))-1,ABS(NETWORKDAYS(Proc[[#This Row],[DateOpened]],Proc[[#This Row],[DateClosed]]))-1)</f>
        <v>75</v>
      </c>
      <c r="R3965" s="136" t="s">
        <v>1013</v>
      </c>
      <c r="S3965" s="129"/>
    </row>
    <row r="3966" spans="1:19">
      <c r="A3966" s="138" t="s">
        <v>6106</v>
      </c>
      <c r="B3966" s="149" t="str">
        <f>IFERROR(VLOOKUP(Proc[[#This Row],[App]],Table2[],3,0),"open")</f>
        <v>ok</v>
      </c>
      <c r="C3966" s="138" t="s">
        <v>369</v>
      </c>
      <c r="D3966" t="s">
        <v>6125</v>
      </c>
      <c r="E3966" t="s">
        <v>543</v>
      </c>
      <c r="F3966" s="129" t="s">
        <v>543</v>
      </c>
      <c r="G3966" s="138" t="s">
        <v>400</v>
      </c>
      <c r="H3966" s="129" t="str">
        <f>IF(Proc[[#This Row],[type]]="LFF (MDG-F)",MID(Proc[[#This Row],[Obj]],13,10),"")</f>
        <v/>
      </c>
      <c r="J3966" s="129" t="b">
        <f>Proc[[#This Row],[Requested]]=Proc[[#This Row],[CurrentParent]]</f>
        <v>1</v>
      </c>
      <c r="K3966" s="144" t="str">
        <f>IF(Proc[[#This Row],[Author]]="Marcela Urrego",VLOOKUP(LEFT(Proc[[#This Row],[Requested]],1),Table3[#All],2,0),VLOOKUP(Proc[[#This Row],[Author]],Table4[],2,0))</f>
        <v>HC</v>
      </c>
      <c r="L3966" s="129" t="s">
        <v>4894</v>
      </c>
      <c r="M3966" s="136">
        <v>45898</v>
      </c>
      <c r="N3966" s="137"/>
      <c r="O3966" s="137"/>
      <c r="P3966" s="136" t="str">
        <f ca="1">IF(Proc[[#This Row],[DaysAgeing]]&gt;5,"yep","on track")</f>
        <v>yep</v>
      </c>
      <c r="Q3966" s="3">
        <f ca="1">IF(Proc[[#This Row],[DateClosed]]="",ABS(NETWORKDAYS(Proc[[#This Row],[DateOpened]],TODAY()))-1,ABS(NETWORKDAYS(Proc[[#This Row],[DateOpened]],Proc[[#This Row],[DateClosed]]))-1)</f>
        <v>75</v>
      </c>
      <c r="R3966" s="136" t="s">
        <v>1013</v>
      </c>
      <c r="S3966" s="129"/>
    </row>
    <row r="3967" spans="1:19">
      <c r="A3967" s="138" t="s">
        <v>6106</v>
      </c>
      <c r="B3967" s="149" t="str">
        <f>IFERROR(VLOOKUP(Proc[[#This Row],[App]],Table2[],3,0),"open")</f>
        <v>ok</v>
      </c>
      <c r="C3967" s="138" t="s">
        <v>369</v>
      </c>
      <c r="D3967" t="s">
        <v>6126</v>
      </c>
      <c r="E3967" t="s">
        <v>1012</v>
      </c>
      <c r="F3967" s="129" t="s">
        <v>1012</v>
      </c>
      <c r="G3967" s="138" t="s">
        <v>400</v>
      </c>
      <c r="H3967" s="129" t="str">
        <f>IF(Proc[[#This Row],[type]]="LFF (MDG-F)",MID(Proc[[#This Row],[Obj]],13,10),"")</f>
        <v/>
      </c>
      <c r="J3967" s="129" t="b">
        <f>Proc[[#This Row],[Requested]]=Proc[[#This Row],[CurrentParent]]</f>
        <v>1</v>
      </c>
      <c r="K3967" s="144" t="str">
        <f>IF(Proc[[#This Row],[Author]]="Marcela Urrego",VLOOKUP(LEFT(Proc[[#This Row],[Requested]],1),Table3[#All],2,0),VLOOKUP(Proc[[#This Row],[Author]],Table4[],2,0))</f>
        <v>HC</v>
      </c>
      <c r="L3967" s="129" t="s">
        <v>4894</v>
      </c>
      <c r="M3967" s="136">
        <v>45898</v>
      </c>
      <c r="N3967" s="137"/>
      <c r="O3967" s="137"/>
      <c r="P3967" s="136" t="str">
        <f ca="1">IF(Proc[[#This Row],[DaysAgeing]]&gt;5,"yep","on track")</f>
        <v>yep</v>
      </c>
      <c r="Q3967" s="3">
        <f ca="1">IF(Proc[[#This Row],[DateClosed]]="",ABS(NETWORKDAYS(Proc[[#This Row],[DateOpened]],TODAY()))-1,ABS(NETWORKDAYS(Proc[[#This Row],[DateOpened]],Proc[[#This Row],[DateClosed]]))-1)</f>
        <v>75</v>
      </c>
      <c r="R3967" s="136" t="s">
        <v>1013</v>
      </c>
      <c r="S3967" s="129"/>
    </row>
    <row r="3968" spans="1:19">
      <c r="A3968" s="138" t="s">
        <v>6106</v>
      </c>
      <c r="B3968" s="149" t="str">
        <f>IFERROR(VLOOKUP(Proc[[#This Row],[App]],Table2[],3,0),"open")</f>
        <v>ok</v>
      </c>
      <c r="C3968" s="138" t="s">
        <v>369</v>
      </c>
      <c r="D3968" t="s">
        <v>6127</v>
      </c>
      <c r="E3968" t="s">
        <v>1012</v>
      </c>
      <c r="F3968" s="129" t="s">
        <v>1012</v>
      </c>
      <c r="G3968" s="138" t="s">
        <v>400</v>
      </c>
      <c r="H3968" s="129" t="str">
        <f>IF(Proc[[#This Row],[type]]="LFF (MDG-F)",MID(Proc[[#This Row],[Obj]],13,10),"")</f>
        <v/>
      </c>
      <c r="J3968" s="129" t="b">
        <f>Proc[[#This Row],[Requested]]=Proc[[#This Row],[CurrentParent]]</f>
        <v>1</v>
      </c>
      <c r="K3968" s="144" t="str">
        <f>IF(Proc[[#This Row],[Author]]="Marcela Urrego",VLOOKUP(LEFT(Proc[[#This Row],[Requested]],1),Table3[#All],2,0),VLOOKUP(Proc[[#This Row],[Author]],Table4[],2,0))</f>
        <v>HC</v>
      </c>
      <c r="L3968" s="129" t="s">
        <v>4894</v>
      </c>
      <c r="M3968" s="136">
        <v>45898</v>
      </c>
      <c r="N3968" s="137"/>
      <c r="O3968" s="137"/>
      <c r="P3968" s="136" t="str">
        <f ca="1">IF(Proc[[#This Row],[DaysAgeing]]&gt;5,"yep","on track")</f>
        <v>yep</v>
      </c>
      <c r="Q3968" s="3">
        <f ca="1">IF(Proc[[#This Row],[DateClosed]]="",ABS(NETWORKDAYS(Proc[[#This Row],[DateOpened]],TODAY()))-1,ABS(NETWORKDAYS(Proc[[#This Row],[DateOpened]],Proc[[#This Row],[DateClosed]]))-1)</f>
        <v>75</v>
      </c>
      <c r="R3968" s="136" t="s">
        <v>1013</v>
      </c>
      <c r="S3968" s="129"/>
    </row>
    <row r="3969" spans="1:19">
      <c r="A3969" s="138" t="s">
        <v>6106</v>
      </c>
      <c r="B3969" s="149" t="str">
        <f>IFERROR(VLOOKUP(Proc[[#This Row],[App]],Table2[],3,0),"open")</f>
        <v>ok</v>
      </c>
      <c r="C3969" s="138" t="s">
        <v>369</v>
      </c>
      <c r="D3969" t="s">
        <v>6128</v>
      </c>
      <c r="E3969" t="s">
        <v>1012</v>
      </c>
      <c r="F3969" s="129" t="s">
        <v>1012</v>
      </c>
      <c r="G3969" s="138" t="s">
        <v>400</v>
      </c>
      <c r="H3969" s="129" t="str">
        <f>IF(Proc[[#This Row],[type]]="LFF (MDG-F)",MID(Proc[[#This Row],[Obj]],13,10),"")</f>
        <v/>
      </c>
      <c r="J3969" s="129" t="b">
        <f>Proc[[#This Row],[Requested]]=Proc[[#This Row],[CurrentParent]]</f>
        <v>1</v>
      </c>
      <c r="K3969" s="144" t="str">
        <f>IF(Proc[[#This Row],[Author]]="Marcela Urrego",VLOOKUP(LEFT(Proc[[#This Row],[Requested]],1),Table3[#All],2,0),VLOOKUP(Proc[[#This Row],[Author]],Table4[],2,0))</f>
        <v>HC</v>
      </c>
      <c r="L3969" s="129" t="s">
        <v>4894</v>
      </c>
      <c r="M3969" s="136">
        <v>45898</v>
      </c>
      <c r="N3969" s="137"/>
      <c r="O3969" s="137"/>
      <c r="P3969" s="136" t="str">
        <f ca="1">IF(Proc[[#This Row],[DaysAgeing]]&gt;5,"yep","on track")</f>
        <v>yep</v>
      </c>
      <c r="Q3969" s="3">
        <f ca="1">IF(Proc[[#This Row],[DateClosed]]="",ABS(NETWORKDAYS(Proc[[#This Row],[DateOpened]],TODAY()))-1,ABS(NETWORKDAYS(Proc[[#This Row],[DateOpened]],Proc[[#This Row],[DateClosed]]))-1)</f>
        <v>75</v>
      </c>
      <c r="R3969" s="136" t="s">
        <v>1013</v>
      </c>
      <c r="S3969" s="129"/>
    </row>
    <row r="3970" spans="1:19">
      <c r="A3970" s="138" t="s">
        <v>6106</v>
      </c>
      <c r="B3970" s="149" t="str">
        <f>IFERROR(VLOOKUP(Proc[[#This Row],[App]],Table2[],3,0),"open")</f>
        <v>ok</v>
      </c>
      <c r="C3970" s="138" t="s">
        <v>369</v>
      </c>
      <c r="D3970" t="s">
        <v>6129</v>
      </c>
      <c r="E3970" t="s">
        <v>554</v>
      </c>
      <c r="F3970" s="129" t="s">
        <v>554</v>
      </c>
      <c r="G3970" s="138" t="s">
        <v>400</v>
      </c>
      <c r="H3970" s="129" t="str">
        <f>IF(Proc[[#This Row],[type]]="LFF (MDG-F)",MID(Proc[[#This Row],[Obj]],13,10),"")</f>
        <v/>
      </c>
      <c r="J3970" s="129" t="b">
        <f>Proc[[#This Row],[Requested]]=Proc[[#This Row],[CurrentParent]]</f>
        <v>1</v>
      </c>
      <c r="K3970" s="144" t="str">
        <f>IF(Proc[[#This Row],[Author]]="Marcela Urrego",VLOOKUP(LEFT(Proc[[#This Row],[Requested]],1),Table3[#All],2,0),VLOOKUP(Proc[[#This Row],[Author]],Table4[],2,0))</f>
        <v>HC</v>
      </c>
      <c r="L3970" s="129" t="s">
        <v>4894</v>
      </c>
      <c r="M3970" s="136">
        <v>45898</v>
      </c>
      <c r="N3970" s="137"/>
      <c r="O3970" s="137"/>
      <c r="P3970" s="136" t="str">
        <f ca="1">IF(Proc[[#This Row],[DaysAgeing]]&gt;5,"yep","on track")</f>
        <v>yep</v>
      </c>
      <c r="Q3970" s="3">
        <f ca="1">IF(Proc[[#This Row],[DateClosed]]="",ABS(NETWORKDAYS(Proc[[#This Row],[DateOpened]],TODAY()))-1,ABS(NETWORKDAYS(Proc[[#This Row],[DateOpened]],Proc[[#This Row],[DateClosed]]))-1)</f>
        <v>75</v>
      </c>
      <c r="R3970" s="136" t="s">
        <v>1013</v>
      </c>
      <c r="S3970" s="129"/>
    </row>
    <row r="3971" spans="1:19">
      <c r="A3971" s="138" t="s">
        <v>6106</v>
      </c>
      <c r="B3971" s="149" t="str">
        <f>IFERROR(VLOOKUP(Proc[[#This Row],[App]],Table2[],3,0),"open")</f>
        <v>ok</v>
      </c>
      <c r="C3971" s="138" t="s">
        <v>369</v>
      </c>
      <c r="D3971" t="s">
        <v>6130</v>
      </c>
      <c r="E3971" t="s">
        <v>555</v>
      </c>
      <c r="F3971" s="129" t="s">
        <v>555</v>
      </c>
      <c r="G3971" s="138" t="s">
        <v>400</v>
      </c>
      <c r="H3971" s="129" t="str">
        <f>IF(Proc[[#This Row],[type]]="LFF (MDG-F)",MID(Proc[[#This Row],[Obj]],13,10),"")</f>
        <v/>
      </c>
      <c r="J3971" s="129" t="b">
        <f>Proc[[#This Row],[Requested]]=Proc[[#This Row],[CurrentParent]]</f>
        <v>1</v>
      </c>
      <c r="K3971" s="144" t="str">
        <f>IF(Proc[[#This Row],[Author]]="Marcela Urrego",VLOOKUP(LEFT(Proc[[#This Row],[Requested]],1),Table3[#All],2,0),VLOOKUP(Proc[[#This Row],[Author]],Table4[],2,0))</f>
        <v>HC</v>
      </c>
      <c r="L3971" s="129" t="s">
        <v>4894</v>
      </c>
      <c r="M3971" s="136">
        <v>45898</v>
      </c>
      <c r="N3971" s="137"/>
      <c r="O3971" s="137"/>
      <c r="P3971" s="136" t="str">
        <f ca="1">IF(Proc[[#This Row],[DaysAgeing]]&gt;5,"yep","on track")</f>
        <v>yep</v>
      </c>
      <c r="Q3971" s="3">
        <f ca="1">IF(Proc[[#This Row],[DateClosed]]="",ABS(NETWORKDAYS(Proc[[#This Row],[DateOpened]],TODAY()))-1,ABS(NETWORKDAYS(Proc[[#This Row],[DateOpened]],Proc[[#This Row],[DateClosed]]))-1)</f>
        <v>75</v>
      </c>
      <c r="R3971" s="136" t="s">
        <v>1013</v>
      </c>
      <c r="S3971" s="129"/>
    </row>
    <row r="3972" spans="1:19">
      <c r="A3972" s="138" t="s">
        <v>6106</v>
      </c>
      <c r="B3972" s="149" t="str">
        <f>IFERROR(VLOOKUP(Proc[[#This Row],[App]],Table2[],3,0),"open")</f>
        <v>ok</v>
      </c>
      <c r="C3972" s="138" t="s">
        <v>369</v>
      </c>
      <c r="D3972" t="s">
        <v>6131</v>
      </c>
      <c r="E3972" t="s">
        <v>557</v>
      </c>
      <c r="F3972" s="129" t="s">
        <v>557</v>
      </c>
      <c r="G3972" s="138" t="s">
        <v>400</v>
      </c>
      <c r="H3972" s="129" t="str">
        <f>IF(Proc[[#This Row],[type]]="LFF (MDG-F)",MID(Proc[[#This Row],[Obj]],13,10),"")</f>
        <v/>
      </c>
      <c r="J3972" s="129" t="b">
        <f>Proc[[#This Row],[Requested]]=Proc[[#This Row],[CurrentParent]]</f>
        <v>1</v>
      </c>
      <c r="K3972" s="144" t="str">
        <f>IF(Proc[[#This Row],[Author]]="Marcela Urrego",VLOOKUP(LEFT(Proc[[#This Row],[Requested]],1),Table3[#All],2,0),VLOOKUP(Proc[[#This Row],[Author]],Table4[],2,0))</f>
        <v>HC</v>
      </c>
      <c r="L3972" s="129" t="s">
        <v>4894</v>
      </c>
      <c r="M3972" s="136">
        <v>45898</v>
      </c>
      <c r="N3972" s="137"/>
      <c r="O3972" s="137"/>
      <c r="P3972" s="136" t="str">
        <f ca="1">IF(Proc[[#This Row],[DaysAgeing]]&gt;5,"yep","on track")</f>
        <v>yep</v>
      </c>
      <c r="Q3972" s="3">
        <f ca="1">IF(Proc[[#This Row],[DateClosed]]="",ABS(NETWORKDAYS(Proc[[#This Row],[DateOpened]],TODAY()))-1,ABS(NETWORKDAYS(Proc[[#This Row],[DateOpened]],Proc[[#This Row],[DateClosed]]))-1)</f>
        <v>75</v>
      </c>
      <c r="R3972" s="136" t="s">
        <v>1013</v>
      </c>
      <c r="S3972" s="129"/>
    </row>
    <row r="3973" spans="1:19">
      <c r="A3973" s="138" t="s">
        <v>6106</v>
      </c>
      <c r="B3973" s="149" t="str">
        <f>IFERROR(VLOOKUP(Proc[[#This Row],[App]],Table2[],3,0),"open")</f>
        <v>ok</v>
      </c>
      <c r="C3973" s="138" t="s">
        <v>369</v>
      </c>
      <c r="D3973" t="s">
        <v>6132</v>
      </c>
      <c r="E3973" t="s">
        <v>543</v>
      </c>
      <c r="F3973" s="129" t="s">
        <v>543</v>
      </c>
      <c r="G3973" s="138" t="s">
        <v>400</v>
      </c>
      <c r="H3973" s="129" t="str">
        <f>IF(Proc[[#This Row],[type]]="LFF (MDG-F)",MID(Proc[[#This Row],[Obj]],13,10),"")</f>
        <v/>
      </c>
      <c r="J3973" s="129" t="b">
        <f>Proc[[#This Row],[Requested]]=Proc[[#This Row],[CurrentParent]]</f>
        <v>1</v>
      </c>
      <c r="K3973" s="144" t="str">
        <f>IF(Proc[[#This Row],[Author]]="Marcela Urrego",VLOOKUP(LEFT(Proc[[#This Row],[Requested]],1),Table3[#All],2,0),VLOOKUP(Proc[[#This Row],[Author]],Table4[],2,0))</f>
        <v>HC</v>
      </c>
      <c r="L3973" s="129" t="s">
        <v>4894</v>
      </c>
      <c r="M3973" s="136">
        <v>45898</v>
      </c>
      <c r="N3973" s="137"/>
      <c r="O3973" s="137"/>
      <c r="P3973" s="136" t="str">
        <f ca="1">IF(Proc[[#This Row],[DaysAgeing]]&gt;5,"yep","on track")</f>
        <v>yep</v>
      </c>
      <c r="Q3973" s="3">
        <f ca="1">IF(Proc[[#This Row],[DateClosed]]="",ABS(NETWORKDAYS(Proc[[#This Row],[DateOpened]],TODAY()))-1,ABS(NETWORKDAYS(Proc[[#This Row],[DateOpened]],Proc[[#This Row],[DateClosed]]))-1)</f>
        <v>75</v>
      </c>
      <c r="R3973" s="136" t="s">
        <v>1013</v>
      </c>
      <c r="S3973" s="129"/>
    </row>
    <row r="3974" spans="1:19">
      <c r="A3974" s="138" t="s">
        <v>6106</v>
      </c>
      <c r="B3974" s="149" t="str">
        <f>IFERROR(VLOOKUP(Proc[[#This Row],[App]],Table2[],3,0),"open")</f>
        <v>ok</v>
      </c>
      <c r="C3974" s="138" t="s">
        <v>369</v>
      </c>
      <c r="D3974" t="s">
        <v>6133</v>
      </c>
      <c r="E3974" t="s">
        <v>1012</v>
      </c>
      <c r="F3974" s="129" t="s">
        <v>1012</v>
      </c>
      <c r="G3974" s="138" t="s">
        <v>400</v>
      </c>
      <c r="H3974" s="129" t="str">
        <f>IF(Proc[[#This Row],[type]]="LFF (MDG-F)",MID(Proc[[#This Row],[Obj]],13,10),"")</f>
        <v/>
      </c>
      <c r="J3974" s="129" t="b">
        <f>Proc[[#This Row],[Requested]]=Proc[[#This Row],[CurrentParent]]</f>
        <v>1</v>
      </c>
      <c r="K3974" s="144" t="str">
        <f>IF(Proc[[#This Row],[Author]]="Marcela Urrego",VLOOKUP(LEFT(Proc[[#This Row],[Requested]],1),Table3[#All],2,0),VLOOKUP(Proc[[#This Row],[Author]],Table4[],2,0))</f>
        <v>HC</v>
      </c>
      <c r="L3974" s="129" t="s">
        <v>4894</v>
      </c>
      <c r="M3974" s="136">
        <v>45898</v>
      </c>
      <c r="N3974" s="137"/>
      <c r="O3974" s="137"/>
      <c r="P3974" s="136" t="str">
        <f ca="1">IF(Proc[[#This Row],[DaysAgeing]]&gt;5,"yep","on track")</f>
        <v>yep</v>
      </c>
      <c r="Q3974" s="3">
        <f ca="1">IF(Proc[[#This Row],[DateClosed]]="",ABS(NETWORKDAYS(Proc[[#This Row],[DateOpened]],TODAY()))-1,ABS(NETWORKDAYS(Proc[[#This Row],[DateOpened]],Proc[[#This Row],[DateClosed]]))-1)</f>
        <v>75</v>
      </c>
      <c r="R3974" s="136" t="s">
        <v>1013</v>
      </c>
      <c r="S3974" s="129"/>
    </row>
    <row r="3975" spans="1:19">
      <c r="A3975" s="138" t="s">
        <v>6106</v>
      </c>
      <c r="B3975" s="149" t="str">
        <f>IFERROR(VLOOKUP(Proc[[#This Row],[App]],Table2[],3,0),"open")</f>
        <v>ok</v>
      </c>
      <c r="C3975" s="138" t="s">
        <v>369</v>
      </c>
      <c r="D3975" t="s">
        <v>6134</v>
      </c>
      <c r="E3975" t="s">
        <v>1012</v>
      </c>
      <c r="F3975" s="129" t="s">
        <v>1012</v>
      </c>
      <c r="G3975" s="138" t="s">
        <v>400</v>
      </c>
      <c r="H3975" s="129" t="str">
        <f>IF(Proc[[#This Row],[type]]="LFF (MDG-F)",MID(Proc[[#This Row],[Obj]],13,10),"")</f>
        <v/>
      </c>
      <c r="J3975" s="129" t="b">
        <f>Proc[[#This Row],[Requested]]=Proc[[#This Row],[CurrentParent]]</f>
        <v>1</v>
      </c>
      <c r="K3975" s="144" t="str">
        <f>IF(Proc[[#This Row],[Author]]="Marcela Urrego",VLOOKUP(LEFT(Proc[[#This Row],[Requested]],1),Table3[#All],2,0),VLOOKUP(Proc[[#This Row],[Author]],Table4[],2,0))</f>
        <v>HC</v>
      </c>
      <c r="L3975" s="129" t="s">
        <v>4894</v>
      </c>
      <c r="M3975" s="136">
        <v>45898</v>
      </c>
      <c r="N3975" s="137"/>
      <c r="O3975" s="137"/>
      <c r="P3975" s="136" t="str">
        <f ca="1">IF(Proc[[#This Row],[DaysAgeing]]&gt;5,"yep","on track")</f>
        <v>yep</v>
      </c>
      <c r="Q3975" s="3">
        <f ca="1">IF(Proc[[#This Row],[DateClosed]]="",ABS(NETWORKDAYS(Proc[[#This Row],[DateOpened]],TODAY()))-1,ABS(NETWORKDAYS(Proc[[#This Row],[DateOpened]],Proc[[#This Row],[DateClosed]]))-1)</f>
        <v>75</v>
      </c>
      <c r="R3975" s="136" t="s">
        <v>1013</v>
      </c>
      <c r="S3975" s="129"/>
    </row>
    <row r="3976" spans="1:19">
      <c r="A3976" s="138" t="s">
        <v>6106</v>
      </c>
      <c r="B3976" s="149" t="str">
        <f>IFERROR(VLOOKUP(Proc[[#This Row],[App]],Table2[],3,0),"open")</f>
        <v>ok</v>
      </c>
      <c r="C3976" s="138" t="s">
        <v>369</v>
      </c>
      <c r="D3976" t="s">
        <v>6135</v>
      </c>
      <c r="E3976" t="s">
        <v>555</v>
      </c>
      <c r="F3976" s="129" t="s">
        <v>555</v>
      </c>
      <c r="G3976" s="138" t="s">
        <v>400</v>
      </c>
      <c r="H3976" s="129" t="str">
        <f>IF(Proc[[#This Row],[type]]="LFF (MDG-F)",MID(Proc[[#This Row],[Obj]],13,10),"")</f>
        <v/>
      </c>
      <c r="J3976" s="129" t="b">
        <f>Proc[[#This Row],[Requested]]=Proc[[#This Row],[CurrentParent]]</f>
        <v>1</v>
      </c>
      <c r="K3976" s="144" t="str">
        <f>IF(Proc[[#This Row],[Author]]="Marcela Urrego",VLOOKUP(LEFT(Proc[[#This Row],[Requested]],1),Table3[#All],2,0),VLOOKUP(Proc[[#This Row],[Author]],Table4[],2,0))</f>
        <v>HC</v>
      </c>
      <c r="L3976" s="129" t="s">
        <v>4894</v>
      </c>
      <c r="M3976" s="136">
        <v>45898</v>
      </c>
      <c r="N3976" s="137"/>
      <c r="O3976" s="137"/>
      <c r="P3976" s="136" t="str">
        <f ca="1">IF(Proc[[#This Row],[DaysAgeing]]&gt;5,"yep","on track")</f>
        <v>yep</v>
      </c>
      <c r="Q3976" s="3">
        <f ca="1">IF(Proc[[#This Row],[DateClosed]]="",ABS(NETWORKDAYS(Proc[[#This Row],[DateOpened]],TODAY()))-1,ABS(NETWORKDAYS(Proc[[#This Row],[DateOpened]],Proc[[#This Row],[DateClosed]]))-1)</f>
        <v>75</v>
      </c>
      <c r="R3976" s="136" t="s">
        <v>1013</v>
      </c>
      <c r="S3976" s="129"/>
    </row>
    <row r="3977" spans="1:19">
      <c r="A3977" s="138" t="s">
        <v>6106</v>
      </c>
      <c r="B3977" s="149" t="str">
        <f>IFERROR(VLOOKUP(Proc[[#This Row],[App]],Table2[],3,0),"open")</f>
        <v>ok</v>
      </c>
      <c r="C3977" s="138" t="s">
        <v>369</v>
      </c>
      <c r="D3977" t="s">
        <v>6136</v>
      </c>
      <c r="E3977" t="s">
        <v>555</v>
      </c>
      <c r="F3977" s="129" t="s">
        <v>555</v>
      </c>
      <c r="G3977" s="138" t="s">
        <v>400</v>
      </c>
      <c r="H3977" s="129" t="str">
        <f>IF(Proc[[#This Row],[type]]="LFF (MDG-F)",MID(Proc[[#This Row],[Obj]],13,10),"")</f>
        <v/>
      </c>
      <c r="J3977" s="129" t="b">
        <f>Proc[[#This Row],[Requested]]=Proc[[#This Row],[CurrentParent]]</f>
        <v>1</v>
      </c>
      <c r="K3977" s="144" t="str">
        <f>IF(Proc[[#This Row],[Author]]="Marcela Urrego",VLOOKUP(LEFT(Proc[[#This Row],[Requested]],1),Table3[#All],2,0),VLOOKUP(Proc[[#This Row],[Author]],Table4[],2,0))</f>
        <v>HC</v>
      </c>
      <c r="L3977" s="129" t="s">
        <v>4894</v>
      </c>
      <c r="M3977" s="136">
        <v>45898</v>
      </c>
      <c r="N3977" s="137"/>
      <c r="O3977" s="137"/>
      <c r="P3977" s="136" t="str">
        <f ca="1">IF(Proc[[#This Row],[DaysAgeing]]&gt;5,"yep","on track")</f>
        <v>yep</v>
      </c>
      <c r="Q3977" s="3">
        <f ca="1">IF(Proc[[#This Row],[DateClosed]]="",ABS(NETWORKDAYS(Proc[[#This Row],[DateOpened]],TODAY()))-1,ABS(NETWORKDAYS(Proc[[#This Row],[DateOpened]],Proc[[#This Row],[DateClosed]]))-1)</f>
        <v>75</v>
      </c>
      <c r="R3977" s="136" t="s">
        <v>1013</v>
      </c>
      <c r="S3977" s="129"/>
    </row>
    <row r="3978" spans="1:19">
      <c r="A3978" s="138" t="s">
        <v>6106</v>
      </c>
      <c r="B3978" s="149" t="str">
        <f>IFERROR(VLOOKUP(Proc[[#This Row],[App]],Table2[],3,0),"open")</f>
        <v>ok</v>
      </c>
      <c r="C3978" s="138" t="s">
        <v>369</v>
      </c>
      <c r="D3978" t="s">
        <v>6137</v>
      </c>
      <c r="E3978" t="s">
        <v>1012</v>
      </c>
      <c r="F3978" s="129" t="s">
        <v>1012</v>
      </c>
      <c r="G3978" s="138" t="s">
        <v>400</v>
      </c>
      <c r="H3978" s="129" t="str">
        <f>IF(Proc[[#This Row],[type]]="LFF (MDG-F)",MID(Proc[[#This Row],[Obj]],13,10),"")</f>
        <v/>
      </c>
      <c r="J3978" s="129" t="b">
        <f>Proc[[#This Row],[Requested]]=Proc[[#This Row],[CurrentParent]]</f>
        <v>1</v>
      </c>
      <c r="K3978" s="144" t="str">
        <f>IF(Proc[[#This Row],[Author]]="Marcela Urrego",VLOOKUP(LEFT(Proc[[#This Row],[Requested]],1),Table3[#All],2,0),VLOOKUP(Proc[[#This Row],[Author]],Table4[],2,0))</f>
        <v>HC</v>
      </c>
      <c r="L3978" s="129" t="s">
        <v>4894</v>
      </c>
      <c r="M3978" s="136">
        <v>45898</v>
      </c>
      <c r="N3978" s="137"/>
      <c r="O3978" s="137"/>
      <c r="P3978" s="136" t="str">
        <f ca="1">IF(Proc[[#This Row],[DaysAgeing]]&gt;5,"yep","on track")</f>
        <v>yep</v>
      </c>
      <c r="Q3978" s="3">
        <f ca="1">IF(Proc[[#This Row],[DateClosed]]="",ABS(NETWORKDAYS(Proc[[#This Row],[DateOpened]],TODAY()))-1,ABS(NETWORKDAYS(Proc[[#This Row],[DateOpened]],Proc[[#This Row],[DateClosed]]))-1)</f>
        <v>75</v>
      </c>
      <c r="R3978" s="136" t="s">
        <v>1013</v>
      </c>
      <c r="S3978" s="129"/>
    </row>
    <row r="3979" spans="1:19">
      <c r="A3979" s="138" t="s">
        <v>6106</v>
      </c>
      <c r="B3979" s="149" t="str">
        <f>IFERROR(VLOOKUP(Proc[[#This Row],[App]],Table2[],3,0),"open")</f>
        <v>ok</v>
      </c>
      <c r="C3979" s="138" t="s">
        <v>369</v>
      </c>
      <c r="D3979" t="s">
        <v>6138</v>
      </c>
      <c r="E3979" t="s">
        <v>6146</v>
      </c>
      <c r="F3979" s="129" t="s">
        <v>6146</v>
      </c>
      <c r="G3979" s="138" t="s">
        <v>400</v>
      </c>
      <c r="H3979" s="129" t="str">
        <f>IF(Proc[[#This Row],[type]]="LFF (MDG-F)",MID(Proc[[#This Row],[Obj]],13,10),"")</f>
        <v/>
      </c>
      <c r="J3979" s="129" t="b">
        <f>Proc[[#This Row],[Requested]]=Proc[[#This Row],[CurrentParent]]</f>
        <v>1</v>
      </c>
      <c r="K3979" s="144" t="str">
        <f>IF(Proc[[#This Row],[Author]]="Marcela Urrego",VLOOKUP(LEFT(Proc[[#This Row],[Requested]],1),Table3[#All],2,0),VLOOKUP(Proc[[#This Row],[Author]],Table4[],2,0))</f>
        <v>HC</v>
      </c>
      <c r="L3979" s="129" t="s">
        <v>4894</v>
      </c>
      <c r="M3979" s="136">
        <v>45898</v>
      </c>
      <c r="N3979" s="137"/>
      <c r="O3979" s="137"/>
      <c r="P3979" s="136" t="str">
        <f ca="1">IF(Proc[[#This Row],[DaysAgeing]]&gt;5,"yep","on track")</f>
        <v>yep</v>
      </c>
      <c r="Q3979" s="3">
        <f ca="1">IF(Proc[[#This Row],[DateClosed]]="",ABS(NETWORKDAYS(Proc[[#This Row],[DateOpened]],TODAY()))-1,ABS(NETWORKDAYS(Proc[[#This Row],[DateOpened]],Proc[[#This Row],[DateClosed]]))-1)</f>
        <v>75</v>
      </c>
      <c r="R3979" s="136" t="s">
        <v>1013</v>
      </c>
      <c r="S3979" s="129"/>
    </row>
    <row r="3980" spans="1:19">
      <c r="A3980" s="138" t="s">
        <v>6106</v>
      </c>
      <c r="B3980" s="149" t="str">
        <f>IFERROR(VLOOKUP(Proc[[#This Row],[App]],Table2[],3,0),"open")</f>
        <v>ok</v>
      </c>
      <c r="C3980" s="138" t="s">
        <v>369</v>
      </c>
      <c r="D3980" t="s">
        <v>6139</v>
      </c>
      <c r="E3980" t="s">
        <v>6146</v>
      </c>
      <c r="F3980" s="129" t="s">
        <v>6146</v>
      </c>
      <c r="G3980" s="138" t="s">
        <v>400</v>
      </c>
      <c r="H3980" s="129" t="str">
        <f>IF(Proc[[#This Row],[type]]="LFF (MDG-F)",MID(Proc[[#This Row],[Obj]],13,10),"")</f>
        <v/>
      </c>
      <c r="J3980" s="129" t="b">
        <f>Proc[[#This Row],[Requested]]=Proc[[#This Row],[CurrentParent]]</f>
        <v>1</v>
      </c>
      <c r="K3980" s="144" t="str">
        <f>IF(Proc[[#This Row],[Author]]="Marcela Urrego",VLOOKUP(LEFT(Proc[[#This Row],[Requested]],1),Table3[#All],2,0),VLOOKUP(Proc[[#This Row],[Author]],Table4[],2,0))</f>
        <v>HC</v>
      </c>
      <c r="L3980" s="129" t="s">
        <v>4894</v>
      </c>
      <c r="M3980" s="136">
        <v>45898</v>
      </c>
      <c r="N3980" s="137"/>
      <c r="O3980" s="137"/>
      <c r="P3980" s="136" t="str">
        <f ca="1">IF(Proc[[#This Row],[DaysAgeing]]&gt;5,"yep","on track")</f>
        <v>yep</v>
      </c>
      <c r="Q3980" s="3">
        <f ca="1">IF(Proc[[#This Row],[DateClosed]]="",ABS(NETWORKDAYS(Proc[[#This Row],[DateOpened]],TODAY()))-1,ABS(NETWORKDAYS(Proc[[#This Row],[DateOpened]],Proc[[#This Row],[DateClosed]]))-1)</f>
        <v>75</v>
      </c>
      <c r="R3980" s="136" t="s">
        <v>1013</v>
      </c>
      <c r="S3980" s="129"/>
    </row>
    <row r="3981" spans="1:19">
      <c r="A3981" s="138" t="s">
        <v>6106</v>
      </c>
      <c r="B3981" s="149" t="str">
        <f>IFERROR(VLOOKUP(Proc[[#This Row],[App]],Table2[],3,0),"open")</f>
        <v>ok</v>
      </c>
      <c r="C3981" s="138" t="s">
        <v>369</v>
      </c>
      <c r="D3981" t="s">
        <v>6140</v>
      </c>
      <c r="E3981" t="s">
        <v>1012</v>
      </c>
      <c r="F3981" s="129" t="s">
        <v>1012</v>
      </c>
      <c r="G3981" s="138" t="s">
        <v>400</v>
      </c>
      <c r="H3981" s="129" t="str">
        <f>IF(Proc[[#This Row],[type]]="LFF (MDG-F)",MID(Proc[[#This Row],[Obj]],13,10),"")</f>
        <v/>
      </c>
      <c r="J3981" s="129" t="b">
        <f>Proc[[#This Row],[Requested]]=Proc[[#This Row],[CurrentParent]]</f>
        <v>1</v>
      </c>
      <c r="K3981" s="144" t="str">
        <f>IF(Proc[[#This Row],[Author]]="Marcela Urrego",VLOOKUP(LEFT(Proc[[#This Row],[Requested]],1),Table3[#All],2,0),VLOOKUP(Proc[[#This Row],[Author]],Table4[],2,0))</f>
        <v>HC</v>
      </c>
      <c r="L3981" s="129" t="s">
        <v>4894</v>
      </c>
      <c r="M3981" s="136">
        <v>45898</v>
      </c>
      <c r="N3981" s="137"/>
      <c r="O3981" s="137"/>
      <c r="P3981" s="136" t="str">
        <f ca="1">IF(Proc[[#This Row],[DaysAgeing]]&gt;5,"yep","on track")</f>
        <v>yep</v>
      </c>
      <c r="Q3981" s="3">
        <f ca="1">IF(Proc[[#This Row],[DateClosed]]="",ABS(NETWORKDAYS(Proc[[#This Row],[DateOpened]],TODAY()))-1,ABS(NETWORKDAYS(Proc[[#This Row],[DateOpened]],Proc[[#This Row],[DateClosed]]))-1)</f>
        <v>75</v>
      </c>
      <c r="R3981" s="136" t="s">
        <v>1013</v>
      </c>
      <c r="S3981" s="129"/>
    </row>
    <row r="3982" spans="1:19">
      <c r="A3982" s="138" t="s">
        <v>6106</v>
      </c>
      <c r="B3982" s="149" t="str">
        <f>IFERROR(VLOOKUP(Proc[[#This Row],[App]],Table2[],3,0),"open")</f>
        <v>ok</v>
      </c>
      <c r="C3982" s="138" t="s">
        <v>369</v>
      </c>
      <c r="D3982" t="s">
        <v>6141</v>
      </c>
      <c r="E3982" t="s">
        <v>1012</v>
      </c>
      <c r="F3982" s="129" t="s">
        <v>1012</v>
      </c>
      <c r="G3982" s="138" t="s">
        <v>400</v>
      </c>
      <c r="H3982" s="129" t="str">
        <f>IF(Proc[[#This Row],[type]]="LFF (MDG-F)",MID(Proc[[#This Row],[Obj]],13,10),"")</f>
        <v/>
      </c>
      <c r="J3982" s="129" t="b">
        <f>Proc[[#This Row],[Requested]]=Proc[[#This Row],[CurrentParent]]</f>
        <v>1</v>
      </c>
      <c r="K3982" s="144" t="str">
        <f>IF(Proc[[#This Row],[Author]]="Marcela Urrego",VLOOKUP(LEFT(Proc[[#This Row],[Requested]],1),Table3[#All],2,0),VLOOKUP(Proc[[#This Row],[Author]],Table4[],2,0))</f>
        <v>HC</v>
      </c>
      <c r="L3982" s="129" t="s">
        <v>4894</v>
      </c>
      <c r="M3982" s="136">
        <v>45898</v>
      </c>
      <c r="N3982" s="137"/>
      <c r="O3982" s="137"/>
      <c r="P3982" s="136" t="str">
        <f ca="1">IF(Proc[[#This Row],[DaysAgeing]]&gt;5,"yep","on track")</f>
        <v>yep</v>
      </c>
      <c r="Q3982" s="3">
        <f ca="1">IF(Proc[[#This Row],[DateClosed]]="",ABS(NETWORKDAYS(Proc[[#This Row],[DateOpened]],TODAY()))-1,ABS(NETWORKDAYS(Proc[[#This Row],[DateOpened]],Proc[[#This Row],[DateClosed]]))-1)</f>
        <v>75</v>
      </c>
      <c r="R3982" s="136" t="s">
        <v>1013</v>
      </c>
      <c r="S3982" s="129"/>
    </row>
    <row r="3983" spans="1:19">
      <c r="A3983" s="138" t="s">
        <v>6106</v>
      </c>
      <c r="B3983" s="149" t="str">
        <f>IFERROR(VLOOKUP(Proc[[#This Row],[App]],Table2[],3,0),"open")</f>
        <v>ok</v>
      </c>
      <c r="C3983" s="138" t="s">
        <v>369</v>
      </c>
      <c r="D3983" t="s">
        <v>6142</v>
      </c>
      <c r="E3983" t="s">
        <v>1012</v>
      </c>
      <c r="F3983" s="129" t="s">
        <v>1012</v>
      </c>
      <c r="G3983" s="138" t="s">
        <v>400</v>
      </c>
      <c r="H3983" s="129" t="str">
        <f>IF(Proc[[#This Row],[type]]="LFF (MDG-F)",MID(Proc[[#This Row],[Obj]],13,10),"")</f>
        <v/>
      </c>
      <c r="J3983" s="129" t="b">
        <f>Proc[[#This Row],[Requested]]=Proc[[#This Row],[CurrentParent]]</f>
        <v>1</v>
      </c>
      <c r="K3983" s="144" t="str">
        <f>IF(Proc[[#This Row],[Author]]="Marcela Urrego",VLOOKUP(LEFT(Proc[[#This Row],[Requested]],1),Table3[#All],2,0),VLOOKUP(Proc[[#This Row],[Author]],Table4[],2,0))</f>
        <v>HC</v>
      </c>
      <c r="L3983" s="129" t="s">
        <v>4894</v>
      </c>
      <c r="M3983" s="136">
        <v>45898</v>
      </c>
      <c r="N3983" s="137"/>
      <c r="O3983" s="137"/>
      <c r="P3983" s="136" t="str">
        <f ca="1">IF(Proc[[#This Row],[DaysAgeing]]&gt;5,"yep","on track")</f>
        <v>yep</v>
      </c>
      <c r="Q3983" s="3">
        <f ca="1">IF(Proc[[#This Row],[DateClosed]]="",ABS(NETWORKDAYS(Proc[[#This Row],[DateOpened]],TODAY()))-1,ABS(NETWORKDAYS(Proc[[#This Row],[DateOpened]],Proc[[#This Row],[DateClosed]]))-1)</f>
        <v>75</v>
      </c>
      <c r="R3983" s="136" t="s">
        <v>1013</v>
      </c>
      <c r="S3983" s="129"/>
    </row>
    <row r="3984" spans="1:19">
      <c r="A3984" s="138" t="s">
        <v>6106</v>
      </c>
      <c r="B3984" s="149" t="str">
        <f>IFERROR(VLOOKUP(Proc[[#This Row],[App]],Table2[],3,0),"open")</f>
        <v>ok</v>
      </c>
      <c r="C3984" s="138" t="s">
        <v>369</v>
      </c>
      <c r="D3984" t="s">
        <v>6143</v>
      </c>
      <c r="E3984" t="s">
        <v>1012</v>
      </c>
      <c r="F3984" s="129" t="s">
        <v>1012</v>
      </c>
      <c r="G3984" s="138" t="s">
        <v>400</v>
      </c>
      <c r="H3984" s="129" t="str">
        <f>IF(Proc[[#This Row],[type]]="LFF (MDG-F)",MID(Proc[[#This Row],[Obj]],13,10),"")</f>
        <v/>
      </c>
      <c r="J3984" s="129" t="b">
        <f>Proc[[#This Row],[Requested]]=Proc[[#This Row],[CurrentParent]]</f>
        <v>1</v>
      </c>
      <c r="K3984" s="144" t="str">
        <f>IF(Proc[[#This Row],[Author]]="Marcela Urrego",VLOOKUP(LEFT(Proc[[#This Row],[Requested]],1),Table3[#All],2,0),VLOOKUP(Proc[[#This Row],[Author]],Table4[],2,0))</f>
        <v>HC</v>
      </c>
      <c r="L3984" s="129" t="s">
        <v>4894</v>
      </c>
      <c r="M3984" s="136">
        <v>45898</v>
      </c>
      <c r="N3984" s="137"/>
      <c r="O3984" s="137"/>
      <c r="P3984" s="136" t="str">
        <f ca="1">IF(Proc[[#This Row],[DaysAgeing]]&gt;5,"yep","on track")</f>
        <v>yep</v>
      </c>
      <c r="Q3984" s="3">
        <f ca="1">IF(Proc[[#This Row],[DateClosed]]="",ABS(NETWORKDAYS(Proc[[#This Row],[DateOpened]],TODAY()))-1,ABS(NETWORKDAYS(Proc[[#This Row],[DateOpened]],Proc[[#This Row],[DateClosed]]))-1)</f>
        <v>75</v>
      </c>
      <c r="R3984" s="136" t="s">
        <v>1013</v>
      </c>
      <c r="S3984" s="129"/>
    </row>
    <row r="3985" spans="1:19">
      <c r="A3985" s="138" t="s">
        <v>6106</v>
      </c>
      <c r="B3985" s="149" t="str">
        <f>IFERROR(VLOOKUP(Proc[[#This Row],[App]],Table2[],3,0),"open")</f>
        <v>ok</v>
      </c>
      <c r="C3985" s="138" t="s">
        <v>369</v>
      </c>
      <c r="D3985" t="s">
        <v>6144</v>
      </c>
      <c r="E3985" t="s">
        <v>554</v>
      </c>
      <c r="F3985" s="129" t="s">
        <v>554</v>
      </c>
      <c r="G3985" s="138" t="s">
        <v>400</v>
      </c>
      <c r="H3985" s="129" t="str">
        <f>IF(Proc[[#This Row],[type]]="LFF (MDG-F)",MID(Proc[[#This Row],[Obj]],13,10),"")</f>
        <v/>
      </c>
      <c r="J3985" s="129" t="b">
        <f>Proc[[#This Row],[Requested]]=Proc[[#This Row],[CurrentParent]]</f>
        <v>1</v>
      </c>
      <c r="K3985" s="144" t="str">
        <f>IF(Proc[[#This Row],[Author]]="Marcela Urrego",VLOOKUP(LEFT(Proc[[#This Row],[Requested]],1),Table3[#All],2,0),VLOOKUP(Proc[[#This Row],[Author]],Table4[],2,0))</f>
        <v>HC</v>
      </c>
      <c r="L3985" s="129" t="s">
        <v>4894</v>
      </c>
      <c r="M3985" s="136">
        <v>45898</v>
      </c>
      <c r="N3985" s="137"/>
      <c r="O3985" s="137"/>
      <c r="P3985" s="136" t="str">
        <f ca="1">IF(Proc[[#This Row],[DaysAgeing]]&gt;5,"yep","on track")</f>
        <v>yep</v>
      </c>
      <c r="Q3985" s="3">
        <f ca="1">IF(Proc[[#This Row],[DateClosed]]="",ABS(NETWORKDAYS(Proc[[#This Row],[DateOpened]],TODAY()))-1,ABS(NETWORKDAYS(Proc[[#This Row],[DateOpened]],Proc[[#This Row],[DateClosed]]))-1)</f>
        <v>75</v>
      </c>
      <c r="R3985" s="136" t="s">
        <v>1013</v>
      </c>
      <c r="S3985" s="129"/>
    </row>
    <row r="3986" spans="1:19">
      <c r="A3986" s="138" t="s">
        <v>6106</v>
      </c>
      <c r="B3986" s="149" t="str">
        <f>IFERROR(VLOOKUP(Proc[[#This Row],[App]],Table2[],3,0),"open")</f>
        <v>ok</v>
      </c>
      <c r="C3986" s="138" t="s">
        <v>369</v>
      </c>
      <c r="D3986" t="s">
        <v>6145</v>
      </c>
      <c r="E3986" t="s">
        <v>554</v>
      </c>
      <c r="F3986" s="129" t="s">
        <v>554</v>
      </c>
      <c r="G3986" s="138" t="s">
        <v>400</v>
      </c>
      <c r="H3986" s="129" t="str">
        <f>IF(Proc[[#This Row],[type]]="LFF (MDG-F)",MID(Proc[[#This Row],[Obj]],13,10),"")</f>
        <v/>
      </c>
      <c r="J3986" s="129" t="b">
        <f>Proc[[#This Row],[Requested]]=Proc[[#This Row],[CurrentParent]]</f>
        <v>1</v>
      </c>
      <c r="K3986" s="144" t="str">
        <f>IF(Proc[[#This Row],[Author]]="Marcela Urrego",VLOOKUP(LEFT(Proc[[#This Row],[Requested]],1),Table3[#All],2,0),VLOOKUP(Proc[[#This Row],[Author]],Table4[],2,0))</f>
        <v>HC</v>
      </c>
      <c r="L3986" s="129" t="s">
        <v>4894</v>
      </c>
      <c r="M3986" s="136">
        <v>45898</v>
      </c>
      <c r="N3986" s="137"/>
      <c r="O3986" s="137"/>
      <c r="P3986" s="136" t="str">
        <f ca="1">IF(Proc[[#This Row],[DaysAgeing]]&gt;5,"yep","on track")</f>
        <v>yep</v>
      </c>
      <c r="Q3986" s="3">
        <f ca="1">IF(Proc[[#This Row],[DateClosed]]="",ABS(NETWORKDAYS(Proc[[#This Row],[DateOpened]],TODAY()))-1,ABS(NETWORKDAYS(Proc[[#This Row],[DateOpened]],Proc[[#This Row],[DateClosed]]))-1)</f>
        <v>75</v>
      </c>
      <c r="R3986" s="136" t="s">
        <v>1013</v>
      </c>
      <c r="S3986" s="129"/>
    </row>
    <row r="3987" spans="1:19">
      <c r="A3987" t="s">
        <v>6147</v>
      </c>
      <c r="B3987" s="149" t="str">
        <f>IFERROR(VLOOKUP(Proc[[#This Row],[App]],Table2[],3,0),"open")</f>
        <v>ok</v>
      </c>
      <c r="C3987" s="139" t="s">
        <v>369</v>
      </c>
      <c r="D3987" t="s">
        <v>6148</v>
      </c>
      <c r="E3987" s="139" t="s">
        <v>3543</v>
      </c>
      <c r="F3987" s="129" t="s">
        <v>3543</v>
      </c>
      <c r="G3987" s="139" t="s">
        <v>400</v>
      </c>
      <c r="H3987" s="129" t="str">
        <f>IF(Proc[[#This Row],[type]]="LFF (MDG-F)",MID(Proc[[#This Row],[Obj]],13,10),"")</f>
        <v/>
      </c>
      <c r="J3987" s="129" t="b">
        <f>Proc[[#This Row],[Requested]]=Proc[[#This Row],[CurrentParent]]</f>
        <v>1</v>
      </c>
      <c r="K3987" s="144" t="str">
        <f>IF(Proc[[#This Row],[Author]]="Marcela Urrego",VLOOKUP(LEFT(Proc[[#This Row],[Requested]],1),Table3[#All],2,0),VLOOKUP(Proc[[#This Row],[Author]],Table4[],2,0))</f>
        <v>LS</v>
      </c>
      <c r="L3987" s="129" t="s">
        <v>4894</v>
      </c>
      <c r="M3987" s="136">
        <v>45901</v>
      </c>
      <c r="N3987" s="137"/>
      <c r="O3987" s="137"/>
      <c r="P3987" s="136" t="str">
        <f ca="1">IF(Proc[[#This Row],[DaysAgeing]]&gt;5,"yep","on track")</f>
        <v>yep</v>
      </c>
      <c r="Q3987" s="3">
        <f ca="1">IF(Proc[[#This Row],[DateClosed]]="",ABS(NETWORKDAYS(Proc[[#This Row],[DateOpened]],TODAY()))-1,ABS(NETWORKDAYS(Proc[[#This Row],[DateOpened]],Proc[[#This Row],[DateClosed]]))-1)</f>
        <v>74</v>
      </c>
      <c r="R3987" s="136" t="s">
        <v>1262</v>
      </c>
      <c r="S3987" s="129"/>
    </row>
    <row r="3988" spans="1:19">
      <c r="A3988" t="s">
        <v>6160</v>
      </c>
      <c r="B3988" s="149" t="str">
        <f>IFERROR(VLOOKUP(Proc[[#This Row],[App]],Table2[],3,0),"open")</f>
        <v>ok</v>
      </c>
      <c r="C3988" s="142" t="s">
        <v>369</v>
      </c>
      <c r="D3988" t="s">
        <v>5277</v>
      </c>
      <c r="E3988" t="s">
        <v>6158</v>
      </c>
      <c r="F3988" s="140" t="s">
        <v>6158</v>
      </c>
      <c r="G3988" s="139" t="s">
        <v>406</v>
      </c>
      <c r="H3988" s="140" t="str">
        <f>IF(Proc[[#This Row],[type]]="LFF (MDG-F)",MID(Proc[[#This Row],[Obj]],13,10),"")</f>
        <v>CN90GIT120</v>
      </c>
      <c r="J3988" s="140" t="b">
        <f>Proc[[#This Row],[Requested]]=Proc[[#This Row],[CurrentParent]]</f>
        <v>1</v>
      </c>
      <c r="K3988" s="144" t="str">
        <f>IF(Proc[[#This Row],[Author]]="Marcela Urrego",VLOOKUP(LEFT(Proc[[#This Row],[Requested]],1),Table3[#All],2,0),VLOOKUP(Proc[[#This Row],[Author]],Table4[],2,0))</f>
        <v>MGF</v>
      </c>
      <c r="L3988" s="140" t="s">
        <v>4894</v>
      </c>
      <c r="M3988" s="136">
        <v>45901</v>
      </c>
      <c r="N3988" s="137"/>
      <c r="O3988" s="137"/>
      <c r="P3988" s="136" t="str">
        <f ca="1">IF(Proc[[#This Row],[DaysAgeing]]&gt;5,"yep","on track")</f>
        <v>yep</v>
      </c>
      <c r="Q3988" s="3">
        <f ca="1">IF(Proc[[#This Row],[DateClosed]]="",ABS(NETWORKDAYS(Proc[[#This Row],[DateOpened]],TODAY()))-1,ABS(NETWORKDAYS(Proc[[#This Row],[DateOpened]],Proc[[#This Row],[DateClosed]]))-1)</f>
        <v>74</v>
      </c>
      <c r="R3988" s="136" t="s">
        <v>1459</v>
      </c>
      <c r="S3988" s="140"/>
    </row>
    <row r="3989" spans="1:19">
      <c r="A3989" s="139" t="s">
        <v>6160</v>
      </c>
      <c r="B3989" s="149" t="str">
        <f>IFERROR(VLOOKUP(Proc[[#This Row],[App]],Table2[],3,0),"open")</f>
        <v>ok</v>
      </c>
      <c r="C3989" s="142" t="s">
        <v>369</v>
      </c>
      <c r="D3989" t="s">
        <v>6150</v>
      </c>
      <c r="E3989" t="s">
        <v>4411</v>
      </c>
      <c r="F3989" s="140" t="s">
        <v>4411</v>
      </c>
      <c r="G3989" t="s">
        <v>400</v>
      </c>
      <c r="H3989" s="140" t="str">
        <f>IF(Proc[[#This Row],[type]]="LFF (MDG-F)",MID(Proc[[#This Row],[Obj]],13,10),"")</f>
        <v/>
      </c>
      <c r="J3989" s="140" t="b">
        <f>Proc[[#This Row],[Requested]]=Proc[[#This Row],[CurrentParent]]</f>
        <v>1</v>
      </c>
      <c r="K3989" s="144" t="str">
        <f>IF(Proc[[#This Row],[Author]]="Marcela Urrego",VLOOKUP(LEFT(Proc[[#This Row],[Requested]],1),Table3[#All],2,0),VLOOKUP(Proc[[#This Row],[Author]],Table4[],2,0))</f>
        <v>MGF</v>
      </c>
      <c r="L3989" s="140" t="s">
        <v>4894</v>
      </c>
      <c r="M3989" s="136">
        <v>45901</v>
      </c>
      <c r="N3989" s="137"/>
      <c r="O3989" s="137"/>
      <c r="P3989" s="136" t="str">
        <f ca="1">IF(Proc[[#This Row],[DaysAgeing]]&gt;5,"yep","on track")</f>
        <v>yep</v>
      </c>
      <c r="Q3989" s="3">
        <f ca="1">IF(Proc[[#This Row],[DateClosed]]="",ABS(NETWORKDAYS(Proc[[#This Row],[DateOpened]],TODAY()))-1,ABS(NETWORKDAYS(Proc[[#This Row],[DateOpened]],Proc[[#This Row],[DateClosed]]))-1)</f>
        <v>74</v>
      </c>
      <c r="R3989" s="136" t="s">
        <v>1459</v>
      </c>
      <c r="S3989" s="140"/>
    </row>
    <row r="3990" spans="1:19">
      <c r="A3990" s="139" t="s">
        <v>6160</v>
      </c>
      <c r="B3990" s="149" t="str">
        <f>IFERROR(VLOOKUP(Proc[[#This Row],[App]],Table2[],3,0),"open")</f>
        <v>ok</v>
      </c>
      <c r="C3990" s="142" t="s">
        <v>369</v>
      </c>
      <c r="D3990" t="s">
        <v>6151</v>
      </c>
      <c r="E3990" t="s">
        <v>5452</v>
      </c>
      <c r="F3990" s="140" t="s">
        <v>5452</v>
      </c>
      <c r="G3990" s="139" t="s">
        <v>406</v>
      </c>
      <c r="H3990" s="140" t="str">
        <f>IF(Proc[[#This Row],[type]]="LFF (MDG-F)",MID(Proc[[#This Row],[Obj]],13,10),"")</f>
        <v>AE50GIT02C</v>
      </c>
      <c r="J3990" s="140" t="b">
        <f>Proc[[#This Row],[Requested]]=Proc[[#This Row],[CurrentParent]]</f>
        <v>1</v>
      </c>
      <c r="K3990" s="144" t="str">
        <f>IF(Proc[[#This Row],[Author]]="Marcela Urrego",VLOOKUP(LEFT(Proc[[#This Row],[Requested]],1),Table3[#All],2,0),VLOOKUP(Proc[[#This Row],[Author]],Table4[],2,0))</f>
        <v>MGF</v>
      </c>
      <c r="L3990" s="140" t="s">
        <v>4894</v>
      </c>
      <c r="M3990" s="136">
        <v>45901</v>
      </c>
      <c r="N3990" s="137"/>
      <c r="O3990" s="137"/>
      <c r="P3990" s="136" t="str">
        <f ca="1">IF(Proc[[#This Row],[DaysAgeing]]&gt;5,"yep","on track")</f>
        <v>yep</v>
      </c>
      <c r="Q3990" s="3">
        <f ca="1">IF(Proc[[#This Row],[DateClosed]]="",ABS(NETWORKDAYS(Proc[[#This Row],[DateOpened]],TODAY()))-1,ABS(NETWORKDAYS(Proc[[#This Row],[DateOpened]],Proc[[#This Row],[DateClosed]]))-1)</f>
        <v>74</v>
      </c>
      <c r="R3990" s="136" t="s">
        <v>1459</v>
      </c>
      <c r="S3990" s="140"/>
    </row>
    <row r="3991" spans="1:19">
      <c r="A3991" s="139" t="s">
        <v>6160</v>
      </c>
      <c r="B3991" s="149" t="str">
        <f>IFERROR(VLOOKUP(Proc[[#This Row],[App]],Table2[],3,0),"open")</f>
        <v>ok</v>
      </c>
      <c r="C3991" s="149" t="s">
        <v>377</v>
      </c>
      <c r="D3991" t="s">
        <v>2319</v>
      </c>
      <c r="E3991" t="s">
        <v>430</v>
      </c>
      <c r="F3991" s="150" t="s">
        <v>5569</v>
      </c>
      <c r="G3991" s="139" t="s">
        <v>406</v>
      </c>
      <c r="H3991" s="140" t="str">
        <f>IF(Proc[[#This Row],[type]]="LFF (MDG-F)",MID(Proc[[#This Row],[Obj]],13,10),"")</f>
        <v>DE65GIT032</v>
      </c>
      <c r="I3991" s="149" t="s">
        <v>4832</v>
      </c>
      <c r="J3991" s="140" t="b">
        <f>Proc[[#This Row],[Requested]]=Proc[[#This Row],[CurrentParent]]</f>
        <v>0</v>
      </c>
      <c r="K3991" s="144" t="str">
        <f>IF(Proc[[#This Row],[Author]]="Marcela Urrego",VLOOKUP(LEFT(Proc[[#This Row],[Requested]],1),Table3[#All],2,0),VLOOKUP(Proc[[#This Row],[Author]],Table4[],2,0))</f>
        <v>MGF</v>
      </c>
      <c r="L3991" s="140" t="s">
        <v>4894</v>
      </c>
      <c r="M3991" s="136">
        <v>45901</v>
      </c>
      <c r="N3991" s="137"/>
      <c r="O3991" s="137"/>
      <c r="P3991" s="136" t="str">
        <f ca="1">IF(Proc[[#This Row],[DaysAgeing]]&gt;5,"yep","on track")</f>
        <v>yep</v>
      </c>
      <c r="Q3991" s="3">
        <f ca="1">IF(Proc[[#This Row],[DateClosed]]="",ABS(NETWORKDAYS(Proc[[#This Row],[DateOpened]],TODAY()))-1,ABS(NETWORKDAYS(Proc[[#This Row],[DateOpened]],Proc[[#This Row],[DateClosed]]))-1)</f>
        <v>74</v>
      </c>
      <c r="R3991" s="136" t="s">
        <v>1459</v>
      </c>
      <c r="S3991" s="140"/>
    </row>
    <row r="3992" spans="1:19">
      <c r="A3992" s="139" t="s">
        <v>6160</v>
      </c>
      <c r="B3992" s="149" t="str">
        <f>IFERROR(VLOOKUP(Proc[[#This Row],[App]],Table2[],3,0),"open")</f>
        <v>ok</v>
      </c>
      <c r="C3992" s="149" t="s">
        <v>692</v>
      </c>
      <c r="D3992" t="s">
        <v>6152</v>
      </c>
      <c r="E3992" t="s">
        <v>427</v>
      </c>
      <c r="F3992" s="150" t="s">
        <v>446</v>
      </c>
      <c r="G3992" s="139" t="s">
        <v>406</v>
      </c>
      <c r="H3992" s="140" t="str">
        <f>IF(Proc[[#This Row],[type]]="LFF (MDG-F)",MID(Proc[[#This Row],[Obj]],13,10),"")</f>
        <v>SG09GBT020</v>
      </c>
      <c r="I3992" s="149" t="s">
        <v>4832</v>
      </c>
      <c r="J3992" s="140" t="b">
        <f>Proc[[#This Row],[Requested]]=Proc[[#This Row],[CurrentParent]]</f>
        <v>0</v>
      </c>
      <c r="K3992" s="144" t="str">
        <f>IF(Proc[[#This Row],[Author]]="Marcela Urrego",VLOOKUP(LEFT(Proc[[#This Row],[Requested]],1),Table3[#All],2,0),VLOOKUP(Proc[[#This Row],[Author]],Table4[],2,0))</f>
        <v>MGF</v>
      </c>
      <c r="L3992" s="140" t="s">
        <v>4894</v>
      </c>
      <c r="M3992" s="136">
        <v>45901</v>
      </c>
      <c r="N3992" s="137"/>
      <c r="O3992" s="137"/>
      <c r="P3992" s="136" t="str">
        <f ca="1">IF(Proc[[#This Row],[DaysAgeing]]&gt;5,"yep","on track")</f>
        <v>yep</v>
      </c>
      <c r="Q3992" s="3">
        <f ca="1">IF(Proc[[#This Row],[DateClosed]]="",ABS(NETWORKDAYS(Proc[[#This Row],[DateOpened]],TODAY()))-1,ABS(NETWORKDAYS(Proc[[#This Row],[DateOpened]],Proc[[#This Row],[DateClosed]]))-1)</f>
        <v>74</v>
      </c>
      <c r="R3992" s="136" t="s">
        <v>1459</v>
      </c>
      <c r="S3992" s="140"/>
    </row>
    <row r="3993" spans="1:19">
      <c r="A3993" s="139" t="s">
        <v>6160</v>
      </c>
      <c r="B3993" s="149" t="str">
        <f>IFERROR(VLOOKUP(Proc[[#This Row],[App]],Table2[],3,0),"open")</f>
        <v>ok</v>
      </c>
      <c r="C3993" s="142" t="s">
        <v>369</v>
      </c>
      <c r="D3993" t="s">
        <v>5967</v>
      </c>
      <c r="E3993" t="s">
        <v>424</v>
      </c>
      <c r="F3993" s="140" t="s">
        <v>424</v>
      </c>
      <c r="G3993" s="139" t="s">
        <v>406</v>
      </c>
      <c r="H3993" s="140" t="str">
        <f>IF(Proc[[#This Row],[type]]="LFF (MDG-F)",MID(Proc[[#This Row],[Obj]],13,10),"")</f>
        <v>JP01GIT01B</v>
      </c>
      <c r="J3993" s="140" t="b">
        <f>Proc[[#This Row],[Requested]]=Proc[[#This Row],[CurrentParent]]</f>
        <v>1</v>
      </c>
      <c r="K3993" s="144" t="str">
        <f>IF(Proc[[#This Row],[Author]]="Marcela Urrego",VLOOKUP(LEFT(Proc[[#This Row],[Requested]],1),Table3[#All],2,0),VLOOKUP(Proc[[#This Row],[Author]],Table4[],2,0))</f>
        <v>MGF</v>
      </c>
      <c r="L3993" s="140" t="s">
        <v>4894</v>
      </c>
      <c r="M3993" s="136">
        <v>45901</v>
      </c>
      <c r="N3993" s="137"/>
      <c r="O3993" s="137"/>
      <c r="P3993" s="136" t="str">
        <f ca="1">IF(Proc[[#This Row],[DaysAgeing]]&gt;5,"yep","on track")</f>
        <v>yep</v>
      </c>
      <c r="Q3993" s="3">
        <f ca="1">IF(Proc[[#This Row],[DateClosed]]="",ABS(NETWORKDAYS(Proc[[#This Row],[DateOpened]],TODAY()))-1,ABS(NETWORKDAYS(Proc[[#This Row],[DateOpened]],Proc[[#This Row],[DateClosed]]))-1)</f>
        <v>74</v>
      </c>
      <c r="R3993" s="136" t="s">
        <v>1459</v>
      </c>
      <c r="S3993" s="140"/>
    </row>
    <row r="3994" spans="1:19">
      <c r="A3994" s="139" t="s">
        <v>6160</v>
      </c>
      <c r="B3994" s="149" t="str">
        <f>IFERROR(VLOOKUP(Proc[[#This Row],[App]],Table2[],3,0),"open")</f>
        <v>ok</v>
      </c>
      <c r="C3994" s="142" t="s">
        <v>369</v>
      </c>
      <c r="D3994" t="s">
        <v>6153</v>
      </c>
      <c r="E3994" t="s">
        <v>5452</v>
      </c>
      <c r="F3994" s="140" t="s">
        <v>5452</v>
      </c>
      <c r="G3994" s="139" t="s">
        <v>400</v>
      </c>
      <c r="H3994" s="140" t="str">
        <f>IF(Proc[[#This Row],[type]]="LFF (MDG-F)",MID(Proc[[#This Row],[Obj]],13,10),"")</f>
        <v/>
      </c>
      <c r="J3994" s="140" t="b">
        <f>Proc[[#This Row],[Requested]]=Proc[[#This Row],[CurrentParent]]</f>
        <v>1</v>
      </c>
      <c r="K3994" s="144" t="str">
        <f>IF(Proc[[#This Row],[Author]]="Marcela Urrego",VLOOKUP(LEFT(Proc[[#This Row],[Requested]],1),Table3[#All],2,0),VLOOKUP(Proc[[#This Row],[Author]],Table4[],2,0))</f>
        <v>MGF</v>
      </c>
      <c r="L3994" s="140" t="s">
        <v>4894</v>
      </c>
      <c r="M3994" s="136">
        <v>45901</v>
      </c>
      <c r="N3994" s="137"/>
      <c r="O3994" s="137"/>
      <c r="P3994" s="136" t="str">
        <f ca="1">IF(Proc[[#This Row],[DaysAgeing]]&gt;5,"yep","on track")</f>
        <v>yep</v>
      </c>
      <c r="Q3994" s="3">
        <f ca="1">IF(Proc[[#This Row],[DateClosed]]="",ABS(NETWORKDAYS(Proc[[#This Row],[DateOpened]],TODAY()))-1,ABS(NETWORKDAYS(Proc[[#This Row],[DateOpened]],Proc[[#This Row],[DateClosed]]))-1)</f>
        <v>74</v>
      </c>
      <c r="R3994" s="136" t="s">
        <v>1459</v>
      </c>
      <c r="S3994" s="140"/>
    </row>
    <row r="3995" spans="1:19">
      <c r="A3995" s="139" t="s">
        <v>6160</v>
      </c>
      <c r="B3995" s="149" t="str">
        <f>IFERROR(VLOOKUP(Proc[[#This Row],[App]],Table2[],3,0),"open")</f>
        <v>ok</v>
      </c>
      <c r="C3995" s="142" t="s">
        <v>369</v>
      </c>
      <c r="D3995" t="s">
        <v>4400</v>
      </c>
      <c r="E3995" t="s">
        <v>4409</v>
      </c>
      <c r="F3995" s="140" t="s">
        <v>4409</v>
      </c>
      <c r="G3995" s="139" t="s">
        <v>406</v>
      </c>
      <c r="H3995" s="140" t="str">
        <f>IF(Proc[[#This Row],[type]]="LFF (MDG-F)",MID(Proc[[#This Row],[Obj]],13,10),"")</f>
        <v>DE10677800</v>
      </c>
      <c r="J3995" s="140" t="b">
        <f>Proc[[#This Row],[Requested]]=Proc[[#This Row],[CurrentParent]]</f>
        <v>1</v>
      </c>
      <c r="K3995" s="144" t="str">
        <f>IF(Proc[[#This Row],[Author]]="Marcela Urrego",VLOOKUP(LEFT(Proc[[#This Row],[Requested]],1),Table3[#All],2,0),VLOOKUP(Proc[[#This Row],[Author]],Table4[],2,0))</f>
        <v>MGF</v>
      </c>
      <c r="L3995" s="140" t="s">
        <v>4894</v>
      </c>
      <c r="M3995" s="136">
        <v>45901</v>
      </c>
      <c r="N3995" s="137"/>
      <c r="O3995" s="137"/>
      <c r="P3995" s="136" t="str">
        <f ca="1">IF(Proc[[#This Row],[DaysAgeing]]&gt;5,"yep","on track")</f>
        <v>yep</v>
      </c>
      <c r="Q3995" s="3">
        <f ca="1">IF(Proc[[#This Row],[DateClosed]]="",ABS(NETWORKDAYS(Proc[[#This Row],[DateOpened]],TODAY()))-1,ABS(NETWORKDAYS(Proc[[#This Row],[DateOpened]],Proc[[#This Row],[DateClosed]]))-1)</f>
        <v>74</v>
      </c>
      <c r="R3995" s="136" t="s">
        <v>1459</v>
      </c>
      <c r="S3995" s="140"/>
    </row>
    <row r="3996" spans="1:19">
      <c r="A3996" s="139" t="s">
        <v>6160</v>
      </c>
      <c r="B3996" s="149" t="str">
        <f>IFERROR(VLOOKUP(Proc[[#This Row],[App]],Table2[],3,0),"open")</f>
        <v>ok</v>
      </c>
      <c r="C3996" s="142" t="s">
        <v>369</v>
      </c>
      <c r="D3996" t="s">
        <v>5326</v>
      </c>
      <c r="E3996" t="s">
        <v>4410</v>
      </c>
      <c r="F3996" s="140" t="s">
        <v>4410</v>
      </c>
      <c r="G3996" s="139" t="s">
        <v>406</v>
      </c>
      <c r="H3996" s="140" t="str">
        <f>IF(Proc[[#This Row],[type]]="LFF (MDG-F)",MID(Proc[[#This Row],[Obj]],13,10),"")</f>
        <v>DE10685700</v>
      </c>
      <c r="J3996" s="140" t="b">
        <f>Proc[[#This Row],[Requested]]=Proc[[#This Row],[CurrentParent]]</f>
        <v>1</v>
      </c>
      <c r="K3996" s="144" t="str">
        <f>IF(Proc[[#This Row],[Author]]="Marcela Urrego",VLOOKUP(LEFT(Proc[[#This Row],[Requested]],1),Table3[#All],2,0),VLOOKUP(Proc[[#This Row],[Author]],Table4[],2,0))</f>
        <v>MGF</v>
      </c>
      <c r="L3996" s="140" t="s">
        <v>4894</v>
      </c>
      <c r="M3996" s="136">
        <v>45901</v>
      </c>
      <c r="N3996" s="137"/>
      <c r="O3996" s="137"/>
      <c r="P3996" s="136" t="str">
        <f ca="1">IF(Proc[[#This Row],[DaysAgeing]]&gt;5,"yep","on track")</f>
        <v>yep</v>
      </c>
      <c r="Q3996" s="3">
        <f ca="1">IF(Proc[[#This Row],[DateClosed]]="",ABS(NETWORKDAYS(Proc[[#This Row],[DateOpened]],TODAY()))-1,ABS(NETWORKDAYS(Proc[[#This Row],[DateOpened]],Proc[[#This Row],[DateClosed]]))-1)</f>
        <v>74</v>
      </c>
      <c r="R3996" s="136" t="s">
        <v>1459</v>
      </c>
      <c r="S3996" s="140"/>
    </row>
    <row r="3997" spans="1:19">
      <c r="A3997" s="139" t="s">
        <v>6160</v>
      </c>
      <c r="B3997" s="149" t="str">
        <f>IFERROR(VLOOKUP(Proc[[#This Row],[App]],Table2[],3,0),"open")</f>
        <v>ok</v>
      </c>
      <c r="C3997" s="142" t="s">
        <v>369</v>
      </c>
      <c r="D3997" t="s">
        <v>5398</v>
      </c>
      <c r="E3997" t="s">
        <v>6158</v>
      </c>
      <c r="F3997" s="140" t="s">
        <v>6158</v>
      </c>
      <c r="G3997" s="139" t="s">
        <v>400</v>
      </c>
      <c r="H3997" s="140" t="str">
        <f>IF(Proc[[#This Row],[type]]="LFF (MDG-F)",MID(Proc[[#This Row],[Obj]],13,10),"")</f>
        <v/>
      </c>
      <c r="J3997" s="140" t="b">
        <f>Proc[[#This Row],[Requested]]=Proc[[#This Row],[CurrentParent]]</f>
        <v>1</v>
      </c>
      <c r="K3997" s="144" t="str">
        <f>IF(Proc[[#This Row],[Author]]="Marcela Urrego",VLOOKUP(LEFT(Proc[[#This Row],[Requested]],1),Table3[#All],2,0),VLOOKUP(Proc[[#This Row],[Author]],Table4[],2,0))</f>
        <v>MGF</v>
      </c>
      <c r="L3997" s="140" t="s">
        <v>4894</v>
      </c>
      <c r="M3997" s="136">
        <v>45901</v>
      </c>
      <c r="N3997" s="137"/>
      <c r="O3997" s="137"/>
      <c r="P3997" s="136" t="str">
        <f ca="1">IF(Proc[[#This Row],[DaysAgeing]]&gt;5,"yep","on track")</f>
        <v>yep</v>
      </c>
      <c r="Q3997" s="3">
        <f ca="1">IF(Proc[[#This Row],[DateClosed]]="",ABS(NETWORKDAYS(Proc[[#This Row],[DateOpened]],TODAY()))-1,ABS(NETWORKDAYS(Proc[[#This Row],[DateOpened]],Proc[[#This Row],[DateClosed]]))-1)</f>
        <v>74</v>
      </c>
      <c r="R3997" s="136" t="s">
        <v>1459</v>
      </c>
      <c r="S3997" s="140"/>
    </row>
    <row r="3998" spans="1:19">
      <c r="A3998" s="139" t="s">
        <v>6160</v>
      </c>
      <c r="B3998" s="149" t="str">
        <f>IFERROR(VLOOKUP(Proc[[#This Row],[App]],Table2[],3,0),"open")</f>
        <v>ok</v>
      </c>
      <c r="C3998" s="142" t="s">
        <v>369</v>
      </c>
      <c r="D3998" t="s">
        <v>6154</v>
      </c>
      <c r="E3998" t="s">
        <v>759</v>
      </c>
      <c r="F3998" s="140" t="s">
        <v>759</v>
      </c>
      <c r="G3998" s="139" t="s">
        <v>400</v>
      </c>
      <c r="H3998" s="140" t="str">
        <f>IF(Proc[[#This Row],[type]]="LFF (MDG-F)",MID(Proc[[#This Row],[Obj]],13,10),"")</f>
        <v/>
      </c>
      <c r="J3998" s="140" t="b">
        <f>Proc[[#This Row],[Requested]]=Proc[[#This Row],[CurrentParent]]</f>
        <v>1</v>
      </c>
      <c r="K3998" s="144" t="str">
        <f>IF(Proc[[#This Row],[Author]]="Marcela Urrego",VLOOKUP(LEFT(Proc[[#This Row],[Requested]],1),Table3[#All],2,0),VLOOKUP(Proc[[#This Row],[Author]],Table4[],2,0))</f>
        <v>MGF</v>
      </c>
      <c r="L3998" s="140" t="s">
        <v>4894</v>
      </c>
      <c r="M3998" s="136">
        <v>45901</v>
      </c>
      <c r="N3998" s="137"/>
      <c r="O3998" s="137"/>
      <c r="P3998" s="136" t="str">
        <f ca="1">IF(Proc[[#This Row],[DaysAgeing]]&gt;5,"yep","on track")</f>
        <v>yep</v>
      </c>
      <c r="Q3998" s="3">
        <f ca="1">IF(Proc[[#This Row],[DateClosed]]="",ABS(NETWORKDAYS(Proc[[#This Row],[DateOpened]],TODAY()))-1,ABS(NETWORKDAYS(Proc[[#This Row],[DateOpened]],Proc[[#This Row],[DateClosed]]))-1)</f>
        <v>74</v>
      </c>
      <c r="R3998" s="136" t="s">
        <v>1459</v>
      </c>
      <c r="S3998" s="140"/>
    </row>
    <row r="3999" spans="1:19">
      <c r="A3999" s="139" t="s">
        <v>6160</v>
      </c>
      <c r="B3999" s="149" t="str">
        <f>IFERROR(VLOOKUP(Proc[[#This Row],[App]],Table2[],3,0),"open")</f>
        <v>ok</v>
      </c>
      <c r="C3999" s="142" t="s">
        <v>369</v>
      </c>
      <c r="D3999" t="s">
        <v>5399</v>
      </c>
      <c r="E3999" t="s">
        <v>6158</v>
      </c>
      <c r="F3999" s="140" t="s">
        <v>6158</v>
      </c>
      <c r="G3999" s="139" t="s">
        <v>400</v>
      </c>
      <c r="H3999" s="140" t="str">
        <f>IF(Proc[[#This Row],[type]]="LFF (MDG-F)",MID(Proc[[#This Row],[Obj]],13,10),"")</f>
        <v/>
      </c>
      <c r="J3999" s="140" t="b">
        <f>Proc[[#This Row],[Requested]]=Proc[[#This Row],[CurrentParent]]</f>
        <v>1</v>
      </c>
      <c r="K3999" s="144" t="str">
        <f>IF(Proc[[#This Row],[Author]]="Marcela Urrego",VLOOKUP(LEFT(Proc[[#This Row],[Requested]],1),Table3[#All],2,0),VLOOKUP(Proc[[#This Row],[Author]],Table4[],2,0))</f>
        <v>MGF</v>
      </c>
      <c r="L3999" s="140" t="s">
        <v>4894</v>
      </c>
      <c r="M3999" s="136">
        <v>45901</v>
      </c>
      <c r="N3999" s="137"/>
      <c r="O3999" s="137"/>
      <c r="P3999" s="136" t="str">
        <f ca="1">IF(Proc[[#This Row],[DaysAgeing]]&gt;5,"yep","on track")</f>
        <v>yep</v>
      </c>
      <c r="Q3999" s="3">
        <f ca="1">IF(Proc[[#This Row],[DateClosed]]="",ABS(NETWORKDAYS(Proc[[#This Row],[DateOpened]],TODAY()))-1,ABS(NETWORKDAYS(Proc[[#This Row],[DateOpened]],Proc[[#This Row],[DateClosed]]))-1)</f>
        <v>74</v>
      </c>
      <c r="R3999" s="136" t="s">
        <v>1459</v>
      </c>
      <c r="S3999" s="140"/>
    </row>
    <row r="4000" spans="1:19">
      <c r="A4000" s="139" t="s">
        <v>6160</v>
      </c>
      <c r="B4000" s="149" t="str">
        <f>IFERROR(VLOOKUP(Proc[[#This Row],[App]],Table2[],3,0),"open")</f>
        <v>ok</v>
      </c>
      <c r="C4000" s="142" t="s">
        <v>369</v>
      </c>
      <c r="D4000" t="s">
        <v>5418</v>
      </c>
      <c r="E4000" t="s">
        <v>6158</v>
      </c>
      <c r="F4000" s="140" t="s">
        <v>6158</v>
      </c>
      <c r="G4000" s="139" t="s">
        <v>406</v>
      </c>
      <c r="H4000" s="140" t="str">
        <f>IF(Proc[[#This Row],[type]]="LFF (MDG-F)",MID(Proc[[#This Row],[Obj]],13,10),"")</f>
        <v>2123GIT129</v>
      </c>
      <c r="J4000" s="140" t="b">
        <f>Proc[[#This Row],[Requested]]=Proc[[#This Row],[CurrentParent]]</f>
        <v>1</v>
      </c>
      <c r="K4000" s="144" t="str">
        <f>IF(Proc[[#This Row],[Author]]="Marcela Urrego",VLOOKUP(LEFT(Proc[[#This Row],[Requested]],1),Table3[#All],2,0),VLOOKUP(Proc[[#This Row],[Author]],Table4[],2,0))</f>
        <v>MGF</v>
      </c>
      <c r="L4000" s="140" t="s">
        <v>4894</v>
      </c>
      <c r="M4000" s="136">
        <v>45901</v>
      </c>
      <c r="N4000" s="137"/>
      <c r="O4000" s="137"/>
      <c r="P4000" s="136" t="str">
        <f ca="1">IF(Proc[[#This Row],[DaysAgeing]]&gt;5,"yep","on track")</f>
        <v>yep</v>
      </c>
      <c r="Q4000" s="3">
        <f ca="1">IF(Proc[[#This Row],[DateClosed]]="",ABS(NETWORKDAYS(Proc[[#This Row],[DateOpened]],TODAY()))-1,ABS(NETWORKDAYS(Proc[[#This Row],[DateOpened]],Proc[[#This Row],[DateClosed]]))-1)</f>
        <v>74</v>
      </c>
      <c r="R4000" s="136" t="s">
        <v>1459</v>
      </c>
      <c r="S4000" s="140"/>
    </row>
    <row r="4001" spans="1:19">
      <c r="A4001" s="139" t="s">
        <v>6160</v>
      </c>
      <c r="B4001" s="149" t="str">
        <f>IFERROR(VLOOKUP(Proc[[#This Row],[App]],Table2[],3,0),"open")</f>
        <v>ok</v>
      </c>
      <c r="C4001" s="149" t="s">
        <v>692</v>
      </c>
      <c r="D4001" t="s">
        <v>6155</v>
      </c>
      <c r="E4001" t="s">
        <v>427</v>
      </c>
      <c r="F4001" s="150" t="s">
        <v>446</v>
      </c>
      <c r="G4001" s="139" t="s">
        <v>406</v>
      </c>
      <c r="H4001" s="140" t="str">
        <f>IF(Proc[[#This Row],[type]]="LFF (MDG-F)",MID(Proc[[#This Row],[Obj]],13,10),"")</f>
        <v>2128GIT020</v>
      </c>
      <c r="I4001" s="149" t="s">
        <v>4832</v>
      </c>
      <c r="J4001" s="140" t="b">
        <f>Proc[[#This Row],[Requested]]=Proc[[#This Row],[CurrentParent]]</f>
        <v>0</v>
      </c>
      <c r="K4001" s="144" t="str">
        <f>IF(Proc[[#This Row],[Author]]="Marcela Urrego",VLOOKUP(LEFT(Proc[[#This Row],[Requested]],1),Table3[#All],2,0),VLOOKUP(Proc[[#This Row],[Author]],Table4[],2,0))</f>
        <v>MGF</v>
      </c>
      <c r="L4001" s="140" t="s">
        <v>4894</v>
      </c>
      <c r="M4001" s="136">
        <v>45901</v>
      </c>
      <c r="N4001" s="137"/>
      <c r="O4001" s="137"/>
      <c r="P4001" s="136" t="str">
        <f ca="1">IF(Proc[[#This Row],[DaysAgeing]]&gt;5,"yep","on track")</f>
        <v>yep</v>
      </c>
      <c r="Q4001" s="3">
        <f ca="1">IF(Proc[[#This Row],[DateClosed]]="",ABS(NETWORKDAYS(Proc[[#This Row],[DateOpened]],TODAY()))-1,ABS(NETWORKDAYS(Proc[[#This Row],[DateOpened]],Proc[[#This Row],[DateClosed]]))-1)</f>
        <v>74</v>
      </c>
      <c r="R4001" s="136" t="s">
        <v>1459</v>
      </c>
      <c r="S4001" s="140"/>
    </row>
    <row r="4002" spans="1:19">
      <c r="A4002" s="139" t="s">
        <v>6160</v>
      </c>
      <c r="B4002" s="149" t="str">
        <f>IFERROR(VLOOKUP(Proc[[#This Row],[App]],Table2[],3,0),"open")</f>
        <v>ok</v>
      </c>
      <c r="C4002" s="142" t="s">
        <v>369</v>
      </c>
      <c r="D4002" t="s">
        <v>5434</v>
      </c>
      <c r="E4002" t="s">
        <v>662</v>
      </c>
      <c r="F4002" s="140" t="s">
        <v>662</v>
      </c>
      <c r="G4002" s="139" t="s">
        <v>400</v>
      </c>
      <c r="H4002" s="140" t="str">
        <f>IF(Proc[[#This Row],[type]]="LFF (MDG-F)",MID(Proc[[#This Row],[Obj]],13,10),"")</f>
        <v/>
      </c>
      <c r="J4002" s="140" t="b">
        <f>Proc[[#This Row],[Requested]]=Proc[[#This Row],[CurrentParent]]</f>
        <v>1</v>
      </c>
      <c r="K4002" s="144" t="str">
        <f>IF(Proc[[#This Row],[Author]]="Marcela Urrego",VLOOKUP(LEFT(Proc[[#This Row],[Requested]],1),Table3[#All],2,0),VLOOKUP(Proc[[#This Row],[Author]],Table4[],2,0))</f>
        <v>MGF</v>
      </c>
      <c r="L4002" s="140" t="s">
        <v>4894</v>
      </c>
      <c r="M4002" s="136">
        <v>45901</v>
      </c>
      <c r="N4002" s="137"/>
      <c r="O4002" s="137"/>
      <c r="P4002" s="136" t="str">
        <f ca="1">IF(Proc[[#This Row],[DaysAgeing]]&gt;5,"yep","on track")</f>
        <v>yep</v>
      </c>
      <c r="Q4002" s="3">
        <f ca="1">IF(Proc[[#This Row],[DateClosed]]="",ABS(NETWORKDAYS(Proc[[#This Row],[DateOpened]],TODAY()))-1,ABS(NETWORKDAYS(Proc[[#This Row],[DateOpened]],Proc[[#This Row],[DateClosed]]))-1)</f>
        <v>74</v>
      </c>
      <c r="R4002" s="136" t="s">
        <v>1459</v>
      </c>
      <c r="S4002" s="140"/>
    </row>
    <row r="4003" spans="1:19">
      <c r="A4003" s="139" t="s">
        <v>6160</v>
      </c>
      <c r="B4003" s="149" t="str">
        <f>IFERROR(VLOOKUP(Proc[[#This Row],[App]],Table2[],3,0),"open")</f>
        <v>ok</v>
      </c>
      <c r="C4003" s="142" t="s">
        <v>369</v>
      </c>
      <c r="D4003" t="s">
        <v>6156</v>
      </c>
      <c r="E4003" t="s">
        <v>6159</v>
      </c>
      <c r="F4003" s="140" t="s">
        <v>6159</v>
      </c>
      <c r="G4003" s="139" t="s">
        <v>406</v>
      </c>
      <c r="H4003" s="140" t="str">
        <f>IF(Proc[[#This Row],[type]]="LFF (MDG-F)",MID(Proc[[#This Row],[Obj]],13,10),"")</f>
        <v>US10GIT034</v>
      </c>
      <c r="J4003" s="140" t="b">
        <f>Proc[[#This Row],[Requested]]=Proc[[#This Row],[CurrentParent]]</f>
        <v>1</v>
      </c>
      <c r="K4003" s="144" t="str">
        <f>IF(Proc[[#This Row],[Author]]="Marcela Urrego",VLOOKUP(LEFT(Proc[[#This Row],[Requested]],1),Table3[#All],2,0),VLOOKUP(Proc[[#This Row],[Author]],Table4[],2,0))</f>
        <v>MGF</v>
      </c>
      <c r="L4003" s="140" t="s">
        <v>4894</v>
      </c>
      <c r="M4003" s="136">
        <v>45901</v>
      </c>
      <c r="N4003" s="137"/>
      <c r="O4003" s="137"/>
      <c r="P4003" s="136" t="str">
        <f ca="1">IF(Proc[[#This Row],[DaysAgeing]]&gt;5,"yep","on track")</f>
        <v>yep</v>
      </c>
      <c r="Q4003" s="3">
        <f ca="1">IF(Proc[[#This Row],[DateClosed]]="",ABS(NETWORKDAYS(Proc[[#This Row],[DateOpened]],TODAY()))-1,ABS(NETWORKDAYS(Proc[[#This Row],[DateOpened]],Proc[[#This Row],[DateClosed]]))-1)</f>
        <v>74</v>
      </c>
      <c r="R4003" s="136" t="s">
        <v>1459</v>
      </c>
      <c r="S4003" s="140"/>
    </row>
    <row r="4004" spans="1:19">
      <c r="A4004" s="139" t="s">
        <v>6160</v>
      </c>
      <c r="B4004" s="149" t="str">
        <f>IFERROR(VLOOKUP(Proc[[#This Row],[App]],Table2[],3,0),"open")</f>
        <v>ok</v>
      </c>
      <c r="C4004" s="142" t="s">
        <v>369</v>
      </c>
      <c r="D4004" t="s">
        <v>6157</v>
      </c>
      <c r="E4004" t="s">
        <v>5452</v>
      </c>
      <c r="F4004" s="140" t="s">
        <v>5452</v>
      </c>
      <c r="G4004" s="139" t="s">
        <v>406</v>
      </c>
      <c r="H4004" s="140" t="str">
        <f>IF(Proc[[#This Row],[type]]="LFF (MDG-F)",MID(Proc[[#This Row],[Obj]],13,10),"")</f>
        <v>US10GIT048</v>
      </c>
      <c r="J4004" s="140" t="b">
        <f>Proc[[#This Row],[Requested]]=Proc[[#This Row],[CurrentParent]]</f>
        <v>1</v>
      </c>
      <c r="K4004" s="144" t="str">
        <f>IF(Proc[[#This Row],[Author]]="Marcela Urrego",VLOOKUP(LEFT(Proc[[#This Row],[Requested]],1),Table3[#All],2,0),VLOOKUP(Proc[[#This Row],[Author]],Table4[],2,0))</f>
        <v>MGF</v>
      </c>
      <c r="L4004" s="140" t="s">
        <v>4894</v>
      </c>
      <c r="M4004" s="136">
        <v>45901</v>
      </c>
      <c r="N4004" s="137"/>
      <c r="O4004" s="137"/>
      <c r="P4004" s="136" t="str">
        <f ca="1">IF(Proc[[#This Row],[DaysAgeing]]&gt;5,"yep","on track")</f>
        <v>yep</v>
      </c>
      <c r="Q4004" s="3">
        <f ca="1">IF(Proc[[#This Row],[DateClosed]]="",ABS(NETWORKDAYS(Proc[[#This Row],[DateOpened]],TODAY()))-1,ABS(NETWORKDAYS(Proc[[#This Row],[DateOpened]],Proc[[#This Row],[DateClosed]]))-1)</f>
        <v>74</v>
      </c>
      <c r="R4004" s="136" t="s">
        <v>1459</v>
      </c>
      <c r="S4004" s="140"/>
    </row>
    <row r="4005" spans="1:19">
      <c r="A4005" t="s">
        <v>6161</v>
      </c>
      <c r="B4005" s="149" t="str">
        <f>IFERROR(VLOOKUP(Proc[[#This Row],[App]],Table2[],3,0),"open")</f>
        <v>ok</v>
      </c>
      <c r="C4005" s="142" t="s">
        <v>369</v>
      </c>
      <c r="D4005" s="141" t="s">
        <v>6090</v>
      </c>
      <c r="E4005" s="142" t="s">
        <v>2678</v>
      </c>
      <c r="F4005" s="140" t="s">
        <v>2678</v>
      </c>
      <c r="G4005" s="142" t="s">
        <v>406</v>
      </c>
      <c r="H4005" s="140" t="str">
        <f>IF(Proc[[#This Row],[type]]="LFF (MDG-F)",MID(Proc[[#This Row],[Obj]],13,10),"")</f>
        <v>DE10GM8401</v>
      </c>
      <c r="J4005" s="140" t="b">
        <f>Proc[[#This Row],[Requested]]=Proc[[#This Row],[CurrentParent]]</f>
        <v>1</v>
      </c>
      <c r="K4005" s="144" t="str">
        <f>IF(Proc[[#This Row],[Author]]="Marcela Urrego",VLOOKUP(LEFT(Proc[[#This Row],[Requested]],1),Table3[#All],2,0),VLOOKUP(Proc[[#This Row],[Author]],Table4[],2,0))</f>
        <v>LS</v>
      </c>
      <c r="L4005" s="140" t="s">
        <v>4894</v>
      </c>
      <c r="M4005" s="136">
        <v>45902</v>
      </c>
      <c r="N4005" s="137"/>
      <c r="O4005" s="137"/>
      <c r="P4005" s="136" t="str">
        <f ca="1">IF(Proc[[#This Row],[DaysAgeing]]&gt;5,"yep","on track")</f>
        <v>yep</v>
      </c>
      <c r="Q4005" s="3">
        <f ca="1">IF(Proc[[#This Row],[DateClosed]]="",ABS(NETWORKDAYS(Proc[[#This Row],[DateOpened]],TODAY()))-1,ABS(NETWORKDAYS(Proc[[#This Row],[DateOpened]],Proc[[#This Row],[DateClosed]]))-1)</f>
        <v>73</v>
      </c>
      <c r="R4005" s="136" t="s">
        <v>972</v>
      </c>
      <c r="S4005" s="140"/>
    </row>
    <row r="4006" spans="1:19">
      <c r="A4006" t="s">
        <v>6201</v>
      </c>
      <c r="B4006" s="149" t="str">
        <f>IFERROR(VLOOKUP(Proc[[#This Row],[App]],Table2[],3,0),"open")</f>
        <v>ok</v>
      </c>
      <c r="C4006" s="142" t="s">
        <v>369</v>
      </c>
      <c r="D4006" t="s">
        <v>5948</v>
      </c>
      <c r="E4006" t="s">
        <v>6162</v>
      </c>
      <c r="F4006" s="140" t="s">
        <v>6162</v>
      </c>
      <c r="G4006" s="142" t="s">
        <v>406</v>
      </c>
      <c r="H4006" s="140" t="str">
        <f>IF(Proc[[#This Row],[type]]="LFF (MDG-F)",MID(Proc[[#This Row],[Obj]],13,10),"")</f>
        <v>JP01C0M121</v>
      </c>
      <c r="J4006" s="140" t="b">
        <f>Proc[[#This Row],[Requested]]=Proc[[#This Row],[CurrentParent]]</f>
        <v>1</v>
      </c>
      <c r="K4006" s="144" t="str">
        <f>IF(Proc[[#This Row],[Author]]="Marcela Urrego",VLOOKUP(LEFT(Proc[[#This Row],[Requested]],1),Table3[#All],2,0),VLOOKUP(Proc[[#This Row],[Author]],Table4[],2,0))</f>
        <v>EL</v>
      </c>
      <c r="L4006" s="140" t="s">
        <v>4894</v>
      </c>
      <c r="M4006" s="136">
        <v>45902</v>
      </c>
      <c r="N4006" s="137"/>
      <c r="O4006" s="137"/>
      <c r="P4006" s="136" t="str">
        <f ca="1">IF(Proc[[#This Row],[DaysAgeing]]&gt;5,"yep","on track")</f>
        <v>yep</v>
      </c>
      <c r="Q4006" s="3">
        <f ca="1">IF(Proc[[#This Row],[DateClosed]]="",ABS(NETWORKDAYS(Proc[[#This Row],[DateOpened]],TODAY()))-1,ABS(NETWORKDAYS(Proc[[#This Row],[DateOpened]],Proc[[#This Row],[DateClosed]]))-1)</f>
        <v>73</v>
      </c>
      <c r="R4006" s="136" t="s">
        <v>6087</v>
      </c>
      <c r="S4006" s="140"/>
    </row>
    <row r="4007" spans="1:19">
      <c r="A4007" s="142" t="s">
        <v>6201</v>
      </c>
      <c r="B4007" s="149" t="str">
        <f>IFERROR(VLOOKUP(Proc[[#This Row],[App]],Table2[],3,0),"open")</f>
        <v>ok</v>
      </c>
      <c r="C4007" s="142" t="s">
        <v>369</v>
      </c>
      <c r="D4007" t="s">
        <v>6045</v>
      </c>
      <c r="E4007" t="s">
        <v>6163</v>
      </c>
      <c r="F4007" s="140" t="s">
        <v>6163</v>
      </c>
      <c r="G4007" s="142" t="s">
        <v>406</v>
      </c>
      <c r="H4007" s="140" t="str">
        <f>IF(Proc[[#This Row],[type]]="LFF (MDG-F)",MID(Proc[[#This Row],[Obj]],13,10),"")</f>
        <v>JP01TQOZ04</v>
      </c>
      <c r="J4007" s="140" t="b">
        <f>Proc[[#This Row],[Requested]]=Proc[[#This Row],[CurrentParent]]</f>
        <v>1</v>
      </c>
      <c r="K4007" s="144" t="str">
        <f>IF(Proc[[#This Row],[Author]]="Marcela Urrego",VLOOKUP(LEFT(Proc[[#This Row],[Requested]],1),Table3[#All],2,0),VLOOKUP(Proc[[#This Row],[Author]],Table4[],2,0))</f>
        <v>EL</v>
      </c>
      <c r="L4007" s="140" t="s">
        <v>4894</v>
      </c>
      <c r="M4007" s="136">
        <v>45902</v>
      </c>
      <c r="N4007" s="137"/>
      <c r="O4007" s="137"/>
      <c r="P4007" s="136" t="str">
        <f ca="1">IF(Proc[[#This Row],[DaysAgeing]]&gt;5,"yep","on track")</f>
        <v>yep</v>
      </c>
      <c r="Q4007" s="3">
        <f ca="1">IF(Proc[[#This Row],[DateClosed]]="",ABS(NETWORKDAYS(Proc[[#This Row],[DateOpened]],TODAY()))-1,ABS(NETWORKDAYS(Proc[[#This Row],[DateOpened]],Proc[[#This Row],[DateClosed]]))-1)</f>
        <v>73</v>
      </c>
      <c r="R4007" s="136" t="s">
        <v>6087</v>
      </c>
      <c r="S4007" s="140"/>
    </row>
    <row r="4008" spans="1:19">
      <c r="A4008" s="142" t="s">
        <v>6201</v>
      </c>
      <c r="B4008" s="149" t="str">
        <f>IFERROR(VLOOKUP(Proc[[#This Row],[App]],Table2[],3,0),"open")</f>
        <v>ok</v>
      </c>
      <c r="C4008" s="142" t="s">
        <v>369</v>
      </c>
      <c r="D4008" t="s">
        <v>5955</v>
      </c>
      <c r="E4008" t="s">
        <v>6164</v>
      </c>
      <c r="F4008" s="140" t="s">
        <v>6164</v>
      </c>
      <c r="G4008" s="142" t="s">
        <v>406</v>
      </c>
      <c r="H4008" s="140" t="str">
        <f>IF(Proc[[#This Row],[type]]="LFF (MDG-F)",MID(Proc[[#This Row],[Obj]],13,10),"")</f>
        <v>JP01C0O921</v>
      </c>
      <c r="J4008" s="140" t="b">
        <f>Proc[[#This Row],[Requested]]=Proc[[#This Row],[CurrentParent]]</f>
        <v>1</v>
      </c>
      <c r="K4008" s="144" t="str">
        <f>IF(Proc[[#This Row],[Author]]="Marcela Urrego",VLOOKUP(LEFT(Proc[[#This Row],[Requested]],1),Table3[#All],2,0),VLOOKUP(Proc[[#This Row],[Author]],Table4[],2,0))</f>
        <v>EL</v>
      </c>
      <c r="L4008" s="140" t="s">
        <v>4894</v>
      </c>
      <c r="M4008" s="136">
        <v>45902</v>
      </c>
      <c r="N4008" s="137"/>
      <c r="O4008" s="137"/>
      <c r="P4008" s="136" t="str">
        <f ca="1">IF(Proc[[#This Row],[DaysAgeing]]&gt;5,"yep","on track")</f>
        <v>yep</v>
      </c>
      <c r="Q4008" s="3">
        <f ca="1">IF(Proc[[#This Row],[DateClosed]]="",ABS(NETWORKDAYS(Proc[[#This Row],[DateOpened]],TODAY()))-1,ABS(NETWORKDAYS(Proc[[#This Row],[DateOpened]],Proc[[#This Row],[DateClosed]]))-1)</f>
        <v>73</v>
      </c>
      <c r="R4008" s="136" t="s">
        <v>6087</v>
      </c>
      <c r="S4008" s="140"/>
    </row>
    <row r="4009" spans="1:19">
      <c r="A4009" s="142" t="s">
        <v>6201</v>
      </c>
      <c r="B4009" s="149" t="str">
        <f>IFERROR(VLOOKUP(Proc[[#This Row],[App]],Table2[],3,0),"open")</f>
        <v>ok</v>
      </c>
      <c r="C4009" s="142" t="s">
        <v>369</v>
      </c>
      <c r="D4009" t="s">
        <v>6000</v>
      </c>
      <c r="E4009" t="s">
        <v>6164</v>
      </c>
      <c r="F4009" s="140" t="s">
        <v>6164</v>
      </c>
      <c r="G4009" s="142" t="s">
        <v>406</v>
      </c>
      <c r="H4009" s="140" t="str">
        <f>IF(Proc[[#This Row],[type]]="LFF (MDG-F)",MID(Proc[[#This Row],[Obj]],13,10),"")</f>
        <v>JP01R0O721</v>
      </c>
      <c r="J4009" s="140" t="b">
        <f>Proc[[#This Row],[Requested]]=Proc[[#This Row],[CurrentParent]]</f>
        <v>1</v>
      </c>
      <c r="K4009" s="144" t="str">
        <f>IF(Proc[[#This Row],[Author]]="Marcela Urrego",VLOOKUP(LEFT(Proc[[#This Row],[Requested]],1),Table3[#All],2,0),VLOOKUP(Proc[[#This Row],[Author]],Table4[],2,0))</f>
        <v>EL</v>
      </c>
      <c r="L4009" s="140" t="s">
        <v>4894</v>
      </c>
      <c r="M4009" s="136">
        <v>45902</v>
      </c>
      <c r="N4009" s="137"/>
      <c r="O4009" s="137"/>
      <c r="P4009" s="136" t="str">
        <f ca="1">IF(Proc[[#This Row],[DaysAgeing]]&gt;5,"yep","on track")</f>
        <v>yep</v>
      </c>
      <c r="Q4009" s="3">
        <f ca="1">IF(Proc[[#This Row],[DateClosed]]="",ABS(NETWORKDAYS(Proc[[#This Row],[DateOpened]],TODAY()))-1,ABS(NETWORKDAYS(Proc[[#This Row],[DateOpened]],Proc[[#This Row],[DateClosed]]))-1)</f>
        <v>73</v>
      </c>
      <c r="R4009" s="136" t="s">
        <v>6087</v>
      </c>
      <c r="S4009" s="140"/>
    </row>
    <row r="4010" spans="1:19">
      <c r="A4010" s="142" t="s">
        <v>6201</v>
      </c>
      <c r="B4010" s="149" t="str">
        <f>IFERROR(VLOOKUP(Proc[[#This Row],[App]],Table2[],3,0),"open")</f>
        <v>ok</v>
      </c>
      <c r="C4010" s="142" t="s">
        <v>369</v>
      </c>
      <c r="D4010" t="s">
        <v>5950</v>
      </c>
      <c r="E4010" t="s">
        <v>6165</v>
      </c>
      <c r="F4010" s="140" t="s">
        <v>6165</v>
      </c>
      <c r="G4010" s="142" t="s">
        <v>406</v>
      </c>
      <c r="H4010" s="140" t="str">
        <f>IF(Proc[[#This Row],[type]]="LFF (MDG-F)",MID(Proc[[#This Row],[Obj]],13,10),"")</f>
        <v>JP01C0M621</v>
      </c>
      <c r="J4010" s="140" t="b">
        <f>Proc[[#This Row],[Requested]]=Proc[[#This Row],[CurrentParent]]</f>
        <v>1</v>
      </c>
      <c r="K4010" s="144" t="str">
        <f>IF(Proc[[#This Row],[Author]]="Marcela Urrego",VLOOKUP(LEFT(Proc[[#This Row],[Requested]],1),Table3[#All],2,0),VLOOKUP(Proc[[#This Row],[Author]],Table4[],2,0))</f>
        <v>EL</v>
      </c>
      <c r="L4010" s="140" t="s">
        <v>4894</v>
      </c>
      <c r="M4010" s="136">
        <v>45902</v>
      </c>
      <c r="N4010" s="137"/>
      <c r="O4010" s="137"/>
      <c r="P4010" s="136" t="str">
        <f ca="1">IF(Proc[[#This Row],[DaysAgeing]]&gt;5,"yep","on track")</f>
        <v>yep</v>
      </c>
      <c r="Q4010" s="3">
        <f ca="1">IF(Proc[[#This Row],[DateClosed]]="",ABS(NETWORKDAYS(Proc[[#This Row],[DateOpened]],TODAY()))-1,ABS(NETWORKDAYS(Proc[[#This Row],[DateOpened]],Proc[[#This Row],[DateClosed]]))-1)</f>
        <v>73</v>
      </c>
      <c r="R4010" s="136" t="s">
        <v>6087</v>
      </c>
      <c r="S4010" s="140"/>
    </row>
    <row r="4011" spans="1:19">
      <c r="A4011" s="142" t="s">
        <v>6201</v>
      </c>
      <c r="B4011" s="149" t="str">
        <f>IFERROR(VLOOKUP(Proc[[#This Row],[App]],Table2[],3,0),"open")</f>
        <v>ok</v>
      </c>
      <c r="C4011" s="142" t="s">
        <v>369</v>
      </c>
      <c r="D4011" t="s">
        <v>5949</v>
      </c>
      <c r="E4011" t="s">
        <v>2470</v>
      </c>
      <c r="F4011" s="140" t="s">
        <v>2470</v>
      </c>
      <c r="G4011" s="142" t="s">
        <v>406</v>
      </c>
      <c r="H4011" s="140" t="str">
        <f>IF(Proc[[#This Row],[type]]="LFF (MDG-F)",MID(Proc[[#This Row],[Obj]],13,10),"")</f>
        <v>JP01C0M600</v>
      </c>
      <c r="J4011" s="140" t="b">
        <f>Proc[[#This Row],[Requested]]=Proc[[#This Row],[CurrentParent]]</f>
        <v>1</v>
      </c>
      <c r="K4011" s="144" t="str">
        <f>IF(Proc[[#This Row],[Author]]="Marcela Urrego",VLOOKUP(LEFT(Proc[[#This Row],[Requested]],1),Table3[#All],2,0),VLOOKUP(Proc[[#This Row],[Author]],Table4[],2,0))</f>
        <v>EL</v>
      </c>
      <c r="L4011" s="140" t="s">
        <v>4894</v>
      </c>
      <c r="M4011" s="136">
        <v>45902</v>
      </c>
      <c r="N4011" s="137"/>
      <c r="O4011" s="137"/>
      <c r="P4011" s="136" t="str">
        <f ca="1">IF(Proc[[#This Row],[DaysAgeing]]&gt;5,"yep","on track")</f>
        <v>yep</v>
      </c>
      <c r="Q4011" s="3">
        <f ca="1">IF(Proc[[#This Row],[DateClosed]]="",ABS(NETWORKDAYS(Proc[[#This Row],[DateOpened]],TODAY()))-1,ABS(NETWORKDAYS(Proc[[#This Row],[DateOpened]],Proc[[#This Row],[DateClosed]]))-1)</f>
        <v>73</v>
      </c>
      <c r="R4011" s="136" t="s">
        <v>6087</v>
      </c>
      <c r="S4011" s="140"/>
    </row>
    <row r="4012" spans="1:19">
      <c r="A4012" s="142" t="s">
        <v>6201</v>
      </c>
      <c r="B4012" s="149" t="str">
        <f>IFERROR(VLOOKUP(Proc[[#This Row],[App]],Table2[],3,0),"open")</f>
        <v>ok</v>
      </c>
      <c r="C4012" s="149" t="s">
        <v>369</v>
      </c>
      <c r="D4012" t="s">
        <v>5974</v>
      </c>
      <c r="E4012" t="s">
        <v>474</v>
      </c>
      <c r="F4012" s="150" t="s">
        <v>474</v>
      </c>
      <c r="G4012" s="142" t="s">
        <v>406</v>
      </c>
      <c r="H4012" s="140" t="str">
        <f>IF(Proc[[#This Row],[type]]="LFF (MDG-F)",MID(Proc[[#This Row],[Obj]],13,10),"")</f>
        <v>JP01GM8002</v>
      </c>
      <c r="J4012" s="140" t="b">
        <f>Proc[[#This Row],[Requested]]=Proc[[#This Row],[CurrentParent]]</f>
        <v>1</v>
      </c>
      <c r="K4012" s="144" t="str">
        <f>IF(Proc[[#This Row],[Author]]="Marcela Urrego",VLOOKUP(LEFT(Proc[[#This Row],[Requested]],1),Table3[#All],2,0),VLOOKUP(Proc[[#This Row],[Author]],Table4[],2,0))</f>
        <v>EL</v>
      </c>
      <c r="L4012" s="140" t="s">
        <v>4894</v>
      </c>
      <c r="M4012" s="136">
        <v>45902</v>
      </c>
      <c r="N4012" s="137"/>
      <c r="O4012" s="137"/>
      <c r="P4012" s="136" t="str">
        <f ca="1">IF(Proc[[#This Row],[DaysAgeing]]&gt;5,"yep","on track")</f>
        <v>yep</v>
      </c>
      <c r="Q4012" s="3">
        <f ca="1">IF(Proc[[#This Row],[DateClosed]]="",ABS(NETWORKDAYS(Proc[[#This Row],[DateOpened]],TODAY()))-1,ABS(NETWORKDAYS(Proc[[#This Row],[DateOpened]],Proc[[#This Row],[DateClosed]]))-1)</f>
        <v>73</v>
      </c>
      <c r="R4012" s="136" t="s">
        <v>6087</v>
      </c>
      <c r="S4012" s="140"/>
    </row>
    <row r="4013" spans="1:19">
      <c r="A4013" s="142" t="s">
        <v>6201</v>
      </c>
      <c r="B4013" s="149" t="str">
        <f>IFERROR(VLOOKUP(Proc[[#This Row],[App]],Table2[],3,0),"open")</f>
        <v>ok</v>
      </c>
      <c r="C4013" s="142" t="s">
        <v>369</v>
      </c>
      <c r="D4013" t="s">
        <v>5964</v>
      </c>
      <c r="E4013" t="s">
        <v>413</v>
      </c>
      <c r="F4013" s="140" t="s">
        <v>413</v>
      </c>
      <c r="G4013" s="142" t="s">
        <v>406</v>
      </c>
      <c r="H4013" s="140" t="str">
        <f>IF(Proc[[#This Row],[type]]="LFF (MDG-F)",MID(Proc[[#This Row],[Obj]],13,10),"")</f>
        <v>JP01GFO301</v>
      </c>
      <c r="J4013" s="140" t="b">
        <f>Proc[[#This Row],[Requested]]=Proc[[#This Row],[CurrentParent]]</f>
        <v>1</v>
      </c>
      <c r="K4013" s="144" t="str">
        <f>IF(Proc[[#This Row],[Author]]="Marcela Urrego",VLOOKUP(LEFT(Proc[[#This Row],[Requested]],1),Table3[#All],2,0),VLOOKUP(Proc[[#This Row],[Author]],Table4[],2,0))</f>
        <v>EL</v>
      </c>
      <c r="L4013" s="140" t="s">
        <v>4894</v>
      </c>
      <c r="M4013" s="136">
        <v>45902</v>
      </c>
      <c r="N4013" s="137"/>
      <c r="O4013" s="137"/>
      <c r="P4013" s="136" t="str">
        <f ca="1">IF(Proc[[#This Row],[DaysAgeing]]&gt;5,"yep","on track")</f>
        <v>yep</v>
      </c>
      <c r="Q4013" s="3">
        <f ca="1">IF(Proc[[#This Row],[DateClosed]]="",ABS(NETWORKDAYS(Proc[[#This Row],[DateOpened]],TODAY()))-1,ABS(NETWORKDAYS(Proc[[#This Row],[DateOpened]],Proc[[#This Row],[DateClosed]]))-1)</f>
        <v>73</v>
      </c>
      <c r="R4013" s="136" t="s">
        <v>6087</v>
      </c>
      <c r="S4013" s="140"/>
    </row>
    <row r="4014" spans="1:19">
      <c r="A4014" s="142" t="s">
        <v>6201</v>
      </c>
      <c r="B4014" s="149" t="str">
        <f>IFERROR(VLOOKUP(Proc[[#This Row],[App]],Table2[],3,0),"open")</f>
        <v>ok</v>
      </c>
      <c r="C4014" s="142" t="s">
        <v>369</v>
      </c>
      <c r="D4014" t="s">
        <v>5968</v>
      </c>
      <c r="E4014" t="s">
        <v>6166</v>
      </c>
      <c r="F4014" s="140" t="s">
        <v>6166</v>
      </c>
      <c r="G4014" s="142" t="s">
        <v>406</v>
      </c>
      <c r="H4014" s="140" t="str">
        <f>IF(Proc[[#This Row],[type]]="LFF (MDG-F)",MID(Proc[[#This Row],[Obj]],13,10),"")</f>
        <v>JP01GLE301</v>
      </c>
      <c r="J4014" s="140" t="b">
        <f>Proc[[#This Row],[Requested]]=Proc[[#This Row],[CurrentParent]]</f>
        <v>1</v>
      </c>
      <c r="K4014" s="144" t="str">
        <f>IF(Proc[[#This Row],[Author]]="Marcela Urrego",VLOOKUP(LEFT(Proc[[#This Row],[Requested]],1),Table3[#All],2,0),VLOOKUP(Proc[[#This Row],[Author]],Table4[],2,0))</f>
        <v>EL</v>
      </c>
      <c r="L4014" s="140" t="s">
        <v>4894</v>
      </c>
      <c r="M4014" s="136">
        <v>45902</v>
      </c>
      <c r="N4014" s="137"/>
      <c r="O4014" s="137"/>
      <c r="P4014" s="136" t="str">
        <f ca="1">IF(Proc[[#This Row],[DaysAgeing]]&gt;5,"yep","on track")</f>
        <v>yep</v>
      </c>
      <c r="Q4014" s="3">
        <f ca="1">IF(Proc[[#This Row],[DateClosed]]="",ABS(NETWORKDAYS(Proc[[#This Row],[DateOpened]],TODAY()))-1,ABS(NETWORKDAYS(Proc[[#This Row],[DateOpened]],Proc[[#This Row],[DateClosed]]))-1)</f>
        <v>73</v>
      </c>
      <c r="R4014" s="136" t="s">
        <v>6087</v>
      </c>
      <c r="S4014" s="140"/>
    </row>
    <row r="4015" spans="1:19">
      <c r="A4015" s="142" t="s">
        <v>6201</v>
      </c>
      <c r="B4015" s="149" t="str">
        <f>IFERROR(VLOOKUP(Proc[[#This Row],[App]],Table2[],3,0),"open")</f>
        <v>ok</v>
      </c>
      <c r="C4015" s="142" t="s">
        <v>369</v>
      </c>
      <c r="D4015" t="s">
        <v>5961</v>
      </c>
      <c r="E4015" t="s">
        <v>6167</v>
      </c>
      <c r="F4015" s="140" t="s">
        <v>6167</v>
      </c>
      <c r="G4015" s="142" t="s">
        <v>406</v>
      </c>
      <c r="H4015" s="140" t="str">
        <f>IF(Proc[[#This Row],[type]]="LFF (MDG-F)",MID(Proc[[#This Row],[Obj]],13,10),"")</f>
        <v>JP01GCM301</v>
      </c>
      <c r="J4015" s="140" t="b">
        <f>Proc[[#This Row],[Requested]]=Proc[[#This Row],[CurrentParent]]</f>
        <v>1</v>
      </c>
      <c r="K4015" s="144" t="str">
        <f>IF(Proc[[#This Row],[Author]]="Marcela Urrego",VLOOKUP(LEFT(Proc[[#This Row],[Requested]],1),Table3[#All],2,0),VLOOKUP(Proc[[#This Row],[Author]],Table4[],2,0))</f>
        <v>EL</v>
      </c>
      <c r="L4015" s="140" t="s">
        <v>4894</v>
      </c>
      <c r="M4015" s="136">
        <v>45902</v>
      </c>
      <c r="N4015" s="137"/>
      <c r="O4015" s="137"/>
      <c r="P4015" s="136" t="str">
        <f ca="1">IF(Proc[[#This Row],[DaysAgeing]]&gt;5,"yep","on track")</f>
        <v>yep</v>
      </c>
      <c r="Q4015" s="3">
        <f ca="1">IF(Proc[[#This Row],[DateClosed]]="",ABS(NETWORKDAYS(Proc[[#This Row],[DateOpened]],TODAY()))-1,ABS(NETWORKDAYS(Proc[[#This Row],[DateOpened]],Proc[[#This Row],[DateClosed]]))-1)</f>
        <v>73</v>
      </c>
      <c r="R4015" s="136" t="s">
        <v>6087</v>
      </c>
      <c r="S4015" s="140"/>
    </row>
    <row r="4016" spans="1:19">
      <c r="A4016" s="142" t="s">
        <v>6201</v>
      </c>
      <c r="B4016" s="149" t="str">
        <f>IFERROR(VLOOKUP(Proc[[#This Row],[App]],Table2[],3,0),"open")</f>
        <v>ok</v>
      </c>
      <c r="C4016" s="142" t="s">
        <v>369</v>
      </c>
      <c r="D4016" t="s">
        <v>5962</v>
      </c>
      <c r="E4016" t="s">
        <v>6168</v>
      </c>
      <c r="F4016" s="140" t="s">
        <v>6168</v>
      </c>
      <c r="G4016" s="142" t="s">
        <v>406</v>
      </c>
      <c r="H4016" s="140" t="str">
        <f>IF(Proc[[#This Row],[type]]="LFF (MDG-F)",MID(Proc[[#This Row],[Obj]],13,10),"")</f>
        <v>JP01GCO301</v>
      </c>
      <c r="J4016" s="140" t="b">
        <f>Proc[[#This Row],[Requested]]=Proc[[#This Row],[CurrentParent]]</f>
        <v>1</v>
      </c>
      <c r="K4016" s="144" t="str">
        <f>IF(Proc[[#This Row],[Author]]="Marcela Urrego",VLOOKUP(LEFT(Proc[[#This Row],[Requested]],1),Table3[#All],2,0),VLOOKUP(Proc[[#This Row],[Author]],Table4[],2,0))</f>
        <v>EL</v>
      </c>
      <c r="L4016" s="140" t="s">
        <v>4894</v>
      </c>
      <c r="M4016" s="136">
        <v>45902</v>
      </c>
      <c r="N4016" s="137"/>
      <c r="O4016" s="137"/>
      <c r="P4016" s="136" t="str">
        <f ca="1">IF(Proc[[#This Row],[DaysAgeing]]&gt;5,"yep","on track")</f>
        <v>yep</v>
      </c>
      <c r="Q4016" s="3">
        <f ca="1">IF(Proc[[#This Row],[DateClosed]]="",ABS(NETWORKDAYS(Proc[[#This Row],[DateOpened]],TODAY()))-1,ABS(NETWORKDAYS(Proc[[#This Row],[DateOpened]],Proc[[#This Row],[DateClosed]]))-1)</f>
        <v>73</v>
      </c>
      <c r="R4016" s="136" t="s">
        <v>6087</v>
      </c>
      <c r="S4016" s="140"/>
    </row>
    <row r="4017" spans="1:19">
      <c r="A4017" s="142" t="s">
        <v>6201</v>
      </c>
      <c r="B4017" s="149" t="str">
        <f>IFERROR(VLOOKUP(Proc[[#This Row],[App]],Table2[],3,0),"open")</f>
        <v>ok</v>
      </c>
      <c r="C4017" s="142" t="s">
        <v>369</v>
      </c>
      <c r="D4017" t="s">
        <v>5990</v>
      </c>
      <c r="E4017" t="s">
        <v>6169</v>
      </c>
      <c r="F4017" s="140" t="s">
        <v>6169</v>
      </c>
      <c r="G4017" s="142" t="s">
        <v>406</v>
      </c>
      <c r="H4017" s="140" t="str">
        <f>IF(Proc[[#This Row],[type]]="LFF (MDG-F)",MID(Proc[[#This Row],[Obj]],13,10),"")</f>
        <v>JP01L5M302</v>
      </c>
      <c r="J4017" s="140" t="b">
        <f>Proc[[#This Row],[Requested]]=Proc[[#This Row],[CurrentParent]]</f>
        <v>1</v>
      </c>
      <c r="K4017" s="144" t="str">
        <f>IF(Proc[[#This Row],[Author]]="Marcela Urrego",VLOOKUP(LEFT(Proc[[#This Row],[Requested]],1),Table3[#All],2,0),VLOOKUP(Proc[[#This Row],[Author]],Table4[],2,0))</f>
        <v>EL</v>
      </c>
      <c r="L4017" s="140" t="s">
        <v>4894</v>
      </c>
      <c r="M4017" s="136">
        <v>45902</v>
      </c>
      <c r="N4017" s="137"/>
      <c r="O4017" s="137"/>
      <c r="P4017" s="136" t="str">
        <f ca="1">IF(Proc[[#This Row],[DaysAgeing]]&gt;5,"yep","on track")</f>
        <v>yep</v>
      </c>
      <c r="Q4017" s="3">
        <f ca="1">IF(Proc[[#This Row],[DateClosed]]="",ABS(NETWORKDAYS(Proc[[#This Row],[DateOpened]],TODAY()))-1,ABS(NETWORKDAYS(Proc[[#This Row],[DateOpened]],Proc[[#This Row],[DateClosed]]))-1)</f>
        <v>73</v>
      </c>
      <c r="R4017" s="136" t="s">
        <v>6087</v>
      </c>
      <c r="S4017" s="140"/>
    </row>
    <row r="4018" spans="1:19">
      <c r="A4018" s="142" t="s">
        <v>6201</v>
      </c>
      <c r="B4018" s="149" t="str">
        <f>IFERROR(VLOOKUP(Proc[[#This Row],[App]],Table2[],3,0),"open")</f>
        <v>ok</v>
      </c>
      <c r="C4018" s="142" t="s">
        <v>369</v>
      </c>
      <c r="D4018" t="s">
        <v>5971</v>
      </c>
      <c r="E4018" t="s">
        <v>413</v>
      </c>
      <c r="F4018" s="140" t="s">
        <v>413</v>
      </c>
      <c r="G4018" s="142" t="s">
        <v>406</v>
      </c>
      <c r="H4018" s="140" t="str">
        <f>IF(Proc[[#This Row],[type]]="LFF (MDG-F)",MID(Proc[[#This Row],[Obj]],13,10),"")</f>
        <v>JP01GM4001</v>
      </c>
      <c r="J4018" s="140" t="b">
        <f>Proc[[#This Row],[Requested]]=Proc[[#This Row],[CurrentParent]]</f>
        <v>1</v>
      </c>
      <c r="K4018" s="144" t="str">
        <f>IF(Proc[[#This Row],[Author]]="Marcela Urrego",VLOOKUP(LEFT(Proc[[#This Row],[Requested]],1),Table3[#All],2,0),VLOOKUP(Proc[[#This Row],[Author]],Table4[],2,0))</f>
        <v>EL</v>
      </c>
      <c r="L4018" s="140" t="s">
        <v>4894</v>
      </c>
      <c r="M4018" s="136">
        <v>45902</v>
      </c>
      <c r="N4018" s="137"/>
      <c r="O4018" s="137"/>
      <c r="P4018" s="136" t="str">
        <f ca="1">IF(Proc[[#This Row],[DaysAgeing]]&gt;5,"yep","on track")</f>
        <v>yep</v>
      </c>
      <c r="Q4018" s="3">
        <f ca="1">IF(Proc[[#This Row],[DateClosed]]="",ABS(NETWORKDAYS(Proc[[#This Row],[DateOpened]],TODAY()))-1,ABS(NETWORKDAYS(Proc[[#This Row],[DateOpened]],Proc[[#This Row],[DateClosed]]))-1)</f>
        <v>73</v>
      </c>
      <c r="R4018" s="136" t="s">
        <v>6087</v>
      </c>
      <c r="S4018" s="140"/>
    </row>
    <row r="4019" spans="1:19">
      <c r="A4019" s="142" t="s">
        <v>6201</v>
      </c>
      <c r="B4019" s="149" t="str">
        <f>IFERROR(VLOOKUP(Proc[[#This Row],[App]],Table2[],3,0),"open")</f>
        <v>ok</v>
      </c>
      <c r="C4019" s="149" t="s">
        <v>369</v>
      </c>
      <c r="D4019" t="s">
        <v>5972</v>
      </c>
      <c r="E4019" t="s">
        <v>473</v>
      </c>
      <c r="F4019" s="150" t="s">
        <v>473</v>
      </c>
      <c r="G4019" s="142" t="s">
        <v>406</v>
      </c>
      <c r="H4019" s="140" t="str">
        <f>IF(Proc[[#This Row],[type]]="LFF (MDG-F)",MID(Proc[[#This Row],[Obj]],13,10),"")</f>
        <v>JP01GM4002</v>
      </c>
      <c r="J4019" s="140" t="b">
        <f>Proc[[#This Row],[Requested]]=Proc[[#This Row],[CurrentParent]]</f>
        <v>1</v>
      </c>
      <c r="K4019" s="144" t="str">
        <f>IF(Proc[[#This Row],[Author]]="Marcela Urrego",VLOOKUP(LEFT(Proc[[#This Row],[Requested]],1),Table3[#All],2,0),VLOOKUP(Proc[[#This Row],[Author]],Table4[],2,0))</f>
        <v>EL</v>
      </c>
      <c r="L4019" s="140" t="s">
        <v>4894</v>
      </c>
      <c r="M4019" s="136">
        <v>45902</v>
      </c>
      <c r="N4019" s="137"/>
      <c r="O4019" s="137"/>
      <c r="P4019" s="136" t="str">
        <f ca="1">IF(Proc[[#This Row],[DaysAgeing]]&gt;5,"yep","on track")</f>
        <v>yep</v>
      </c>
      <c r="Q4019" s="3">
        <f ca="1">IF(Proc[[#This Row],[DateClosed]]="",ABS(NETWORKDAYS(Proc[[#This Row],[DateOpened]],TODAY()))-1,ABS(NETWORKDAYS(Proc[[#This Row],[DateOpened]],Proc[[#This Row],[DateClosed]]))-1)</f>
        <v>73</v>
      </c>
      <c r="R4019" s="136" t="s">
        <v>6087</v>
      </c>
      <c r="S4019" s="140"/>
    </row>
    <row r="4020" spans="1:19">
      <c r="A4020" s="142" t="s">
        <v>6201</v>
      </c>
      <c r="B4020" s="149" t="str">
        <f>IFERROR(VLOOKUP(Proc[[#This Row],[App]],Table2[],3,0),"open")</f>
        <v>ok</v>
      </c>
      <c r="C4020" s="142" t="s">
        <v>369</v>
      </c>
      <c r="D4020" t="s">
        <v>5988</v>
      </c>
      <c r="E4020" t="s">
        <v>6170</v>
      </c>
      <c r="F4020" s="140" t="s">
        <v>6170</v>
      </c>
      <c r="G4020" s="142" t="s">
        <v>406</v>
      </c>
      <c r="H4020" s="140" t="str">
        <f>IF(Proc[[#This Row],[type]]="LFF (MDG-F)",MID(Proc[[#This Row],[Obj]],13,10),"")</f>
        <v>JP01L4M302</v>
      </c>
      <c r="J4020" s="140" t="b">
        <f>Proc[[#This Row],[Requested]]=Proc[[#This Row],[CurrentParent]]</f>
        <v>1</v>
      </c>
      <c r="K4020" s="144" t="str">
        <f>IF(Proc[[#This Row],[Author]]="Marcela Urrego",VLOOKUP(LEFT(Proc[[#This Row],[Requested]],1),Table3[#All],2,0),VLOOKUP(Proc[[#This Row],[Author]],Table4[],2,0))</f>
        <v>EL</v>
      </c>
      <c r="L4020" s="140" t="s">
        <v>4894</v>
      </c>
      <c r="M4020" s="136">
        <v>45902</v>
      </c>
      <c r="N4020" s="137"/>
      <c r="O4020" s="137"/>
      <c r="P4020" s="136" t="str">
        <f ca="1">IF(Proc[[#This Row],[DaysAgeing]]&gt;5,"yep","on track")</f>
        <v>yep</v>
      </c>
      <c r="Q4020" s="3">
        <f ca="1">IF(Proc[[#This Row],[DateClosed]]="",ABS(NETWORKDAYS(Proc[[#This Row],[DateOpened]],TODAY()))-1,ABS(NETWORKDAYS(Proc[[#This Row],[DateOpened]],Proc[[#This Row],[DateClosed]]))-1)</f>
        <v>73</v>
      </c>
      <c r="R4020" s="136" t="s">
        <v>6087</v>
      </c>
      <c r="S4020" s="140"/>
    </row>
    <row r="4021" spans="1:19">
      <c r="A4021" s="142" t="s">
        <v>6201</v>
      </c>
      <c r="B4021" s="149" t="str">
        <f>IFERROR(VLOOKUP(Proc[[#This Row],[App]],Table2[],3,0),"open")</f>
        <v>ok</v>
      </c>
      <c r="C4021" s="142" t="s">
        <v>369</v>
      </c>
      <c r="D4021" t="s">
        <v>5995</v>
      </c>
      <c r="E4021" t="s">
        <v>2681</v>
      </c>
      <c r="F4021" s="140" t="s">
        <v>2681</v>
      </c>
      <c r="G4021" s="142" t="s">
        <v>406</v>
      </c>
      <c r="H4021" s="140" t="str">
        <f>IF(Proc[[#This Row],[type]]="LFF (MDG-F)",MID(Proc[[#This Row],[Obj]],13,10),"")</f>
        <v>JP01O05001</v>
      </c>
      <c r="J4021" s="140" t="b">
        <f>Proc[[#This Row],[Requested]]=Proc[[#This Row],[CurrentParent]]</f>
        <v>1</v>
      </c>
      <c r="K4021" s="144" t="str">
        <f>IF(Proc[[#This Row],[Author]]="Marcela Urrego",VLOOKUP(LEFT(Proc[[#This Row],[Requested]],1),Table3[#All],2,0),VLOOKUP(Proc[[#This Row],[Author]],Table4[],2,0))</f>
        <v>EL</v>
      </c>
      <c r="L4021" s="140" t="s">
        <v>4894</v>
      </c>
      <c r="M4021" s="136">
        <v>45902</v>
      </c>
      <c r="N4021" s="137"/>
      <c r="O4021" s="137"/>
      <c r="P4021" s="136" t="str">
        <f ca="1">IF(Proc[[#This Row],[DaysAgeing]]&gt;5,"yep","on track")</f>
        <v>yep</v>
      </c>
      <c r="Q4021" s="3">
        <f ca="1">IF(Proc[[#This Row],[DateClosed]]="",ABS(NETWORKDAYS(Proc[[#This Row],[DateOpened]],TODAY()))-1,ABS(NETWORKDAYS(Proc[[#This Row],[DateOpened]],Proc[[#This Row],[DateClosed]]))-1)</f>
        <v>73</v>
      </c>
      <c r="R4021" s="136" t="s">
        <v>6087</v>
      </c>
      <c r="S4021" s="140"/>
    </row>
    <row r="4022" spans="1:19">
      <c r="A4022" s="142" t="s">
        <v>6201</v>
      </c>
      <c r="B4022" s="149" t="str">
        <f>IFERROR(VLOOKUP(Proc[[#This Row],[App]],Table2[],3,0),"open")</f>
        <v>ok</v>
      </c>
      <c r="C4022" s="142" t="s">
        <v>369</v>
      </c>
      <c r="D4022" t="s">
        <v>5993</v>
      </c>
      <c r="E4022" t="s">
        <v>6171</v>
      </c>
      <c r="F4022" s="140" t="s">
        <v>6171</v>
      </c>
      <c r="G4022" s="142" t="s">
        <v>406</v>
      </c>
      <c r="H4022" s="140" t="str">
        <f>IF(Proc[[#This Row],[type]]="LFF (MDG-F)",MID(Proc[[#This Row],[Obj]],13,10),"")</f>
        <v>JP01L7M303</v>
      </c>
      <c r="J4022" s="140" t="b">
        <f>Proc[[#This Row],[Requested]]=Proc[[#This Row],[CurrentParent]]</f>
        <v>1</v>
      </c>
      <c r="K4022" s="144" t="str">
        <f>IF(Proc[[#This Row],[Author]]="Marcela Urrego",VLOOKUP(LEFT(Proc[[#This Row],[Requested]],1),Table3[#All],2,0),VLOOKUP(Proc[[#This Row],[Author]],Table4[],2,0))</f>
        <v>EL</v>
      </c>
      <c r="L4022" s="140" t="s">
        <v>4894</v>
      </c>
      <c r="M4022" s="136">
        <v>45902</v>
      </c>
      <c r="N4022" s="137"/>
      <c r="O4022" s="137"/>
      <c r="P4022" s="136" t="str">
        <f ca="1">IF(Proc[[#This Row],[DaysAgeing]]&gt;5,"yep","on track")</f>
        <v>yep</v>
      </c>
      <c r="Q4022" s="3">
        <f ca="1">IF(Proc[[#This Row],[DateClosed]]="",ABS(NETWORKDAYS(Proc[[#This Row],[DateOpened]],TODAY()))-1,ABS(NETWORKDAYS(Proc[[#This Row],[DateOpened]],Proc[[#This Row],[DateClosed]]))-1)</f>
        <v>73</v>
      </c>
      <c r="R4022" s="136" t="s">
        <v>6087</v>
      </c>
      <c r="S4022" s="140"/>
    </row>
    <row r="4023" spans="1:19">
      <c r="A4023" s="142" t="s">
        <v>6201</v>
      </c>
      <c r="B4023" s="149" t="str">
        <f>IFERROR(VLOOKUP(Proc[[#This Row],[App]],Table2[],3,0),"open")</f>
        <v>ok</v>
      </c>
      <c r="C4023" s="142" t="s">
        <v>369</v>
      </c>
      <c r="D4023" t="s">
        <v>6042</v>
      </c>
      <c r="E4023" t="s">
        <v>6163</v>
      </c>
      <c r="F4023" s="140" t="s">
        <v>6163</v>
      </c>
      <c r="G4023" s="142" t="s">
        <v>406</v>
      </c>
      <c r="H4023" s="140" t="str">
        <f>IF(Proc[[#This Row],[type]]="LFF (MDG-F)",MID(Proc[[#This Row],[Obj]],13,10),"")</f>
        <v>JP01TPOZ01</v>
      </c>
      <c r="J4023" s="140" t="b">
        <f>Proc[[#This Row],[Requested]]=Proc[[#This Row],[CurrentParent]]</f>
        <v>1</v>
      </c>
      <c r="K4023" s="144" t="str">
        <f>IF(Proc[[#This Row],[Author]]="Marcela Urrego",VLOOKUP(LEFT(Proc[[#This Row],[Requested]],1),Table3[#All],2,0),VLOOKUP(Proc[[#This Row],[Author]],Table4[],2,0))</f>
        <v>EL</v>
      </c>
      <c r="L4023" s="140" t="s">
        <v>4894</v>
      </c>
      <c r="M4023" s="136">
        <v>45902</v>
      </c>
      <c r="N4023" s="137"/>
      <c r="O4023" s="137"/>
      <c r="P4023" s="136" t="str">
        <f ca="1">IF(Proc[[#This Row],[DaysAgeing]]&gt;5,"yep","on track")</f>
        <v>yep</v>
      </c>
      <c r="Q4023" s="3">
        <f ca="1">IF(Proc[[#This Row],[DateClosed]]="",ABS(NETWORKDAYS(Proc[[#This Row],[DateOpened]],TODAY()))-1,ABS(NETWORKDAYS(Proc[[#This Row],[DateOpened]],Proc[[#This Row],[DateClosed]]))-1)</f>
        <v>73</v>
      </c>
      <c r="R4023" s="136" t="s">
        <v>6087</v>
      </c>
      <c r="S4023" s="140"/>
    </row>
    <row r="4024" spans="1:19">
      <c r="A4024" s="142" t="s">
        <v>6201</v>
      </c>
      <c r="B4024" s="149" t="str">
        <f>IFERROR(VLOOKUP(Proc[[#This Row],[App]],Table2[],3,0),"open")</f>
        <v>ok</v>
      </c>
      <c r="C4024" s="142" t="s">
        <v>369</v>
      </c>
      <c r="D4024" t="s">
        <v>6044</v>
      </c>
      <c r="E4024" t="s">
        <v>6163</v>
      </c>
      <c r="F4024" s="140" t="s">
        <v>6163</v>
      </c>
      <c r="G4024" s="142" t="s">
        <v>406</v>
      </c>
      <c r="H4024" s="140" t="str">
        <f>IF(Proc[[#This Row],[type]]="LFF (MDG-F)",MID(Proc[[#This Row],[Obj]],13,10),"")</f>
        <v>JP01TQOZ03</v>
      </c>
      <c r="J4024" s="140" t="b">
        <f>Proc[[#This Row],[Requested]]=Proc[[#This Row],[CurrentParent]]</f>
        <v>1</v>
      </c>
      <c r="K4024" s="144" t="str">
        <f>IF(Proc[[#This Row],[Author]]="Marcela Urrego",VLOOKUP(LEFT(Proc[[#This Row],[Requested]],1),Table3[#All],2,0),VLOOKUP(Proc[[#This Row],[Author]],Table4[],2,0))</f>
        <v>EL</v>
      </c>
      <c r="L4024" s="140" t="s">
        <v>4894</v>
      </c>
      <c r="M4024" s="136">
        <v>45902</v>
      </c>
      <c r="N4024" s="137"/>
      <c r="O4024" s="137"/>
      <c r="P4024" s="136" t="str">
        <f ca="1">IF(Proc[[#This Row],[DaysAgeing]]&gt;5,"yep","on track")</f>
        <v>yep</v>
      </c>
      <c r="Q4024" s="3">
        <f ca="1">IF(Proc[[#This Row],[DateClosed]]="",ABS(NETWORKDAYS(Proc[[#This Row],[DateOpened]],TODAY()))-1,ABS(NETWORKDAYS(Proc[[#This Row],[DateOpened]],Proc[[#This Row],[DateClosed]]))-1)</f>
        <v>73</v>
      </c>
      <c r="R4024" s="136" t="s">
        <v>6087</v>
      </c>
      <c r="S4024" s="140"/>
    </row>
    <row r="4025" spans="1:19">
      <c r="A4025" s="142" t="s">
        <v>6201</v>
      </c>
      <c r="B4025" s="149" t="str">
        <f>IFERROR(VLOOKUP(Proc[[#This Row],[App]],Table2[],3,0),"open")</f>
        <v>ok</v>
      </c>
      <c r="C4025" s="142" t="s">
        <v>369</v>
      </c>
      <c r="D4025" t="s">
        <v>5953</v>
      </c>
      <c r="E4025" t="s">
        <v>6103</v>
      </c>
      <c r="F4025" s="140" t="s">
        <v>6103</v>
      </c>
      <c r="G4025" s="142" t="s">
        <v>406</v>
      </c>
      <c r="H4025" s="140" t="str">
        <f>IF(Proc[[#This Row],[type]]="LFF (MDG-F)",MID(Proc[[#This Row],[Obj]],13,10),"")</f>
        <v>JP01C0M825</v>
      </c>
      <c r="J4025" s="140" t="b">
        <f>Proc[[#This Row],[Requested]]=Proc[[#This Row],[CurrentParent]]</f>
        <v>1</v>
      </c>
      <c r="K4025" s="144" t="str">
        <f>IF(Proc[[#This Row],[Author]]="Marcela Urrego",VLOOKUP(LEFT(Proc[[#This Row],[Requested]],1),Table3[#All],2,0),VLOOKUP(Proc[[#This Row],[Author]],Table4[],2,0))</f>
        <v>EL</v>
      </c>
      <c r="L4025" s="140" t="s">
        <v>4894</v>
      </c>
      <c r="M4025" s="136">
        <v>45902</v>
      </c>
      <c r="N4025" s="137"/>
      <c r="O4025" s="137"/>
      <c r="P4025" s="136" t="str">
        <f ca="1">IF(Proc[[#This Row],[DaysAgeing]]&gt;5,"yep","on track")</f>
        <v>yep</v>
      </c>
      <c r="Q4025" s="3">
        <f ca="1">IF(Proc[[#This Row],[DateClosed]]="",ABS(NETWORKDAYS(Proc[[#This Row],[DateOpened]],TODAY()))-1,ABS(NETWORKDAYS(Proc[[#This Row],[DateOpened]],Proc[[#This Row],[DateClosed]]))-1)</f>
        <v>73</v>
      </c>
      <c r="R4025" s="136" t="s">
        <v>6087</v>
      </c>
      <c r="S4025" s="140"/>
    </row>
    <row r="4026" spans="1:19">
      <c r="A4026" s="142" t="s">
        <v>6201</v>
      </c>
      <c r="B4026" s="149" t="str">
        <f>IFERROR(VLOOKUP(Proc[[#This Row],[App]],Table2[],3,0),"open")</f>
        <v>ok</v>
      </c>
      <c r="C4026" s="142" t="s">
        <v>369</v>
      </c>
      <c r="D4026" t="s">
        <v>6036</v>
      </c>
      <c r="E4026" t="s">
        <v>6172</v>
      </c>
      <c r="F4026" s="140" t="s">
        <v>6172</v>
      </c>
      <c r="G4026" s="142" t="s">
        <v>406</v>
      </c>
      <c r="H4026" s="140" t="str">
        <f>IF(Proc[[#This Row],[type]]="LFF (MDG-F)",MID(Proc[[#This Row],[Obj]],13,10),"")</f>
        <v>JP01TFOZ01</v>
      </c>
      <c r="J4026" s="140" t="b">
        <f>Proc[[#This Row],[Requested]]=Proc[[#This Row],[CurrentParent]]</f>
        <v>1</v>
      </c>
      <c r="K4026" s="144" t="str">
        <f>IF(Proc[[#This Row],[Author]]="Marcela Urrego",VLOOKUP(LEFT(Proc[[#This Row],[Requested]],1),Table3[#All],2,0),VLOOKUP(Proc[[#This Row],[Author]],Table4[],2,0))</f>
        <v>EL</v>
      </c>
      <c r="L4026" s="140" t="s">
        <v>4894</v>
      </c>
      <c r="M4026" s="136">
        <v>45902</v>
      </c>
      <c r="N4026" s="137"/>
      <c r="O4026" s="137"/>
      <c r="P4026" s="136" t="str">
        <f ca="1">IF(Proc[[#This Row],[DaysAgeing]]&gt;5,"yep","on track")</f>
        <v>yep</v>
      </c>
      <c r="Q4026" s="3">
        <f ca="1">IF(Proc[[#This Row],[DateClosed]]="",ABS(NETWORKDAYS(Proc[[#This Row],[DateOpened]],TODAY()))-1,ABS(NETWORKDAYS(Proc[[#This Row],[DateOpened]],Proc[[#This Row],[DateClosed]]))-1)</f>
        <v>73</v>
      </c>
      <c r="R4026" s="136" t="s">
        <v>6087</v>
      </c>
      <c r="S4026" s="140"/>
    </row>
    <row r="4027" spans="1:19">
      <c r="A4027" s="142" t="s">
        <v>6201</v>
      </c>
      <c r="B4027" s="149" t="str">
        <f>IFERROR(VLOOKUP(Proc[[#This Row],[App]],Table2[],3,0),"open")</f>
        <v>ok</v>
      </c>
      <c r="C4027" s="142" t="s">
        <v>369</v>
      </c>
      <c r="D4027" t="s">
        <v>6037</v>
      </c>
      <c r="E4027" t="s">
        <v>6172</v>
      </c>
      <c r="F4027" s="140" t="s">
        <v>6172</v>
      </c>
      <c r="G4027" s="142" t="s">
        <v>406</v>
      </c>
      <c r="H4027" s="140" t="str">
        <f>IF(Proc[[#This Row],[type]]="LFF (MDG-F)",MID(Proc[[#This Row],[Obj]],13,10),"")</f>
        <v>JP01TFOZ02</v>
      </c>
      <c r="J4027" s="140" t="b">
        <f>Proc[[#This Row],[Requested]]=Proc[[#This Row],[CurrentParent]]</f>
        <v>1</v>
      </c>
      <c r="K4027" s="144" t="str">
        <f>IF(Proc[[#This Row],[Author]]="Marcela Urrego",VLOOKUP(LEFT(Proc[[#This Row],[Requested]],1),Table3[#All],2,0),VLOOKUP(Proc[[#This Row],[Author]],Table4[],2,0))</f>
        <v>EL</v>
      </c>
      <c r="L4027" s="140" t="s">
        <v>4894</v>
      </c>
      <c r="M4027" s="136">
        <v>45902</v>
      </c>
      <c r="N4027" s="137"/>
      <c r="O4027" s="137"/>
      <c r="P4027" s="136" t="str">
        <f ca="1">IF(Proc[[#This Row],[DaysAgeing]]&gt;5,"yep","on track")</f>
        <v>yep</v>
      </c>
      <c r="Q4027" s="3">
        <f ca="1">IF(Proc[[#This Row],[DateClosed]]="",ABS(NETWORKDAYS(Proc[[#This Row],[DateOpened]],TODAY()))-1,ABS(NETWORKDAYS(Proc[[#This Row],[DateOpened]],Proc[[#This Row],[DateClosed]]))-1)</f>
        <v>73</v>
      </c>
      <c r="R4027" s="136" t="s">
        <v>6087</v>
      </c>
      <c r="S4027" s="140"/>
    </row>
    <row r="4028" spans="1:19">
      <c r="A4028" s="142" t="s">
        <v>6201</v>
      </c>
      <c r="B4028" s="149" t="str">
        <f>IFERROR(VLOOKUP(Proc[[#This Row],[App]],Table2[],3,0),"open")</f>
        <v>ok</v>
      </c>
      <c r="C4028" s="142" t="s">
        <v>369</v>
      </c>
      <c r="D4028" t="s">
        <v>6038</v>
      </c>
      <c r="E4028" t="s">
        <v>6172</v>
      </c>
      <c r="F4028" s="140" t="s">
        <v>6172</v>
      </c>
      <c r="G4028" s="142" t="s">
        <v>406</v>
      </c>
      <c r="H4028" s="140" t="str">
        <f>IF(Proc[[#This Row],[type]]="LFF (MDG-F)",MID(Proc[[#This Row],[Obj]],13,10),"")</f>
        <v>JP01TFOZ03</v>
      </c>
      <c r="J4028" s="140" t="b">
        <f>Proc[[#This Row],[Requested]]=Proc[[#This Row],[CurrentParent]]</f>
        <v>1</v>
      </c>
      <c r="K4028" s="144" t="str">
        <f>IF(Proc[[#This Row],[Author]]="Marcela Urrego",VLOOKUP(LEFT(Proc[[#This Row],[Requested]],1),Table3[#All],2,0),VLOOKUP(Proc[[#This Row],[Author]],Table4[],2,0))</f>
        <v>EL</v>
      </c>
      <c r="L4028" s="140" t="s">
        <v>4894</v>
      </c>
      <c r="M4028" s="136">
        <v>45902</v>
      </c>
      <c r="N4028" s="137"/>
      <c r="O4028" s="137"/>
      <c r="P4028" s="136" t="str">
        <f ca="1">IF(Proc[[#This Row],[DaysAgeing]]&gt;5,"yep","on track")</f>
        <v>yep</v>
      </c>
      <c r="Q4028" s="3">
        <f ca="1">IF(Proc[[#This Row],[DateClosed]]="",ABS(NETWORKDAYS(Proc[[#This Row],[DateOpened]],TODAY()))-1,ABS(NETWORKDAYS(Proc[[#This Row],[DateOpened]],Proc[[#This Row],[DateClosed]]))-1)</f>
        <v>73</v>
      </c>
      <c r="R4028" s="136" t="s">
        <v>6087</v>
      </c>
      <c r="S4028" s="140"/>
    </row>
    <row r="4029" spans="1:19">
      <c r="A4029" s="142" t="s">
        <v>6201</v>
      </c>
      <c r="B4029" s="149" t="str">
        <f>IFERROR(VLOOKUP(Proc[[#This Row],[App]],Table2[],3,0),"open")</f>
        <v>ok</v>
      </c>
      <c r="C4029" s="142" t="s">
        <v>369</v>
      </c>
      <c r="D4029" t="s">
        <v>6058</v>
      </c>
      <c r="E4029" t="s">
        <v>1251</v>
      </c>
      <c r="F4029" s="140" t="s">
        <v>1251</v>
      </c>
      <c r="G4029" s="142" t="s">
        <v>406</v>
      </c>
      <c r="H4029" s="140" t="str">
        <f>IF(Proc[[#This Row],[type]]="LFF (MDG-F)",MID(Proc[[#This Row],[Obj]],13,10),"")</f>
        <v>JP01Z03725</v>
      </c>
      <c r="J4029" s="140" t="b">
        <f>Proc[[#This Row],[Requested]]=Proc[[#This Row],[CurrentParent]]</f>
        <v>1</v>
      </c>
      <c r="K4029" s="144" t="str">
        <f>IF(Proc[[#This Row],[Author]]="Marcela Urrego",VLOOKUP(LEFT(Proc[[#This Row],[Requested]],1),Table3[#All],2,0),VLOOKUP(Proc[[#This Row],[Author]],Table4[],2,0))</f>
        <v>EL</v>
      </c>
      <c r="L4029" s="140" t="s">
        <v>4894</v>
      </c>
      <c r="M4029" s="136">
        <v>45902</v>
      </c>
      <c r="N4029" s="137"/>
      <c r="O4029" s="137"/>
      <c r="P4029" s="136" t="str">
        <f ca="1">IF(Proc[[#This Row],[DaysAgeing]]&gt;5,"yep","on track")</f>
        <v>yep</v>
      </c>
      <c r="Q4029" s="3">
        <f ca="1">IF(Proc[[#This Row],[DateClosed]]="",ABS(NETWORKDAYS(Proc[[#This Row],[DateOpened]],TODAY()))-1,ABS(NETWORKDAYS(Proc[[#This Row],[DateOpened]],Proc[[#This Row],[DateClosed]]))-1)</f>
        <v>73</v>
      </c>
      <c r="R4029" s="136" t="s">
        <v>6087</v>
      </c>
      <c r="S4029" s="140"/>
    </row>
    <row r="4030" spans="1:19">
      <c r="A4030" s="142" t="s">
        <v>6201</v>
      </c>
      <c r="B4030" s="149" t="str">
        <f>IFERROR(VLOOKUP(Proc[[#This Row],[App]],Table2[],3,0),"open")</f>
        <v>ok</v>
      </c>
      <c r="C4030" s="142" t="s">
        <v>369</v>
      </c>
      <c r="D4030" t="s">
        <v>6055</v>
      </c>
      <c r="E4030" t="s">
        <v>2044</v>
      </c>
      <c r="F4030" s="140" t="s">
        <v>2044</v>
      </c>
      <c r="G4030" s="142" t="s">
        <v>406</v>
      </c>
      <c r="H4030" s="140" t="str">
        <f>IF(Proc[[#This Row],[type]]="LFF (MDG-F)",MID(Proc[[#This Row],[Obj]],13,10),"")</f>
        <v>JP01Z03104</v>
      </c>
      <c r="J4030" s="140" t="b">
        <f>Proc[[#This Row],[Requested]]=Proc[[#This Row],[CurrentParent]]</f>
        <v>1</v>
      </c>
      <c r="K4030" s="144" t="str">
        <f>IF(Proc[[#This Row],[Author]]="Marcela Urrego",VLOOKUP(LEFT(Proc[[#This Row],[Requested]],1),Table3[#All],2,0),VLOOKUP(Proc[[#This Row],[Author]],Table4[],2,0))</f>
        <v>EL</v>
      </c>
      <c r="L4030" s="140" t="s">
        <v>4894</v>
      </c>
      <c r="M4030" s="136">
        <v>45902</v>
      </c>
      <c r="N4030" s="137"/>
      <c r="O4030" s="137"/>
      <c r="P4030" s="136" t="str">
        <f ca="1">IF(Proc[[#This Row],[DaysAgeing]]&gt;5,"yep","on track")</f>
        <v>yep</v>
      </c>
      <c r="Q4030" s="3">
        <f ca="1">IF(Proc[[#This Row],[DateClosed]]="",ABS(NETWORKDAYS(Proc[[#This Row],[DateOpened]],TODAY()))-1,ABS(NETWORKDAYS(Proc[[#This Row],[DateOpened]],Proc[[#This Row],[DateClosed]]))-1)</f>
        <v>73</v>
      </c>
      <c r="R4030" s="136" t="s">
        <v>6087</v>
      </c>
      <c r="S4030" s="140"/>
    </row>
    <row r="4031" spans="1:19">
      <c r="A4031" s="142" t="s">
        <v>6201</v>
      </c>
      <c r="B4031" s="149" t="str">
        <f>IFERROR(VLOOKUP(Proc[[#This Row],[App]],Table2[],3,0),"open")</f>
        <v>ok</v>
      </c>
      <c r="C4031" s="142" t="s">
        <v>369</v>
      </c>
      <c r="D4031" t="s">
        <v>6056</v>
      </c>
      <c r="E4031" t="s">
        <v>6173</v>
      </c>
      <c r="F4031" s="140" t="s">
        <v>6173</v>
      </c>
      <c r="G4031" s="142" t="s">
        <v>406</v>
      </c>
      <c r="H4031" s="140" t="str">
        <f>IF(Proc[[#This Row],[type]]="LFF (MDG-F)",MID(Proc[[#This Row],[Obj]],13,10),"")</f>
        <v>JP01Z03105</v>
      </c>
      <c r="J4031" s="140" t="b">
        <f>Proc[[#This Row],[Requested]]=Proc[[#This Row],[CurrentParent]]</f>
        <v>1</v>
      </c>
      <c r="K4031" s="144" t="str">
        <f>IF(Proc[[#This Row],[Author]]="Marcela Urrego",VLOOKUP(LEFT(Proc[[#This Row],[Requested]],1),Table3[#All],2,0),VLOOKUP(Proc[[#This Row],[Author]],Table4[],2,0))</f>
        <v>EL</v>
      </c>
      <c r="L4031" s="140" t="s">
        <v>4894</v>
      </c>
      <c r="M4031" s="136">
        <v>45902</v>
      </c>
      <c r="N4031" s="137"/>
      <c r="O4031" s="137"/>
      <c r="P4031" s="136" t="str">
        <f ca="1">IF(Proc[[#This Row],[DaysAgeing]]&gt;5,"yep","on track")</f>
        <v>yep</v>
      </c>
      <c r="Q4031" s="3">
        <f ca="1">IF(Proc[[#This Row],[DateClosed]]="",ABS(NETWORKDAYS(Proc[[#This Row],[DateOpened]],TODAY()))-1,ABS(NETWORKDAYS(Proc[[#This Row],[DateOpened]],Proc[[#This Row],[DateClosed]]))-1)</f>
        <v>73</v>
      </c>
      <c r="R4031" s="136" t="s">
        <v>6087</v>
      </c>
      <c r="S4031" s="140"/>
    </row>
    <row r="4032" spans="1:19">
      <c r="A4032" s="142" t="s">
        <v>6201</v>
      </c>
      <c r="B4032" s="149" t="str">
        <f>IFERROR(VLOOKUP(Proc[[#This Row],[App]],Table2[],3,0),"open")</f>
        <v>ok</v>
      </c>
      <c r="C4032" s="142" t="s">
        <v>369</v>
      </c>
      <c r="D4032" t="s">
        <v>5945</v>
      </c>
      <c r="E4032" t="s">
        <v>6174</v>
      </c>
      <c r="F4032" s="140" t="s">
        <v>6174</v>
      </c>
      <c r="G4032" s="142" t="s">
        <v>406</v>
      </c>
      <c r="H4032" s="140" t="str">
        <f>IF(Proc[[#This Row],[type]]="LFF (MDG-F)",MID(Proc[[#This Row],[Obj]],13,10),"")</f>
        <v>JP01C00020</v>
      </c>
      <c r="J4032" s="140" t="b">
        <f>Proc[[#This Row],[Requested]]=Proc[[#This Row],[CurrentParent]]</f>
        <v>1</v>
      </c>
      <c r="K4032" s="144" t="str">
        <f>IF(Proc[[#This Row],[Author]]="Marcela Urrego",VLOOKUP(LEFT(Proc[[#This Row],[Requested]],1),Table3[#All],2,0),VLOOKUP(Proc[[#This Row],[Author]],Table4[],2,0))</f>
        <v>EL</v>
      </c>
      <c r="L4032" s="140" t="s">
        <v>4894</v>
      </c>
      <c r="M4032" s="136">
        <v>45902</v>
      </c>
      <c r="N4032" s="137"/>
      <c r="O4032" s="137"/>
      <c r="P4032" s="136" t="str">
        <f ca="1">IF(Proc[[#This Row],[DaysAgeing]]&gt;5,"yep","on track")</f>
        <v>yep</v>
      </c>
      <c r="Q4032" s="3">
        <f ca="1">IF(Proc[[#This Row],[DateClosed]]="",ABS(NETWORKDAYS(Proc[[#This Row],[DateOpened]],TODAY()))-1,ABS(NETWORKDAYS(Proc[[#This Row],[DateOpened]],Proc[[#This Row],[DateClosed]]))-1)</f>
        <v>73</v>
      </c>
      <c r="R4032" s="136" t="s">
        <v>6087</v>
      </c>
      <c r="S4032" s="140"/>
    </row>
    <row r="4033" spans="1:19">
      <c r="A4033" s="142" t="s">
        <v>6201</v>
      </c>
      <c r="B4033" s="149" t="str">
        <f>IFERROR(VLOOKUP(Proc[[#This Row],[App]],Table2[],3,0),"open")</f>
        <v>ok</v>
      </c>
      <c r="C4033" s="142" t="s">
        <v>369</v>
      </c>
      <c r="D4033" t="s">
        <v>5946</v>
      </c>
      <c r="E4033" t="s">
        <v>6175</v>
      </c>
      <c r="F4033" s="140" t="s">
        <v>6175</v>
      </c>
      <c r="G4033" s="142" t="s">
        <v>406</v>
      </c>
      <c r="H4033" s="140" t="str">
        <f>IF(Proc[[#This Row],[type]]="LFF (MDG-F)",MID(Proc[[#This Row],[Obj]],13,10),"")</f>
        <v>JP01C00301</v>
      </c>
      <c r="J4033" s="140" t="b">
        <f>Proc[[#This Row],[Requested]]=Proc[[#This Row],[CurrentParent]]</f>
        <v>1</v>
      </c>
      <c r="K4033" s="144" t="str">
        <f>IF(Proc[[#This Row],[Author]]="Marcela Urrego",VLOOKUP(LEFT(Proc[[#This Row],[Requested]],1),Table3[#All],2,0),VLOOKUP(Proc[[#This Row],[Author]],Table4[],2,0))</f>
        <v>EL</v>
      </c>
      <c r="L4033" s="140" t="s">
        <v>4894</v>
      </c>
      <c r="M4033" s="136">
        <v>45902</v>
      </c>
      <c r="N4033" s="137"/>
      <c r="O4033" s="137"/>
      <c r="P4033" s="136" t="str">
        <f ca="1">IF(Proc[[#This Row],[DaysAgeing]]&gt;5,"yep","on track")</f>
        <v>yep</v>
      </c>
      <c r="Q4033" s="3">
        <f ca="1">IF(Proc[[#This Row],[DateClosed]]="",ABS(NETWORKDAYS(Proc[[#This Row],[DateOpened]],TODAY()))-1,ABS(NETWORKDAYS(Proc[[#This Row],[DateOpened]],Proc[[#This Row],[DateClosed]]))-1)</f>
        <v>73</v>
      </c>
      <c r="R4033" s="136" t="s">
        <v>6087</v>
      </c>
      <c r="S4033" s="140"/>
    </row>
    <row r="4034" spans="1:19">
      <c r="A4034" s="142" t="s">
        <v>6201</v>
      </c>
      <c r="B4034" s="149" t="str">
        <f>IFERROR(VLOOKUP(Proc[[#This Row],[App]],Table2[],3,0),"open")</f>
        <v>ok</v>
      </c>
      <c r="C4034" s="142" t="s">
        <v>369</v>
      </c>
      <c r="D4034" t="s">
        <v>5947</v>
      </c>
      <c r="E4034" t="s">
        <v>6175</v>
      </c>
      <c r="F4034" s="140" t="s">
        <v>6175</v>
      </c>
      <c r="G4034" s="142" t="s">
        <v>406</v>
      </c>
      <c r="H4034" s="140" t="str">
        <f>IF(Proc[[#This Row],[type]]="LFF (MDG-F)",MID(Proc[[#This Row],[Obj]],13,10),"")</f>
        <v>JP01C00401</v>
      </c>
      <c r="J4034" s="140" t="b">
        <f>Proc[[#This Row],[Requested]]=Proc[[#This Row],[CurrentParent]]</f>
        <v>1</v>
      </c>
      <c r="K4034" s="144" t="str">
        <f>IF(Proc[[#This Row],[Author]]="Marcela Urrego",VLOOKUP(LEFT(Proc[[#This Row],[Requested]],1),Table3[#All],2,0),VLOOKUP(Proc[[#This Row],[Author]],Table4[],2,0))</f>
        <v>EL</v>
      </c>
      <c r="L4034" s="140" t="s">
        <v>4894</v>
      </c>
      <c r="M4034" s="136">
        <v>45902</v>
      </c>
      <c r="N4034" s="137"/>
      <c r="O4034" s="137"/>
      <c r="P4034" s="136" t="str">
        <f ca="1">IF(Proc[[#This Row],[DaysAgeing]]&gt;5,"yep","on track")</f>
        <v>yep</v>
      </c>
      <c r="Q4034" s="3">
        <f ca="1">IF(Proc[[#This Row],[DateClosed]]="",ABS(NETWORKDAYS(Proc[[#This Row],[DateOpened]],TODAY()))-1,ABS(NETWORKDAYS(Proc[[#This Row],[DateOpened]],Proc[[#This Row],[DateClosed]]))-1)</f>
        <v>73</v>
      </c>
      <c r="R4034" s="136" t="s">
        <v>6087</v>
      </c>
      <c r="S4034" s="140"/>
    </row>
    <row r="4035" spans="1:19">
      <c r="A4035" s="142" t="s">
        <v>6201</v>
      </c>
      <c r="B4035" s="149" t="str">
        <f>IFERROR(VLOOKUP(Proc[[#This Row],[App]],Table2[],3,0),"open")</f>
        <v>ok</v>
      </c>
      <c r="C4035" s="142" t="s">
        <v>369</v>
      </c>
      <c r="D4035" t="s">
        <v>5976</v>
      </c>
      <c r="E4035" t="s">
        <v>6176</v>
      </c>
      <c r="F4035" s="140" t="s">
        <v>6176</v>
      </c>
      <c r="G4035" s="142" t="s">
        <v>406</v>
      </c>
      <c r="H4035" s="140" t="str">
        <f>IF(Proc[[#This Row],[type]]="LFF (MDG-F)",MID(Proc[[#This Row],[Obj]],13,10),"")</f>
        <v>JP01GMW080</v>
      </c>
      <c r="J4035" s="140" t="b">
        <f>Proc[[#This Row],[Requested]]=Proc[[#This Row],[CurrentParent]]</f>
        <v>1</v>
      </c>
      <c r="K4035" s="144" t="str">
        <f>IF(Proc[[#This Row],[Author]]="Marcela Urrego",VLOOKUP(LEFT(Proc[[#This Row],[Requested]],1),Table3[#All],2,0),VLOOKUP(Proc[[#This Row],[Author]],Table4[],2,0))</f>
        <v>EL</v>
      </c>
      <c r="L4035" s="140" t="s">
        <v>4894</v>
      </c>
      <c r="M4035" s="136">
        <v>45902</v>
      </c>
      <c r="N4035" s="137"/>
      <c r="O4035" s="137"/>
      <c r="P4035" s="136" t="str">
        <f ca="1">IF(Proc[[#This Row],[DaysAgeing]]&gt;5,"yep","on track")</f>
        <v>yep</v>
      </c>
      <c r="Q4035" s="3">
        <f ca="1">IF(Proc[[#This Row],[DateClosed]]="",ABS(NETWORKDAYS(Proc[[#This Row],[DateOpened]],TODAY()))-1,ABS(NETWORKDAYS(Proc[[#This Row],[DateOpened]],Proc[[#This Row],[DateClosed]]))-1)</f>
        <v>73</v>
      </c>
      <c r="R4035" s="136" t="s">
        <v>6087</v>
      </c>
      <c r="S4035" s="140"/>
    </row>
    <row r="4036" spans="1:19">
      <c r="A4036" s="142" t="s">
        <v>6201</v>
      </c>
      <c r="B4036" s="149" t="str">
        <f>IFERROR(VLOOKUP(Proc[[#This Row],[App]],Table2[],3,0),"open")</f>
        <v>ok</v>
      </c>
      <c r="C4036" s="142" t="s">
        <v>369</v>
      </c>
      <c r="D4036" t="s">
        <v>5994</v>
      </c>
      <c r="E4036" t="s">
        <v>2681</v>
      </c>
      <c r="F4036" s="140" t="s">
        <v>2681</v>
      </c>
      <c r="G4036" s="142" t="s">
        <v>406</v>
      </c>
      <c r="H4036" s="140" t="str">
        <f>IF(Proc[[#This Row],[type]]="LFF (MDG-F)",MID(Proc[[#This Row],[Obj]],13,10),"")</f>
        <v>JP01O05000</v>
      </c>
      <c r="J4036" s="140" t="b">
        <f>Proc[[#This Row],[Requested]]=Proc[[#This Row],[CurrentParent]]</f>
        <v>1</v>
      </c>
      <c r="K4036" s="144" t="str">
        <f>IF(Proc[[#This Row],[Author]]="Marcela Urrego",VLOOKUP(LEFT(Proc[[#This Row],[Requested]],1),Table3[#All],2,0),VLOOKUP(Proc[[#This Row],[Author]],Table4[],2,0))</f>
        <v>EL</v>
      </c>
      <c r="L4036" s="140" t="s">
        <v>4894</v>
      </c>
      <c r="M4036" s="136">
        <v>45902</v>
      </c>
      <c r="N4036" s="137"/>
      <c r="O4036" s="137"/>
      <c r="P4036" s="136" t="str">
        <f ca="1">IF(Proc[[#This Row],[DaysAgeing]]&gt;5,"yep","on track")</f>
        <v>yep</v>
      </c>
      <c r="Q4036" s="3">
        <f ca="1">IF(Proc[[#This Row],[DateClosed]]="",ABS(NETWORKDAYS(Proc[[#This Row],[DateOpened]],TODAY()))-1,ABS(NETWORKDAYS(Proc[[#This Row],[DateOpened]],Proc[[#This Row],[DateClosed]]))-1)</f>
        <v>73</v>
      </c>
      <c r="R4036" s="136" t="s">
        <v>6087</v>
      </c>
      <c r="S4036" s="140"/>
    </row>
    <row r="4037" spans="1:19">
      <c r="A4037" s="142" t="s">
        <v>6201</v>
      </c>
      <c r="B4037" s="149" t="str">
        <f>IFERROR(VLOOKUP(Proc[[#This Row],[App]],Table2[],3,0),"open")</f>
        <v>ok</v>
      </c>
      <c r="C4037" s="142" t="s">
        <v>369</v>
      </c>
      <c r="D4037" t="s">
        <v>5996</v>
      </c>
      <c r="E4037" t="s">
        <v>2681</v>
      </c>
      <c r="F4037" s="140" t="s">
        <v>2681</v>
      </c>
      <c r="G4037" s="142" t="s">
        <v>406</v>
      </c>
      <c r="H4037" s="140" t="str">
        <f>IF(Proc[[#This Row],[type]]="LFF (MDG-F)",MID(Proc[[#This Row],[Obj]],13,10),"")</f>
        <v>JP01O05002</v>
      </c>
      <c r="J4037" s="140" t="b">
        <f>Proc[[#This Row],[Requested]]=Proc[[#This Row],[CurrentParent]]</f>
        <v>1</v>
      </c>
      <c r="K4037" s="144" t="str">
        <f>IF(Proc[[#This Row],[Author]]="Marcela Urrego",VLOOKUP(LEFT(Proc[[#This Row],[Requested]],1),Table3[#All],2,0),VLOOKUP(Proc[[#This Row],[Author]],Table4[],2,0))</f>
        <v>EL</v>
      </c>
      <c r="L4037" s="140" t="s">
        <v>4894</v>
      </c>
      <c r="M4037" s="136">
        <v>45902</v>
      </c>
      <c r="N4037" s="137"/>
      <c r="O4037" s="137"/>
      <c r="P4037" s="136" t="str">
        <f ca="1">IF(Proc[[#This Row],[DaysAgeing]]&gt;5,"yep","on track")</f>
        <v>yep</v>
      </c>
      <c r="Q4037" s="3">
        <f ca="1">IF(Proc[[#This Row],[DateClosed]]="",ABS(NETWORKDAYS(Proc[[#This Row],[DateOpened]],TODAY()))-1,ABS(NETWORKDAYS(Proc[[#This Row],[DateOpened]],Proc[[#This Row],[DateClosed]]))-1)</f>
        <v>73</v>
      </c>
      <c r="R4037" s="136" t="s">
        <v>6087</v>
      </c>
      <c r="S4037" s="140"/>
    </row>
    <row r="4038" spans="1:19">
      <c r="A4038" s="142" t="s">
        <v>6201</v>
      </c>
      <c r="B4038" s="149" t="str">
        <f>IFERROR(VLOOKUP(Proc[[#This Row],[App]],Table2[],3,0),"open")</f>
        <v>ok</v>
      </c>
      <c r="C4038" s="142" t="s">
        <v>369</v>
      </c>
      <c r="D4038" t="s">
        <v>5997</v>
      </c>
      <c r="E4038" t="s">
        <v>2681</v>
      </c>
      <c r="F4038" s="140" t="s">
        <v>2681</v>
      </c>
      <c r="G4038" s="142" t="s">
        <v>406</v>
      </c>
      <c r="H4038" s="140" t="str">
        <f>IF(Proc[[#This Row],[type]]="LFF (MDG-F)",MID(Proc[[#This Row],[Obj]],13,10),"")</f>
        <v>JP01O05003</v>
      </c>
      <c r="J4038" s="140" t="b">
        <f>Proc[[#This Row],[Requested]]=Proc[[#This Row],[CurrentParent]]</f>
        <v>1</v>
      </c>
      <c r="K4038" s="144" t="str">
        <f>IF(Proc[[#This Row],[Author]]="Marcela Urrego",VLOOKUP(LEFT(Proc[[#This Row],[Requested]],1),Table3[#All],2,0),VLOOKUP(Proc[[#This Row],[Author]],Table4[],2,0))</f>
        <v>EL</v>
      </c>
      <c r="L4038" s="140" t="s">
        <v>4894</v>
      </c>
      <c r="M4038" s="136">
        <v>45902</v>
      </c>
      <c r="N4038" s="137"/>
      <c r="O4038" s="137"/>
      <c r="P4038" s="136" t="str">
        <f ca="1">IF(Proc[[#This Row],[DaysAgeing]]&gt;5,"yep","on track")</f>
        <v>yep</v>
      </c>
      <c r="Q4038" s="3">
        <f ca="1">IF(Proc[[#This Row],[DateClosed]]="",ABS(NETWORKDAYS(Proc[[#This Row],[DateOpened]],TODAY()))-1,ABS(NETWORKDAYS(Proc[[#This Row],[DateOpened]],Proc[[#This Row],[DateClosed]]))-1)</f>
        <v>73</v>
      </c>
      <c r="R4038" s="136" t="s">
        <v>6087</v>
      </c>
      <c r="S4038" s="140"/>
    </row>
    <row r="4039" spans="1:19">
      <c r="A4039" s="142" t="s">
        <v>6201</v>
      </c>
      <c r="B4039" s="149" t="str">
        <f>IFERROR(VLOOKUP(Proc[[#This Row],[App]],Table2[],3,0),"open")</f>
        <v>ok</v>
      </c>
      <c r="C4039" s="142" t="s">
        <v>369</v>
      </c>
      <c r="D4039" t="s">
        <v>5998</v>
      </c>
      <c r="E4039" t="s">
        <v>2681</v>
      </c>
      <c r="F4039" s="140" t="s">
        <v>2681</v>
      </c>
      <c r="G4039" s="142" t="s">
        <v>406</v>
      </c>
      <c r="H4039" s="140" t="str">
        <f>IF(Proc[[#This Row],[type]]="LFF (MDG-F)",MID(Proc[[#This Row],[Obj]],13,10),"")</f>
        <v>JP01O05004</v>
      </c>
      <c r="J4039" s="140" t="b">
        <f>Proc[[#This Row],[Requested]]=Proc[[#This Row],[CurrentParent]]</f>
        <v>1</v>
      </c>
      <c r="K4039" s="144" t="str">
        <f>IF(Proc[[#This Row],[Author]]="Marcela Urrego",VLOOKUP(LEFT(Proc[[#This Row],[Requested]],1),Table3[#All],2,0),VLOOKUP(Proc[[#This Row],[Author]],Table4[],2,0))</f>
        <v>EL</v>
      </c>
      <c r="L4039" s="140" t="s">
        <v>4894</v>
      </c>
      <c r="M4039" s="136">
        <v>45902</v>
      </c>
      <c r="N4039" s="137"/>
      <c r="O4039" s="137"/>
      <c r="P4039" s="136" t="str">
        <f ca="1">IF(Proc[[#This Row],[DaysAgeing]]&gt;5,"yep","on track")</f>
        <v>yep</v>
      </c>
      <c r="Q4039" s="3">
        <f ca="1">IF(Proc[[#This Row],[DateClosed]]="",ABS(NETWORKDAYS(Proc[[#This Row],[DateOpened]],TODAY()))-1,ABS(NETWORKDAYS(Proc[[#This Row],[DateOpened]],Proc[[#This Row],[DateClosed]]))-1)</f>
        <v>73</v>
      </c>
      <c r="R4039" s="136" t="s">
        <v>6087</v>
      </c>
      <c r="S4039" s="140"/>
    </row>
    <row r="4040" spans="1:19">
      <c r="A4040" s="142" t="s">
        <v>6201</v>
      </c>
      <c r="B4040" s="149" t="str">
        <f>IFERROR(VLOOKUP(Proc[[#This Row],[App]],Table2[],3,0),"open")</f>
        <v>ok</v>
      </c>
      <c r="C4040" s="149" t="s">
        <v>369</v>
      </c>
      <c r="D4040" t="s">
        <v>6046</v>
      </c>
      <c r="E4040" t="s">
        <v>735</v>
      </c>
      <c r="F4040" s="150" t="s">
        <v>735</v>
      </c>
      <c r="G4040" s="142" t="s">
        <v>406</v>
      </c>
      <c r="H4040" s="140" t="str">
        <f>IF(Proc[[#This Row],[type]]="LFF (MDG-F)",MID(Proc[[#This Row],[Obj]],13,10),"")</f>
        <v>JP01Z01000</v>
      </c>
      <c r="J4040" s="140" t="b">
        <f>Proc[[#This Row],[Requested]]=Proc[[#This Row],[CurrentParent]]</f>
        <v>1</v>
      </c>
      <c r="K4040" s="144" t="str">
        <f>IF(Proc[[#This Row],[Author]]="Marcela Urrego",VLOOKUP(LEFT(Proc[[#This Row],[Requested]],1),Table3[#All],2,0),VLOOKUP(Proc[[#This Row],[Author]],Table4[],2,0))</f>
        <v>EL</v>
      </c>
      <c r="L4040" s="140" t="s">
        <v>4894</v>
      </c>
      <c r="M4040" s="136">
        <v>45902</v>
      </c>
      <c r="N4040" s="137"/>
      <c r="O4040" s="137"/>
      <c r="P4040" s="136" t="str">
        <f ca="1">IF(Proc[[#This Row],[DaysAgeing]]&gt;5,"yep","on track")</f>
        <v>yep</v>
      </c>
      <c r="Q4040" s="3">
        <f ca="1">IF(Proc[[#This Row],[DateClosed]]="",ABS(NETWORKDAYS(Proc[[#This Row],[DateOpened]],TODAY()))-1,ABS(NETWORKDAYS(Proc[[#This Row],[DateOpened]],Proc[[#This Row],[DateClosed]]))-1)</f>
        <v>73</v>
      </c>
      <c r="R4040" s="136" t="s">
        <v>6087</v>
      </c>
      <c r="S4040" s="140"/>
    </row>
    <row r="4041" spans="1:19">
      <c r="A4041" s="142" t="s">
        <v>6201</v>
      </c>
      <c r="B4041" s="149" t="str">
        <f>IFERROR(VLOOKUP(Proc[[#This Row],[App]],Table2[],3,0),"open")</f>
        <v>ok</v>
      </c>
      <c r="C4041" s="142" t="s">
        <v>369</v>
      </c>
      <c r="D4041" t="s">
        <v>6047</v>
      </c>
      <c r="E4041" t="s">
        <v>6177</v>
      </c>
      <c r="F4041" s="140" t="s">
        <v>6177</v>
      </c>
      <c r="G4041" s="142" t="s">
        <v>406</v>
      </c>
      <c r="H4041" s="140" t="str">
        <f>IF(Proc[[#This Row],[type]]="LFF (MDG-F)",MID(Proc[[#This Row],[Obj]],13,10),"")</f>
        <v>JP01Z01IF9</v>
      </c>
      <c r="J4041" s="140" t="b">
        <f>Proc[[#This Row],[Requested]]=Proc[[#This Row],[CurrentParent]]</f>
        <v>1</v>
      </c>
      <c r="K4041" s="144" t="str">
        <f>IF(Proc[[#This Row],[Author]]="Marcela Urrego",VLOOKUP(LEFT(Proc[[#This Row],[Requested]],1),Table3[#All],2,0),VLOOKUP(Proc[[#This Row],[Author]],Table4[],2,0))</f>
        <v>EL</v>
      </c>
      <c r="L4041" s="140" t="s">
        <v>4894</v>
      </c>
      <c r="M4041" s="136">
        <v>45902</v>
      </c>
      <c r="N4041" s="137"/>
      <c r="O4041" s="137"/>
      <c r="P4041" s="136" t="str">
        <f ca="1">IF(Proc[[#This Row],[DaysAgeing]]&gt;5,"yep","on track")</f>
        <v>yep</v>
      </c>
      <c r="Q4041" s="3">
        <f ca="1">IF(Proc[[#This Row],[DateClosed]]="",ABS(NETWORKDAYS(Proc[[#This Row],[DateOpened]],TODAY()))-1,ABS(NETWORKDAYS(Proc[[#This Row],[DateOpened]],Proc[[#This Row],[DateClosed]]))-1)</f>
        <v>73</v>
      </c>
      <c r="R4041" s="136" t="s">
        <v>6087</v>
      </c>
      <c r="S4041" s="140"/>
    </row>
    <row r="4042" spans="1:19">
      <c r="A4042" s="142" t="s">
        <v>6201</v>
      </c>
      <c r="B4042" s="149" t="str">
        <f>IFERROR(VLOOKUP(Proc[[#This Row],[App]],Table2[],3,0),"open")</f>
        <v>ok</v>
      </c>
      <c r="C4042" s="142" t="s">
        <v>369</v>
      </c>
      <c r="D4042" t="s">
        <v>6048</v>
      </c>
      <c r="E4042" t="s">
        <v>6178</v>
      </c>
      <c r="F4042" s="140" t="s">
        <v>6178</v>
      </c>
      <c r="G4042" s="142" t="s">
        <v>406</v>
      </c>
      <c r="H4042" s="140" t="str">
        <f>IF(Proc[[#This Row],[type]]="LFF (MDG-F)",MID(Proc[[#This Row],[Obj]],13,10),"")</f>
        <v>JP01Z02141</v>
      </c>
      <c r="J4042" s="140" t="b">
        <f>Proc[[#This Row],[Requested]]=Proc[[#This Row],[CurrentParent]]</f>
        <v>1</v>
      </c>
      <c r="K4042" s="144" t="str">
        <f>IF(Proc[[#This Row],[Author]]="Marcela Urrego",VLOOKUP(LEFT(Proc[[#This Row],[Requested]],1),Table3[#All],2,0),VLOOKUP(Proc[[#This Row],[Author]],Table4[],2,0))</f>
        <v>EL</v>
      </c>
      <c r="L4042" s="140" t="s">
        <v>4894</v>
      </c>
      <c r="M4042" s="136">
        <v>45902</v>
      </c>
      <c r="N4042" s="137"/>
      <c r="O4042" s="137"/>
      <c r="P4042" s="136" t="str">
        <f ca="1">IF(Proc[[#This Row],[DaysAgeing]]&gt;5,"yep","on track")</f>
        <v>yep</v>
      </c>
      <c r="Q4042" s="3">
        <f ca="1">IF(Proc[[#This Row],[DateClosed]]="",ABS(NETWORKDAYS(Proc[[#This Row],[DateOpened]],TODAY()))-1,ABS(NETWORKDAYS(Proc[[#This Row],[DateOpened]],Proc[[#This Row],[DateClosed]]))-1)</f>
        <v>73</v>
      </c>
      <c r="R4042" s="136" t="s">
        <v>6087</v>
      </c>
      <c r="S4042" s="140"/>
    </row>
    <row r="4043" spans="1:19">
      <c r="A4043" s="142" t="s">
        <v>6201</v>
      </c>
      <c r="B4043" s="149" t="str">
        <f>IFERROR(VLOOKUP(Proc[[#This Row],[App]],Table2[],3,0),"open")</f>
        <v>ok</v>
      </c>
      <c r="C4043" s="142" t="s">
        <v>369</v>
      </c>
      <c r="D4043" t="s">
        <v>6049</v>
      </c>
      <c r="E4043" t="s">
        <v>6179</v>
      </c>
      <c r="F4043" s="140" t="s">
        <v>6179</v>
      </c>
      <c r="G4043" s="142" t="s">
        <v>406</v>
      </c>
      <c r="H4043" s="140" t="str">
        <f>IF(Proc[[#This Row],[type]]="LFF (MDG-F)",MID(Proc[[#This Row],[Obj]],13,10),"")</f>
        <v>JP01Z02171</v>
      </c>
      <c r="J4043" s="140" t="b">
        <f>Proc[[#This Row],[Requested]]=Proc[[#This Row],[CurrentParent]]</f>
        <v>1</v>
      </c>
      <c r="K4043" s="144" t="str">
        <f>IF(Proc[[#This Row],[Author]]="Marcela Urrego",VLOOKUP(LEFT(Proc[[#This Row],[Requested]],1),Table3[#All],2,0),VLOOKUP(Proc[[#This Row],[Author]],Table4[],2,0))</f>
        <v>EL</v>
      </c>
      <c r="L4043" s="140" t="s">
        <v>4894</v>
      </c>
      <c r="M4043" s="136">
        <v>45902</v>
      </c>
      <c r="N4043" s="137"/>
      <c r="O4043" s="137"/>
      <c r="P4043" s="136" t="str">
        <f ca="1">IF(Proc[[#This Row],[DaysAgeing]]&gt;5,"yep","on track")</f>
        <v>yep</v>
      </c>
      <c r="Q4043" s="3">
        <f ca="1">IF(Proc[[#This Row],[DateClosed]]="",ABS(NETWORKDAYS(Proc[[#This Row],[DateOpened]],TODAY()))-1,ABS(NETWORKDAYS(Proc[[#This Row],[DateOpened]],Proc[[#This Row],[DateClosed]]))-1)</f>
        <v>73</v>
      </c>
      <c r="R4043" s="136" t="s">
        <v>6087</v>
      </c>
      <c r="S4043" s="140"/>
    </row>
    <row r="4044" spans="1:19">
      <c r="A4044" s="142" t="s">
        <v>6201</v>
      </c>
      <c r="B4044" s="149" t="str">
        <f>IFERROR(VLOOKUP(Proc[[#This Row],[App]],Table2[],3,0),"open")</f>
        <v>ok</v>
      </c>
      <c r="C4044" s="142" t="s">
        <v>369</v>
      </c>
      <c r="D4044" t="s">
        <v>6050</v>
      </c>
      <c r="E4044" t="s">
        <v>6179</v>
      </c>
      <c r="F4044" s="140" t="s">
        <v>6179</v>
      </c>
      <c r="G4044" s="142" t="s">
        <v>406</v>
      </c>
      <c r="H4044" s="140" t="str">
        <f>IF(Proc[[#This Row],[type]]="LFF (MDG-F)",MID(Proc[[#This Row],[Obj]],13,10),"")</f>
        <v>JP01Z02173</v>
      </c>
      <c r="J4044" s="140" t="b">
        <f>Proc[[#This Row],[Requested]]=Proc[[#This Row],[CurrentParent]]</f>
        <v>1</v>
      </c>
      <c r="K4044" s="144" t="str">
        <f>IF(Proc[[#This Row],[Author]]="Marcela Urrego",VLOOKUP(LEFT(Proc[[#This Row],[Requested]],1),Table3[#All],2,0),VLOOKUP(Proc[[#This Row],[Author]],Table4[],2,0))</f>
        <v>EL</v>
      </c>
      <c r="L4044" s="140" t="s">
        <v>4894</v>
      </c>
      <c r="M4044" s="136">
        <v>45902</v>
      </c>
      <c r="N4044" s="137"/>
      <c r="O4044" s="137"/>
      <c r="P4044" s="136" t="str">
        <f ca="1">IF(Proc[[#This Row],[DaysAgeing]]&gt;5,"yep","on track")</f>
        <v>yep</v>
      </c>
      <c r="Q4044" s="3">
        <f ca="1">IF(Proc[[#This Row],[DateClosed]]="",ABS(NETWORKDAYS(Proc[[#This Row],[DateOpened]],TODAY()))-1,ABS(NETWORKDAYS(Proc[[#This Row],[DateOpened]],Proc[[#This Row],[DateClosed]]))-1)</f>
        <v>73</v>
      </c>
      <c r="R4044" s="136" t="s">
        <v>6087</v>
      </c>
      <c r="S4044" s="140"/>
    </row>
    <row r="4045" spans="1:19">
      <c r="A4045" s="142" t="s">
        <v>6201</v>
      </c>
      <c r="B4045" s="149" t="str">
        <f>IFERROR(VLOOKUP(Proc[[#This Row],[App]],Table2[],3,0),"open")</f>
        <v>ok</v>
      </c>
      <c r="C4045" s="142" t="s">
        <v>369</v>
      </c>
      <c r="D4045" t="s">
        <v>6051</v>
      </c>
      <c r="E4045" t="s">
        <v>6179</v>
      </c>
      <c r="F4045" s="140" t="s">
        <v>6179</v>
      </c>
      <c r="G4045" s="142" t="s">
        <v>406</v>
      </c>
      <c r="H4045" s="140" t="str">
        <f>IF(Proc[[#This Row],[type]]="LFF (MDG-F)",MID(Proc[[#This Row],[Obj]],13,10),"")</f>
        <v>JP01Z02174</v>
      </c>
      <c r="J4045" s="140" t="b">
        <f>Proc[[#This Row],[Requested]]=Proc[[#This Row],[CurrentParent]]</f>
        <v>1</v>
      </c>
      <c r="K4045" s="144" t="str">
        <f>IF(Proc[[#This Row],[Author]]="Marcela Urrego",VLOOKUP(LEFT(Proc[[#This Row],[Requested]],1),Table3[#All],2,0),VLOOKUP(Proc[[#This Row],[Author]],Table4[],2,0))</f>
        <v>EL</v>
      </c>
      <c r="L4045" s="140" t="s">
        <v>4894</v>
      </c>
      <c r="M4045" s="136">
        <v>45902</v>
      </c>
      <c r="N4045" s="137"/>
      <c r="O4045" s="137"/>
      <c r="P4045" s="136" t="str">
        <f ca="1">IF(Proc[[#This Row],[DaysAgeing]]&gt;5,"yep","on track")</f>
        <v>yep</v>
      </c>
      <c r="Q4045" s="3">
        <f ca="1">IF(Proc[[#This Row],[DateClosed]]="",ABS(NETWORKDAYS(Proc[[#This Row],[DateOpened]],TODAY()))-1,ABS(NETWORKDAYS(Proc[[#This Row],[DateOpened]],Proc[[#This Row],[DateClosed]]))-1)</f>
        <v>73</v>
      </c>
      <c r="R4045" s="136" t="s">
        <v>6087</v>
      </c>
      <c r="S4045" s="140"/>
    </row>
    <row r="4046" spans="1:19">
      <c r="A4046" s="142" t="s">
        <v>6201</v>
      </c>
      <c r="B4046" s="149" t="str">
        <f>IFERROR(VLOOKUP(Proc[[#This Row],[App]],Table2[],3,0),"open")</f>
        <v>ok</v>
      </c>
      <c r="C4046" s="142" t="s">
        <v>369</v>
      </c>
      <c r="D4046" t="s">
        <v>6052</v>
      </c>
      <c r="E4046" t="s">
        <v>6179</v>
      </c>
      <c r="F4046" s="140" t="s">
        <v>6179</v>
      </c>
      <c r="G4046" s="142" t="s">
        <v>406</v>
      </c>
      <c r="H4046" s="140" t="str">
        <f>IF(Proc[[#This Row],[type]]="LFF (MDG-F)",MID(Proc[[#This Row],[Obj]],13,10),"")</f>
        <v>JP01Z02175</v>
      </c>
      <c r="J4046" s="140" t="b">
        <f>Proc[[#This Row],[Requested]]=Proc[[#This Row],[CurrentParent]]</f>
        <v>1</v>
      </c>
      <c r="K4046" s="144" t="str">
        <f>IF(Proc[[#This Row],[Author]]="Marcela Urrego",VLOOKUP(LEFT(Proc[[#This Row],[Requested]],1),Table3[#All],2,0),VLOOKUP(Proc[[#This Row],[Author]],Table4[],2,0))</f>
        <v>EL</v>
      </c>
      <c r="L4046" s="140" t="s">
        <v>4894</v>
      </c>
      <c r="M4046" s="136">
        <v>45902</v>
      </c>
      <c r="N4046" s="137"/>
      <c r="O4046" s="137"/>
      <c r="P4046" s="136" t="str">
        <f ca="1">IF(Proc[[#This Row],[DaysAgeing]]&gt;5,"yep","on track")</f>
        <v>yep</v>
      </c>
      <c r="Q4046" s="3">
        <f ca="1">IF(Proc[[#This Row],[DateClosed]]="",ABS(NETWORKDAYS(Proc[[#This Row],[DateOpened]],TODAY()))-1,ABS(NETWORKDAYS(Proc[[#This Row],[DateOpened]],Proc[[#This Row],[DateClosed]]))-1)</f>
        <v>73</v>
      </c>
      <c r="R4046" s="136" t="s">
        <v>6087</v>
      </c>
      <c r="S4046" s="140"/>
    </row>
    <row r="4047" spans="1:19">
      <c r="A4047" s="142" t="s">
        <v>6201</v>
      </c>
      <c r="B4047" s="149" t="str">
        <f>IFERROR(VLOOKUP(Proc[[#This Row],[App]],Table2[],3,0),"open")</f>
        <v>ok</v>
      </c>
      <c r="C4047" s="142" t="s">
        <v>369</v>
      </c>
      <c r="D4047" t="s">
        <v>6053</v>
      </c>
      <c r="E4047" t="s">
        <v>6180</v>
      </c>
      <c r="F4047" s="140" t="s">
        <v>6180</v>
      </c>
      <c r="G4047" s="142" t="s">
        <v>406</v>
      </c>
      <c r="H4047" s="140" t="str">
        <f>IF(Proc[[#This Row],[type]]="LFF (MDG-F)",MID(Proc[[#This Row],[Obj]],13,10),"")</f>
        <v>JP01Z02183</v>
      </c>
      <c r="J4047" s="140" t="b">
        <f>Proc[[#This Row],[Requested]]=Proc[[#This Row],[CurrentParent]]</f>
        <v>1</v>
      </c>
      <c r="K4047" s="144" t="str">
        <f>IF(Proc[[#This Row],[Author]]="Marcela Urrego",VLOOKUP(LEFT(Proc[[#This Row],[Requested]],1),Table3[#All],2,0),VLOOKUP(Proc[[#This Row],[Author]],Table4[],2,0))</f>
        <v>EL</v>
      </c>
      <c r="L4047" s="140" t="s">
        <v>4894</v>
      </c>
      <c r="M4047" s="136">
        <v>45902</v>
      </c>
      <c r="N4047" s="137"/>
      <c r="O4047" s="137"/>
      <c r="P4047" s="136" t="str">
        <f ca="1">IF(Proc[[#This Row],[DaysAgeing]]&gt;5,"yep","on track")</f>
        <v>yep</v>
      </c>
      <c r="Q4047" s="3">
        <f ca="1">IF(Proc[[#This Row],[DateClosed]]="",ABS(NETWORKDAYS(Proc[[#This Row],[DateOpened]],TODAY()))-1,ABS(NETWORKDAYS(Proc[[#This Row],[DateOpened]],Proc[[#This Row],[DateClosed]]))-1)</f>
        <v>73</v>
      </c>
      <c r="R4047" s="136" t="s">
        <v>6087</v>
      </c>
      <c r="S4047" s="140"/>
    </row>
    <row r="4048" spans="1:19">
      <c r="A4048" s="142" t="s">
        <v>6201</v>
      </c>
      <c r="B4048" s="149" t="str">
        <f>IFERROR(VLOOKUP(Proc[[#This Row],[App]],Table2[],3,0),"open")</f>
        <v>ok</v>
      </c>
      <c r="C4048" s="142" t="s">
        <v>369</v>
      </c>
      <c r="D4048" t="s">
        <v>6057</v>
      </c>
      <c r="E4048" t="s">
        <v>6181</v>
      </c>
      <c r="F4048" s="140" t="s">
        <v>6181</v>
      </c>
      <c r="G4048" s="142" t="s">
        <v>406</v>
      </c>
      <c r="H4048" s="140" t="str">
        <f>IF(Proc[[#This Row],[type]]="LFF (MDG-F)",MID(Proc[[#This Row],[Obj]],13,10),"")</f>
        <v>JP01Z03700</v>
      </c>
      <c r="J4048" s="140" t="b">
        <f>Proc[[#This Row],[Requested]]=Proc[[#This Row],[CurrentParent]]</f>
        <v>1</v>
      </c>
      <c r="K4048" s="144" t="str">
        <f>IF(Proc[[#This Row],[Author]]="Marcela Urrego",VLOOKUP(LEFT(Proc[[#This Row],[Requested]],1),Table3[#All],2,0),VLOOKUP(Proc[[#This Row],[Author]],Table4[],2,0))</f>
        <v>EL</v>
      </c>
      <c r="L4048" s="140" t="s">
        <v>4894</v>
      </c>
      <c r="M4048" s="136">
        <v>45902</v>
      </c>
      <c r="N4048" s="137"/>
      <c r="O4048" s="137"/>
      <c r="P4048" s="136" t="str">
        <f ca="1">IF(Proc[[#This Row],[DaysAgeing]]&gt;5,"yep","on track")</f>
        <v>yep</v>
      </c>
      <c r="Q4048" s="3">
        <f ca="1">IF(Proc[[#This Row],[DateClosed]]="",ABS(NETWORKDAYS(Proc[[#This Row],[DateOpened]],TODAY()))-1,ABS(NETWORKDAYS(Proc[[#This Row],[DateOpened]],Proc[[#This Row],[DateClosed]]))-1)</f>
        <v>73</v>
      </c>
      <c r="R4048" s="136" t="s">
        <v>6087</v>
      </c>
      <c r="S4048" s="140"/>
    </row>
    <row r="4049" spans="1:19">
      <c r="A4049" s="142" t="s">
        <v>6201</v>
      </c>
      <c r="B4049" s="149" t="str">
        <f>IFERROR(VLOOKUP(Proc[[#This Row],[App]],Table2[],3,0),"open")</f>
        <v>ok</v>
      </c>
      <c r="C4049" s="142" t="s">
        <v>369</v>
      </c>
      <c r="D4049" t="s">
        <v>5980</v>
      </c>
      <c r="E4049" t="s">
        <v>6182</v>
      </c>
      <c r="F4049" s="140" t="s">
        <v>6182</v>
      </c>
      <c r="G4049" s="142" t="s">
        <v>406</v>
      </c>
      <c r="H4049" s="140" t="str">
        <f>IF(Proc[[#This Row],[type]]="LFF (MDG-F)",MID(Proc[[#This Row],[Obj]],13,10),"")</f>
        <v>JP01GPS302</v>
      </c>
      <c r="J4049" s="140" t="b">
        <f>Proc[[#This Row],[Requested]]=Proc[[#This Row],[CurrentParent]]</f>
        <v>1</v>
      </c>
      <c r="K4049" s="144" t="str">
        <f>IF(Proc[[#This Row],[Author]]="Marcela Urrego",VLOOKUP(LEFT(Proc[[#This Row],[Requested]],1),Table3[#All],2,0),VLOOKUP(Proc[[#This Row],[Author]],Table4[],2,0))</f>
        <v>EL</v>
      </c>
      <c r="L4049" s="140" t="s">
        <v>4894</v>
      </c>
      <c r="M4049" s="136">
        <v>45902</v>
      </c>
      <c r="N4049" s="137"/>
      <c r="O4049" s="137"/>
      <c r="P4049" s="136" t="str">
        <f ca="1">IF(Proc[[#This Row],[DaysAgeing]]&gt;5,"yep","on track")</f>
        <v>yep</v>
      </c>
      <c r="Q4049" s="3">
        <f ca="1">IF(Proc[[#This Row],[DateClosed]]="",ABS(NETWORKDAYS(Proc[[#This Row],[DateOpened]],TODAY()))-1,ABS(NETWORKDAYS(Proc[[#This Row],[DateOpened]],Proc[[#This Row],[DateClosed]]))-1)</f>
        <v>73</v>
      </c>
      <c r="R4049" s="136" t="s">
        <v>6087</v>
      </c>
      <c r="S4049" s="140"/>
    </row>
    <row r="4050" spans="1:19">
      <c r="A4050" s="142" t="s">
        <v>6201</v>
      </c>
      <c r="B4050" s="149" t="str">
        <f>IFERROR(VLOOKUP(Proc[[#This Row],[App]],Table2[],3,0),"open")</f>
        <v>ok</v>
      </c>
      <c r="C4050" s="142" t="s">
        <v>369</v>
      </c>
      <c r="D4050" t="s">
        <v>5977</v>
      </c>
      <c r="E4050" t="s">
        <v>6183</v>
      </c>
      <c r="F4050" s="140" t="s">
        <v>6183</v>
      </c>
      <c r="G4050" s="142" t="s">
        <v>406</v>
      </c>
      <c r="H4050" s="140" t="str">
        <f>IF(Proc[[#This Row],[type]]="LFF (MDG-F)",MID(Proc[[#This Row],[Obj]],13,10),"")</f>
        <v>JP01GPO301</v>
      </c>
      <c r="J4050" s="140" t="b">
        <f>Proc[[#This Row],[Requested]]=Proc[[#This Row],[CurrentParent]]</f>
        <v>1</v>
      </c>
      <c r="K4050" s="144" t="str">
        <f>IF(Proc[[#This Row],[Author]]="Marcela Urrego",VLOOKUP(LEFT(Proc[[#This Row],[Requested]],1),Table3[#All],2,0),VLOOKUP(Proc[[#This Row],[Author]],Table4[],2,0))</f>
        <v>EL</v>
      </c>
      <c r="L4050" s="140" t="s">
        <v>4894</v>
      </c>
      <c r="M4050" s="136">
        <v>45902</v>
      </c>
      <c r="N4050" s="137"/>
      <c r="O4050" s="137"/>
      <c r="P4050" s="136" t="str">
        <f ca="1">IF(Proc[[#This Row],[DaysAgeing]]&gt;5,"yep","on track")</f>
        <v>yep</v>
      </c>
      <c r="Q4050" s="3">
        <f ca="1">IF(Proc[[#This Row],[DateClosed]]="",ABS(NETWORKDAYS(Proc[[#This Row],[DateOpened]],TODAY()))-1,ABS(NETWORKDAYS(Proc[[#This Row],[DateOpened]],Proc[[#This Row],[DateClosed]]))-1)</f>
        <v>73</v>
      </c>
      <c r="R4050" s="136" t="s">
        <v>6087</v>
      </c>
      <c r="S4050" s="140"/>
    </row>
    <row r="4051" spans="1:19">
      <c r="A4051" s="142" t="s">
        <v>6201</v>
      </c>
      <c r="B4051" s="149" t="str">
        <f>IFERROR(VLOOKUP(Proc[[#This Row],[App]],Table2[],3,0),"open")</f>
        <v>ok</v>
      </c>
      <c r="C4051" s="142" t="s">
        <v>369</v>
      </c>
      <c r="D4051" t="s">
        <v>5978</v>
      </c>
      <c r="E4051" t="s">
        <v>6104</v>
      </c>
      <c r="F4051" s="140" t="s">
        <v>6104</v>
      </c>
      <c r="G4051" s="142" t="s">
        <v>406</v>
      </c>
      <c r="H4051" s="140" t="str">
        <f>IF(Proc[[#This Row],[type]]="LFF (MDG-F)",MID(Proc[[#This Row],[Obj]],13,10),"")</f>
        <v>JP01GPO302</v>
      </c>
      <c r="J4051" s="140" t="b">
        <f>Proc[[#This Row],[Requested]]=Proc[[#This Row],[CurrentParent]]</f>
        <v>1</v>
      </c>
      <c r="K4051" s="144" t="str">
        <f>IF(Proc[[#This Row],[Author]]="Marcela Urrego",VLOOKUP(LEFT(Proc[[#This Row],[Requested]],1),Table3[#All],2,0),VLOOKUP(Proc[[#This Row],[Author]],Table4[],2,0))</f>
        <v>EL</v>
      </c>
      <c r="L4051" s="140" t="s">
        <v>4894</v>
      </c>
      <c r="M4051" s="136">
        <v>45902</v>
      </c>
      <c r="N4051" s="137"/>
      <c r="O4051" s="137"/>
      <c r="P4051" s="136" t="str">
        <f ca="1">IF(Proc[[#This Row],[DaysAgeing]]&gt;5,"yep","on track")</f>
        <v>yep</v>
      </c>
      <c r="Q4051" s="3">
        <f ca="1">IF(Proc[[#This Row],[DateClosed]]="",ABS(NETWORKDAYS(Proc[[#This Row],[DateOpened]],TODAY()))-1,ABS(NETWORKDAYS(Proc[[#This Row],[DateOpened]],Proc[[#This Row],[DateClosed]]))-1)</f>
        <v>73</v>
      </c>
      <c r="R4051" s="136" t="s">
        <v>6087</v>
      </c>
      <c r="S4051" s="140"/>
    </row>
    <row r="4052" spans="1:19">
      <c r="A4052" s="142" t="s">
        <v>6201</v>
      </c>
      <c r="B4052" s="149" t="str">
        <f>IFERROR(VLOOKUP(Proc[[#This Row],[App]],Table2[],3,0),"open")</f>
        <v>ok</v>
      </c>
      <c r="C4052" s="142" t="s">
        <v>369</v>
      </c>
      <c r="D4052" t="s">
        <v>5967</v>
      </c>
      <c r="E4052" t="s">
        <v>424</v>
      </c>
      <c r="F4052" s="140" t="s">
        <v>424</v>
      </c>
      <c r="G4052" s="142" t="s">
        <v>406</v>
      </c>
      <c r="H4052" s="140" t="str">
        <f>IF(Proc[[#This Row],[type]]="LFF (MDG-F)",MID(Proc[[#This Row],[Obj]],13,10),"")</f>
        <v>JP01GIT01B</v>
      </c>
      <c r="J4052" s="140" t="b">
        <f>Proc[[#This Row],[Requested]]=Proc[[#This Row],[CurrentParent]]</f>
        <v>1</v>
      </c>
      <c r="K4052" s="144" t="str">
        <f>IF(Proc[[#This Row],[Author]]="Marcela Urrego",VLOOKUP(LEFT(Proc[[#This Row],[Requested]],1),Table3[#All],2,0),VLOOKUP(Proc[[#This Row],[Author]],Table4[],2,0))</f>
        <v>EL</v>
      </c>
      <c r="L4052" s="140" t="s">
        <v>4894</v>
      </c>
      <c r="M4052" s="136">
        <v>45902</v>
      </c>
      <c r="N4052" s="137"/>
      <c r="O4052" s="137"/>
      <c r="P4052" s="136" t="str">
        <f ca="1">IF(Proc[[#This Row],[DaysAgeing]]&gt;5,"yep","on track")</f>
        <v>yep</v>
      </c>
      <c r="Q4052" s="3">
        <f ca="1">IF(Proc[[#This Row],[DateClosed]]="",ABS(NETWORKDAYS(Proc[[#This Row],[DateOpened]],TODAY()))-1,ABS(NETWORKDAYS(Proc[[#This Row],[DateOpened]],Proc[[#This Row],[DateClosed]]))-1)</f>
        <v>73</v>
      </c>
      <c r="R4052" s="136" t="s">
        <v>6087</v>
      </c>
      <c r="S4052" s="140"/>
    </row>
    <row r="4053" spans="1:19">
      <c r="A4053" s="142" t="s">
        <v>6201</v>
      </c>
      <c r="B4053" s="149" t="str">
        <f>IFERROR(VLOOKUP(Proc[[#This Row],[App]],Table2[],3,0),"open")</f>
        <v>ok</v>
      </c>
      <c r="C4053" s="142" t="s">
        <v>369</v>
      </c>
      <c r="D4053" t="s">
        <v>6021</v>
      </c>
      <c r="E4053" t="s">
        <v>6184</v>
      </c>
      <c r="F4053" s="140" t="s">
        <v>6184</v>
      </c>
      <c r="G4053" s="142" t="s">
        <v>406</v>
      </c>
      <c r="H4053" s="140" t="str">
        <f>IF(Proc[[#This Row],[type]]="LFF (MDG-F)",MID(Proc[[#This Row],[Obj]],13,10),"")</f>
        <v>JP01TAOZ02</v>
      </c>
      <c r="J4053" s="140" t="b">
        <f>Proc[[#This Row],[Requested]]=Proc[[#This Row],[CurrentParent]]</f>
        <v>1</v>
      </c>
      <c r="K4053" s="144" t="str">
        <f>IF(Proc[[#This Row],[Author]]="Marcela Urrego",VLOOKUP(LEFT(Proc[[#This Row],[Requested]],1),Table3[#All],2,0),VLOOKUP(Proc[[#This Row],[Author]],Table4[],2,0))</f>
        <v>EL</v>
      </c>
      <c r="L4053" s="140" t="s">
        <v>4894</v>
      </c>
      <c r="M4053" s="136">
        <v>45902</v>
      </c>
      <c r="N4053" s="137"/>
      <c r="O4053" s="137"/>
      <c r="P4053" s="136" t="str">
        <f ca="1">IF(Proc[[#This Row],[DaysAgeing]]&gt;5,"yep","on track")</f>
        <v>yep</v>
      </c>
      <c r="Q4053" s="3">
        <f ca="1">IF(Proc[[#This Row],[DateClosed]]="",ABS(NETWORKDAYS(Proc[[#This Row],[DateOpened]],TODAY()))-1,ABS(NETWORKDAYS(Proc[[#This Row],[DateOpened]],Proc[[#This Row],[DateClosed]]))-1)</f>
        <v>73</v>
      </c>
      <c r="R4053" s="136" t="s">
        <v>6087</v>
      </c>
      <c r="S4053" s="140"/>
    </row>
    <row r="4054" spans="1:19">
      <c r="A4054" s="142" t="s">
        <v>6201</v>
      </c>
      <c r="B4054" s="149" t="str">
        <f>IFERROR(VLOOKUP(Proc[[#This Row],[App]],Table2[],3,0),"open")</f>
        <v>ok</v>
      </c>
      <c r="C4054" s="142" t="s">
        <v>369</v>
      </c>
      <c r="D4054" t="s">
        <v>6024</v>
      </c>
      <c r="E4054" t="s">
        <v>6184</v>
      </c>
      <c r="F4054" s="140" t="s">
        <v>6184</v>
      </c>
      <c r="G4054" s="142" t="s">
        <v>406</v>
      </c>
      <c r="H4054" s="140" t="str">
        <f>IF(Proc[[#This Row],[type]]="LFF (MDG-F)",MID(Proc[[#This Row],[Obj]],13,10),"")</f>
        <v>JP01TAOZ05</v>
      </c>
      <c r="J4054" s="140" t="b">
        <f>Proc[[#This Row],[Requested]]=Proc[[#This Row],[CurrentParent]]</f>
        <v>1</v>
      </c>
      <c r="K4054" s="144" t="str">
        <f>IF(Proc[[#This Row],[Author]]="Marcela Urrego",VLOOKUP(LEFT(Proc[[#This Row],[Requested]],1),Table3[#All],2,0),VLOOKUP(Proc[[#This Row],[Author]],Table4[],2,0))</f>
        <v>EL</v>
      </c>
      <c r="L4054" s="140" t="s">
        <v>4894</v>
      </c>
      <c r="M4054" s="136">
        <v>45902</v>
      </c>
      <c r="N4054" s="137"/>
      <c r="O4054" s="137"/>
      <c r="P4054" s="136" t="str">
        <f ca="1">IF(Proc[[#This Row],[DaysAgeing]]&gt;5,"yep","on track")</f>
        <v>yep</v>
      </c>
      <c r="Q4054" s="3">
        <f ca="1">IF(Proc[[#This Row],[DateClosed]]="",ABS(NETWORKDAYS(Proc[[#This Row],[DateOpened]],TODAY()))-1,ABS(NETWORKDAYS(Proc[[#This Row],[DateOpened]],Proc[[#This Row],[DateClosed]]))-1)</f>
        <v>73</v>
      </c>
      <c r="R4054" s="136" t="s">
        <v>6087</v>
      </c>
      <c r="S4054" s="140"/>
    </row>
    <row r="4055" spans="1:19">
      <c r="A4055" s="142" t="s">
        <v>6201</v>
      </c>
      <c r="B4055" s="149" t="str">
        <f>IFERROR(VLOOKUP(Proc[[#This Row],[App]],Table2[],3,0),"open")</f>
        <v>ok</v>
      </c>
      <c r="C4055" s="142" t="s">
        <v>369</v>
      </c>
      <c r="D4055" t="s">
        <v>5966</v>
      </c>
      <c r="E4055" t="s">
        <v>6185</v>
      </c>
      <c r="F4055" s="140" t="s">
        <v>6185</v>
      </c>
      <c r="G4055" s="142" t="s">
        <v>406</v>
      </c>
      <c r="H4055" s="140" t="str">
        <f>IF(Proc[[#This Row],[type]]="LFF (MDG-F)",MID(Proc[[#This Row],[Obj]],13,10),"")</f>
        <v>JP01GHR303</v>
      </c>
      <c r="J4055" s="140" t="b">
        <f>Proc[[#This Row],[Requested]]=Proc[[#This Row],[CurrentParent]]</f>
        <v>1</v>
      </c>
      <c r="K4055" s="144" t="str">
        <f>IF(Proc[[#This Row],[Author]]="Marcela Urrego",VLOOKUP(LEFT(Proc[[#This Row],[Requested]],1),Table3[#All],2,0),VLOOKUP(Proc[[#This Row],[Author]],Table4[],2,0))</f>
        <v>EL</v>
      </c>
      <c r="L4055" s="140" t="s">
        <v>4894</v>
      </c>
      <c r="M4055" s="136">
        <v>45902</v>
      </c>
      <c r="N4055" s="137"/>
      <c r="O4055" s="137"/>
      <c r="P4055" s="136" t="str">
        <f ca="1">IF(Proc[[#This Row],[DaysAgeing]]&gt;5,"yep","on track")</f>
        <v>yep</v>
      </c>
      <c r="Q4055" s="3">
        <f ca="1">IF(Proc[[#This Row],[DateClosed]]="",ABS(NETWORKDAYS(Proc[[#This Row],[DateOpened]],TODAY()))-1,ABS(NETWORKDAYS(Proc[[#This Row],[DateOpened]],Proc[[#This Row],[DateClosed]]))-1)</f>
        <v>73</v>
      </c>
      <c r="R4055" s="136" t="s">
        <v>6087</v>
      </c>
      <c r="S4055" s="140"/>
    </row>
    <row r="4056" spans="1:19">
      <c r="A4056" s="142" t="s">
        <v>6201</v>
      </c>
      <c r="B4056" s="149" t="str">
        <f>IFERROR(VLOOKUP(Proc[[#This Row],[App]],Table2[],3,0),"open")</f>
        <v>ok</v>
      </c>
      <c r="C4056" s="142" t="s">
        <v>369</v>
      </c>
      <c r="D4056" t="s">
        <v>6054</v>
      </c>
      <c r="E4056" t="s">
        <v>3225</v>
      </c>
      <c r="F4056" s="140" t="s">
        <v>3225</v>
      </c>
      <c r="G4056" s="142" t="s">
        <v>406</v>
      </c>
      <c r="H4056" s="140" t="str">
        <f>IF(Proc[[#This Row],[type]]="LFF (MDG-F)",MID(Proc[[#This Row],[Obj]],13,10),"")</f>
        <v>JP01Z03103</v>
      </c>
      <c r="J4056" s="140" t="b">
        <f>Proc[[#This Row],[Requested]]=Proc[[#This Row],[CurrentParent]]</f>
        <v>1</v>
      </c>
      <c r="K4056" s="144" t="str">
        <f>IF(Proc[[#This Row],[Author]]="Marcela Urrego",VLOOKUP(LEFT(Proc[[#This Row],[Requested]],1),Table3[#All],2,0),VLOOKUP(Proc[[#This Row],[Author]],Table4[],2,0))</f>
        <v>EL</v>
      </c>
      <c r="L4056" s="140" t="s">
        <v>4894</v>
      </c>
      <c r="M4056" s="136">
        <v>45902</v>
      </c>
      <c r="N4056" s="137"/>
      <c r="O4056" s="137"/>
      <c r="P4056" s="136" t="str">
        <f ca="1">IF(Proc[[#This Row],[DaysAgeing]]&gt;5,"yep","on track")</f>
        <v>yep</v>
      </c>
      <c r="Q4056" s="3">
        <f ca="1">IF(Proc[[#This Row],[DateClosed]]="",ABS(NETWORKDAYS(Proc[[#This Row],[DateOpened]],TODAY()))-1,ABS(NETWORKDAYS(Proc[[#This Row],[DateOpened]],Proc[[#This Row],[DateClosed]]))-1)</f>
        <v>73</v>
      </c>
      <c r="R4056" s="136" t="s">
        <v>6087</v>
      </c>
      <c r="S4056" s="140"/>
    </row>
    <row r="4057" spans="1:19">
      <c r="A4057" s="142" t="s">
        <v>6201</v>
      </c>
      <c r="B4057" s="149" t="str">
        <f>IFERROR(VLOOKUP(Proc[[#This Row],[App]],Table2[],3,0),"open")</f>
        <v>ok</v>
      </c>
      <c r="C4057" s="142" t="s">
        <v>369</v>
      </c>
      <c r="D4057" t="s">
        <v>6008</v>
      </c>
      <c r="E4057" t="s">
        <v>6184</v>
      </c>
      <c r="F4057" s="140" t="s">
        <v>6184</v>
      </c>
      <c r="G4057" s="142" t="s">
        <v>406</v>
      </c>
      <c r="H4057" s="140" t="str">
        <f>IF(Proc[[#This Row],[type]]="LFF (MDG-F)",MID(Proc[[#This Row],[Obj]],13,10),"")</f>
        <v>JP01TAOC00</v>
      </c>
      <c r="J4057" s="140" t="b">
        <f>Proc[[#This Row],[Requested]]=Proc[[#This Row],[CurrentParent]]</f>
        <v>1</v>
      </c>
      <c r="K4057" s="144" t="str">
        <f>IF(Proc[[#This Row],[Author]]="Marcela Urrego",VLOOKUP(LEFT(Proc[[#This Row],[Requested]],1),Table3[#All],2,0),VLOOKUP(Proc[[#This Row],[Author]],Table4[],2,0))</f>
        <v>EL</v>
      </c>
      <c r="L4057" s="140" t="s">
        <v>4894</v>
      </c>
      <c r="M4057" s="136">
        <v>45902</v>
      </c>
      <c r="N4057" s="137"/>
      <c r="O4057" s="137"/>
      <c r="P4057" s="136" t="str">
        <f ca="1">IF(Proc[[#This Row],[DaysAgeing]]&gt;5,"yep","on track")</f>
        <v>yep</v>
      </c>
      <c r="Q4057" s="3">
        <f ca="1">IF(Proc[[#This Row],[DateClosed]]="",ABS(NETWORKDAYS(Proc[[#This Row],[DateOpened]],TODAY()))-1,ABS(NETWORKDAYS(Proc[[#This Row],[DateOpened]],Proc[[#This Row],[DateClosed]]))-1)</f>
        <v>73</v>
      </c>
      <c r="R4057" s="136" t="s">
        <v>6087</v>
      </c>
      <c r="S4057" s="140"/>
    </row>
    <row r="4058" spans="1:19">
      <c r="A4058" s="142" t="s">
        <v>6201</v>
      </c>
      <c r="B4058" s="149" t="str">
        <f>IFERROR(VLOOKUP(Proc[[#This Row],[App]],Table2[],3,0),"open")</f>
        <v>ok</v>
      </c>
      <c r="C4058" s="142" t="s">
        <v>369</v>
      </c>
      <c r="D4058" t="s">
        <v>6009</v>
      </c>
      <c r="E4058" t="s">
        <v>6184</v>
      </c>
      <c r="F4058" s="140" t="s">
        <v>6184</v>
      </c>
      <c r="G4058" s="142" t="s">
        <v>406</v>
      </c>
      <c r="H4058" s="140" t="str">
        <f>IF(Proc[[#This Row],[type]]="LFF (MDG-F)",MID(Proc[[#This Row],[Obj]],13,10),"")</f>
        <v>JP01TAOC01</v>
      </c>
      <c r="J4058" s="140" t="b">
        <f>Proc[[#This Row],[Requested]]=Proc[[#This Row],[CurrentParent]]</f>
        <v>1</v>
      </c>
      <c r="K4058" s="144" t="str">
        <f>IF(Proc[[#This Row],[Author]]="Marcela Urrego",VLOOKUP(LEFT(Proc[[#This Row],[Requested]],1),Table3[#All],2,0),VLOOKUP(Proc[[#This Row],[Author]],Table4[],2,0))</f>
        <v>EL</v>
      </c>
      <c r="L4058" s="140" t="s">
        <v>4894</v>
      </c>
      <c r="M4058" s="136">
        <v>45902</v>
      </c>
      <c r="N4058" s="137"/>
      <c r="O4058" s="137"/>
      <c r="P4058" s="136" t="str">
        <f ca="1">IF(Proc[[#This Row],[DaysAgeing]]&gt;5,"yep","on track")</f>
        <v>yep</v>
      </c>
      <c r="Q4058" s="3">
        <f ca="1">IF(Proc[[#This Row],[DateClosed]]="",ABS(NETWORKDAYS(Proc[[#This Row],[DateOpened]],TODAY()))-1,ABS(NETWORKDAYS(Proc[[#This Row],[DateOpened]],Proc[[#This Row],[DateClosed]]))-1)</f>
        <v>73</v>
      </c>
      <c r="R4058" s="136" t="s">
        <v>6087</v>
      </c>
      <c r="S4058" s="140"/>
    </row>
    <row r="4059" spans="1:19">
      <c r="A4059" s="142" t="s">
        <v>6201</v>
      </c>
      <c r="B4059" s="149" t="str">
        <f>IFERROR(VLOOKUP(Proc[[#This Row],[App]],Table2[],3,0),"open")</f>
        <v>ok</v>
      </c>
      <c r="C4059" s="142" t="s">
        <v>369</v>
      </c>
      <c r="D4059" t="s">
        <v>6011</v>
      </c>
      <c r="E4059" t="s">
        <v>6184</v>
      </c>
      <c r="F4059" s="140" t="s">
        <v>6184</v>
      </c>
      <c r="G4059" s="142" t="s">
        <v>406</v>
      </c>
      <c r="H4059" s="140" t="str">
        <f>IF(Proc[[#This Row],[type]]="LFF (MDG-F)",MID(Proc[[#This Row],[Obj]],13,10),"")</f>
        <v>JP01TAOC03</v>
      </c>
      <c r="J4059" s="140" t="b">
        <f>Proc[[#This Row],[Requested]]=Proc[[#This Row],[CurrentParent]]</f>
        <v>1</v>
      </c>
      <c r="K4059" s="144" t="str">
        <f>IF(Proc[[#This Row],[Author]]="Marcela Urrego",VLOOKUP(LEFT(Proc[[#This Row],[Requested]],1),Table3[#All],2,0),VLOOKUP(Proc[[#This Row],[Author]],Table4[],2,0))</f>
        <v>EL</v>
      </c>
      <c r="L4059" s="140" t="s">
        <v>4894</v>
      </c>
      <c r="M4059" s="136">
        <v>45902</v>
      </c>
      <c r="N4059" s="137"/>
      <c r="O4059" s="137"/>
      <c r="P4059" s="136" t="str">
        <f ca="1">IF(Proc[[#This Row],[DaysAgeing]]&gt;5,"yep","on track")</f>
        <v>yep</v>
      </c>
      <c r="Q4059" s="3">
        <f ca="1">IF(Proc[[#This Row],[DateClosed]]="",ABS(NETWORKDAYS(Proc[[#This Row],[DateOpened]],TODAY()))-1,ABS(NETWORKDAYS(Proc[[#This Row],[DateOpened]],Proc[[#This Row],[DateClosed]]))-1)</f>
        <v>73</v>
      </c>
      <c r="R4059" s="136" t="s">
        <v>6087</v>
      </c>
      <c r="S4059" s="140"/>
    </row>
    <row r="4060" spans="1:19">
      <c r="A4060" s="142" t="s">
        <v>6201</v>
      </c>
      <c r="B4060" s="149" t="str">
        <f>IFERROR(VLOOKUP(Proc[[#This Row],[App]],Table2[],3,0),"open")</f>
        <v>ok</v>
      </c>
      <c r="C4060" s="142" t="s">
        <v>369</v>
      </c>
      <c r="D4060" t="s">
        <v>6012</v>
      </c>
      <c r="E4060" t="s">
        <v>6184</v>
      </c>
      <c r="F4060" s="140" t="s">
        <v>6184</v>
      </c>
      <c r="G4060" s="142" t="s">
        <v>406</v>
      </c>
      <c r="H4060" s="140" t="str">
        <f>IF(Proc[[#This Row],[type]]="LFF (MDG-F)",MID(Proc[[#This Row],[Obj]],13,10),"")</f>
        <v>JP01TAOC99</v>
      </c>
      <c r="J4060" s="140" t="b">
        <f>Proc[[#This Row],[Requested]]=Proc[[#This Row],[CurrentParent]]</f>
        <v>1</v>
      </c>
      <c r="K4060" s="144" t="str">
        <f>IF(Proc[[#This Row],[Author]]="Marcela Urrego",VLOOKUP(LEFT(Proc[[#This Row],[Requested]],1),Table3[#All],2,0),VLOOKUP(Proc[[#This Row],[Author]],Table4[],2,0))</f>
        <v>EL</v>
      </c>
      <c r="L4060" s="140" t="s">
        <v>4894</v>
      </c>
      <c r="M4060" s="136">
        <v>45902</v>
      </c>
      <c r="N4060" s="137"/>
      <c r="O4060" s="137"/>
      <c r="P4060" s="136" t="str">
        <f ca="1">IF(Proc[[#This Row],[DaysAgeing]]&gt;5,"yep","on track")</f>
        <v>yep</v>
      </c>
      <c r="Q4060" s="3">
        <f ca="1">IF(Proc[[#This Row],[DateClosed]]="",ABS(NETWORKDAYS(Proc[[#This Row],[DateOpened]],TODAY()))-1,ABS(NETWORKDAYS(Proc[[#This Row],[DateOpened]],Proc[[#This Row],[DateClosed]]))-1)</f>
        <v>73</v>
      </c>
      <c r="R4060" s="136" t="s">
        <v>6087</v>
      </c>
      <c r="S4060" s="140"/>
    </row>
    <row r="4061" spans="1:19">
      <c r="A4061" s="142" t="s">
        <v>6201</v>
      </c>
      <c r="B4061" s="149" t="str">
        <f>IFERROR(VLOOKUP(Proc[[#This Row],[App]],Table2[],3,0),"open")</f>
        <v>ok</v>
      </c>
      <c r="C4061" s="142" t="s">
        <v>369</v>
      </c>
      <c r="D4061" t="s">
        <v>6013</v>
      </c>
      <c r="E4061" t="s">
        <v>6184</v>
      </c>
      <c r="F4061" s="140" t="s">
        <v>6184</v>
      </c>
      <c r="G4061" s="142" t="s">
        <v>406</v>
      </c>
      <c r="H4061" s="140" t="str">
        <f>IF(Proc[[#This Row],[type]]="LFF (MDG-F)",MID(Proc[[#This Row],[Obj]],13,10),"")</f>
        <v>JP01TAOD00</v>
      </c>
      <c r="J4061" s="140" t="b">
        <f>Proc[[#This Row],[Requested]]=Proc[[#This Row],[CurrentParent]]</f>
        <v>1</v>
      </c>
      <c r="K4061" s="144" t="str">
        <f>IF(Proc[[#This Row],[Author]]="Marcela Urrego",VLOOKUP(LEFT(Proc[[#This Row],[Requested]],1),Table3[#All],2,0),VLOOKUP(Proc[[#This Row],[Author]],Table4[],2,0))</f>
        <v>EL</v>
      </c>
      <c r="L4061" s="140" t="s">
        <v>4894</v>
      </c>
      <c r="M4061" s="136">
        <v>45902</v>
      </c>
      <c r="N4061" s="137"/>
      <c r="O4061" s="137"/>
      <c r="P4061" s="136" t="str">
        <f ca="1">IF(Proc[[#This Row],[DaysAgeing]]&gt;5,"yep","on track")</f>
        <v>yep</v>
      </c>
      <c r="Q4061" s="3">
        <f ca="1">IF(Proc[[#This Row],[DateClosed]]="",ABS(NETWORKDAYS(Proc[[#This Row],[DateOpened]],TODAY()))-1,ABS(NETWORKDAYS(Proc[[#This Row],[DateOpened]],Proc[[#This Row],[DateClosed]]))-1)</f>
        <v>73</v>
      </c>
      <c r="R4061" s="136" t="s">
        <v>6087</v>
      </c>
      <c r="S4061" s="140"/>
    </row>
    <row r="4062" spans="1:19">
      <c r="A4062" s="142" t="s">
        <v>6201</v>
      </c>
      <c r="B4062" s="149" t="str">
        <f>IFERROR(VLOOKUP(Proc[[#This Row],[App]],Table2[],3,0),"open")</f>
        <v>ok</v>
      </c>
      <c r="C4062" s="142" t="s">
        <v>369</v>
      </c>
      <c r="D4062" t="s">
        <v>6014</v>
      </c>
      <c r="E4062" t="s">
        <v>6184</v>
      </c>
      <c r="F4062" s="140" t="s">
        <v>6184</v>
      </c>
      <c r="G4062" s="142" t="s">
        <v>406</v>
      </c>
      <c r="H4062" s="140" t="str">
        <f>IF(Proc[[#This Row],[type]]="LFF (MDG-F)",MID(Proc[[#This Row],[Obj]],13,10),"")</f>
        <v>JP01TAOD01</v>
      </c>
      <c r="J4062" s="140" t="b">
        <f>Proc[[#This Row],[Requested]]=Proc[[#This Row],[CurrentParent]]</f>
        <v>1</v>
      </c>
      <c r="K4062" s="144" t="str">
        <f>IF(Proc[[#This Row],[Author]]="Marcela Urrego",VLOOKUP(LEFT(Proc[[#This Row],[Requested]],1),Table3[#All],2,0),VLOOKUP(Proc[[#This Row],[Author]],Table4[],2,0))</f>
        <v>EL</v>
      </c>
      <c r="L4062" s="140" t="s">
        <v>4894</v>
      </c>
      <c r="M4062" s="136">
        <v>45902</v>
      </c>
      <c r="N4062" s="137"/>
      <c r="O4062" s="137"/>
      <c r="P4062" s="136" t="str">
        <f ca="1">IF(Proc[[#This Row],[DaysAgeing]]&gt;5,"yep","on track")</f>
        <v>yep</v>
      </c>
      <c r="Q4062" s="3">
        <f ca="1">IF(Proc[[#This Row],[DateClosed]]="",ABS(NETWORKDAYS(Proc[[#This Row],[DateOpened]],TODAY()))-1,ABS(NETWORKDAYS(Proc[[#This Row],[DateOpened]],Proc[[#This Row],[DateClosed]]))-1)</f>
        <v>73</v>
      </c>
      <c r="R4062" s="136" t="s">
        <v>6087</v>
      </c>
      <c r="S4062" s="140"/>
    </row>
    <row r="4063" spans="1:19">
      <c r="A4063" s="142" t="s">
        <v>6201</v>
      </c>
      <c r="B4063" s="149" t="str">
        <f>IFERROR(VLOOKUP(Proc[[#This Row],[App]],Table2[],3,0),"open")</f>
        <v>ok</v>
      </c>
      <c r="C4063" s="142" t="s">
        <v>369</v>
      </c>
      <c r="D4063" t="s">
        <v>6016</v>
      </c>
      <c r="E4063" t="s">
        <v>6184</v>
      </c>
      <c r="F4063" s="140" t="s">
        <v>6184</v>
      </c>
      <c r="G4063" s="142" t="s">
        <v>406</v>
      </c>
      <c r="H4063" s="140" t="str">
        <f>IF(Proc[[#This Row],[type]]="LFF (MDG-F)",MID(Proc[[#This Row],[Obj]],13,10),"")</f>
        <v>JP01TAOD99</v>
      </c>
      <c r="J4063" s="140" t="b">
        <f>Proc[[#This Row],[Requested]]=Proc[[#This Row],[CurrentParent]]</f>
        <v>1</v>
      </c>
      <c r="K4063" s="144" t="str">
        <f>IF(Proc[[#This Row],[Author]]="Marcela Urrego",VLOOKUP(LEFT(Proc[[#This Row],[Requested]],1),Table3[#All],2,0),VLOOKUP(Proc[[#This Row],[Author]],Table4[],2,0))</f>
        <v>EL</v>
      </c>
      <c r="L4063" s="140" t="s">
        <v>4894</v>
      </c>
      <c r="M4063" s="136">
        <v>45902</v>
      </c>
      <c r="N4063" s="137"/>
      <c r="O4063" s="137"/>
      <c r="P4063" s="136" t="str">
        <f ca="1">IF(Proc[[#This Row],[DaysAgeing]]&gt;5,"yep","on track")</f>
        <v>yep</v>
      </c>
      <c r="Q4063" s="3">
        <f ca="1">IF(Proc[[#This Row],[DateClosed]]="",ABS(NETWORKDAYS(Proc[[#This Row],[DateOpened]],TODAY()))-1,ABS(NETWORKDAYS(Proc[[#This Row],[DateOpened]],Proc[[#This Row],[DateClosed]]))-1)</f>
        <v>73</v>
      </c>
      <c r="R4063" s="136" t="s">
        <v>6087</v>
      </c>
      <c r="S4063" s="140"/>
    </row>
    <row r="4064" spans="1:19">
      <c r="A4064" s="142" t="s">
        <v>6201</v>
      </c>
      <c r="B4064" s="149" t="str">
        <f>IFERROR(VLOOKUP(Proc[[#This Row],[App]],Table2[],3,0),"open")</f>
        <v>ok</v>
      </c>
      <c r="C4064" s="142" t="s">
        <v>369</v>
      </c>
      <c r="D4064" t="s">
        <v>6022</v>
      </c>
      <c r="E4064" t="s">
        <v>6184</v>
      </c>
      <c r="F4064" s="140" t="s">
        <v>6184</v>
      </c>
      <c r="G4064" s="142" t="s">
        <v>406</v>
      </c>
      <c r="H4064" s="140" t="str">
        <f>IF(Proc[[#This Row],[type]]="LFF (MDG-F)",MID(Proc[[#This Row],[Obj]],13,10),"")</f>
        <v>JP01TAOZ03</v>
      </c>
      <c r="J4064" s="140" t="b">
        <f>Proc[[#This Row],[Requested]]=Proc[[#This Row],[CurrentParent]]</f>
        <v>1</v>
      </c>
      <c r="K4064" s="144" t="str">
        <f>IF(Proc[[#This Row],[Author]]="Marcela Urrego",VLOOKUP(LEFT(Proc[[#This Row],[Requested]],1),Table3[#All],2,0),VLOOKUP(Proc[[#This Row],[Author]],Table4[],2,0))</f>
        <v>EL</v>
      </c>
      <c r="L4064" s="140" t="s">
        <v>4894</v>
      </c>
      <c r="M4064" s="136">
        <v>45902</v>
      </c>
      <c r="N4064" s="137"/>
      <c r="O4064" s="137"/>
      <c r="P4064" s="136" t="str">
        <f ca="1">IF(Proc[[#This Row],[DaysAgeing]]&gt;5,"yep","on track")</f>
        <v>yep</v>
      </c>
      <c r="Q4064" s="3">
        <f ca="1">IF(Proc[[#This Row],[DateClosed]]="",ABS(NETWORKDAYS(Proc[[#This Row],[DateOpened]],TODAY()))-1,ABS(NETWORKDAYS(Proc[[#This Row],[DateOpened]],Proc[[#This Row],[DateClosed]]))-1)</f>
        <v>73</v>
      </c>
      <c r="R4064" s="136" t="s">
        <v>6087</v>
      </c>
      <c r="S4064" s="140"/>
    </row>
    <row r="4065" spans="1:19">
      <c r="A4065" s="142" t="s">
        <v>6201</v>
      </c>
      <c r="B4065" s="149" t="str">
        <f>IFERROR(VLOOKUP(Proc[[#This Row],[App]],Table2[],3,0),"open")</f>
        <v>ok</v>
      </c>
      <c r="C4065" s="142" t="s">
        <v>369</v>
      </c>
      <c r="D4065" t="s">
        <v>6029</v>
      </c>
      <c r="E4065" t="s">
        <v>6186</v>
      </c>
      <c r="F4065" s="140" t="s">
        <v>6186</v>
      </c>
      <c r="G4065" s="142" t="s">
        <v>406</v>
      </c>
      <c r="H4065" s="140" t="str">
        <f>IF(Proc[[#This Row],[type]]="LFF (MDG-F)",MID(Proc[[#This Row],[Obj]],13,10),"")</f>
        <v>JP01TDOZ01</v>
      </c>
      <c r="J4065" s="140" t="b">
        <f>Proc[[#This Row],[Requested]]=Proc[[#This Row],[CurrentParent]]</f>
        <v>1</v>
      </c>
      <c r="K4065" s="144" t="str">
        <f>IF(Proc[[#This Row],[Author]]="Marcela Urrego",VLOOKUP(LEFT(Proc[[#This Row],[Requested]],1),Table3[#All],2,0),VLOOKUP(Proc[[#This Row],[Author]],Table4[],2,0))</f>
        <v>EL</v>
      </c>
      <c r="L4065" s="140" t="s">
        <v>4894</v>
      </c>
      <c r="M4065" s="136">
        <v>45902</v>
      </c>
      <c r="N4065" s="137"/>
      <c r="O4065" s="137"/>
      <c r="P4065" s="136" t="str">
        <f ca="1">IF(Proc[[#This Row],[DaysAgeing]]&gt;5,"yep","on track")</f>
        <v>yep</v>
      </c>
      <c r="Q4065" s="3">
        <f ca="1">IF(Proc[[#This Row],[DateClosed]]="",ABS(NETWORKDAYS(Proc[[#This Row],[DateOpened]],TODAY()))-1,ABS(NETWORKDAYS(Proc[[#This Row],[DateOpened]],Proc[[#This Row],[DateClosed]]))-1)</f>
        <v>73</v>
      </c>
      <c r="R4065" s="136" t="s">
        <v>6087</v>
      </c>
      <c r="S4065" s="140"/>
    </row>
    <row r="4066" spans="1:19">
      <c r="A4066" s="142" t="s">
        <v>6201</v>
      </c>
      <c r="B4066" s="149" t="str">
        <f>IFERROR(VLOOKUP(Proc[[#This Row],[App]],Table2[],3,0),"open")</f>
        <v>ok</v>
      </c>
      <c r="C4066" s="142" t="s">
        <v>369</v>
      </c>
      <c r="D4066" t="s">
        <v>6030</v>
      </c>
      <c r="E4066" t="s">
        <v>6186</v>
      </c>
      <c r="F4066" s="140" t="s">
        <v>6186</v>
      </c>
      <c r="G4066" s="142" t="s">
        <v>406</v>
      </c>
      <c r="H4066" s="140" t="str">
        <f>IF(Proc[[#This Row],[type]]="LFF (MDG-F)",MID(Proc[[#This Row],[Obj]],13,10),"")</f>
        <v>JP01TDOZ02</v>
      </c>
      <c r="J4066" s="140" t="b">
        <f>Proc[[#This Row],[Requested]]=Proc[[#This Row],[CurrentParent]]</f>
        <v>1</v>
      </c>
      <c r="K4066" s="144" t="str">
        <f>IF(Proc[[#This Row],[Author]]="Marcela Urrego",VLOOKUP(LEFT(Proc[[#This Row],[Requested]],1),Table3[#All],2,0),VLOOKUP(Proc[[#This Row],[Author]],Table4[],2,0))</f>
        <v>EL</v>
      </c>
      <c r="L4066" s="140" t="s">
        <v>4894</v>
      </c>
      <c r="M4066" s="136">
        <v>45902</v>
      </c>
      <c r="N4066" s="137"/>
      <c r="O4066" s="137"/>
      <c r="P4066" s="136" t="str">
        <f ca="1">IF(Proc[[#This Row],[DaysAgeing]]&gt;5,"yep","on track")</f>
        <v>yep</v>
      </c>
      <c r="Q4066" s="3">
        <f ca="1">IF(Proc[[#This Row],[DateClosed]]="",ABS(NETWORKDAYS(Proc[[#This Row],[DateOpened]],TODAY()))-1,ABS(NETWORKDAYS(Proc[[#This Row],[DateOpened]],Proc[[#This Row],[DateClosed]]))-1)</f>
        <v>73</v>
      </c>
      <c r="R4066" s="136" t="s">
        <v>6087</v>
      </c>
      <c r="S4066" s="140"/>
    </row>
    <row r="4067" spans="1:19">
      <c r="A4067" s="142" t="s">
        <v>6201</v>
      </c>
      <c r="B4067" s="149" t="str">
        <f>IFERROR(VLOOKUP(Proc[[#This Row],[App]],Table2[],3,0),"open")</f>
        <v>ok</v>
      </c>
      <c r="C4067" s="142" t="s">
        <v>369</v>
      </c>
      <c r="D4067" t="s">
        <v>6031</v>
      </c>
      <c r="E4067" t="s">
        <v>6186</v>
      </c>
      <c r="F4067" s="140" t="s">
        <v>6186</v>
      </c>
      <c r="G4067" s="142" t="s">
        <v>406</v>
      </c>
      <c r="H4067" s="140" t="str">
        <f>IF(Proc[[#This Row],[type]]="LFF (MDG-F)",MID(Proc[[#This Row],[Obj]],13,10),"")</f>
        <v>JP01TDOZ03</v>
      </c>
      <c r="J4067" s="140" t="b">
        <f>Proc[[#This Row],[Requested]]=Proc[[#This Row],[CurrentParent]]</f>
        <v>1</v>
      </c>
      <c r="K4067" s="144" t="str">
        <f>IF(Proc[[#This Row],[Author]]="Marcela Urrego",VLOOKUP(LEFT(Proc[[#This Row],[Requested]],1),Table3[#All],2,0),VLOOKUP(Proc[[#This Row],[Author]],Table4[],2,0))</f>
        <v>EL</v>
      </c>
      <c r="L4067" s="140" t="s">
        <v>4894</v>
      </c>
      <c r="M4067" s="136">
        <v>45902</v>
      </c>
      <c r="N4067" s="137"/>
      <c r="O4067" s="137"/>
      <c r="P4067" s="136" t="str">
        <f ca="1">IF(Proc[[#This Row],[DaysAgeing]]&gt;5,"yep","on track")</f>
        <v>yep</v>
      </c>
      <c r="Q4067" s="3">
        <f ca="1">IF(Proc[[#This Row],[DateClosed]]="",ABS(NETWORKDAYS(Proc[[#This Row],[DateOpened]],TODAY()))-1,ABS(NETWORKDAYS(Proc[[#This Row],[DateOpened]],Proc[[#This Row],[DateClosed]]))-1)</f>
        <v>73</v>
      </c>
      <c r="R4067" s="136" t="s">
        <v>6087</v>
      </c>
      <c r="S4067" s="140"/>
    </row>
    <row r="4068" spans="1:19">
      <c r="A4068" s="142" t="s">
        <v>6201</v>
      </c>
      <c r="B4068" s="149" t="str">
        <f>IFERROR(VLOOKUP(Proc[[#This Row],[App]],Table2[],3,0),"open")</f>
        <v>ok</v>
      </c>
      <c r="C4068" s="142" t="s">
        <v>369</v>
      </c>
      <c r="D4068" t="s">
        <v>6032</v>
      </c>
      <c r="E4068" t="s">
        <v>6186</v>
      </c>
      <c r="F4068" s="140" t="s">
        <v>6186</v>
      </c>
      <c r="G4068" s="142" t="s">
        <v>406</v>
      </c>
      <c r="H4068" s="140" t="str">
        <f>IF(Proc[[#This Row],[type]]="LFF (MDG-F)",MID(Proc[[#This Row],[Obj]],13,10),"")</f>
        <v>JP01TDOZ04</v>
      </c>
      <c r="J4068" s="140" t="b">
        <f>Proc[[#This Row],[Requested]]=Proc[[#This Row],[CurrentParent]]</f>
        <v>1</v>
      </c>
      <c r="K4068" s="144" t="str">
        <f>IF(Proc[[#This Row],[Author]]="Marcela Urrego",VLOOKUP(LEFT(Proc[[#This Row],[Requested]],1),Table3[#All],2,0),VLOOKUP(Proc[[#This Row],[Author]],Table4[],2,0))</f>
        <v>EL</v>
      </c>
      <c r="L4068" s="140" t="s">
        <v>4894</v>
      </c>
      <c r="M4068" s="136">
        <v>45902</v>
      </c>
      <c r="N4068" s="137"/>
      <c r="O4068" s="137"/>
      <c r="P4068" s="136" t="str">
        <f ca="1">IF(Proc[[#This Row],[DaysAgeing]]&gt;5,"yep","on track")</f>
        <v>yep</v>
      </c>
      <c r="Q4068" s="3">
        <f ca="1">IF(Proc[[#This Row],[DateClosed]]="",ABS(NETWORKDAYS(Proc[[#This Row],[DateOpened]],TODAY()))-1,ABS(NETWORKDAYS(Proc[[#This Row],[DateOpened]],Proc[[#This Row],[DateClosed]]))-1)</f>
        <v>73</v>
      </c>
      <c r="R4068" s="136" t="s">
        <v>6087</v>
      </c>
      <c r="S4068" s="140"/>
    </row>
    <row r="4069" spans="1:19">
      <c r="A4069" s="142" t="s">
        <v>6201</v>
      </c>
      <c r="B4069" s="149" t="str">
        <f>IFERROR(VLOOKUP(Proc[[#This Row],[App]],Table2[],3,0),"open")</f>
        <v>ok</v>
      </c>
      <c r="C4069" s="142" t="s">
        <v>369</v>
      </c>
      <c r="D4069" t="s">
        <v>6033</v>
      </c>
      <c r="E4069" t="s">
        <v>6186</v>
      </c>
      <c r="F4069" s="140" t="s">
        <v>6186</v>
      </c>
      <c r="G4069" s="142" t="s">
        <v>406</v>
      </c>
      <c r="H4069" s="140" t="str">
        <f>IF(Proc[[#This Row],[type]]="LFF (MDG-F)",MID(Proc[[#This Row],[Obj]],13,10),"")</f>
        <v>JP01TDOZ05</v>
      </c>
      <c r="J4069" s="140" t="b">
        <f>Proc[[#This Row],[Requested]]=Proc[[#This Row],[CurrentParent]]</f>
        <v>1</v>
      </c>
      <c r="K4069" s="144" t="str">
        <f>IF(Proc[[#This Row],[Author]]="Marcela Urrego",VLOOKUP(LEFT(Proc[[#This Row],[Requested]],1),Table3[#All],2,0),VLOOKUP(Proc[[#This Row],[Author]],Table4[],2,0))</f>
        <v>EL</v>
      </c>
      <c r="L4069" s="140" t="s">
        <v>4894</v>
      </c>
      <c r="M4069" s="136">
        <v>45902</v>
      </c>
      <c r="N4069" s="137"/>
      <c r="O4069" s="137"/>
      <c r="P4069" s="136" t="str">
        <f ca="1">IF(Proc[[#This Row],[DaysAgeing]]&gt;5,"yep","on track")</f>
        <v>yep</v>
      </c>
      <c r="Q4069" s="3">
        <f ca="1">IF(Proc[[#This Row],[DateClosed]]="",ABS(NETWORKDAYS(Proc[[#This Row],[DateOpened]],TODAY()))-1,ABS(NETWORKDAYS(Proc[[#This Row],[DateOpened]],Proc[[#This Row],[DateClosed]]))-1)</f>
        <v>73</v>
      </c>
      <c r="R4069" s="136" t="s">
        <v>6087</v>
      </c>
      <c r="S4069" s="140"/>
    </row>
    <row r="4070" spans="1:19">
      <c r="A4070" s="142" t="s">
        <v>6201</v>
      </c>
      <c r="B4070" s="149" t="str">
        <f>IFERROR(VLOOKUP(Proc[[#This Row],[App]],Table2[],3,0),"open")</f>
        <v>ok</v>
      </c>
      <c r="C4070" s="142" t="s">
        <v>369</v>
      </c>
      <c r="D4070" t="s">
        <v>6034</v>
      </c>
      <c r="E4070" t="s">
        <v>6186</v>
      </c>
      <c r="F4070" s="140" t="s">
        <v>6186</v>
      </c>
      <c r="G4070" s="142" t="s">
        <v>406</v>
      </c>
      <c r="H4070" s="140" t="str">
        <f>IF(Proc[[#This Row],[type]]="LFF (MDG-F)",MID(Proc[[#This Row],[Obj]],13,10),"")</f>
        <v>JP01TDOZ06</v>
      </c>
      <c r="J4070" s="140" t="b">
        <f>Proc[[#This Row],[Requested]]=Proc[[#This Row],[CurrentParent]]</f>
        <v>1</v>
      </c>
      <c r="K4070" s="144" t="str">
        <f>IF(Proc[[#This Row],[Author]]="Marcela Urrego",VLOOKUP(LEFT(Proc[[#This Row],[Requested]],1),Table3[#All],2,0),VLOOKUP(Proc[[#This Row],[Author]],Table4[],2,0))</f>
        <v>EL</v>
      </c>
      <c r="L4070" s="140" t="s">
        <v>4894</v>
      </c>
      <c r="M4070" s="136">
        <v>45902</v>
      </c>
      <c r="N4070" s="137"/>
      <c r="O4070" s="137"/>
      <c r="P4070" s="136" t="str">
        <f ca="1">IF(Proc[[#This Row],[DaysAgeing]]&gt;5,"yep","on track")</f>
        <v>yep</v>
      </c>
      <c r="Q4070" s="3">
        <f ca="1">IF(Proc[[#This Row],[DateClosed]]="",ABS(NETWORKDAYS(Proc[[#This Row],[DateOpened]],TODAY()))-1,ABS(NETWORKDAYS(Proc[[#This Row],[DateOpened]],Proc[[#This Row],[DateClosed]]))-1)</f>
        <v>73</v>
      </c>
      <c r="R4070" s="136" t="s">
        <v>6087</v>
      </c>
      <c r="S4070" s="140"/>
    </row>
    <row r="4071" spans="1:19">
      <c r="A4071" s="142" t="s">
        <v>6201</v>
      </c>
      <c r="B4071" s="149" t="str">
        <f>IFERROR(VLOOKUP(Proc[[#This Row],[App]],Table2[],3,0),"open")</f>
        <v>ok</v>
      </c>
      <c r="C4071" s="142" t="s">
        <v>369</v>
      </c>
      <c r="D4071" t="s">
        <v>6035</v>
      </c>
      <c r="E4071" t="s">
        <v>6187</v>
      </c>
      <c r="F4071" s="140" t="s">
        <v>6187</v>
      </c>
      <c r="G4071" s="142" t="s">
        <v>406</v>
      </c>
      <c r="H4071" s="140" t="str">
        <f>IF(Proc[[#This Row],[type]]="LFF (MDG-F)",MID(Proc[[#This Row],[Obj]],13,10),"")</f>
        <v>JP01TEOZ01</v>
      </c>
      <c r="J4071" s="140" t="b">
        <f>Proc[[#This Row],[Requested]]=Proc[[#This Row],[CurrentParent]]</f>
        <v>1</v>
      </c>
      <c r="K4071" s="144" t="str">
        <f>IF(Proc[[#This Row],[Author]]="Marcela Urrego",VLOOKUP(LEFT(Proc[[#This Row],[Requested]],1),Table3[#All],2,0),VLOOKUP(Proc[[#This Row],[Author]],Table4[],2,0))</f>
        <v>EL</v>
      </c>
      <c r="L4071" s="140" t="s">
        <v>4894</v>
      </c>
      <c r="M4071" s="136">
        <v>45902</v>
      </c>
      <c r="N4071" s="137"/>
      <c r="O4071" s="137"/>
      <c r="P4071" s="136" t="str">
        <f ca="1">IF(Proc[[#This Row],[DaysAgeing]]&gt;5,"yep","on track")</f>
        <v>yep</v>
      </c>
      <c r="Q4071" s="3">
        <f ca="1">IF(Proc[[#This Row],[DateClosed]]="",ABS(NETWORKDAYS(Proc[[#This Row],[DateOpened]],TODAY()))-1,ABS(NETWORKDAYS(Proc[[#This Row],[DateOpened]],Proc[[#This Row],[DateClosed]]))-1)</f>
        <v>73</v>
      </c>
      <c r="R4071" s="136" t="s">
        <v>6087</v>
      </c>
      <c r="S4071" s="140"/>
    </row>
    <row r="4072" spans="1:19">
      <c r="A4072" s="142" t="s">
        <v>6201</v>
      </c>
      <c r="B4072" s="149" t="str">
        <f>IFERROR(VLOOKUP(Proc[[#This Row],[App]],Table2[],3,0),"open")</f>
        <v>ok</v>
      </c>
      <c r="C4072" s="142" t="s">
        <v>369</v>
      </c>
      <c r="D4072" t="s">
        <v>6004</v>
      </c>
      <c r="E4072" t="s">
        <v>6184</v>
      </c>
      <c r="F4072" s="140" t="s">
        <v>6184</v>
      </c>
      <c r="G4072" s="142" t="s">
        <v>406</v>
      </c>
      <c r="H4072" s="140" t="str">
        <f>IF(Proc[[#This Row],[type]]="LFF (MDG-F)",MID(Proc[[#This Row],[Obj]],13,10),"")</f>
        <v>JP01TAOB00</v>
      </c>
      <c r="J4072" s="140" t="b">
        <f>Proc[[#This Row],[Requested]]=Proc[[#This Row],[CurrentParent]]</f>
        <v>1</v>
      </c>
      <c r="K4072" s="144" t="str">
        <f>IF(Proc[[#This Row],[Author]]="Marcela Urrego",VLOOKUP(LEFT(Proc[[#This Row],[Requested]],1),Table3[#All],2,0),VLOOKUP(Proc[[#This Row],[Author]],Table4[],2,0))</f>
        <v>EL</v>
      </c>
      <c r="L4072" s="140" t="s">
        <v>4894</v>
      </c>
      <c r="M4072" s="136">
        <v>45902</v>
      </c>
      <c r="N4072" s="137"/>
      <c r="O4072" s="137"/>
      <c r="P4072" s="136" t="str">
        <f ca="1">IF(Proc[[#This Row],[DaysAgeing]]&gt;5,"yep","on track")</f>
        <v>yep</v>
      </c>
      <c r="Q4072" s="3">
        <f ca="1">IF(Proc[[#This Row],[DateClosed]]="",ABS(NETWORKDAYS(Proc[[#This Row],[DateOpened]],TODAY()))-1,ABS(NETWORKDAYS(Proc[[#This Row],[DateOpened]],Proc[[#This Row],[DateClosed]]))-1)</f>
        <v>73</v>
      </c>
      <c r="R4072" s="136" t="s">
        <v>6087</v>
      </c>
      <c r="S4072" s="140"/>
    </row>
    <row r="4073" spans="1:19">
      <c r="A4073" s="142" t="s">
        <v>6201</v>
      </c>
      <c r="B4073" s="149" t="str">
        <f>IFERROR(VLOOKUP(Proc[[#This Row],[App]],Table2[],3,0),"open")</f>
        <v>ok</v>
      </c>
      <c r="C4073" s="142" t="s">
        <v>369</v>
      </c>
      <c r="D4073" t="s">
        <v>6005</v>
      </c>
      <c r="E4073" t="s">
        <v>6184</v>
      </c>
      <c r="F4073" s="140" t="s">
        <v>6184</v>
      </c>
      <c r="G4073" s="142" t="s">
        <v>406</v>
      </c>
      <c r="H4073" s="140" t="str">
        <f>IF(Proc[[#This Row],[type]]="LFF (MDG-F)",MID(Proc[[#This Row],[Obj]],13,10),"")</f>
        <v>JP01TAOB01</v>
      </c>
      <c r="J4073" s="140" t="b">
        <f>Proc[[#This Row],[Requested]]=Proc[[#This Row],[CurrentParent]]</f>
        <v>1</v>
      </c>
      <c r="K4073" s="144" t="str">
        <f>IF(Proc[[#This Row],[Author]]="Marcela Urrego",VLOOKUP(LEFT(Proc[[#This Row],[Requested]],1),Table3[#All],2,0),VLOOKUP(Proc[[#This Row],[Author]],Table4[],2,0))</f>
        <v>EL</v>
      </c>
      <c r="L4073" s="140" t="s">
        <v>4894</v>
      </c>
      <c r="M4073" s="136">
        <v>45902</v>
      </c>
      <c r="N4073" s="137"/>
      <c r="O4073" s="137"/>
      <c r="P4073" s="136" t="str">
        <f ca="1">IF(Proc[[#This Row],[DaysAgeing]]&gt;5,"yep","on track")</f>
        <v>yep</v>
      </c>
      <c r="Q4073" s="3">
        <f ca="1">IF(Proc[[#This Row],[DateClosed]]="",ABS(NETWORKDAYS(Proc[[#This Row],[DateOpened]],TODAY()))-1,ABS(NETWORKDAYS(Proc[[#This Row],[DateOpened]],Proc[[#This Row],[DateClosed]]))-1)</f>
        <v>73</v>
      </c>
      <c r="R4073" s="136" t="s">
        <v>6087</v>
      </c>
      <c r="S4073" s="140"/>
    </row>
    <row r="4074" spans="1:19">
      <c r="A4074" s="142" t="s">
        <v>6201</v>
      </c>
      <c r="B4074" s="149" t="str">
        <f>IFERROR(VLOOKUP(Proc[[#This Row],[App]],Table2[],3,0),"open")</f>
        <v>ok</v>
      </c>
      <c r="C4074" s="142" t="s">
        <v>369</v>
      </c>
      <c r="D4074" t="s">
        <v>6006</v>
      </c>
      <c r="E4074" t="s">
        <v>6184</v>
      </c>
      <c r="F4074" s="140" t="s">
        <v>6184</v>
      </c>
      <c r="G4074" s="142" t="s">
        <v>406</v>
      </c>
      <c r="H4074" s="140" t="str">
        <f>IF(Proc[[#This Row],[type]]="LFF (MDG-F)",MID(Proc[[#This Row],[Obj]],13,10),"")</f>
        <v>JP01TAOB02</v>
      </c>
      <c r="J4074" s="140" t="b">
        <f>Proc[[#This Row],[Requested]]=Proc[[#This Row],[CurrentParent]]</f>
        <v>1</v>
      </c>
      <c r="K4074" s="144" t="str">
        <f>IF(Proc[[#This Row],[Author]]="Marcela Urrego",VLOOKUP(LEFT(Proc[[#This Row],[Requested]],1),Table3[#All],2,0),VLOOKUP(Proc[[#This Row],[Author]],Table4[],2,0))</f>
        <v>EL</v>
      </c>
      <c r="L4074" s="140" t="s">
        <v>4894</v>
      </c>
      <c r="M4074" s="136">
        <v>45902</v>
      </c>
      <c r="N4074" s="137"/>
      <c r="O4074" s="137"/>
      <c r="P4074" s="136" t="str">
        <f ca="1">IF(Proc[[#This Row],[DaysAgeing]]&gt;5,"yep","on track")</f>
        <v>yep</v>
      </c>
      <c r="Q4074" s="3">
        <f ca="1">IF(Proc[[#This Row],[DateClosed]]="",ABS(NETWORKDAYS(Proc[[#This Row],[DateOpened]],TODAY()))-1,ABS(NETWORKDAYS(Proc[[#This Row],[DateOpened]],Proc[[#This Row],[DateClosed]]))-1)</f>
        <v>73</v>
      </c>
      <c r="R4074" s="136" t="s">
        <v>6087</v>
      </c>
      <c r="S4074" s="140"/>
    </row>
    <row r="4075" spans="1:19">
      <c r="A4075" s="142" t="s">
        <v>6201</v>
      </c>
      <c r="B4075" s="149" t="str">
        <f>IFERROR(VLOOKUP(Proc[[#This Row],[App]],Table2[],3,0),"open")</f>
        <v>ok</v>
      </c>
      <c r="C4075" s="142" t="s">
        <v>369</v>
      </c>
      <c r="D4075" t="s">
        <v>6007</v>
      </c>
      <c r="E4075" t="s">
        <v>6184</v>
      </c>
      <c r="F4075" s="140" t="s">
        <v>6184</v>
      </c>
      <c r="G4075" s="142" t="s">
        <v>406</v>
      </c>
      <c r="H4075" s="140" t="str">
        <f>IF(Proc[[#This Row],[type]]="LFF (MDG-F)",MID(Proc[[#This Row],[Obj]],13,10),"")</f>
        <v>JP01TAOB99</v>
      </c>
      <c r="J4075" s="140" t="b">
        <f>Proc[[#This Row],[Requested]]=Proc[[#This Row],[CurrentParent]]</f>
        <v>1</v>
      </c>
      <c r="K4075" s="144" t="str">
        <f>IF(Proc[[#This Row],[Author]]="Marcela Urrego",VLOOKUP(LEFT(Proc[[#This Row],[Requested]],1),Table3[#All],2,0),VLOOKUP(Proc[[#This Row],[Author]],Table4[],2,0))</f>
        <v>EL</v>
      </c>
      <c r="L4075" s="140" t="s">
        <v>4894</v>
      </c>
      <c r="M4075" s="136">
        <v>45902</v>
      </c>
      <c r="N4075" s="137"/>
      <c r="O4075" s="137"/>
      <c r="P4075" s="136" t="str">
        <f ca="1">IF(Proc[[#This Row],[DaysAgeing]]&gt;5,"yep","on track")</f>
        <v>yep</v>
      </c>
      <c r="Q4075" s="3">
        <f ca="1">IF(Proc[[#This Row],[DateClosed]]="",ABS(NETWORKDAYS(Proc[[#This Row],[DateOpened]],TODAY()))-1,ABS(NETWORKDAYS(Proc[[#This Row],[DateOpened]],Proc[[#This Row],[DateClosed]]))-1)</f>
        <v>73</v>
      </c>
      <c r="R4075" s="136" t="s">
        <v>6087</v>
      </c>
      <c r="S4075" s="140"/>
    </row>
    <row r="4076" spans="1:19">
      <c r="A4076" s="142" t="s">
        <v>6201</v>
      </c>
      <c r="B4076" s="149" t="str">
        <f>IFERROR(VLOOKUP(Proc[[#This Row],[App]],Table2[],3,0),"open")</f>
        <v>ok</v>
      </c>
      <c r="C4076" s="142" t="s">
        <v>369</v>
      </c>
      <c r="D4076" t="s">
        <v>6010</v>
      </c>
      <c r="E4076" t="s">
        <v>6184</v>
      </c>
      <c r="F4076" s="140" t="s">
        <v>6184</v>
      </c>
      <c r="G4076" s="142" t="s">
        <v>406</v>
      </c>
      <c r="H4076" s="140" t="str">
        <f>IF(Proc[[#This Row],[type]]="LFF (MDG-F)",MID(Proc[[#This Row],[Obj]],13,10),"")</f>
        <v>JP01TAOC02</v>
      </c>
      <c r="J4076" s="140" t="b">
        <f>Proc[[#This Row],[Requested]]=Proc[[#This Row],[CurrentParent]]</f>
        <v>1</v>
      </c>
      <c r="K4076" s="144" t="str">
        <f>IF(Proc[[#This Row],[Author]]="Marcela Urrego",VLOOKUP(LEFT(Proc[[#This Row],[Requested]],1),Table3[#All],2,0),VLOOKUP(Proc[[#This Row],[Author]],Table4[],2,0))</f>
        <v>EL</v>
      </c>
      <c r="L4076" s="140" t="s">
        <v>4894</v>
      </c>
      <c r="M4076" s="136">
        <v>45902</v>
      </c>
      <c r="N4076" s="137"/>
      <c r="O4076" s="137"/>
      <c r="P4076" s="136" t="str">
        <f ca="1">IF(Proc[[#This Row],[DaysAgeing]]&gt;5,"yep","on track")</f>
        <v>yep</v>
      </c>
      <c r="Q4076" s="3">
        <f ca="1">IF(Proc[[#This Row],[DateClosed]]="",ABS(NETWORKDAYS(Proc[[#This Row],[DateOpened]],TODAY()))-1,ABS(NETWORKDAYS(Proc[[#This Row],[DateOpened]],Proc[[#This Row],[DateClosed]]))-1)</f>
        <v>73</v>
      </c>
      <c r="R4076" s="136" t="s">
        <v>6087</v>
      </c>
      <c r="S4076" s="140"/>
    </row>
    <row r="4077" spans="1:19">
      <c r="A4077" s="142" t="s">
        <v>6201</v>
      </c>
      <c r="B4077" s="149" t="str">
        <f>IFERROR(VLOOKUP(Proc[[#This Row],[App]],Table2[],3,0),"open")</f>
        <v>ok</v>
      </c>
      <c r="C4077" s="142" t="s">
        <v>369</v>
      </c>
      <c r="D4077" t="s">
        <v>6017</v>
      </c>
      <c r="E4077" t="s">
        <v>6184</v>
      </c>
      <c r="F4077" s="140" t="s">
        <v>6184</v>
      </c>
      <c r="G4077" s="142" t="s">
        <v>406</v>
      </c>
      <c r="H4077" s="140" t="str">
        <f>IF(Proc[[#This Row],[type]]="LFF (MDG-F)",MID(Proc[[#This Row],[Obj]],13,10),"")</f>
        <v>JP01TAOE00</v>
      </c>
      <c r="J4077" s="140" t="b">
        <f>Proc[[#This Row],[Requested]]=Proc[[#This Row],[CurrentParent]]</f>
        <v>1</v>
      </c>
      <c r="K4077" s="144" t="str">
        <f>IF(Proc[[#This Row],[Author]]="Marcela Urrego",VLOOKUP(LEFT(Proc[[#This Row],[Requested]],1),Table3[#All],2,0),VLOOKUP(Proc[[#This Row],[Author]],Table4[],2,0))</f>
        <v>EL</v>
      </c>
      <c r="L4077" s="140" t="s">
        <v>4894</v>
      </c>
      <c r="M4077" s="136">
        <v>45902</v>
      </c>
      <c r="N4077" s="137"/>
      <c r="O4077" s="137"/>
      <c r="P4077" s="136" t="str">
        <f ca="1">IF(Proc[[#This Row],[DaysAgeing]]&gt;5,"yep","on track")</f>
        <v>yep</v>
      </c>
      <c r="Q4077" s="3">
        <f ca="1">IF(Proc[[#This Row],[DateClosed]]="",ABS(NETWORKDAYS(Proc[[#This Row],[DateOpened]],TODAY()))-1,ABS(NETWORKDAYS(Proc[[#This Row],[DateOpened]],Proc[[#This Row],[DateClosed]]))-1)</f>
        <v>73</v>
      </c>
      <c r="R4077" s="136" t="s">
        <v>6087</v>
      </c>
      <c r="S4077" s="140"/>
    </row>
    <row r="4078" spans="1:19">
      <c r="A4078" s="142" t="s">
        <v>6201</v>
      </c>
      <c r="B4078" s="149" t="str">
        <f>IFERROR(VLOOKUP(Proc[[#This Row],[App]],Table2[],3,0),"open")</f>
        <v>ok</v>
      </c>
      <c r="C4078" s="142" t="s">
        <v>369</v>
      </c>
      <c r="D4078" t="s">
        <v>6018</v>
      </c>
      <c r="E4078" t="s">
        <v>6184</v>
      </c>
      <c r="F4078" s="140" t="s">
        <v>6184</v>
      </c>
      <c r="G4078" s="142" t="s">
        <v>406</v>
      </c>
      <c r="H4078" s="140" t="str">
        <f>IF(Proc[[#This Row],[type]]="LFF (MDG-F)",MID(Proc[[#This Row],[Obj]],13,10),"")</f>
        <v>JP01TAOE01</v>
      </c>
      <c r="J4078" s="140" t="b">
        <f>Proc[[#This Row],[Requested]]=Proc[[#This Row],[CurrentParent]]</f>
        <v>1</v>
      </c>
      <c r="K4078" s="144" t="str">
        <f>IF(Proc[[#This Row],[Author]]="Marcela Urrego",VLOOKUP(LEFT(Proc[[#This Row],[Requested]],1),Table3[#All],2,0),VLOOKUP(Proc[[#This Row],[Author]],Table4[],2,0))</f>
        <v>EL</v>
      </c>
      <c r="L4078" s="140" t="s">
        <v>4894</v>
      </c>
      <c r="M4078" s="136">
        <v>45902</v>
      </c>
      <c r="N4078" s="137"/>
      <c r="O4078" s="137"/>
      <c r="P4078" s="136" t="str">
        <f ca="1">IF(Proc[[#This Row],[DaysAgeing]]&gt;5,"yep","on track")</f>
        <v>yep</v>
      </c>
      <c r="Q4078" s="3">
        <f ca="1">IF(Proc[[#This Row],[DateClosed]]="",ABS(NETWORKDAYS(Proc[[#This Row],[DateOpened]],TODAY()))-1,ABS(NETWORKDAYS(Proc[[#This Row],[DateOpened]],Proc[[#This Row],[DateClosed]]))-1)</f>
        <v>73</v>
      </c>
      <c r="R4078" s="136" t="s">
        <v>6087</v>
      </c>
      <c r="S4078" s="140"/>
    </row>
    <row r="4079" spans="1:19">
      <c r="A4079" s="142" t="s">
        <v>6201</v>
      </c>
      <c r="B4079" s="149" t="str">
        <f>IFERROR(VLOOKUP(Proc[[#This Row],[App]],Table2[],3,0),"open")</f>
        <v>ok</v>
      </c>
      <c r="C4079" s="142" t="s">
        <v>369</v>
      </c>
      <c r="D4079" t="s">
        <v>6019</v>
      </c>
      <c r="E4079" t="s">
        <v>6184</v>
      </c>
      <c r="F4079" s="140" t="s">
        <v>6184</v>
      </c>
      <c r="G4079" s="142" t="s">
        <v>406</v>
      </c>
      <c r="H4079" s="140" t="str">
        <f>IF(Proc[[#This Row],[type]]="LFF (MDG-F)",MID(Proc[[#This Row],[Obj]],13,10),"")</f>
        <v>JP01TAOE99</v>
      </c>
      <c r="J4079" s="140" t="b">
        <f>Proc[[#This Row],[Requested]]=Proc[[#This Row],[CurrentParent]]</f>
        <v>1</v>
      </c>
      <c r="K4079" s="144" t="str">
        <f>IF(Proc[[#This Row],[Author]]="Marcela Urrego",VLOOKUP(LEFT(Proc[[#This Row],[Requested]],1),Table3[#All],2,0),VLOOKUP(Proc[[#This Row],[Author]],Table4[],2,0))</f>
        <v>EL</v>
      </c>
      <c r="L4079" s="140" t="s">
        <v>4894</v>
      </c>
      <c r="M4079" s="136">
        <v>45902</v>
      </c>
      <c r="N4079" s="137"/>
      <c r="O4079" s="137"/>
      <c r="P4079" s="136" t="str">
        <f ca="1">IF(Proc[[#This Row],[DaysAgeing]]&gt;5,"yep","on track")</f>
        <v>yep</v>
      </c>
      <c r="Q4079" s="3">
        <f ca="1">IF(Proc[[#This Row],[DateClosed]]="",ABS(NETWORKDAYS(Proc[[#This Row],[DateOpened]],TODAY()))-1,ABS(NETWORKDAYS(Proc[[#This Row],[DateOpened]],Proc[[#This Row],[DateClosed]]))-1)</f>
        <v>73</v>
      </c>
      <c r="R4079" s="136" t="s">
        <v>6087</v>
      </c>
      <c r="S4079" s="140"/>
    </row>
    <row r="4080" spans="1:19">
      <c r="A4080" s="142" t="s">
        <v>6201</v>
      </c>
      <c r="B4080" s="149" t="str">
        <f>IFERROR(VLOOKUP(Proc[[#This Row],[App]],Table2[],3,0),"open")</f>
        <v>ok</v>
      </c>
      <c r="C4080" s="142" t="s">
        <v>369</v>
      </c>
      <c r="D4080" t="s">
        <v>6001</v>
      </c>
      <c r="E4080" t="s">
        <v>6184</v>
      </c>
      <c r="F4080" s="140" t="s">
        <v>6184</v>
      </c>
      <c r="G4080" s="142" t="s">
        <v>406</v>
      </c>
      <c r="H4080" s="140" t="str">
        <f>IF(Proc[[#This Row],[type]]="LFF (MDG-F)",MID(Proc[[#This Row],[Obj]],13,10),"")</f>
        <v>JP01TAOA00</v>
      </c>
      <c r="J4080" s="140" t="b">
        <f>Proc[[#This Row],[Requested]]=Proc[[#This Row],[CurrentParent]]</f>
        <v>1</v>
      </c>
      <c r="K4080" s="144" t="str">
        <f>IF(Proc[[#This Row],[Author]]="Marcela Urrego",VLOOKUP(LEFT(Proc[[#This Row],[Requested]],1),Table3[#All],2,0),VLOOKUP(Proc[[#This Row],[Author]],Table4[],2,0))</f>
        <v>EL</v>
      </c>
      <c r="L4080" s="140" t="s">
        <v>4894</v>
      </c>
      <c r="M4080" s="136">
        <v>45902</v>
      </c>
      <c r="N4080" s="137"/>
      <c r="O4080" s="137"/>
      <c r="P4080" s="136" t="str">
        <f ca="1">IF(Proc[[#This Row],[DaysAgeing]]&gt;5,"yep","on track")</f>
        <v>yep</v>
      </c>
      <c r="Q4080" s="3">
        <f ca="1">IF(Proc[[#This Row],[DateClosed]]="",ABS(NETWORKDAYS(Proc[[#This Row],[DateOpened]],TODAY()))-1,ABS(NETWORKDAYS(Proc[[#This Row],[DateOpened]],Proc[[#This Row],[DateClosed]]))-1)</f>
        <v>73</v>
      </c>
      <c r="R4080" s="136" t="s">
        <v>6087</v>
      </c>
      <c r="S4080" s="140"/>
    </row>
    <row r="4081" spans="1:19">
      <c r="A4081" s="142" t="s">
        <v>6201</v>
      </c>
      <c r="B4081" s="149" t="str">
        <f>IFERROR(VLOOKUP(Proc[[#This Row],[App]],Table2[],3,0),"open")</f>
        <v>ok</v>
      </c>
      <c r="C4081" s="142" t="s">
        <v>369</v>
      </c>
      <c r="D4081" t="s">
        <v>6002</v>
      </c>
      <c r="E4081" t="s">
        <v>6184</v>
      </c>
      <c r="F4081" s="140" t="s">
        <v>6184</v>
      </c>
      <c r="G4081" s="142" t="s">
        <v>406</v>
      </c>
      <c r="H4081" s="140" t="str">
        <f>IF(Proc[[#This Row],[type]]="LFF (MDG-F)",MID(Proc[[#This Row],[Obj]],13,10),"")</f>
        <v>JP01TAOA01</v>
      </c>
      <c r="J4081" s="140" t="b">
        <f>Proc[[#This Row],[Requested]]=Proc[[#This Row],[CurrentParent]]</f>
        <v>1</v>
      </c>
      <c r="K4081" s="144" t="str">
        <f>IF(Proc[[#This Row],[Author]]="Marcela Urrego",VLOOKUP(LEFT(Proc[[#This Row],[Requested]],1),Table3[#All],2,0),VLOOKUP(Proc[[#This Row],[Author]],Table4[],2,0))</f>
        <v>EL</v>
      </c>
      <c r="L4081" s="140" t="s">
        <v>4894</v>
      </c>
      <c r="M4081" s="136">
        <v>45902</v>
      </c>
      <c r="N4081" s="137"/>
      <c r="O4081" s="137"/>
      <c r="P4081" s="136" t="str">
        <f ca="1">IF(Proc[[#This Row],[DaysAgeing]]&gt;5,"yep","on track")</f>
        <v>yep</v>
      </c>
      <c r="Q4081" s="3">
        <f ca="1">IF(Proc[[#This Row],[DateClosed]]="",ABS(NETWORKDAYS(Proc[[#This Row],[DateOpened]],TODAY()))-1,ABS(NETWORKDAYS(Proc[[#This Row],[DateOpened]],Proc[[#This Row],[DateClosed]]))-1)</f>
        <v>73</v>
      </c>
      <c r="R4081" s="136" t="s">
        <v>6087</v>
      </c>
      <c r="S4081" s="140"/>
    </row>
    <row r="4082" spans="1:19">
      <c r="A4082" s="142" t="s">
        <v>6201</v>
      </c>
      <c r="B4082" s="149" t="str">
        <f>IFERROR(VLOOKUP(Proc[[#This Row],[App]],Table2[],3,0),"open")</f>
        <v>ok</v>
      </c>
      <c r="C4082" s="142" t="s">
        <v>369</v>
      </c>
      <c r="D4082" t="s">
        <v>6003</v>
      </c>
      <c r="E4082" t="s">
        <v>6184</v>
      </c>
      <c r="F4082" s="140" t="s">
        <v>6184</v>
      </c>
      <c r="G4082" s="142" t="s">
        <v>406</v>
      </c>
      <c r="H4082" s="140" t="str">
        <f>IF(Proc[[#This Row],[type]]="LFF (MDG-F)",MID(Proc[[#This Row],[Obj]],13,10),"")</f>
        <v>JP01TAOA99</v>
      </c>
      <c r="J4082" s="140" t="b">
        <f>Proc[[#This Row],[Requested]]=Proc[[#This Row],[CurrentParent]]</f>
        <v>1</v>
      </c>
      <c r="K4082" s="144" t="str">
        <f>IF(Proc[[#This Row],[Author]]="Marcela Urrego",VLOOKUP(LEFT(Proc[[#This Row],[Requested]],1),Table3[#All],2,0),VLOOKUP(Proc[[#This Row],[Author]],Table4[],2,0))</f>
        <v>EL</v>
      </c>
      <c r="L4082" s="140" t="s">
        <v>4894</v>
      </c>
      <c r="M4082" s="136">
        <v>45902</v>
      </c>
      <c r="N4082" s="137"/>
      <c r="O4082" s="137"/>
      <c r="P4082" s="136" t="str">
        <f ca="1">IF(Proc[[#This Row],[DaysAgeing]]&gt;5,"yep","on track")</f>
        <v>yep</v>
      </c>
      <c r="Q4082" s="3">
        <f ca="1">IF(Proc[[#This Row],[DateClosed]]="",ABS(NETWORKDAYS(Proc[[#This Row],[DateOpened]],TODAY()))-1,ABS(NETWORKDAYS(Proc[[#This Row],[DateOpened]],Proc[[#This Row],[DateClosed]]))-1)</f>
        <v>73</v>
      </c>
      <c r="R4082" s="136" t="s">
        <v>6087</v>
      </c>
      <c r="S4082" s="140"/>
    </row>
    <row r="4083" spans="1:19">
      <c r="A4083" s="142" t="s">
        <v>6201</v>
      </c>
      <c r="B4083" s="149" t="str">
        <f>IFERROR(VLOOKUP(Proc[[#This Row],[App]],Table2[],3,0),"open")</f>
        <v>ok</v>
      </c>
      <c r="C4083" s="142" t="s">
        <v>369</v>
      </c>
      <c r="D4083" t="s">
        <v>6015</v>
      </c>
      <c r="E4083" t="s">
        <v>6184</v>
      </c>
      <c r="F4083" s="140" t="s">
        <v>6184</v>
      </c>
      <c r="G4083" s="142" t="s">
        <v>406</v>
      </c>
      <c r="H4083" s="140" t="str">
        <f>IF(Proc[[#This Row],[type]]="LFF (MDG-F)",MID(Proc[[#This Row],[Obj]],13,10),"")</f>
        <v>JP01TAOD02</v>
      </c>
      <c r="J4083" s="140" t="b">
        <f>Proc[[#This Row],[Requested]]=Proc[[#This Row],[CurrentParent]]</f>
        <v>1</v>
      </c>
      <c r="K4083" s="144" t="str">
        <f>IF(Proc[[#This Row],[Author]]="Marcela Urrego",VLOOKUP(LEFT(Proc[[#This Row],[Requested]],1),Table3[#All],2,0),VLOOKUP(Proc[[#This Row],[Author]],Table4[],2,0))</f>
        <v>EL</v>
      </c>
      <c r="L4083" s="140" t="s">
        <v>4894</v>
      </c>
      <c r="M4083" s="136">
        <v>45902</v>
      </c>
      <c r="N4083" s="137"/>
      <c r="O4083" s="137"/>
      <c r="P4083" s="136" t="str">
        <f ca="1">IF(Proc[[#This Row],[DaysAgeing]]&gt;5,"yep","on track")</f>
        <v>yep</v>
      </c>
      <c r="Q4083" s="3">
        <f ca="1">IF(Proc[[#This Row],[DateClosed]]="",ABS(NETWORKDAYS(Proc[[#This Row],[DateOpened]],TODAY()))-1,ABS(NETWORKDAYS(Proc[[#This Row],[DateOpened]],Proc[[#This Row],[DateClosed]]))-1)</f>
        <v>73</v>
      </c>
      <c r="R4083" s="136" t="s">
        <v>6087</v>
      </c>
      <c r="S4083" s="140"/>
    </row>
    <row r="4084" spans="1:19">
      <c r="A4084" s="142" t="s">
        <v>6201</v>
      </c>
      <c r="B4084" s="149" t="str">
        <f>IFERROR(VLOOKUP(Proc[[#This Row],[App]],Table2[],3,0),"open")</f>
        <v>ok</v>
      </c>
      <c r="C4084" s="142" t="s">
        <v>369</v>
      </c>
      <c r="D4084" t="s">
        <v>6025</v>
      </c>
      <c r="E4084" t="s">
        <v>6184</v>
      </c>
      <c r="F4084" s="140" t="s">
        <v>6184</v>
      </c>
      <c r="G4084" s="142" t="s">
        <v>406</v>
      </c>
      <c r="H4084" s="140" t="str">
        <f>IF(Proc[[#This Row],[type]]="LFF (MDG-F)",MID(Proc[[#This Row],[Obj]],13,10),"")</f>
        <v>JP01TAOZ06</v>
      </c>
      <c r="J4084" s="140" t="b">
        <f>Proc[[#This Row],[Requested]]=Proc[[#This Row],[CurrentParent]]</f>
        <v>1</v>
      </c>
      <c r="K4084" s="144" t="str">
        <f>IF(Proc[[#This Row],[Author]]="Marcela Urrego",VLOOKUP(LEFT(Proc[[#This Row],[Requested]],1),Table3[#All],2,0),VLOOKUP(Proc[[#This Row],[Author]],Table4[],2,0))</f>
        <v>EL</v>
      </c>
      <c r="L4084" s="140" t="s">
        <v>4894</v>
      </c>
      <c r="M4084" s="136">
        <v>45902</v>
      </c>
      <c r="N4084" s="137"/>
      <c r="O4084" s="137"/>
      <c r="P4084" s="136" t="str">
        <f ca="1">IF(Proc[[#This Row],[DaysAgeing]]&gt;5,"yep","on track")</f>
        <v>yep</v>
      </c>
      <c r="Q4084" s="3">
        <f ca="1">IF(Proc[[#This Row],[DateClosed]]="",ABS(NETWORKDAYS(Proc[[#This Row],[DateOpened]],TODAY()))-1,ABS(NETWORKDAYS(Proc[[#This Row],[DateOpened]],Proc[[#This Row],[DateClosed]]))-1)</f>
        <v>73</v>
      </c>
      <c r="R4084" s="136" t="s">
        <v>6087</v>
      </c>
      <c r="S4084" s="140"/>
    </row>
    <row r="4085" spans="1:19">
      <c r="A4085" s="142" t="s">
        <v>6201</v>
      </c>
      <c r="B4085" s="149" t="str">
        <f>IFERROR(VLOOKUP(Proc[[#This Row],[App]],Table2[],3,0),"open")</f>
        <v>ok</v>
      </c>
      <c r="C4085" s="142" t="s">
        <v>369</v>
      </c>
      <c r="D4085" t="s">
        <v>5981</v>
      </c>
      <c r="E4085" t="s">
        <v>2416</v>
      </c>
      <c r="F4085" s="140" t="s">
        <v>2416</v>
      </c>
      <c r="G4085" s="142" t="s">
        <v>406</v>
      </c>
      <c r="H4085" s="140" t="str">
        <f>IF(Proc[[#This Row],[type]]="LFF (MDG-F)",MID(Proc[[#This Row],[Obj]],13,10),"")</f>
        <v>JP01GSQ013</v>
      </c>
      <c r="J4085" s="140" t="b">
        <f>Proc[[#This Row],[Requested]]=Proc[[#This Row],[CurrentParent]]</f>
        <v>1</v>
      </c>
      <c r="K4085" s="144" t="str">
        <f>IF(Proc[[#This Row],[Author]]="Marcela Urrego",VLOOKUP(LEFT(Proc[[#This Row],[Requested]],1),Table3[#All],2,0),VLOOKUP(Proc[[#This Row],[Author]],Table4[],2,0))</f>
        <v>EL</v>
      </c>
      <c r="L4085" s="140" t="s">
        <v>4894</v>
      </c>
      <c r="M4085" s="136">
        <v>45902</v>
      </c>
      <c r="N4085" s="137"/>
      <c r="O4085" s="137"/>
      <c r="P4085" s="136" t="str">
        <f ca="1">IF(Proc[[#This Row],[DaysAgeing]]&gt;5,"yep","on track")</f>
        <v>yep</v>
      </c>
      <c r="Q4085" s="3">
        <f ca="1">IF(Proc[[#This Row],[DateClosed]]="",ABS(NETWORKDAYS(Proc[[#This Row],[DateOpened]],TODAY()))-1,ABS(NETWORKDAYS(Proc[[#This Row],[DateOpened]],Proc[[#This Row],[DateClosed]]))-1)</f>
        <v>73</v>
      </c>
      <c r="R4085" s="136" t="s">
        <v>6087</v>
      </c>
      <c r="S4085" s="140"/>
    </row>
    <row r="4086" spans="1:19">
      <c r="A4086" s="142" t="s">
        <v>6201</v>
      </c>
      <c r="B4086" s="149" t="str">
        <f>IFERROR(VLOOKUP(Proc[[#This Row],[App]],Table2[],3,0),"open")</f>
        <v>ok</v>
      </c>
      <c r="C4086" s="142" t="s">
        <v>369</v>
      </c>
      <c r="D4086" t="s">
        <v>6020</v>
      </c>
      <c r="E4086" t="s">
        <v>6184</v>
      </c>
      <c r="F4086" s="140" t="s">
        <v>6184</v>
      </c>
      <c r="G4086" s="142" t="s">
        <v>406</v>
      </c>
      <c r="H4086" s="140" t="str">
        <f>IF(Proc[[#This Row],[type]]="LFF (MDG-F)",MID(Proc[[#This Row],[Obj]],13,10),"")</f>
        <v>JP01TAOZ01</v>
      </c>
      <c r="J4086" s="140" t="b">
        <f>Proc[[#This Row],[Requested]]=Proc[[#This Row],[CurrentParent]]</f>
        <v>1</v>
      </c>
      <c r="K4086" s="144" t="str">
        <f>IF(Proc[[#This Row],[Author]]="Marcela Urrego",VLOOKUP(LEFT(Proc[[#This Row],[Requested]],1),Table3[#All],2,0),VLOOKUP(Proc[[#This Row],[Author]],Table4[],2,0))</f>
        <v>EL</v>
      </c>
      <c r="L4086" s="140" t="s">
        <v>4894</v>
      </c>
      <c r="M4086" s="136">
        <v>45902</v>
      </c>
      <c r="N4086" s="137"/>
      <c r="O4086" s="137"/>
      <c r="P4086" s="136" t="str">
        <f ca="1">IF(Proc[[#This Row],[DaysAgeing]]&gt;5,"yep","on track")</f>
        <v>yep</v>
      </c>
      <c r="Q4086" s="3">
        <f ca="1">IF(Proc[[#This Row],[DateClosed]]="",ABS(NETWORKDAYS(Proc[[#This Row],[DateOpened]],TODAY()))-1,ABS(NETWORKDAYS(Proc[[#This Row],[DateOpened]],Proc[[#This Row],[DateClosed]]))-1)</f>
        <v>73</v>
      </c>
      <c r="R4086" s="136" t="s">
        <v>6087</v>
      </c>
      <c r="S4086" s="140"/>
    </row>
    <row r="4087" spans="1:19">
      <c r="A4087" s="142" t="s">
        <v>6201</v>
      </c>
      <c r="B4087" s="149" t="str">
        <f>IFERROR(VLOOKUP(Proc[[#This Row],[App]],Table2[],3,0),"open")</f>
        <v>ok</v>
      </c>
      <c r="C4087" s="142" t="s">
        <v>369</v>
      </c>
      <c r="D4087" t="s">
        <v>6040</v>
      </c>
      <c r="E4087" t="s">
        <v>6188</v>
      </c>
      <c r="F4087" s="140" t="s">
        <v>6188</v>
      </c>
      <c r="G4087" s="142" t="s">
        <v>406</v>
      </c>
      <c r="H4087" s="140" t="str">
        <f>IF(Proc[[#This Row],[type]]="LFF (MDG-F)",MID(Proc[[#This Row],[Obj]],13,10),"")</f>
        <v>JP01TLOZ01</v>
      </c>
      <c r="J4087" s="140" t="b">
        <f>Proc[[#This Row],[Requested]]=Proc[[#This Row],[CurrentParent]]</f>
        <v>1</v>
      </c>
      <c r="K4087" s="144" t="str">
        <f>IF(Proc[[#This Row],[Author]]="Marcela Urrego",VLOOKUP(LEFT(Proc[[#This Row],[Requested]],1),Table3[#All],2,0),VLOOKUP(Proc[[#This Row],[Author]],Table4[],2,0))</f>
        <v>EL</v>
      </c>
      <c r="L4087" s="140" t="s">
        <v>4894</v>
      </c>
      <c r="M4087" s="136">
        <v>45902</v>
      </c>
      <c r="N4087" s="137"/>
      <c r="O4087" s="137"/>
      <c r="P4087" s="136" t="str">
        <f ca="1">IF(Proc[[#This Row],[DaysAgeing]]&gt;5,"yep","on track")</f>
        <v>yep</v>
      </c>
      <c r="Q4087" s="3">
        <f ca="1">IF(Proc[[#This Row],[DateClosed]]="",ABS(NETWORKDAYS(Proc[[#This Row],[DateOpened]],TODAY()))-1,ABS(NETWORKDAYS(Proc[[#This Row],[DateOpened]],Proc[[#This Row],[DateClosed]]))-1)</f>
        <v>73</v>
      </c>
      <c r="R4087" s="136" t="s">
        <v>6087</v>
      </c>
      <c r="S4087" s="140"/>
    </row>
    <row r="4088" spans="1:19">
      <c r="A4088" s="142" t="s">
        <v>6201</v>
      </c>
      <c r="B4088" s="149" t="str">
        <f>IFERROR(VLOOKUP(Proc[[#This Row],[App]],Table2[],3,0),"open")</f>
        <v>ok</v>
      </c>
      <c r="C4088" s="142" t="s">
        <v>369</v>
      </c>
      <c r="D4088" t="s">
        <v>6041</v>
      </c>
      <c r="E4088" t="s">
        <v>6189</v>
      </c>
      <c r="F4088" s="140" t="s">
        <v>6189</v>
      </c>
      <c r="G4088" s="142" t="s">
        <v>406</v>
      </c>
      <c r="H4088" s="140" t="str">
        <f>IF(Proc[[#This Row],[type]]="LFF (MDG-F)",MID(Proc[[#This Row],[Obj]],13,10),"")</f>
        <v>JP01TNMZ04</v>
      </c>
      <c r="J4088" s="140" t="b">
        <f>Proc[[#This Row],[Requested]]=Proc[[#This Row],[CurrentParent]]</f>
        <v>1</v>
      </c>
      <c r="K4088" s="144" t="str">
        <f>IF(Proc[[#This Row],[Author]]="Marcela Urrego",VLOOKUP(LEFT(Proc[[#This Row],[Requested]],1),Table3[#All],2,0),VLOOKUP(Proc[[#This Row],[Author]],Table4[],2,0))</f>
        <v>EL</v>
      </c>
      <c r="L4088" s="140" t="s">
        <v>4894</v>
      </c>
      <c r="M4088" s="136">
        <v>45902</v>
      </c>
      <c r="N4088" s="137"/>
      <c r="O4088" s="137"/>
      <c r="P4088" s="136" t="str">
        <f ca="1">IF(Proc[[#This Row],[DaysAgeing]]&gt;5,"yep","on track")</f>
        <v>yep</v>
      </c>
      <c r="Q4088" s="3">
        <f ca="1">IF(Proc[[#This Row],[DateClosed]]="",ABS(NETWORKDAYS(Proc[[#This Row],[DateOpened]],TODAY()))-1,ABS(NETWORKDAYS(Proc[[#This Row],[DateOpened]],Proc[[#This Row],[DateClosed]]))-1)</f>
        <v>73</v>
      </c>
      <c r="R4088" s="136" t="s">
        <v>6087</v>
      </c>
      <c r="S4088" s="140"/>
    </row>
    <row r="4089" spans="1:19">
      <c r="A4089" s="142" t="s">
        <v>6201</v>
      </c>
      <c r="B4089" s="149" t="str">
        <f>IFERROR(VLOOKUP(Proc[[#This Row],[App]],Table2[],3,0),"open")</f>
        <v>ok</v>
      </c>
      <c r="C4089" s="142" t="s">
        <v>369</v>
      </c>
      <c r="D4089" t="s">
        <v>6023</v>
      </c>
      <c r="E4089" t="s">
        <v>6184</v>
      </c>
      <c r="F4089" s="140" t="s">
        <v>6184</v>
      </c>
      <c r="G4089" s="142" t="s">
        <v>406</v>
      </c>
      <c r="H4089" s="140" t="str">
        <f>IF(Proc[[#This Row],[type]]="LFF (MDG-F)",MID(Proc[[#This Row],[Obj]],13,10),"")</f>
        <v>JP01TAOZ04</v>
      </c>
      <c r="J4089" s="140" t="b">
        <f>Proc[[#This Row],[Requested]]=Proc[[#This Row],[CurrentParent]]</f>
        <v>1</v>
      </c>
      <c r="K4089" s="144" t="str">
        <f>IF(Proc[[#This Row],[Author]]="Marcela Urrego",VLOOKUP(LEFT(Proc[[#This Row],[Requested]],1),Table3[#All],2,0),VLOOKUP(Proc[[#This Row],[Author]],Table4[],2,0))</f>
        <v>EL</v>
      </c>
      <c r="L4089" s="140" t="s">
        <v>4894</v>
      </c>
      <c r="M4089" s="136">
        <v>45902</v>
      </c>
      <c r="N4089" s="137"/>
      <c r="O4089" s="137"/>
      <c r="P4089" s="136" t="str">
        <f ca="1">IF(Proc[[#This Row],[DaysAgeing]]&gt;5,"yep","on track")</f>
        <v>yep</v>
      </c>
      <c r="Q4089" s="3">
        <f ca="1">IF(Proc[[#This Row],[DateClosed]]="",ABS(NETWORKDAYS(Proc[[#This Row],[DateOpened]],TODAY()))-1,ABS(NETWORKDAYS(Proc[[#This Row],[DateOpened]],Proc[[#This Row],[DateClosed]]))-1)</f>
        <v>73</v>
      </c>
      <c r="R4089" s="136" t="s">
        <v>6087</v>
      </c>
      <c r="S4089" s="140"/>
    </row>
    <row r="4090" spans="1:19">
      <c r="A4090" s="142" t="s">
        <v>6201</v>
      </c>
      <c r="B4090" s="149" t="str">
        <f>IFERROR(VLOOKUP(Proc[[#This Row],[App]],Table2[],3,0),"open")</f>
        <v>ok</v>
      </c>
      <c r="C4090" s="142" t="s">
        <v>369</v>
      </c>
      <c r="D4090" t="s">
        <v>6039</v>
      </c>
      <c r="E4090" t="s">
        <v>6190</v>
      </c>
      <c r="F4090" s="140" t="s">
        <v>6190</v>
      </c>
      <c r="G4090" s="142" t="s">
        <v>406</v>
      </c>
      <c r="H4090" s="140" t="str">
        <f>IF(Proc[[#This Row],[type]]="LFF (MDG-F)",MID(Proc[[#This Row],[Obj]],13,10),"")</f>
        <v>JP01TKOZ00</v>
      </c>
      <c r="J4090" s="140" t="b">
        <f>Proc[[#This Row],[Requested]]=Proc[[#This Row],[CurrentParent]]</f>
        <v>1</v>
      </c>
      <c r="K4090" s="144" t="str">
        <f>IF(Proc[[#This Row],[Author]]="Marcela Urrego",VLOOKUP(LEFT(Proc[[#This Row],[Requested]],1),Table3[#All],2,0),VLOOKUP(Proc[[#This Row],[Author]],Table4[],2,0))</f>
        <v>EL</v>
      </c>
      <c r="L4090" s="140" t="s">
        <v>4894</v>
      </c>
      <c r="M4090" s="136">
        <v>45902</v>
      </c>
      <c r="N4090" s="137"/>
      <c r="O4090" s="137"/>
      <c r="P4090" s="136" t="str">
        <f ca="1">IF(Proc[[#This Row],[DaysAgeing]]&gt;5,"yep","on track")</f>
        <v>yep</v>
      </c>
      <c r="Q4090" s="3">
        <f ca="1">IF(Proc[[#This Row],[DateClosed]]="",ABS(NETWORKDAYS(Proc[[#This Row],[DateOpened]],TODAY()))-1,ABS(NETWORKDAYS(Proc[[#This Row],[DateOpened]],Proc[[#This Row],[DateClosed]]))-1)</f>
        <v>73</v>
      </c>
      <c r="R4090" s="136" t="s">
        <v>6087</v>
      </c>
      <c r="S4090" s="140"/>
    </row>
    <row r="4091" spans="1:19">
      <c r="A4091" s="142" t="s">
        <v>6201</v>
      </c>
      <c r="B4091" s="149" t="str">
        <f>IFERROR(VLOOKUP(Proc[[#This Row],[App]],Table2[],3,0),"open")</f>
        <v>ok</v>
      </c>
      <c r="C4091" s="142" t="s">
        <v>369</v>
      </c>
      <c r="D4091" t="s">
        <v>6026</v>
      </c>
      <c r="E4091" t="s">
        <v>6191</v>
      </c>
      <c r="F4091" s="140" t="s">
        <v>6191</v>
      </c>
      <c r="G4091" s="142" t="s">
        <v>406</v>
      </c>
      <c r="H4091" s="140" t="str">
        <f>IF(Proc[[#This Row],[type]]="LFF (MDG-F)",MID(Proc[[#This Row],[Obj]],13,10),"")</f>
        <v>JP01TBOZ01</v>
      </c>
      <c r="J4091" s="140" t="b">
        <f>Proc[[#This Row],[Requested]]=Proc[[#This Row],[CurrentParent]]</f>
        <v>1</v>
      </c>
      <c r="K4091" s="144" t="str">
        <f>IF(Proc[[#This Row],[Author]]="Marcela Urrego",VLOOKUP(LEFT(Proc[[#This Row],[Requested]],1),Table3[#All],2,0),VLOOKUP(Proc[[#This Row],[Author]],Table4[],2,0))</f>
        <v>EL</v>
      </c>
      <c r="L4091" s="140" t="s">
        <v>4894</v>
      </c>
      <c r="M4091" s="136">
        <v>45902</v>
      </c>
      <c r="N4091" s="137"/>
      <c r="O4091" s="137"/>
      <c r="P4091" s="136" t="str">
        <f ca="1">IF(Proc[[#This Row],[DaysAgeing]]&gt;5,"yep","on track")</f>
        <v>yep</v>
      </c>
      <c r="Q4091" s="3">
        <f ca="1">IF(Proc[[#This Row],[DateClosed]]="",ABS(NETWORKDAYS(Proc[[#This Row],[DateOpened]],TODAY()))-1,ABS(NETWORKDAYS(Proc[[#This Row],[DateOpened]],Proc[[#This Row],[DateClosed]]))-1)</f>
        <v>73</v>
      </c>
      <c r="R4091" s="136" t="s">
        <v>6087</v>
      </c>
      <c r="S4091" s="140"/>
    </row>
    <row r="4092" spans="1:19">
      <c r="A4092" s="142" t="s">
        <v>6201</v>
      </c>
      <c r="B4092" s="149" t="str">
        <f>IFERROR(VLOOKUP(Proc[[#This Row],[App]],Table2[],3,0),"open")</f>
        <v>ok</v>
      </c>
      <c r="C4092" s="142" t="s">
        <v>369</v>
      </c>
      <c r="D4092" t="s">
        <v>6043</v>
      </c>
      <c r="E4092" t="s">
        <v>6163</v>
      </c>
      <c r="F4092" s="140" t="s">
        <v>6163</v>
      </c>
      <c r="G4092" s="142" t="s">
        <v>406</v>
      </c>
      <c r="H4092" s="140" t="str">
        <f>IF(Proc[[#This Row],[type]]="LFF (MDG-F)",MID(Proc[[#This Row],[Obj]],13,10),"")</f>
        <v>JP01TQOZ01</v>
      </c>
      <c r="J4092" s="140" t="b">
        <f>Proc[[#This Row],[Requested]]=Proc[[#This Row],[CurrentParent]]</f>
        <v>1</v>
      </c>
      <c r="K4092" s="144" t="str">
        <f>IF(Proc[[#This Row],[Author]]="Marcela Urrego",VLOOKUP(LEFT(Proc[[#This Row],[Requested]],1),Table3[#All],2,0),VLOOKUP(Proc[[#This Row],[Author]],Table4[],2,0))</f>
        <v>EL</v>
      </c>
      <c r="L4092" s="140" t="s">
        <v>4894</v>
      </c>
      <c r="M4092" s="136">
        <v>45902</v>
      </c>
      <c r="N4092" s="137"/>
      <c r="O4092" s="137"/>
      <c r="P4092" s="136" t="str">
        <f ca="1">IF(Proc[[#This Row],[DaysAgeing]]&gt;5,"yep","on track")</f>
        <v>yep</v>
      </c>
      <c r="Q4092" s="3">
        <f ca="1">IF(Proc[[#This Row],[DateClosed]]="",ABS(NETWORKDAYS(Proc[[#This Row],[DateOpened]],TODAY()))-1,ABS(NETWORKDAYS(Proc[[#This Row],[DateOpened]],Proc[[#This Row],[DateClosed]]))-1)</f>
        <v>73</v>
      </c>
      <c r="R4092" s="136" t="s">
        <v>6087</v>
      </c>
      <c r="S4092" s="140"/>
    </row>
    <row r="4093" spans="1:19">
      <c r="A4093" s="142" t="s">
        <v>6201</v>
      </c>
      <c r="B4093" s="149" t="str">
        <f>IFERROR(VLOOKUP(Proc[[#This Row],[App]],Table2[],3,0),"open")</f>
        <v>ok</v>
      </c>
      <c r="C4093" s="142" t="s">
        <v>369</v>
      </c>
      <c r="D4093" t="s">
        <v>6027</v>
      </c>
      <c r="E4093" t="s">
        <v>6192</v>
      </c>
      <c r="F4093" s="140" t="s">
        <v>6192</v>
      </c>
      <c r="G4093" s="142" t="s">
        <v>406</v>
      </c>
      <c r="H4093" s="140" t="str">
        <f>IF(Proc[[#This Row],[type]]="LFF (MDG-F)",MID(Proc[[#This Row],[Obj]],13,10),"")</f>
        <v>JP01TBOZ05</v>
      </c>
      <c r="J4093" s="140" t="b">
        <f>Proc[[#This Row],[Requested]]=Proc[[#This Row],[CurrentParent]]</f>
        <v>1</v>
      </c>
      <c r="K4093" s="144" t="str">
        <f>IF(Proc[[#This Row],[Author]]="Marcela Urrego",VLOOKUP(LEFT(Proc[[#This Row],[Requested]],1),Table3[#All],2,0),VLOOKUP(Proc[[#This Row],[Author]],Table4[],2,0))</f>
        <v>EL</v>
      </c>
      <c r="L4093" s="140" t="s">
        <v>4894</v>
      </c>
      <c r="M4093" s="136">
        <v>45902</v>
      </c>
      <c r="N4093" s="137"/>
      <c r="O4093" s="137"/>
      <c r="P4093" s="136" t="str">
        <f ca="1">IF(Proc[[#This Row],[DaysAgeing]]&gt;5,"yep","on track")</f>
        <v>yep</v>
      </c>
      <c r="Q4093" s="3">
        <f ca="1">IF(Proc[[#This Row],[DateClosed]]="",ABS(NETWORKDAYS(Proc[[#This Row],[DateOpened]],TODAY()))-1,ABS(NETWORKDAYS(Proc[[#This Row],[DateOpened]],Proc[[#This Row],[DateClosed]]))-1)</f>
        <v>73</v>
      </c>
      <c r="R4093" s="136" t="s">
        <v>6087</v>
      </c>
      <c r="S4093" s="140"/>
    </row>
    <row r="4094" spans="1:19">
      <c r="A4094" s="142" t="s">
        <v>6201</v>
      </c>
      <c r="B4094" s="149" t="str">
        <f>IFERROR(VLOOKUP(Proc[[#This Row],[App]],Table2[],3,0),"open")</f>
        <v>ok</v>
      </c>
      <c r="C4094" s="142" t="s">
        <v>369</v>
      </c>
      <c r="D4094" t="s">
        <v>6028</v>
      </c>
      <c r="E4094" t="s">
        <v>6193</v>
      </c>
      <c r="F4094" s="140" t="s">
        <v>6193</v>
      </c>
      <c r="G4094" s="142" t="s">
        <v>406</v>
      </c>
      <c r="H4094" s="140" t="str">
        <f>IF(Proc[[#This Row],[type]]="LFF (MDG-F)",MID(Proc[[#This Row],[Obj]],13,10),"")</f>
        <v>JP01TCOZ01</v>
      </c>
      <c r="J4094" s="140" t="b">
        <f>Proc[[#This Row],[Requested]]=Proc[[#This Row],[CurrentParent]]</f>
        <v>1</v>
      </c>
      <c r="K4094" s="144" t="str">
        <f>IF(Proc[[#This Row],[Author]]="Marcela Urrego",VLOOKUP(LEFT(Proc[[#This Row],[Requested]],1),Table3[#All],2,0),VLOOKUP(Proc[[#This Row],[Author]],Table4[],2,0))</f>
        <v>EL</v>
      </c>
      <c r="L4094" s="140" t="s">
        <v>4894</v>
      </c>
      <c r="M4094" s="136">
        <v>45902</v>
      </c>
      <c r="N4094" s="137"/>
      <c r="O4094" s="137"/>
      <c r="P4094" s="136" t="str">
        <f ca="1">IF(Proc[[#This Row],[DaysAgeing]]&gt;5,"yep","on track")</f>
        <v>yep</v>
      </c>
      <c r="Q4094" s="3">
        <f ca="1">IF(Proc[[#This Row],[DateClosed]]="",ABS(NETWORKDAYS(Proc[[#This Row],[DateOpened]],TODAY()))-1,ABS(NETWORKDAYS(Proc[[#This Row],[DateOpened]],Proc[[#This Row],[DateClosed]]))-1)</f>
        <v>73</v>
      </c>
      <c r="R4094" s="136" t="s">
        <v>6087</v>
      </c>
      <c r="S4094" s="140"/>
    </row>
    <row r="4095" spans="1:19">
      <c r="A4095" s="142" t="s">
        <v>6201</v>
      </c>
      <c r="B4095" s="149" t="str">
        <f>IFERROR(VLOOKUP(Proc[[#This Row],[App]],Table2[],3,0),"open")</f>
        <v>ok</v>
      </c>
      <c r="C4095" s="142" t="s">
        <v>369</v>
      </c>
      <c r="D4095" t="s">
        <v>5951</v>
      </c>
      <c r="E4095" t="s">
        <v>6194</v>
      </c>
      <c r="F4095" s="140" t="s">
        <v>6194</v>
      </c>
      <c r="G4095" s="142" t="s">
        <v>406</v>
      </c>
      <c r="H4095" s="140" t="str">
        <f>IF(Proc[[#This Row],[type]]="LFF (MDG-F)",MID(Proc[[#This Row],[Obj]],13,10),"")</f>
        <v>JP01C0M821</v>
      </c>
      <c r="J4095" s="140" t="b">
        <f>Proc[[#This Row],[Requested]]=Proc[[#This Row],[CurrentParent]]</f>
        <v>1</v>
      </c>
      <c r="K4095" s="144" t="str">
        <f>IF(Proc[[#This Row],[Author]]="Marcela Urrego",VLOOKUP(LEFT(Proc[[#This Row],[Requested]],1),Table3[#All],2,0),VLOOKUP(Proc[[#This Row],[Author]],Table4[],2,0))</f>
        <v>EL</v>
      </c>
      <c r="L4095" s="140" t="s">
        <v>4894</v>
      </c>
      <c r="M4095" s="136">
        <v>45902</v>
      </c>
      <c r="N4095" s="137"/>
      <c r="O4095" s="137"/>
      <c r="P4095" s="136" t="str">
        <f ca="1">IF(Proc[[#This Row],[DaysAgeing]]&gt;5,"yep","on track")</f>
        <v>yep</v>
      </c>
      <c r="Q4095" s="3">
        <f ca="1">IF(Proc[[#This Row],[DateClosed]]="",ABS(NETWORKDAYS(Proc[[#This Row],[DateOpened]],TODAY()))-1,ABS(NETWORKDAYS(Proc[[#This Row],[DateOpened]],Proc[[#This Row],[DateClosed]]))-1)</f>
        <v>73</v>
      </c>
      <c r="R4095" s="136" t="s">
        <v>6087</v>
      </c>
      <c r="S4095" s="140"/>
    </row>
    <row r="4096" spans="1:19">
      <c r="A4096" s="142" t="s">
        <v>6201</v>
      </c>
      <c r="B4096" s="149" t="str">
        <f>IFERROR(VLOOKUP(Proc[[#This Row],[App]],Table2[],3,0),"open")</f>
        <v>ok</v>
      </c>
      <c r="C4096" s="144" t="s">
        <v>369</v>
      </c>
      <c r="D4096" t="s">
        <v>5954</v>
      </c>
      <c r="E4096" t="s">
        <v>6195</v>
      </c>
      <c r="F4096" s="140" t="s">
        <v>6195</v>
      </c>
      <c r="G4096" s="142" t="s">
        <v>406</v>
      </c>
      <c r="H4096" s="140" t="str">
        <f>IF(Proc[[#This Row],[type]]="LFF (MDG-F)",MID(Proc[[#This Row],[Obj]],13,10),"")</f>
        <v>JP01C0M921</v>
      </c>
      <c r="J4096" s="140" t="b">
        <f>Proc[[#This Row],[Requested]]=Proc[[#This Row],[CurrentParent]]</f>
        <v>1</v>
      </c>
      <c r="K4096" s="144" t="str">
        <f>IF(Proc[[#This Row],[Author]]="Marcela Urrego",VLOOKUP(LEFT(Proc[[#This Row],[Requested]],1),Table3[#All],2,0),VLOOKUP(Proc[[#This Row],[Author]],Table4[],2,0))</f>
        <v>EL</v>
      </c>
      <c r="L4096" s="140" t="s">
        <v>4894</v>
      </c>
      <c r="M4096" s="136">
        <v>45902</v>
      </c>
      <c r="N4096" s="137"/>
      <c r="O4096" s="137"/>
      <c r="P4096" s="136" t="str">
        <f ca="1">IF(Proc[[#This Row],[DaysAgeing]]&gt;5,"yep","on track")</f>
        <v>yep</v>
      </c>
      <c r="Q4096" s="3">
        <f ca="1">IF(Proc[[#This Row],[DateClosed]]="",ABS(NETWORKDAYS(Proc[[#This Row],[DateOpened]],TODAY()))-1,ABS(NETWORKDAYS(Proc[[#This Row],[DateOpened]],Proc[[#This Row],[DateClosed]]))-1)</f>
        <v>73</v>
      </c>
      <c r="R4096" s="136" t="s">
        <v>6087</v>
      </c>
      <c r="S4096" s="140"/>
    </row>
    <row r="4097" spans="1:19">
      <c r="A4097" s="142" t="s">
        <v>6201</v>
      </c>
      <c r="B4097" s="149" t="str">
        <f>IFERROR(VLOOKUP(Proc[[#This Row],[App]],Table2[],3,0),"open")</f>
        <v>ok</v>
      </c>
      <c r="C4097" s="142" t="s">
        <v>369</v>
      </c>
      <c r="D4097" t="s">
        <v>5952</v>
      </c>
      <c r="E4097" t="s">
        <v>6196</v>
      </c>
      <c r="F4097" s="140" t="s">
        <v>6196</v>
      </c>
      <c r="G4097" s="142" t="s">
        <v>406</v>
      </c>
      <c r="H4097" s="140" t="str">
        <f>IF(Proc[[#This Row],[type]]="LFF (MDG-F)",MID(Proc[[#This Row],[Obj]],13,10),"")</f>
        <v>JP01C0M822</v>
      </c>
      <c r="J4097" s="140" t="b">
        <f>Proc[[#This Row],[Requested]]=Proc[[#This Row],[CurrentParent]]</f>
        <v>1</v>
      </c>
      <c r="K4097" s="144" t="str">
        <f>IF(Proc[[#This Row],[Author]]="Marcela Urrego",VLOOKUP(LEFT(Proc[[#This Row],[Requested]],1),Table3[#All],2,0),VLOOKUP(Proc[[#This Row],[Author]],Table4[],2,0))</f>
        <v>EL</v>
      </c>
      <c r="L4097" s="140" t="s">
        <v>4894</v>
      </c>
      <c r="M4097" s="136">
        <v>45902</v>
      </c>
      <c r="N4097" s="137"/>
      <c r="O4097" s="137"/>
      <c r="P4097" s="136" t="str">
        <f ca="1">IF(Proc[[#This Row],[DaysAgeing]]&gt;5,"yep","on track")</f>
        <v>yep</v>
      </c>
      <c r="Q4097" s="3">
        <f ca="1">IF(Proc[[#This Row],[DateClosed]]="",ABS(NETWORKDAYS(Proc[[#This Row],[DateOpened]],TODAY()))-1,ABS(NETWORKDAYS(Proc[[#This Row],[DateOpened]],Proc[[#This Row],[DateClosed]]))-1)</f>
        <v>73</v>
      </c>
      <c r="R4097" s="136" t="s">
        <v>6087</v>
      </c>
      <c r="S4097" s="140"/>
    </row>
    <row r="4098" spans="1:19">
      <c r="A4098" s="142" t="s">
        <v>6201</v>
      </c>
      <c r="B4098" s="149" t="str">
        <f>IFERROR(VLOOKUP(Proc[[#This Row],[App]],Table2[],3,0),"open")</f>
        <v>ok</v>
      </c>
      <c r="C4098" s="142" t="s">
        <v>369</v>
      </c>
      <c r="D4098" t="s">
        <v>5956</v>
      </c>
      <c r="E4098" t="s">
        <v>6197</v>
      </c>
      <c r="F4098" s="140" t="s">
        <v>6197</v>
      </c>
      <c r="G4098" s="142" t="s">
        <v>406</v>
      </c>
      <c r="H4098" s="140" t="str">
        <f>IF(Proc[[#This Row],[type]]="LFF (MDG-F)",MID(Proc[[#This Row],[Obj]],13,10),"")</f>
        <v>JP01C0O999</v>
      </c>
      <c r="J4098" s="140" t="b">
        <f>Proc[[#This Row],[Requested]]=Proc[[#This Row],[CurrentParent]]</f>
        <v>1</v>
      </c>
      <c r="K4098" s="144" t="str">
        <f>IF(Proc[[#This Row],[Author]]="Marcela Urrego",VLOOKUP(LEFT(Proc[[#This Row],[Requested]],1),Table3[#All],2,0),VLOOKUP(Proc[[#This Row],[Author]],Table4[],2,0))</f>
        <v>EL</v>
      </c>
      <c r="L4098" s="140" t="s">
        <v>4894</v>
      </c>
      <c r="M4098" s="136">
        <v>45902</v>
      </c>
      <c r="N4098" s="137"/>
      <c r="O4098" s="137"/>
      <c r="P4098" s="136" t="str">
        <f ca="1">IF(Proc[[#This Row],[DaysAgeing]]&gt;5,"yep","on track")</f>
        <v>yep</v>
      </c>
      <c r="Q4098" s="3">
        <f ca="1">IF(Proc[[#This Row],[DateClosed]]="",ABS(NETWORKDAYS(Proc[[#This Row],[DateOpened]],TODAY()))-1,ABS(NETWORKDAYS(Proc[[#This Row],[DateOpened]],Proc[[#This Row],[DateClosed]]))-1)</f>
        <v>73</v>
      </c>
      <c r="R4098" s="136" t="s">
        <v>6087</v>
      </c>
      <c r="S4098" s="140"/>
    </row>
    <row r="4099" spans="1:19">
      <c r="A4099" s="142" t="s">
        <v>6201</v>
      </c>
      <c r="B4099" s="149" t="str">
        <f>IFERROR(VLOOKUP(Proc[[#This Row],[App]],Table2[],3,0),"open")</f>
        <v>ok</v>
      </c>
      <c r="C4099" s="142" t="s">
        <v>369</v>
      </c>
      <c r="D4099" t="s">
        <v>5982</v>
      </c>
      <c r="E4099" t="s">
        <v>6198</v>
      </c>
      <c r="F4099" s="140" t="s">
        <v>6198</v>
      </c>
      <c r="G4099" s="142" t="s">
        <v>406</v>
      </c>
      <c r="H4099" s="140" t="str">
        <f>IF(Proc[[#This Row],[type]]="LFF (MDG-F)",MID(Proc[[#This Row],[Obj]],13,10),"")</f>
        <v>JP01L1M001</v>
      </c>
      <c r="J4099" s="140" t="b">
        <f>Proc[[#This Row],[Requested]]=Proc[[#This Row],[CurrentParent]]</f>
        <v>1</v>
      </c>
      <c r="K4099" s="144" t="str">
        <f>IF(Proc[[#This Row],[Author]]="Marcela Urrego",VLOOKUP(LEFT(Proc[[#This Row],[Requested]],1),Table3[#All],2,0),VLOOKUP(Proc[[#This Row],[Author]],Table4[],2,0))</f>
        <v>EL</v>
      </c>
      <c r="L4099" s="140" t="s">
        <v>4894</v>
      </c>
      <c r="M4099" s="136">
        <v>45902</v>
      </c>
      <c r="N4099" s="137"/>
      <c r="O4099" s="137"/>
      <c r="P4099" s="136" t="str">
        <f ca="1">IF(Proc[[#This Row],[DaysAgeing]]&gt;5,"yep","on track")</f>
        <v>yep</v>
      </c>
      <c r="Q4099" s="3">
        <f ca="1">IF(Proc[[#This Row],[DateClosed]]="",ABS(NETWORKDAYS(Proc[[#This Row],[DateOpened]],TODAY()))-1,ABS(NETWORKDAYS(Proc[[#This Row],[DateOpened]],Proc[[#This Row],[DateClosed]]))-1)</f>
        <v>73</v>
      </c>
      <c r="R4099" s="136" t="s">
        <v>6087</v>
      </c>
      <c r="S4099" s="140"/>
    </row>
    <row r="4100" spans="1:19">
      <c r="A4100" s="142" t="s">
        <v>6201</v>
      </c>
      <c r="B4100" s="149" t="str">
        <f>IFERROR(VLOOKUP(Proc[[#This Row],[App]],Table2[],3,0),"open")</f>
        <v>ok</v>
      </c>
      <c r="C4100" s="142" t="s">
        <v>369</v>
      </c>
      <c r="D4100" t="s">
        <v>5979</v>
      </c>
      <c r="E4100" t="s">
        <v>784</v>
      </c>
      <c r="F4100" s="140" t="s">
        <v>784</v>
      </c>
      <c r="G4100" s="142" t="s">
        <v>406</v>
      </c>
      <c r="H4100" s="140" t="str">
        <f>IF(Proc[[#This Row],[type]]="LFF (MDG-F)",MID(Proc[[#This Row],[Obj]],13,10),"")</f>
        <v>JP01GPO303</v>
      </c>
      <c r="J4100" s="140" t="b">
        <f>Proc[[#This Row],[Requested]]=Proc[[#This Row],[CurrentParent]]</f>
        <v>1</v>
      </c>
      <c r="K4100" s="144" t="str">
        <f>IF(Proc[[#This Row],[Author]]="Marcela Urrego",VLOOKUP(LEFT(Proc[[#This Row],[Requested]],1),Table3[#All],2,0),VLOOKUP(Proc[[#This Row],[Author]],Table4[],2,0))</f>
        <v>EL</v>
      </c>
      <c r="L4100" s="140" t="s">
        <v>4894</v>
      </c>
      <c r="M4100" s="136">
        <v>45902</v>
      </c>
      <c r="N4100" s="137"/>
      <c r="O4100" s="137"/>
      <c r="P4100" s="136" t="str">
        <f ca="1">IF(Proc[[#This Row],[DaysAgeing]]&gt;5,"yep","on track")</f>
        <v>yep</v>
      </c>
      <c r="Q4100" s="3">
        <f ca="1">IF(Proc[[#This Row],[DateClosed]]="",ABS(NETWORKDAYS(Proc[[#This Row],[DateOpened]],TODAY()))-1,ABS(NETWORKDAYS(Proc[[#This Row],[DateOpened]],Proc[[#This Row],[DateClosed]]))-1)</f>
        <v>73</v>
      </c>
      <c r="R4100" s="136" t="s">
        <v>6087</v>
      </c>
      <c r="S4100" s="140"/>
    </row>
    <row r="4101" spans="1:19">
      <c r="A4101" s="142" t="s">
        <v>6201</v>
      </c>
      <c r="B4101" s="149" t="str">
        <f>IFERROR(VLOOKUP(Proc[[#This Row],[App]],Table2[],3,0),"open")</f>
        <v>ok</v>
      </c>
      <c r="C4101" s="142" t="s">
        <v>369</v>
      </c>
      <c r="D4101" t="s">
        <v>5983</v>
      </c>
      <c r="E4101" t="s">
        <v>784</v>
      </c>
      <c r="F4101" s="140" t="s">
        <v>784</v>
      </c>
      <c r="G4101" s="142" t="s">
        <v>406</v>
      </c>
      <c r="H4101" s="140" t="str">
        <f>IF(Proc[[#This Row],[type]]="LFF (MDG-F)",MID(Proc[[#This Row],[Obj]],13,10),"")</f>
        <v>JP01L3K302</v>
      </c>
      <c r="J4101" s="140" t="b">
        <f>Proc[[#This Row],[Requested]]=Proc[[#This Row],[CurrentParent]]</f>
        <v>1</v>
      </c>
      <c r="K4101" s="144" t="str">
        <f>IF(Proc[[#This Row],[Author]]="Marcela Urrego",VLOOKUP(LEFT(Proc[[#This Row],[Requested]],1),Table3[#All],2,0),VLOOKUP(Proc[[#This Row],[Author]],Table4[],2,0))</f>
        <v>EL</v>
      </c>
      <c r="L4101" s="140" t="s">
        <v>4894</v>
      </c>
      <c r="M4101" s="136">
        <v>45902</v>
      </c>
      <c r="N4101" s="137"/>
      <c r="O4101" s="137"/>
      <c r="P4101" s="136" t="str">
        <f ca="1">IF(Proc[[#This Row],[DaysAgeing]]&gt;5,"yep","on track")</f>
        <v>yep</v>
      </c>
      <c r="Q4101" s="3">
        <f ca="1">IF(Proc[[#This Row],[DateClosed]]="",ABS(NETWORKDAYS(Proc[[#This Row],[DateOpened]],TODAY()))-1,ABS(NETWORKDAYS(Proc[[#This Row],[DateOpened]],Proc[[#This Row],[DateClosed]]))-1)</f>
        <v>73</v>
      </c>
      <c r="R4101" s="136" t="s">
        <v>6087</v>
      </c>
      <c r="S4101" s="140"/>
    </row>
    <row r="4102" spans="1:19">
      <c r="A4102" s="142" t="s">
        <v>6201</v>
      </c>
      <c r="B4102" s="149" t="str">
        <f>IFERROR(VLOOKUP(Proc[[#This Row],[App]],Table2[],3,0),"open")</f>
        <v>ok</v>
      </c>
      <c r="C4102" s="142" t="s">
        <v>369</v>
      </c>
      <c r="D4102" t="s">
        <v>5984</v>
      </c>
      <c r="E4102" t="s">
        <v>6171</v>
      </c>
      <c r="F4102" s="140" t="s">
        <v>6171</v>
      </c>
      <c r="G4102" s="142" t="s">
        <v>406</v>
      </c>
      <c r="H4102" s="140" t="str">
        <f>IF(Proc[[#This Row],[type]]="LFF (MDG-F)",MID(Proc[[#This Row],[Obj]],13,10),"")</f>
        <v>JP01L3K304</v>
      </c>
      <c r="J4102" s="140" t="b">
        <f>Proc[[#This Row],[Requested]]=Proc[[#This Row],[CurrentParent]]</f>
        <v>1</v>
      </c>
      <c r="K4102" s="144" t="str">
        <f>IF(Proc[[#This Row],[Author]]="Marcela Urrego",VLOOKUP(LEFT(Proc[[#This Row],[Requested]],1),Table3[#All],2,0),VLOOKUP(Proc[[#This Row],[Author]],Table4[],2,0))</f>
        <v>EL</v>
      </c>
      <c r="L4102" s="140" t="s">
        <v>4894</v>
      </c>
      <c r="M4102" s="136">
        <v>45902</v>
      </c>
      <c r="N4102" s="137"/>
      <c r="O4102" s="137"/>
      <c r="P4102" s="136" t="str">
        <f ca="1">IF(Proc[[#This Row],[DaysAgeing]]&gt;5,"yep","on track")</f>
        <v>yep</v>
      </c>
      <c r="Q4102" s="3">
        <f ca="1">IF(Proc[[#This Row],[DateClosed]]="",ABS(NETWORKDAYS(Proc[[#This Row],[DateOpened]],TODAY()))-1,ABS(NETWORKDAYS(Proc[[#This Row],[DateOpened]],Proc[[#This Row],[DateClosed]]))-1)</f>
        <v>73</v>
      </c>
      <c r="R4102" s="136" t="s">
        <v>6087</v>
      </c>
      <c r="S4102" s="140"/>
    </row>
    <row r="4103" spans="1:19">
      <c r="A4103" s="142" t="s">
        <v>6201</v>
      </c>
      <c r="B4103" s="149" t="str">
        <f>IFERROR(VLOOKUP(Proc[[#This Row],[App]],Table2[],3,0),"open")</f>
        <v>ok</v>
      </c>
      <c r="C4103" s="142" t="s">
        <v>369</v>
      </c>
      <c r="D4103" t="s">
        <v>5985</v>
      </c>
      <c r="E4103" t="s">
        <v>784</v>
      </c>
      <c r="F4103" s="140" t="s">
        <v>784</v>
      </c>
      <c r="G4103" s="142" t="s">
        <v>406</v>
      </c>
      <c r="H4103" s="140" t="str">
        <f>IF(Proc[[#This Row],[type]]="LFF (MDG-F)",MID(Proc[[#This Row],[Obj]],13,10),"")</f>
        <v>JP01L3M301</v>
      </c>
      <c r="J4103" s="140" t="b">
        <f>Proc[[#This Row],[Requested]]=Proc[[#This Row],[CurrentParent]]</f>
        <v>1</v>
      </c>
      <c r="K4103" s="144" t="str">
        <f>IF(Proc[[#This Row],[Author]]="Marcela Urrego",VLOOKUP(LEFT(Proc[[#This Row],[Requested]],1),Table3[#All],2,0),VLOOKUP(Proc[[#This Row],[Author]],Table4[],2,0))</f>
        <v>EL</v>
      </c>
      <c r="L4103" s="140" t="s">
        <v>4894</v>
      </c>
      <c r="M4103" s="136">
        <v>45902</v>
      </c>
      <c r="N4103" s="137"/>
      <c r="O4103" s="137"/>
      <c r="P4103" s="136" t="str">
        <f ca="1">IF(Proc[[#This Row],[DaysAgeing]]&gt;5,"yep","on track")</f>
        <v>yep</v>
      </c>
      <c r="Q4103" s="3">
        <f ca="1">IF(Proc[[#This Row],[DateClosed]]="",ABS(NETWORKDAYS(Proc[[#This Row],[DateOpened]],TODAY()))-1,ABS(NETWORKDAYS(Proc[[#This Row],[DateOpened]],Proc[[#This Row],[DateClosed]]))-1)</f>
        <v>73</v>
      </c>
      <c r="R4103" s="136" t="s">
        <v>6087</v>
      </c>
      <c r="S4103" s="140"/>
    </row>
    <row r="4104" spans="1:19">
      <c r="A4104" s="142" t="s">
        <v>6201</v>
      </c>
      <c r="B4104" s="149" t="str">
        <f>IFERROR(VLOOKUP(Proc[[#This Row],[App]],Table2[],3,0),"open")</f>
        <v>ok</v>
      </c>
      <c r="C4104" s="142" t="s">
        <v>369</v>
      </c>
      <c r="D4104" t="s">
        <v>5986</v>
      </c>
      <c r="E4104" t="s">
        <v>6171</v>
      </c>
      <c r="F4104" s="140" t="s">
        <v>6171</v>
      </c>
      <c r="G4104" s="142" t="s">
        <v>406</v>
      </c>
      <c r="H4104" s="140" t="str">
        <f>IF(Proc[[#This Row],[type]]="LFF (MDG-F)",MID(Proc[[#This Row],[Obj]],13,10),"")</f>
        <v>JP01L3M303</v>
      </c>
      <c r="J4104" s="140" t="b">
        <f>Proc[[#This Row],[Requested]]=Proc[[#This Row],[CurrentParent]]</f>
        <v>1</v>
      </c>
      <c r="K4104" s="144" t="str">
        <f>IF(Proc[[#This Row],[Author]]="Marcela Urrego",VLOOKUP(LEFT(Proc[[#This Row],[Requested]],1),Table3[#All],2,0),VLOOKUP(Proc[[#This Row],[Author]],Table4[],2,0))</f>
        <v>EL</v>
      </c>
      <c r="L4104" s="140" t="s">
        <v>4894</v>
      </c>
      <c r="M4104" s="136">
        <v>45902</v>
      </c>
      <c r="N4104" s="137"/>
      <c r="O4104" s="137"/>
      <c r="P4104" s="136" t="str">
        <f ca="1">IF(Proc[[#This Row],[DaysAgeing]]&gt;5,"yep","on track")</f>
        <v>yep</v>
      </c>
      <c r="Q4104" s="3">
        <f ca="1">IF(Proc[[#This Row],[DateClosed]]="",ABS(NETWORKDAYS(Proc[[#This Row],[DateOpened]],TODAY()))-1,ABS(NETWORKDAYS(Proc[[#This Row],[DateOpened]],Proc[[#This Row],[DateClosed]]))-1)</f>
        <v>73</v>
      </c>
      <c r="R4104" s="136" t="s">
        <v>6087</v>
      </c>
      <c r="S4104" s="140"/>
    </row>
    <row r="4105" spans="1:19">
      <c r="A4105" s="142" t="s">
        <v>6201</v>
      </c>
      <c r="B4105" s="149" t="str">
        <f>IFERROR(VLOOKUP(Proc[[#This Row],[App]],Table2[],3,0),"open")</f>
        <v>ok</v>
      </c>
      <c r="C4105" s="142" t="s">
        <v>369</v>
      </c>
      <c r="D4105" t="s">
        <v>5987</v>
      </c>
      <c r="E4105" t="s">
        <v>6171</v>
      </c>
      <c r="F4105" s="140" t="s">
        <v>6171</v>
      </c>
      <c r="G4105" s="142" t="s">
        <v>406</v>
      </c>
      <c r="H4105" s="140" t="str">
        <f>IF(Proc[[#This Row],[type]]="LFF (MDG-F)",MID(Proc[[#This Row],[Obj]],13,10),"")</f>
        <v>JP01L4M301</v>
      </c>
      <c r="J4105" s="140" t="b">
        <f>Proc[[#This Row],[Requested]]=Proc[[#This Row],[CurrentParent]]</f>
        <v>1</v>
      </c>
      <c r="K4105" s="144" t="str">
        <f>IF(Proc[[#This Row],[Author]]="Marcela Urrego",VLOOKUP(LEFT(Proc[[#This Row],[Requested]],1),Table3[#All],2,0),VLOOKUP(Proc[[#This Row],[Author]],Table4[],2,0))</f>
        <v>EL</v>
      </c>
      <c r="L4105" s="140" t="s">
        <v>4894</v>
      </c>
      <c r="M4105" s="136">
        <v>45902</v>
      </c>
      <c r="N4105" s="137"/>
      <c r="O4105" s="137"/>
      <c r="P4105" s="136" t="str">
        <f ca="1">IF(Proc[[#This Row],[DaysAgeing]]&gt;5,"yep","on track")</f>
        <v>yep</v>
      </c>
      <c r="Q4105" s="3">
        <f ca="1">IF(Proc[[#This Row],[DateClosed]]="",ABS(NETWORKDAYS(Proc[[#This Row],[DateOpened]],TODAY()))-1,ABS(NETWORKDAYS(Proc[[#This Row],[DateOpened]],Proc[[#This Row],[DateClosed]]))-1)</f>
        <v>73</v>
      </c>
      <c r="R4105" s="136" t="s">
        <v>6087</v>
      </c>
      <c r="S4105" s="140"/>
    </row>
    <row r="4106" spans="1:19">
      <c r="A4106" s="142" t="s">
        <v>6201</v>
      </c>
      <c r="B4106" s="149" t="str">
        <f>IFERROR(VLOOKUP(Proc[[#This Row],[App]],Table2[],3,0),"open")</f>
        <v>ok</v>
      </c>
      <c r="C4106" s="142" t="s">
        <v>369</v>
      </c>
      <c r="D4106" t="s">
        <v>5989</v>
      </c>
      <c r="E4106" t="s">
        <v>6169</v>
      </c>
      <c r="F4106" s="140" t="s">
        <v>6169</v>
      </c>
      <c r="G4106" s="142" t="s">
        <v>406</v>
      </c>
      <c r="H4106" s="140" t="str">
        <f>IF(Proc[[#This Row],[type]]="LFF (MDG-F)",MID(Proc[[#This Row],[Obj]],13,10),"")</f>
        <v>JP01L5M301</v>
      </c>
      <c r="J4106" s="140" t="b">
        <f>Proc[[#This Row],[Requested]]=Proc[[#This Row],[CurrentParent]]</f>
        <v>1</v>
      </c>
      <c r="K4106" s="144" t="str">
        <f>IF(Proc[[#This Row],[Author]]="Marcela Urrego",VLOOKUP(LEFT(Proc[[#This Row],[Requested]],1),Table3[#All],2,0),VLOOKUP(Proc[[#This Row],[Author]],Table4[],2,0))</f>
        <v>EL</v>
      </c>
      <c r="L4106" s="140" t="s">
        <v>4894</v>
      </c>
      <c r="M4106" s="136">
        <v>45902</v>
      </c>
      <c r="N4106" s="137"/>
      <c r="O4106" s="137"/>
      <c r="P4106" s="136" t="str">
        <f ca="1">IF(Proc[[#This Row],[DaysAgeing]]&gt;5,"yep","on track")</f>
        <v>yep</v>
      </c>
      <c r="Q4106" s="3">
        <f ca="1">IF(Proc[[#This Row],[DateClosed]]="",ABS(NETWORKDAYS(Proc[[#This Row],[DateOpened]],TODAY()))-1,ABS(NETWORKDAYS(Proc[[#This Row],[DateOpened]],Proc[[#This Row],[DateClosed]]))-1)</f>
        <v>73</v>
      </c>
      <c r="R4106" s="136" t="s">
        <v>6087</v>
      </c>
      <c r="S4106" s="140"/>
    </row>
    <row r="4107" spans="1:19">
      <c r="A4107" s="142" t="s">
        <v>6201</v>
      </c>
      <c r="B4107" s="149" t="str">
        <f>IFERROR(VLOOKUP(Proc[[#This Row],[App]],Table2[],3,0),"open")</f>
        <v>ok</v>
      </c>
      <c r="C4107" s="142" t="s">
        <v>369</v>
      </c>
      <c r="D4107" t="s">
        <v>5991</v>
      </c>
      <c r="E4107" t="s">
        <v>6171</v>
      </c>
      <c r="F4107" s="140" t="s">
        <v>6171</v>
      </c>
      <c r="G4107" s="142" t="s">
        <v>406</v>
      </c>
      <c r="H4107" s="140" t="str">
        <f>IF(Proc[[#This Row],[type]]="LFF (MDG-F)",MID(Proc[[#This Row],[Obj]],13,10),"")</f>
        <v>JP01L7M301</v>
      </c>
      <c r="J4107" s="140" t="b">
        <f>Proc[[#This Row],[Requested]]=Proc[[#This Row],[CurrentParent]]</f>
        <v>1</v>
      </c>
      <c r="K4107" s="144" t="str">
        <f>IF(Proc[[#This Row],[Author]]="Marcela Urrego",VLOOKUP(LEFT(Proc[[#This Row],[Requested]],1),Table3[#All],2,0),VLOOKUP(Proc[[#This Row],[Author]],Table4[],2,0))</f>
        <v>EL</v>
      </c>
      <c r="L4107" s="140" t="s">
        <v>4894</v>
      </c>
      <c r="M4107" s="136">
        <v>45902</v>
      </c>
      <c r="N4107" s="137"/>
      <c r="O4107" s="137"/>
      <c r="P4107" s="136" t="str">
        <f ca="1">IF(Proc[[#This Row],[DaysAgeing]]&gt;5,"yep","on track")</f>
        <v>yep</v>
      </c>
      <c r="Q4107" s="3">
        <f ca="1">IF(Proc[[#This Row],[DateClosed]]="",ABS(NETWORKDAYS(Proc[[#This Row],[DateOpened]],TODAY()))-1,ABS(NETWORKDAYS(Proc[[#This Row],[DateOpened]],Proc[[#This Row],[DateClosed]]))-1)</f>
        <v>73</v>
      </c>
      <c r="R4107" s="136" t="s">
        <v>6087</v>
      </c>
      <c r="S4107" s="140"/>
    </row>
    <row r="4108" spans="1:19">
      <c r="A4108" s="142" t="s">
        <v>6201</v>
      </c>
      <c r="B4108" s="149" t="str">
        <f>IFERROR(VLOOKUP(Proc[[#This Row],[App]],Table2[],3,0),"open")</f>
        <v>ok</v>
      </c>
      <c r="C4108" s="142" t="s">
        <v>369</v>
      </c>
      <c r="D4108" t="s">
        <v>5957</v>
      </c>
      <c r="E4108" t="s">
        <v>413</v>
      </c>
      <c r="F4108" s="140" t="s">
        <v>413</v>
      </c>
      <c r="G4108" s="142" t="s">
        <v>406</v>
      </c>
      <c r="H4108" s="140" t="str">
        <f>IF(Proc[[#This Row],[type]]="LFF (MDG-F)",MID(Proc[[#This Row],[Obj]],13,10),"")</f>
        <v>JP01GBT301</v>
      </c>
      <c r="J4108" s="140" t="b">
        <f>Proc[[#This Row],[Requested]]=Proc[[#This Row],[CurrentParent]]</f>
        <v>1</v>
      </c>
      <c r="K4108" s="144" t="str">
        <f>IF(Proc[[#This Row],[Author]]="Marcela Urrego",VLOOKUP(LEFT(Proc[[#This Row],[Requested]],1),Table3[#All],2,0),VLOOKUP(Proc[[#This Row],[Author]],Table4[],2,0))</f>
        <v>EL</v>
      </c>
      <c r="L4108" s="140" t="s">
        <v>4894</v>
      </c>
      <c r="M4108" s="136">
        <v>45902</v>
      </c>
      <c r="N4108" s="137"/>
      <c r="O4108" s="137"/>
      <c r="P4108" s="136" t="str">
        <f ca="1">IF(Proc[[#This Row],[DaysAgeing]]&gt;5,"yep","on track")</f>
        <v>yep</v>
      </c>
      <c r="Q4108" s="3">
        <f ca="1">IF(Proc[[#This Row],[DateClosed]]="",ABS(NETWORKDAYS(Proc[[#This Row],[DateOpened]],TODAY()))-1,ABS(NETWORKDAYS(Proc[[#This Row],[DateOpened]],Proc[[#This Row],[DateClosed]]))-1)</f>
        <v>73</v>
      </c>
      <c r="R4108" s="136" t="s">
        <v>6087</v>
      </c>
      <c r="S4108" s="140"/>
    </row>
    <row r="4109" spans="1:19">
      <c r="A4109" s="142" t="s">
        <v>6201</v>
      </c>
      <c r="B4109" s="149" t="str">
        <f>IFERROR(VLOOKUP(Proc[[#This Row],[App]],Table2[],3,0),"open")</f>
        <v>ok</v>
      </c>
      <c r="C4109" s="142" t="s">
        <v>369</v>
      </c>
      <c r="D4109" t="s">
        <v>5958</v>
      </c>
      <c r="E4109" t="s">
        <v>413</v>
      </c>
      <c r="F4109" s="140" t="s">
        <v>413</v>
      </c>
      <c r="G4109" s="142" t="s">
        <v>406</v>
      </c>
      <c r="H4109" s="140" t="str">
        <f>IF(Proc[[#This Row],[type]]="LFF (MDG-F)",MID(Proc[[#This Row],[Obj]],13,10),"")</f>
        <v>JP01GBT303</v>
      </c>
      <c r="J4109" s="140" t="b">
        <f>Proc[[#This Row],[Requested]]=Proc[[#This Row],[CurrentParent]]</f>
        <v>1</v>
      </c>
      <c r="K4109" s="144" t="str">
        <f>IF(Proc[[#This Row],[Author]]="Marcela Urrego",VLOOKUP(LEFT(Proc[[#This Row],[Requested]],1),Table3[#All],2,0),VLOOKUP(Proc[[#This Row],[Author]],Table4[],2,0))</f>
        <v>EL</v>
      </c>
      <c r="L4109" s="140" t="s">
        <v>4894</v>
      </c>
      <c r="M4109" s="136">
        <v>45902</v>
      </c>
      <c r="N4109" s="137"/>
      <c r="O4109" s="137"/>
      <c r="P4109" s="136" t="str">
        <f ca="1">IF(Proc[[#This Row],[DaysAgeing]]&gt;5,"yep","on track")</f>
        <v>yep</v>
      </c>
      <c r="Q4109" s="3">
        <f ca="1">IF(Proc[[#This Row],[DateClosed]]="",ABS(NETWORKDAYS(Proc[[#This Row],[DateOpened]],TODAY()))-1,ABS(NETWORKDAYS(Proc[[#This Row],[DateOpened]],Proc[[#This Row],[DateClosed]]))-1)</f>
        <v>73</v>
      </c>
      <c r="R4109" s="136" t="s">
        <v>6087</v>
      </c>
      <c r="S4109" s="140"/>
    </row>
    <row r="4110" spans="1:19">
      <c r="A4110" s="142" t="s">
        <v>6201</v>
      </c>
      <c r="B4110" s="149" t="str">
        <f>IFERROR(VLOOKUP(Proc[[#This Row],[App]],Table2[],3,0),"open")</f>
        <v>ok</v>
      </c>
      <c r="C4110" s="142" t="s">
        <v>369</v>
      </c>
      <c r="D4110" t="s">
        <v>5959</v>
      </c>
      <c r="E4110" t="s">
        <v>413</v>
      </c>
      <c r="F4110" s="140" t="s">
        <v>413</v>
      </c>
      <c r="G4110" s="142" t="s">
        <v>406</v>
      </c>
      <c r="H4110" s="140" t="str">
        <f>IF(Proc[[#This Row],[type]]="LFF (MDG-F)",MID(Proc[[#This Row],[Obj]],13,10),"")</f>
        <v>JP01GBT304</v>
      </c>
      <c r="J4110" s="140" t="b">
        <f>Proc[[#This Row],[Requested]]=Proc[[#This Row],[CurrentParent]]</f>
        <v>1</v>
      </c>
      <c r="K4110" s="144" t="str">
        <f>IF(Proc[[#This Row],[Author]]="Marcela Urrego",VLOOKUP(LEFT(Proc[[#This Row],[Requested]],1),Table3[#All],2,0),VLOOKUP(Proc[[#This Row],[Author]],Table4[],2,0))</f>
        <v>EL</v>
      </c>
      <c r="L4110" s="140" t="s">
        <v>4894</v>
      </c>
      <c r="M4110" s="136">
        <v>45902</v>
      </c>
      <c r="N4110" s="137"/>
      <c r="O4110" s="137"/>
      <c r="P4110" s="136" t="str">
        <f ca="1">IF(Proc[[#This Row],[DaysAgeing]]&gt;5,"yep","on track")</f>
        <v>yep</v>
      </c>
      <c r="Q4110" s="3">
        <f ca="1">IF(Proc[[#This Row],[DateClosed]]="",ABS(NETWORKDAYS(Proc[[#This Row],[DateOpened]],TODAY()))-1,ABS(NETWORKDAYS(Proc[[#This Row],[DateOpened]],Proc[[#This Row],[DateClosed]]))-1)</f>
        <v>73</v>
      </c>
      <c r="R4110" s="136" t="s">
        <v>6087</v>
      </c>
      <c r="S4110" s="140"/>
    </row>
    <row r="4111" spans="1:19">
      <c r="A4111" s="142" t="s">
        <v>6201</v>
      </c>
      <c r="B4111" s="149" t="str">
        <f>IFERROR(VLOOKUP(Proc[[#This Row],[App]],Table2[],3,0),"open")</f>
        <v>ok</v>
      </c>
      <c r="C4111" s="142" t="s">
        <v>369</v>
      </c>
      <c r="D4111" t="s">
        <v>5963</v>
      </c>
      <c r="E4111" t="s">
        <v>413</v>
      </c>
      <c r="F4111" s="140" t="s">
        <v>413</v>
      </c>
      <c r="G4111" s="142" t="s">
        <v>406</v>
      </c>
      <c r="H4111" s="140" t="str">
        <f>IF(Proc[[#This Row],[type]]="LFF (MDG-F)",MID(Proc[[#This Row],[Obj]],13,10),"")</f>
        <v>JP01GFO300</v>
      </c>
      <c r="J4111" s="140" t="b">
        <f>Proc[[#This Row],[Requested]]=Proc[[#This Row],[CurrentParent]]</f>
        <v>1</v>
      </c>
      <c r="K4111" s="144" t="str">
        <f>IF(Proc[[#This Row],[Author]]="Marcela Urrego",VLOOKUP(LEFT(Proc[[#This Row],[Requested]],1),Table3[#All],2,0),VLOOKUP(Proc[[#This Row],[Author]],Table4[],2,0))</f>
        <v>EL</v>
      </c>
      <c r="L4111" s="140" t="s">
        <v>4894</v>
      </c>
      <c r="M4111" s="136">
        <v>45902</v>
      </c>
      <c r="N4111" s="137"/>
      <c r="O4111" s="137"/>
      <c r="P4111" s="136" t="str">
        <f ca="1">IF(Proc[[#This Row],[DaysAgeing]]&gt;5,"yep","on track")</f>
        <v>yep</v>
      </c>
      <c r="Q4111" s="3">
        <f ca="1">IF(Proc[[#This Row],[DateClosed]]="",ABS(NETWORKDAYS(Proc[[#This Row],[DateOpened]],TODAY()))-1,ABS(NETWORKDAYS(Proc[[#This Row],[DateOpened]],Proc[[#This Row],[DateClosed]]))-1)</f>
        <v>73</v>
      </c>
      <c r="R4111" s="136" t="s">
        <v>6087</v>
      </c>
      <c r="S4111" s="140"/>
    </row>
    <row r="4112" spans="1:19">
      <c r="A4112" s="142" t="s">
        <v>6201</v>
      </c>
      <c r="B4112" s="149" t="str">
        <f>IFERROR(VLOOKUP(Proc[[#This Row],[App]],Table2[],3,0),"open")</f>
        <v>ok</v>
      </c>
      <c r="C4112" s="142" t="s">
        <v>369</v>
      </c>
      <c r="D4112" t="s">
        <v>5969</v>
      </c>
      <c r="E4112" t="s">
        <v>6199</v>
      </c>
      <c r="F4112" s="140" t="s">
        <v>6199</v>
      </c>
      <c r="G4112" s="142" t="s">
        <v>406</v>
      </c>
      <c r="H4112" s="140" t="str">
        <f>IF(Proc[[#This Row],[type]]="LFF (MDG-F)",MID(Proc[[#This Row],[Obj]],13,10),"")</f>
        <v>JP01GLE302</v>
      </c>
      <c r="J4112" s="140" t="b">
        <f>Proc[[#This Row],[Requested]]=Proc[[#This Row],[CurrentParent]]</f>
        <v>1</v>
      </c>
      <c r="K4112" s="144" t="str">
        <f>IF(Proc[[#This Row],[Author]]="Marcela Urrego",VLOOKUP(LEFT(Proc[[#This Row],[Requested]],1),Table3[#All],2,0),VLOOKUP(Proc[[#This Row],[Author]],Table4[],2,0))</f>
        <v>EL</v>
      </c>
      <c r="L4112" s="140" t="s">
        <v>4894</v>
      </c>
      <c r="M4112" s="136">
        <v>45902</v>
      </c>
      <c r="N4112" s="137"/>
      <c r="O4112" s="137"/>
      <c r="P4112" s="136" t="str">
        <f ca="1">IF(Proc[[#This Row],[DaysAgeing]]&gt;5,"yep","on track")</f>
        <v>yep</v>
      </c>
      <c r="Q4112" s="3">
        <f ca="1">IF(Proc[[#This Row],[DateClosed]]="",ABS(NETWORKDAYS(Proc[[#This Row],[DateOpened]],TODAY()))-1,ABS(NETWORKDAYS(Proc[[#This Row],[DateOpened]],Proc[[#This Row],[DateClosed]]))-1)</f>
        <v>73</v>
      </c>
      <c r="R4112" s="136" t="s">
        <v>6087</v>
      </c>
      <c r="S4112" s="140"/>
    </row>
    <row r="4113" spans="1:19">
      <c r="A4113" s="142" t="s">
        <v>6201</v>
      </c>
      <c r="B4113" s="149" t="str">
        <f>IFERROR(VLOOKUP(Proc[[#This Row],[App]],Table2[],3,0),"open")</f>
        <v>ok</v>
      </c>
      <c r="C4113" s="149" t="s">
        <v>369</v>
      </c>
      <c r="D4113" t="s">
        <v>5970</v>
      </c>
      <c r="E4113" t="s">
        <v>2505</v>
      </c>
      <c r="F4113" s="150" t="s">
        <v>2505</v>
      </c>
      <c r="G4113" s="142" t="s">
        <v>406</v>
      </c>
      <c r="H4113" s="140" t="str">
        <f>IF(Proc[[#This Row],[type]]="LFF (MDG-F)",MID(Proc[[#This Row],[Obj]],13,10),"")</f>
        <v>JP01GM1002</v>
      </c>
      <c r="J4113" s="140" t="b">
        <f>Proc[[#This Row],[Requested]]=Proc[[#This Row],[CurrentParent]]</f>
        <v>1</v>
      </c>
      <c r="K4113" s="144" t="str">
        <f>IF(Proc[[#This Row],[Author]]="Marcela Urrego",VLOOKUP(LEFT(Proc[[#This Row],[Requested]],1),Table3[#All],2,0),VLOOKUP(Proc[[#This Row],[Author]],Table4[],2,0))</f>
        <v>EL</v>
      </c>
      <c r="L4113" s="140" t="s">
        <v>4894</v>
      </c>
      <c r="M4113" s="136">
        <v>45902</v>
      </c>
      <c r="N4113" s="137"/>
      <c r="O4113" s="137"/>
      <c r="P4113" s="136" t="str">
        <f ca="1">IF(Proc[[#This Row],[DaysAgeing]]&gt;5,"yep","on track")</f>
        <v>yep</v>
      </c>
      <c r="Q4113" s="3">
        <f ca="1">IF(Proc[[#This Row],[DateClosed]]="",ABS(NETWORKDAYS(Proc[[#This Row],[DateOpened]],TODAY()))-1,ABS(NETWORKDAYS(Proc[[#This Row],[DateOpened]],Proc[[#This Row],[DateClosed]]))-1)</f>
        <v>73</v>
      </c>
      <c r="R4113" s="136" t="s">
        <v>6087</v>
      </c>
      <c r="S4113" s="140"/>
    </row>
    <row r="4114" spans="1:19">
      <c r="A4114" s="142" t="s">
        <v>6201</v>
      </c>
      <c r="B4114" s="149" t="str">
        <f>IFERROR(VLOOKUP(Proc[[#This Row],[App]],Table2[],3,0),"open")</f>
        <v>ok</v>
      </c>
      <c r="C4114" s="142" t="s">
        <v>369</v>
      </c>
      <c r="D4114" t="s">
        <v>5973</v>
      </c>
      <c r="E4114" t="s">
        <v>413</v>
      </c>
      <c r="F4114" s="140" t="s">
        <v>413</v>
      </c>
      <c r="G4114" s="142" t="s">
        <v>406</v>
      </c>
      <c r="H4114" s="140" t="str">
        <f>IF(Proc[[#This Row],[type]]="LFF (MDG-F)",MID(Proc[[#This Row],[Obj]],13,10),"")</f>
        <v>JP01GM8001</v>
      </c>
      <c r="J4114" s="140" t="b">
        <f>Proc[[#This Row],[Requested]]=Proc[[#This Row],[CurrentParent]]</f>
        <v>1</v>
      </c>
      <c r="K4114" s="144" t="str">
        <f>IF(Proc[[#This Row],[Author]]="Marcela Urrego",VLOOKUP(LEFT(Proc[[#This Row],[Requested]],1),Table3[#All],2,0),VLOOKUP(Proc[[#This Row],[Author]],Table4[],2,0))</f>
        <v>EL</v>
      </c>
      <c r="L4114" s="140" t="s">
        <v>4894</v>
      </c>
      <c r="M4114" s="136">
        <v>45902</v>
      </c>
      <c r="N4114" s="137"/>
      <c r="O4114" s="137"/>
      <c r="P4114" s="136" t="str">
        <f ca="1">IF(Proc[[#This Row],[DaysAgeing]]&gt;5,"yep","on track")</f>
        <v>yep</v>
      </c>
      <c r="Q4114" s="3">
        <f ca="1">IF(Proc[[#This Row],[DateClosed]]="",ABS(NETWORKDAYS(Proc[[#This Row],[DateOpened]],TODAY()))-1,ABS(NETWORKDAYS(Proc[[#This Row],[DateOpened]],Proc[[#This Row],[DateClosed]]))-1)</f>
        <v>73</v>
      </c>
      <c r="R4114" s="136" t="s">
        <v>6087</v>
      </c>
      <c r="S4114" s="140"/>
    </row>
    <row r="4115" spans="1:19">
      <c r="A4115" s="142" t="s">
        <v>6201</v>
      </c>
      <c r="B4115" s="149" t="str">
        <f>IFERROR(VLOOKUP(Proc[[#This Row],[App]],Table2[],3,0),"open")</f>
        <v>ok</v>
      </c>
      <c r="C4115" s="142" t="s">
        <v>369</v>
      </c>
      <c r="D4115" t="s">
        <v>5975</v>
      </c>
      <c r="E4115" t="s">
        <v>1221</v>
      </c>
      <c r="F4115" s="140" t="s">
        <v>1221</v>
      </c>
      <c r="G4115" s="142" t="s">
        <v>406</v>
      </c>
      <c r="H4115" s="140" t="str">
        <f>IF(Proc[[#This Row],[type]]="LFF (MDG-F)",MID(Proc[[#This Row],[Obj]],13,10),"")</f>
        <v>JP01GMB040</v>
      </c>
      <c r="J4115" s="140" t="b">
        <f>Proc[[#This Row],[Requested]]=Proc[[#This Row],[CurrentParent]]</f>
        <v>1</v>
      </c>
      <c r="K4115" s="144" t="str">
        <f>IF(Proc[[#This Row],[Author]]="Marcela Urrego",VLOOKUP(LEFT(Proc[[#This Row],[Requested]],1),Table3[#All],2,0),VLOOKUP(Proc[[#This Row],[Author]],Table4[],2,0))</f>
        <v>EL</v>
      </c>
      <c r="L4115" s="140" t="s">
        <v>4894</v>
      </c>
      <c r="M4115" s="136">
        <v>45902</v>
      </c>
      <c r="N4115" s="137"/>
      <c r="O4115" s="137"/>
      <c r="P4115" s="136" t="str">
        <f ca="1">IF(Proc[[#This Row],[DaysAgeing]]&gt;5,"yep","on track")</f>
        <v>yep</v>
      </c>
      <c r="Q4115" s="3">
        <f ca="1">IF(Proc[[#This Row],[DateClosed]]="",ABS(NETWORKDAYS(Proc[[#This Row],[DateOpened]],TODAY()))-1,ABS(NETWORKDAYS(Proc[[#This Row],[DateOpened]],Proc[[#This Row],[DateClosed]]))-1)</f>
        <v>73</v>
      </c>
      <c r="R4115" s="136" t="s">
        <v>6087</v>
      </c>
      <c r="S4115" s="140"/>
    </row>
    <row r="4116" spans="1:19">
      <c r="A4116" s="142" t="s">
        <v>6201</v>
      </c>
      <c r="B4116" s="149" t="str">
        <f>IFERROR(VLOOKUP(Proc[[#This Row],[App]],Table2[],3,0),"open")</f>
        <v>ok</v>
      </c>
      <c r="C4116" s="142" t="s">
        <v>369</v>
      </c>
      <c r="D4116" t="s">
        <v>5992</v>
      </c>
      <c r="E4116" t="s">
        <v>6171</v>
      </c>
      <c r="F4116" s="140" t="s">
        <v>6171</v>
      </c>
      <c r="G4116" s="142" t="s">
        <v>406</v>
      </c>
      <c r="H4116" s="140" t="str">
        <f>IF(Proc[[#This Row],[type]]="LFF (MDG-F)",MID(Proc[[#This Row],[Obj]],13,10),"")</f>
        <v>JP01L7M302</v>
      </c>
      <c r="J4116" s="140" t="b">
        <f>Proc[[#This Row],[Requested]]=Proc[[#This Row],[CurrentParent]]</f>
        <v>1</v>
      </c>
      <c r="K4116" s="144" t="str">
        <f>IF(Proc[[#This Row],[Author]]="Marcela Urrego",VLOOKUP(LEFT(Proc[[#This Row],[Requested]],1),Table3[#All],2,0),VLOOKUP(Proc[[#This Row],[Author]],Table4[],2,0))</f>
        <v>EL</v>
      </c>
      <c r="L4116" s="140" t="s">
        <v>4894</v>
      </c>
      <c r="M4116" s="136">
        <v>45902</v>
      </c>
      <c r="N4116" s="137"/>
      <c r="O4116" s="137"/>
      <c r="P4116" s="136" t="str">
        <f ca="1">IF(Proc[[#This Row],[DaysAgeing]]&gt;5,"yep","on track")</f>
        <v>yep</v>
      </c>
      <c r="Q4116" s="3">
        <f ca="1">IF(Proc[[#This Row],[DateClosed]]="",ABS(NETWORKDAYS(Proc[[#This Row],[DateOpened]],TODAY()))-1,ABS(NETWORKDAYS(Proc[[#This Row],[DateOpened]],Proc[[#This Row],[DateClosed]]))-1)</f>
        <v>73</v>
      </c>
      <c r="R4116" s="136" t="s">
        <v>6087</v>
      </c>
      <c r="S4116" s="140"/>
    </row>
    <row r="4117" spans="1:19">
      <c r="A4117" s="142" t="s">
        <v>6201</v>
      </c>
      <c r="B4117" s="149" t="str">
        <f>IFERROR(VLOOKUP(Proc[[#This Row],[App]],Table2[],3,0),"open")</f>
        <v>ok</v>
      </c>
      <c r="C4117" s="142" t="s">
        <v>369</v>
      </c>
      <c r="D4117" t="s">
        <v>5999</v>
      </c>
      <c r="E4117" t="s">
        <v>6200</v>
      </c>
      <c r="F4117" s="140" t="s">
        <v>6200</v>
      </c>
      <c r="G4117" s="142" t="s">
        <v>406</v>
      </c>
      <c r="H4117" s="140" t="str">
        <f>IF(Proc[[#This Row],[type]]="LFF (MDG-F)",MID(Proc[[#This Row],[Obj]],13,10),"")</f>
        <v>JP01OF0203</v>
      </c>
      <c r="J4117" s="140" t="b">
        <f>Proc[[#This Row],[Requested]]=Proc[[#This Row],[CurrentParent]]</f>
        <v>1</v>
      </c>
      <c r="K4117" s="144" t="str">
        <f>IF(Proc[[#This Row],[Author]]="Marcela Urrego",VLOOKUP(LEFT(Proc[[#This Row],[Requested]],1),Table3[#All],2,0),VLOOKUP(Proc[[#This Row],[Author]],Table4[],2,0))</f>
        <v>EL</v>
      </c>
      <c r="L4117" s="140" t="s">
        <v>4894</v>
      </c>
      <c r="M4117" s="136">
        <v>45902</v>
      </c>
      <c r="N4117" s="137"/>
      <c r="O4117" s="137"/>
      <c r="P4117" s="136" t="str">
        <f ca="1">IF(Proc[[#This Row],[DaysAgeing]]&gt;5,"yep","on track")</f>
        <v>yep</v>
      </c>
      <c r="Q4117" s="3">
        <f ca="1">IF(Proc[[#This Row],[DateClosed]]="",ABS(NETWORKDAYS(Proc[[#This Row],[DateOpened]],TODAY()))-1,ABS(NETWORKDAYS(Proc[[#This Row],[DateOpened]],Proc[[#This Row],[DateClosed]]))-1)</f>
        <v>73</v>
      </c>
      <c r="R4117" s="136" t="s">
        <v>6087</v>
      </c>
      <c r="S4117" s="140"/>
    </row>
    <row r="4118" spans="1:19">
      <c r="A4118" s="142" t="s">
        <v>6201</v>
      </c>
      <c r="B4118" s="149" t="str">
        <f>IFERROR(VLOOKUP(Proc[[#This Row],[App]],Table2[],3,0),"open")</f>
        <v>ok</v>
      </c>
      <c r="C4118" s="142" t="s">
        <v>369</v>
      </c>
      <c r="D4118" t="s">
        <v>6203</v>
      </c>
      <c r="E4118" t="s">
        <v>2041</v>
      </c>
      <c r="F4118" s="140" t="s">
        <v>2041</v>
      </c>
      <c r="G4118" s="142" t="s">
        <v>406</v>
      </c>
      <c r="H4118" s="140" t="str">
        <f>IF(Proc[[#This Row],[type]]="LFF (MDG-F)",MID(Proc[[#This Row],[Obj]],13,10),"")</f>
        <v>JP01R0S743</v>
      </c>
      <c r="J4118" s="140" t="b">
        <f>Proc[[#This Row],[Requested]]=Proc[[#This Row],[CurrentParent]]</f>
        <v>1</v>
      </c>
      <c r="K4118" s="144" t="str">
        <f>IF(Proc[[#This Row],[Author]]="Marcela Urrego",VLOOKUP(LEFT(Proc[[#This Row],[Requested]],1),Table3[#All],2,0),VLOOKUP(Proc[[#This Row],[Author]],Table4[],2,0))</f>
        <v>EL</v>
      </c>
      <c r="L4118" s="140" t="s">
        <v>4894</v>
      </c>
      <c r="M4118" s="136">
        <v>45902</v>
      </c>
      <c r="N4118" s="137"/>
      <c r="O4118" s="137"/>
      <c r="P4118" s="136" t="str">
        <f ca="1">IF(Proc[[#This Row],[DaysAgeing]]&gt;5,"yep","on track")</f>
        <v>yep</v>
      </c>
      <c r="Q4118" s="3">
        <f ca="1">IF(Proc[[#This Row],[DateClosed]]="",ABS(NETWORKDAYS(Proc[[#This Row],[DateOpened]],TODAY()))-1,ABS(NETWORKDAYS(Proc[[#This Row],[DateOpened]],Proc[[#This Row],[DateClosed]]))-1)</f>
        <v>73</v>
      </c>
      <c r="R4118" s="136" t="s">
        <v>6087</v>
      </c>
      <c r="S4118" s="140"/>
    </row>
    <row r="4119" spans="1:19">
      <c r="A4119" t="s">
        <v>6202</v>
      </c>
      <c r="B4119" s="149" t="str">
        <f>IFERROR(VLOOKUP(Proc[[#This Row],[App]],Table2[],3,0),"open")</f>
        <v>ok</v>
      </c>
      <c r="C4119" s="144" t="s">
        <v>369</v>
      </c>
      <c r="D4119" t="s">
        <v>6276</v>
      </c>
      <c r="E4119" t="s">
        <v>3522</v>
      </c>
      <c r="F4119" s="149" t="s">
        <v>3522</v>
      </c>
      <c r="G4119" t="s">
        <v>400</v>
      </c>
      <c r="H4119" s="140" t="str">
        <f>IF(Proc[[#This Row],[type]]="LFF (MDG-F)",MID(Proc[[#This Row],[Obj]],13,10),"")</f>
        <v/>
      </c>
      <c r="J4119" s="140" t="b">
        <f>Proc[[#This Row],[Requested]]=Proc[[#This Row],[CurrentParent]]</f>
        <v>1</v>
      </c>
      <c r="K4119" s="144" t="str">
        <f>IF(Proc[[#This Row],[Author]]="Marcela Urrego",VLOOKUP(LEFT(Proc[[#This Row],[Requested]],1),Table3[#All],2,0),VLOOKUP(Proc[[#This Row],[Author]],Table4[],2,0))</f>
        <v>LS</v>
      </c>
      <c r="L4119" s="140" t="s">
        <v>4894</v>
      </c>
      <c r="M4119" s="136">
        <v>45902</v>
      </c>
      <c r="N4119" s="137"/>
      <c r="O4119" s="137"/>
      <c r="P4119" s="136" t="str">
        <f ca="1">IF(Proc[[#This Row],[DaysAgeing]]&gt;5,"yep","on track")</f>
        <v>yep</v>
      </c>
      <c r="Q4119" s="3">
        <f ca="1">IF(Proc[[#This Row],[DateClosed]]="",ABS(NETWORKDAYS(Proc[[#This Row],[DateOpened]],TODAY()))-1,ABS(NETWORKDAYS(Proc[[#This Row],[DateOpened]],Proc[[#This Row],[DateClosed]]))-1)</f>
        <v>73</v>
      </c>
      <c r="R4119" s="136" t="s">
        <v>1262</v>
      </c>
      <c r="S4119" s="140"/>
    </row>
    <row r="4120" spans="1:19">
      <c r="A4120" t="s">
        <v>6216</v>
      </c>
      <c r="B4120" s="149" t="str">
        <f>IFERROR(VLOOKUP(Proc[[#This Row],[App]],Table2[],3,0),"open")</f>
        <v>ok</v>
      </c>
      <c r="C4120" s="142" t="s">
        <v>369</v>
      </c>
      <c r="D4120" t="s">
        <v>6205</v>
      </c>
      <c r="E4120" t="s">
        <v>6204</v>
      </c>
      <c r="F4120" s="140" t="s">
        <v>6204</v>
      </c>
      <c r="G4120" t="s">
        <v>406</v>
      </c>
      <c r="H4120" s="140" t="str">
        <f>IF(Proc[[#This Row],[type]]="LFF (MDG-F)",MID(Proc[[#This Row],[Obj]],13,10),"")</f>
        <v>CNS1OF0144</v>
      </c>
      <c r="J4120" s="140" t="b">
        <f>Proc[[#This Row],[Requested]]=Proc[[#This Row],[CurrentParent]]</f>
        <v>1</v>
      </c>
      <c r="K4120" s="144" t="str">
        <f>IF(Proc[[#This Row],[Author]]="Marcela Urrego",VLOOKUP(LEFT(Proc[[#This Row],[Requested]],1),Table3[#All],2,0),VLOOKUP(Proc[[#This Row],[Author]],Table4[],2,0))</f>
        <v>EL</v>
      </c>
      <c r="L4120" s="140" t="s">
        <v>4894</v>
      </c>
      <c r="M4120" s="136">
        <v>45906</v>
      </c>
      <c r="N4120" s="137"/>
      <c r="O4120" s="137"/>
      <c r="P4120" s="136" t="str">
        <f ca="1">IF(Proc[[#This Row],[DaysAgeing]]&gt;5,"yep","on track")</f>
        <v>yep</v>
      </c>
      <c r="Q4120" s="3">
        <f ca="1">IF(Proc[[#This Row],[DateClosed]]="",ABS(NETWORKDAYS(Proc[[#This Row],[DateOpened]],TODAY()))-1,ABS(NETWORKDAYS(Proc[[#This Row],[DateOpened]],Proc[[#This Row],[DateClosed]]))-1)</f>
        <v>69</v>
      </c>
      <c r="R4120" s="136" t="s">
        <v>6087</v>
      </c>
      <c r="S4120" s="140"/>
    </row>
    <row r="4121" spans="1:19">
      <c r="A4121" s="142" t="s">
        <v>6216</v>
      </c>
      <c r="B4121" s="149" t="str">
        <f>IFERROR(VLOOKUP(Proc[[#This Row],[App]],Table2[],3,0),"open")</f>
        <v>ok</v>
      </c>
      <c r="C4121" s="149" t="s">
        <v>369</v>
      </c>
      <c r="D4121" t="s">
        <v>6206</v>
      </c>
      <c r="E4121" t="s">
        <v>6069</v>
      </c>
      <c r="F4121" s="150" t="s">
        <v>6069</v>
      </c>
      <c r="G4121" s="142" t="s">
        <v>406</v>
      </c>
      <c r="H4121" s="140" t="str">
        <f>IF(Proc[[#This Row],[type]]="LFF (MDG-F)",MID(Proc[[#This Row],[Obj]],13,10),"")</f>
        <v>DES1OFCX20</v>
      </c>
      <c r="J4121" s="140" t="b">
        <f>Proc[[#This Row],[Requested]]=Proc[[#This Row],[CurrentParent]]</f>
        <v>1</v>
      </c>
      <c r="K4121" s="144" t="str">
        <f>IF(Proc[[#This Row],[Author]]="Marcela Urrego",VLOOKUP(LEFT(Proc[[#This Row],[Requested]],1),Table3[#All],2,0),VLOOKUP(Proc[[#This Row],[Author]],Table4[],2,0))</f>
        <v>EL</v>
      </c>
      <c r="L4121" s="140" t="s">
        <v>4894</v>
      </c>
      <c r="M4121" s="136">
        <v>45906</v>
      </c>
      <c r="N4121" s="137"/>
      <c r="O4121" s="137"/>
      <c r="P4121" s="136" t="str">
        <f ca="1">IF(Proc[[#This Row],[DaysAgeing]]&gt;5,"yep","on track")</f>
        <v>yep</v>
      </c>
      <c r="Q4121" s="3">
        <f ca="1">IF(Proc[[#This Row],[DateClosed]]="",ABS(NETWORKDAYS(Proc[[#This Row],[DateOpened]],TODAY()))-1,ABS(NETWORKDAYS(Proc[[#This Row],[DateOpened]],Proc[[#This Row],[DateClosed]]))-1)</f>
        <v>69</v>
      </c>
      <c r="R4121" s="136" t="s">
        <v>6087</v>
      </c>
      <c r="S4121" s="140"/>
    </row>
    <row r="4122" spans="1:19">
      <c r="A4122" s="142" t="s">
        <v>6216</v>
      </c>
      <c r="B4122" s="149" t="str">
        <f>IFERROR(VLOOKUP(Proc[[#This Row],[App]],Table2[],3,0),"open")</f>
        <v>ok</v>
      </c>
      <c r="C4122" s="149" t="s">
        <v>369</v>
      </c>
      <c r="D4122" t="s">
        <v>6207</v>
      </c>
      <c r="E4122" t="s">
        <v>6069</v>
      </c>
      <c r="F4122" s="150" t="s">
        <v>6069</v>
      </c>
      <c r="G4122" s="142" t="s">
        <v>406</v>
      </c>
      <c r="H4122" s="140" t="str">
        <f>IF(Proc[[#This Row],[type]]="LFF (MDG-F)",MID(Proc[[#This Row],[Obj]],13,10),"")</f>
        <v>DES1OFCX21</v>
      </c>
      <c r="J4122" s="140" t="b">
        <f>Proc[[#This Row],[Requested]]=Proc[[#This Row],[CurrentParent]]</f>
        <v>1</v>
      </c>
      <c r="K4122" s="144" t="str">
        <f>IF(Proc[[#This Row],[Author]]="Marcela Urrego",VLOOKUP(LEFT(Proc[[#This Row],[Requested]],1),Table3[#All],2,0),VLOOKUP(Proc[[#This Row],[Author]],Table4[],2,0))</f>
        <v>EL</v>
      </c>
      <c r="L4122" s="140" t="s">
        <v>4894</v>
      </c>
      <c r="M4122" s="136">
        <v>45906</v>
      </c>
      <c r="N4122" s="137"/>
      <c r="O4122" s="137"/>
      <c r="P4122" s="136" t="str">
        <f ca="1">IF(Proc[[#This Row],[DaysAgeing]]&gt;5,"yep","on track")</f>
        <v>yep</v>
      </c>
      <c r="Q4122" s="3">
        <f ca="1">IF(Proc[[#This Row],[DateClosed]]="",ABS(NETWORKDAYS(Proc[[#This Row],[DateOpened]],TODAY()))-1,ABS(NETWORKDAYS(Proc[[#This Row],[DateOpened]],Proc[[#This Row],[DateClosed]]))-1)</f>
        <v>69</v>
      </c>
      <c r="R4122" s="136" t="s">
        <v>6087</v>
      </c>
      <c r="S4122" s="140"/>
    </row>
    <row r="4123" spans="1:19">
      <c r="A4123" s="142" t="s">
        <v>6216</v>
      </c>
      <c r="B4123" s="149" t="str">
        <f>IFERROR(VLOOKUP(Proc[[#This Row],[App]],Table2[],3,0),"open")</f>
        <v>ok</v>
      </c>
      <c r="C4123" s="144" t="s">
        <v>369</v>
      </c>
      <c r="D4123" t="s">
        <v>6208</v>
      </c>
      <c r="E4123" t="s">
        <v>6059</v>
      </c>
      <c r="F4123" s="140" t="s">
        <v>6059</v>
      </c>
      <c r="G4123" s="142" t="s">
        <v>406</v>
      </c>
      <c r="H4123" s="140" t="str">
        <f>IF(Proc[[#This Row],[type]]="LFF (MDG-F)",MID(Proc[[#This Row],[Obj]],13,10),"")</f>
        <v>DES1Z01000</v>
      </c>
      <c r="J4123" s="140" t="b">
        <f>Proc[[#This Row],[Requested]]=Proc[[#This Row],[CurrentParent]]</f>
        <v>1</v>
      </c>
      <c r="K4123" s="144" t="str">
        <f>IF(Proc[[#This Row],[Author]]="Marcela Urrego",VLOOKUP(LEFT(Proc[[#This Row],[Requested]],1),Table3[#All],2,0),VLOOKUP(Proc[[#This Row],[Author]],Table4[],2,0))</f>
        <v>EL</v>
      </c>
      <c r="L4123" s="140" t="s">
        <v>4894</v>
      </c>
      <c r="M4123" s="136">
        <v>45906</v>
      </c>
      <c r="N4123" s="137"/>
      <c r="O4123" s="137"/>
      <c r="P4123" s="136" t="str">
        <f ca="1">IF(Proc[[#This Row],[DaysAgeing]]&gt;5,"yep","on track")</f>
        <v>yep</v>
      </c>
      <c r="Q4123" s="3">
        <f ca="1">IF(Proc[[#This Row],[DateClosed]]="",ABS(NETWORKDAYS(Proc[[#This Row],[DateOpened]],TODAY()))-1,ABS(NETWORKDAYS(Proc[[#This Row],[DateOpened]],Proc[[#This Row],[DateClosed]]))-1)</f>
        <v>69</v>
      </c>
      <c r="R4123" s="136" t="s">
        <v>6087</v>
      </c>
      <c r="S4123" s="140"/>
    </row>
    <row r="4124" spans="1:19">
      <c r="A4124" s="142" t="s">
        <v>6216</v>
      </c>
      <c r="B4124" s="149" t="str">
        <f>IFERROR(VLOOKUP(Proc[[#This Row],[App]],Table2[],3,0),"open")</f>
        <v>ok</v>
      </c>
      <c r="C4124" s="144" t="s">
        <v>369</v>
      </c>
      <c r="D4124" t="s">
        <v>6209</v>
      </c>
      <c r="E4124" t="s">
        <v>6059</v>
      </c>
      <c r="F4124" s="140" t="s">
        <v>6059</v>
      </c>
      <c r="G4124" s="142" t="s">
        <v>406</v>
      </c>
      <c r="H4124" s="140" t="str">
        <f>IF(Proc[[#This Row],[type]]="LFF (MDG-F)",MID(Proc[[#This Row],[Obj]],13,10),"")</f>
        <v>KRS1Z01000</v>
      </c>
      <c r="J4124" s="140" t="b">
        <f>Proc[[#This Row],[Requested]]=Proc[[#This Row],[CurrentParent]]</f>
        <v>1</v>
      </c>
      <c r="K4124" s="144" t="str">
        <f>IF(Proc[[#This Row],[Author]]="Marcela Urrego",VLOOKUP(LEFT(Proc[[#This Row],[Requested]],1),Table3[#All],2,0),VLOOKUP(Proc[[#This Row],[Author]],Table4[],2,0))</f>
        <v>EL</v>
      </c>
      <c r="L4124" s="140" t="s">
        <v>4894</v>
      </c>
      <c r="M4124" s="136">
        <v>45906</v>
      </c>
      <c r="N4124" s="137"/>
      <c r="O4124" s="137"/>
      <c r="P4124" s="136" t="str">
        <f ca="1">IF(Proc[[#This Row],[DaysAgeing]]&gt;5,"yep","on track")</f>
        <v>yep</v>
      </c>
      <c r="Q4124" s="3">
        <f ca="1">IF(Proc[[#This Row],[DateClosed]]="",ABS(NETWORKDAYS(Proc[[#This Row],[DateOpened]],TODAY()))-1,ABS(NETWORKDAYS(Proc[[#This Row],[DateOpened]],Proc[[#This Row],[DateClosed]]))-1)</f>
        <v>69</v>
      </c>
      <c r="R4124" s="136" t="s">
        <v>6087</v>
      </c>
      <c r="S4124" s="140"/>
    </row>
    <row r="4125" spans="1:19">
      <c r="A4125" s="142" t="s">
        <v>6216</v>
      </c>
      <c r="B4125" s="149" t="str">
        <f>IFERROR(VLOOKUP(Proc[[#This Row],[App]],Table2[],3,0),"open")</f>
        <v>ok</v>
      </c>
      <c r="C4125" s="142" t="s">
        <v>369</v>
      </c>
      <c r="D4125" t="s">
        <v>6210</v>
      </c>
      <c r="E4125" t="s">
        <v>6204</v>
      </c>
      <c r="F4125" s="140" t="s">
        <v>6204</v>
      </c>
      <c r="G4125" s="142" t="s">
        <v>406</v>
      </c>
      <c r="H4125" s="140" t="str">
        <f>IF(Proc[[#This Row],[type]]="LFF (MDG-F)",MID(Proc[[#This Row],[Obj]],13,10),"")</f>
        <v>MYS1OF0110</v>
      </c>
      <c r="J4125" s="140" t="b">
        <f>Proc[[#This Row],[Requested]]=Proc[[#This Row],[CurrentParent]]</f>
        <v>1</v>
      </c>
      <c r="K4125" s="144" t="str">
        <f>IF(Proc[[#This Row],[Author]]="Marcela Urrego",VLOOKUP(LEFT(Proc[[#This Row],[Requested]],1),Table3[#All],2,0),VLOOKUP(Proc[[#This Row],[Author]],Table4[],2,0))</f>
        <v>EL</v>
      </c>
      <c r="L4125" s="140" t="s">
        <v>4894</v>
      </c>
      <c r="M4125" s="136">
        <v>45906</v>
      </c>
      <c r="N4125" s="137"/>
      <c r="O4125" s="137"/>
      <c r="P4125" s="136" t="str">
        <f ca="1">IF(Proc[[#This Row],[DaysAgeing]]&gt;5,"yep","on track")</f>
        <v>yep</v>
      </c>
      <c r="Q4125" s="3">
        <f ca="1">IF(Proc[[#This Row],[DateClosed]]="",ABS(NETWORKDAYS(Proc[[#This Row],[DateOpened]],TODAY()))-1,ABS(NETWORKDAYS(Proc[[#This Row],[DateOpened]],Proc[[#This Row],[DateClosed]]))-1)</f>
        <v>69</v>
      </c>
      <c r="R4125" s="136" t="s">
        <v>6087</v>
      </c>
      <c r="S4125" s="140"/>
    </row>
    <row r="4126" spans="1:19">
      <c r="A4126" s="142" t="s">
        <v>6216</v>
      </c>
      <c r="B4126" s="149" t="str">
        <f>IFERROR(VLOOKUP(Proc[[#This Row],[App]],Table2[],3,0),"open")</f>
        <v>ok</v>
      </c>
      <c r="C4126" s="144" t="s">
        <v>369</v>
      </c>
      <c r="D4126" t="s">
        <v>6211</v>
      </c>
      <c r="E4126" t="s">
        <v>6059</v>
      </c>
      <c r="F4126" s="140" t="s">
        <v>6059</v>
      </c>
      <c r="G4126" s="142" t="s">
        <v>406</v>
      </c>
      <c r="H4126" s="140" t="str">
        <f>IF(Proc[[#This Row],[type]]="LFF (MDG-F)",MID(Proc[[#This Row],[Obj]],13,10),"")</f>
        <v>MYS1Z01000</v>
      </c>
      <c r="J4126" s="140" t="b">
        <f>Proc[[#This Row],[Requested]]=Proc[[#This Row],[CurrentParent]]</f>
        <v>1</v>
      </c>
      <c r="K4126" s="144" t="str">
        <f>IF(Proc[[#This Row],[Author]]="Marcela Urrego",VLOOKUP(LEFT(Proc[[#This Row],[Requested]],1),Table3[#All],2,0),VLOOKUP(Proc[[#This Row],[Author]],Table4[],2,0))</f>
        <v>EL</v>
      </c>
      <c r="L4126" s="140" t="s">
        <v>4894</v>
      </c>
      <c r="M4126" s="136">
        <v>45906</v>
      </c>
      <c r="N4126" s="137"/>
      <c r="O4126" s="137"/>
      <c r="P4126" s="136" t="str">
        <f ca="1">IF(Proc[[#This Row],[DaysAgeing]]&gt;5,"yep","on track")</f>
        <v>yep</v>
      </c>
      <c r="Q4126" s="3">
        <f ca="1">IF(Proc[[#This Row],[DateClosed]]="",ABS(NETWORKDAYS(Proc[[#This Row],[DateOpened]],TODAY()))-1,ABS(NETWORKDAYS(Proc[[#This Row],[DateOpened]],Proc[[#This Row],[DateClosed]]))-1)</f>
        <v>69</v>
      </c>
      <c r="R4126" s="136" t="s">
        <v>6087</v>
      </c>
      <c r="S4126" s="140"/>
    </row>
    <row r="4127" spans="1:19">
      <c r="A4127" s="142" t="s">
        <v>6216</v>
      </c>
      <c r="B4127" s="149" t="str">
        <f>IFERROR(VLOOKUP(Proc[[#This Row],[App]],Table2[],3,0),"open")</f>
        <v>ok</v>
      </c>
      <c r="C4127" s="142" t="s">
        <v>369</v>
      </c>
      <c r="D4127" t="s">
        <v>6212</v>
      </c>
      <c r="E4127" t="s">
        <v>6204</v>
      </c>
      <c r="F4127" s="140" t="s">
        <v>6204</v>
      </c>
      <c r="G4127" s="142" t="s">
        <v>406</v>
      </c>
      <c r="H4127" s="140" t="str">
        <f>IF(Proc[[#This Row],[type]]="LFF (MDG-F)",MID(Proc[[#This Row],[Obj]],13,10),"")</f>
        <v>THS1OF0110</v>
      </c>
      <c r="J4127" s="140" t="b">
        <f>Proc[[#This Row],[Requested]]=Proc[[#This Row],[CurrentParent]]</f>
        <v>1</v>
      </c>
      <c r="K4127" s="144" t="str">
        <f>IF(Proc[[#This Row],[Author]]="Marcela Urrego",VLOOKUP(LEFT(Proc[[#This Row],[Requested]],1),Table3[#All],2,0),VLOOKUP(Proc[[#This Row],[Author]],Table4[],2,0))</f>
        <v>EL</v>
      </c>
      <c r="L4127" s="140" t="s">
        <v>4894</v>
      </c>
      <c r="M4127" s="136">
        <v>45906</v>
      </c>
      <c r="N4127" s="137"/>
      <c r="O4127" s="137"/>
      <c r="P4127" s="136" t="str">
        <f ca="1">IF(Proc[[#This Row],[DaysAgeing]]&gt;5,"yep","on track")</f>
        <v>yep</v>
      </c>
      <c r="Q4127" s="3">
        <f ca="1">IF(Proc[[#This Row],[DateClosed]]="",ABS(NETWORKDAYS(Proc[[#This Row],[DateOpened]],TODAY()))-1,ABS(NETWORKDAYS(Proc[[#This Row],[DateOpened]],Proc[[#This Row],[DateClosed]]))-1)</f>
        <v>69</v>
      </c>
      <c r="R4127" s="136" t="s">
        <v>6087</v>
      </c>
      <c r="S4127" s="140"/>
    </row>
    <row r="4128" spans="1:19">
      <c r="A4128" s="142" t="s">
        <v>6216</v>
      </c>
      <c r="B4128" s="149" t="str">
        <f>IFERROR(VLOOKUP(Proc[[#This Row],[App]],Table2[],3,0),"open")</f>
        <v>ok</v>
      </c>
      <c r="C4128" s="144" t="s">
        <v>369</v>
      </c>
      <c r="D4128" t="s">
        <v>6213</v>
      </c>
      <c r="E4128" t="s">
        <v>6059</v>
      </c>
      <c r="F4128" s="140" t="s">
        <v>6059</v>
      </c>
      <c r="G4128" s="142" t="s">
        <v>406</v>
      </c>
      <c r="H4128" s="140" t="str">
        <f>IF(Proc[[#This Row],[type]]="LFF (MDG-F)",MID(Proc[[#This Row],[Obj]],13,10),"")</f>
        <v>USS1Z01000</v>
      </c>
      <c r="J4128" s="140" t="b">
        <f>Proc[[#This Row],[Requested]]=Proc[[#This Row],[CurrentParent]]</f>
        <v>1</v>
      </c>
      <c r="K4128" s="144" t="str">
        <f>IF(Proc[[#This Row],[Author]]="Marcela Urrego",VLOOKUP(LEFT(Proc[[#This Row],[Requested]],1),Table3[#All],2,0),VLOOKUP(Proc[[#This Row],[Author]],Table4[],2,0))</f>
        <v>EL</v>
      </c>
      <c r="L4128" s="140" t="s">
        <v>4894</v>
      </c>
      <c r="M4128" s="136">
        <v>45906</v>
      </c>
      <c r="N4128" s="137"/>
      <c r="O4128" s="137"/>
      <c r="P4128" s="136" t="str">
        <f ca="1">IF(Proc[[#This Row],[DaysAgeing]]&gt;5,"yep","on track")</f>
        <v>yep</v>
      </c>
      <c r="Q4128" s="3">
        <f ca="1">IF(Proc[[#This Row],[DateClosed]]="",ABS(NETWORKDAYS(Proc[[#This Row],[DateOpened]],TODAY()))-1,ABS(NETWORKDAYS(Proc[[#This Row],[DateOpened]],Proc[[#This Row],[DateClosed]]))-1)</f>
        <v>69</v>
      </c>
      <c r="R4128" s="136" t="s">
        <v>6087</v>
      </c>
      <c r="S4128" s="140"/>
    </row>
    <row r="4129" spans="1:19">
      <c r="A4129" s="142" t="s">
        <v>6216</v>
      </c>
      <c r="B4129" s="149" t="str">
        <f>IFERROR(VLOOKUP(Proc[[#This Row],[App]],Table2[],3,0),"open")</f>
        <v>ok</v>
      </c>
      <c r="C4129" s="144" t="s">
        <v>369</v>
      </c>
      <c r="D4129" t="s">
        <v>6214</v>
      </c>
      <c r="E4129" t="s">
        <v>6059</v>
      </c>
      <c r="F4129" s="140" t="s">
        <v>6059</v>
      </c>
      <c r="G4129" s="142" t="s">
        <v>406</v>
      </c>
      <c r="H4129" s="140" t="str">
        <f>IF(Proc[[#This Row],[type]]="LFF (MDG-F)",MID(Proc[[#This Row],[Obj]],13,10),"")</f>
        <v>CNS1Z01000</v>
      </c>
      <c r="J4129" s="140" t="b">
        <f>Proc[[#This Row],[Requested]]=Proc[[#This Row],[CurrentParent]]</f>
        <v>1</v>
      </c>
      <c r="K4129" s="144" t="str">
        <f>IF(Proc[[#This Row],[Author]]="Marcela Urrego",VLOOKUP(LEFT(Proc[[#This Row],[Requested]],1),Table3[#All],2,0),VLOOKUP(Proc[[#This Row],[Author]],Table4[],2,0))</f>
        <v>EL</v>
      </c>
      <c r="L4129" s="140" t="s">
        <v>4894</v>
      </c>
      <c r="M4129" s="136">
        <v>45906</v>
      </c>
      <c r="N4129" s="137"/>
      <c r="O4129" s="137"/>
      <c r="P4129" s="136" t="str">
        <f ca="1">IF(Proc[[#This Row],[DaysAgeing]]&gt;5,"yep","on track")</f>
        <v>yep</v>
      </c>
      <c r="Q4129" s="3">
        <f ca="1">IF(Proc[[#This Row],[DateClosed]]="",ABS(NETWORKDAYS(Proc[[#This Row],[DateOpened]],TODAY()))-1,ABS(NETWORKDAYS(Proc[[#This Row],[DateOpened]],Proc[[#This Row],[DateClosed]]))-1)</f>
        <v>69</v>
      </c>
      <c r="R4129" s="136" t="s">
        <v>6087</v>
      </c>
      <c r="S4129" s="140"/>
    </row>
    <row r="4130" spans="1:19">
      <c r="A4130" s="142" t="s">
        <v>6216</v>
      </c>
      <c r="B4130" s="149" t="str">
        <f>IFERROR(VLOOKUP(Proc[[#This Row],[App]],Table2[],3,0),"open")</f>
        <v>ok</v>
      </c>
      <c r="C4130" s="144" t="s">
        <v>369</v>
      </c>
      <c r="D4130" t="s">
        <v>6215</v>
      </c>
      <c r="E4130" t="s">
        <v>6059</v>
      </c>
      <c r="F4130" s="140" t="s">
        <v>6059</v>
      </c>
      <c r="G4130" s="142" t="s">
        <v>406</v>
      </c>
      <c r="H4130" s="140" t="str">
        <f>IF(Proc[[#This Row],[type]]="LFF (MDG-F)",MID(Proc[[#This Row],[Obj]],13,10),"")</f>
        <v>THS1Z01000</v>
      </c>
      <c r="J4130" s="140" t="b">
        <f>Proc[[#This Row],[Requested]]=Proc[[#This Row],[CurrentParent]]</f>
        <v>1</v>
      </c>
      <c r="K4130" s="144" t="str">
        <f>IF(Proc[[#This Row],[Author]]="Marcela Urrego",VLOOKUP(LEFT(Proc[[#This Row],[Requested]],1),Table3[#All],2,0),VLOOKUP(Proc[[#This Row],[Author]],Table4[],2,0))</f>
        <v>EL</v>
      </c>
      <c r="L4130" s="140" t="s">
        <v>4894</v>
      </c>
      <c r="M4130" s="136">
        <v>45906</v>
      </c>
      <c r="N4130" s="137"/>
      <c r="O4130" s="137"/>
      <c r="P4130" s="136" t="str">
        <f ca="1">IF(Proc[[#This Row],[DaysAgeing]]&gt;5,"yep","on track")</f>
        <v>yep</v>
      </c>
      <c r="Q4130" s="3">
        <f ca="1">IF(Proc[[#This Row],[DateClosed]]="",ABS(NETWORKDAYS(Proc[[#This Row],[DateOpened]],TODAY()))-1,ABS(NETWORKDAYS(Proc[[#This Row],[DateOpened]],Proc[[#This Row],[DateClosed]]))-1)</f>
        <v>69</v>
      </c>
      <c r="R4130" s="136" t="s">
        <v>6087</v>
      </c>
      <c r="S4130" s="140"/>
    </row>
    <row r="4131" spans="1:19">
      <c r="A4131" t="s">
        <v>6217</v>
      </c>
      <c r="B4131" s="149" t="str">
        <f>IFERROR(VLOOKUP(Proc[[#This Row],[App]],Table2[],3,0),"open")</f>
        <v>ok</v>
      </c>
      <c r="C4131" s="144" t="s">
        <v>369</v>
      </c>
      <c r="D4131" s="143" t="s">
        <v>6218</v>
      </c>
      <c r="E4131" s="144" t="s">
        <v>3249</v>
      </c>
      <c r="F4131" s="140" t="s">
        <v>3249</v>
      </c>
      <c r="G4131" t="s">
        <v>400</v>
      </c>
      <c r="H4131" s="140" t="str">
        <f>IF(Proc[[#This Row],[type]]="LFF (MDG-F)",MID(Proc[[#This Row],[Obj]],13,10),"")</f>
        <v/>
      </c>
      <c r="J4131" s="140" t="b">
        <f>Proc[[#This Row],[Requested]]=Proc[[#This Row],[CurrentParent]]</f>
        <v>1</v>
      </c>
      <c r="K4131" s="144" t="str">
        <f>IF(Proc[[#This Row],[Author]]="Marcela Urrego",VLOOKUP(LEFT(Proc[[#This Row],[Requested]],1),Table3[#All],2,0),VLOOKUP(Proc[[#This Row],[Author]],Table4[],2,0))</f>
        <v>MGF</v>
      </c>
      <c r="L4131" s="140" t="s">
        <v>4894</v>
      </c>
      <c r="M4131" s="136">
        <v>45908</v>
      </c>
      <c r="N4131" s="137"/>
      <c r="O4131" s="137"/>
      <c r="P4131" s="136" t="str">
        <f ca="1">IF(Proc[[#This Row],[DaysAgeing]]&gt;5,"yep","on track")</f>
        <v>yep</v>
      </c>
      <c r="Q4131" s="3">
        <f ca="1">IF(Proc[[#This Row],[DateClosed]]="",ABS(NETWORKDAYS(Proc[[#This Row],[DateOpened]],TODAY()))-1,ABS(NETWORKDAYS(Proc[[#This Row],[DateOpened]],Proc[[#This Row],[DateClosed]]))-1)</f>
        <v>69</v>
      </c>
      <c r="R4131" s="136" t="s">
        <v>515</v>
      </c>
      <c r="S4131" s="140"/>
    </row>
    <row r="4132" spans="1:19">
      <c r="A4132" t="s">
        <v>6236</v>
      </c>
      <c r="B4132" s="149" t="str">
        <f>IFERROR(VLOOKUP(Proc[[#This Row],[App]],Table2[],3,0),"open")</f>
        <v>ok</v>
      </c>
      <c r="C4132" s="144" t="s">
        <v>369</v>
      </c>
      <c r="D4132" t="s">
        <v>6219</v>
      </c>
      <c r="E4132" t="s">
        <v>4864</v>
      </c>
      <c r="F4132" s="140" t="s">
        <v>4864</v>
      </c>
      <c r="G4132" t="s">
        <v>400</v>
      </c>
      <c r="H4132" s="140" t="str">
        <f>IF(Proc[[#This Row],[type]]="LFF (MDG-F)",MID(Proc[[#This Row],[Obj]],13,10),"")</f>
        <v/>
      </c>
      <c r="J4132" s="140" t="b">
        <f>Proc[[#This Row],[Requested]]=Proc[[#This Row],[CurrentParent]]</f>
        <v>1</v>
      </c>
      <c r="K4132" s="144" t="str">
        <f>IF(Proc[[#This Row],[Author]]="Marcela Urrego",VLOOKUP(LEFT(Proc[[#This Row],[Requested]],1),Table3[#All],2,0),VLOOKUP(Proc[[#This Row],[Author]],Table4[],2,0))</f>
        <v>MGF</v>
      </c>
      <c r="L4132" s="140" t="s">
        <v>4894</v>
      </c>
      <c r="M4132" s="137">
        <v>45909</v>
      </c>
      <c r="N4132" s="137"/>
      <c r="O4132" s="137"/>
      <c r="P4132" s="145" t="str">
        <f ca="1">IF(Proc[[#This Row],[DaysAgeing]]&gt;5,"yep","on track")</f>
        <v>yep</v>
      </c>
      <c r="Q4132" s="3">
        <f ca="1">IF(Proc[[#This Row],[DateClosed]]="",ABS(NETWORKDAYS(Proc[[#This Row],[DateOpened]],TODAY()))-1,ABS(NETWORKDAYS(Proc[[#This Row],[DateOpened]],Proc[[#This Row],[DateClosed]]))-1)</f>
        <v>68</v>
      </c>
      <c r="R4132" s="137" t="s">
        <v>515</v>
      </c>
      <c r="S4132" s="140"/>
    </row>
    <row r="4133" spans="1:19">
      <c r="A4133" s="144" t="s">
        <v>6236</v>
      </c>
      <c r="B4133" s="149" t="str">
        <f>IFERROR(VLOOKUP(Proc[[#This Row],[App]],Table2[],3,0),"open")</f>
        <v>ok</v>
      </c>
      <c r="C4133" s="144" t="s">
        <v>369</v>
      </c>
      <c r="D4133" t="s">
        <v>6220</v>
      </c>
      <c r="E4133" t="s">
        <v>4864</v>
      </c>
      <c r="F4133" s="140" t="s">
        <v>4864</v>
      </c>
      <c r="G4133" t="s">
        <v>400</v>
      </c>
      <c r="H4133" s="140" t="str">
        <f>IF(Proc[[#This Row],[type]]="LFF (MDG-F)",MID(Proc[[#This Row],[Obj]],13,10),"")</f>
        <v/>
      </c>
      <c r="J4133" s="140" t="b">
        <f>Proc[[#This Row],[Requested]]=Proc[[#This Row],[CurrentParent]]</f>
        <v>1</v>
      </c>
      <c r="K4133" s="144" t="str">
        <f>IF(Proc[[#This Row],[Author]]="Marcela Urrego",VLOOKUP(LEFT(Proc[[#This Row],[Requested]],1),Table3[#All],2,0),VLOOKUP(Proc[[#This Row],[Author]],Table4[],2,0))</f>
        <v>MGF</v>
      </c>
      <c r="L4133" s="140" t="s">
        <v>4894</v>
      </c>
      <c r="M4133" s="137">
        <v>45909</v>
      </c>
      <c r="N4133" s="137"/>
      <c r="O4133" s="137"/>
      <c r="P4133" s="145" t="str">
        <f ca="1">IF(Proc[[#This Row],[DaysAgeing]]&gt;5,"yep","on track")</f>
        <v>yep</v>
      </c>
      <c r="Q4133" s="3">
        <f ca="1">IF(Proc[[#This Row],[DateClosed]]="",ABS(NETWORKDAYS(Proc[[#This Row],[DateOpened]],TODAY()))-1,ABS(NETWORKDAYS(Proc[[#This Row],[DateOpened]],Proc[[#This Row],[DateClosed]]))-1)</f>
        <v>68</v>
      </c>
      <c r="R4133" s="137" t="s">
        <v>515</v>
      </c>
      <c r="S4133" s="140"/>
    </row>
    <row r="4134" spans="1:19">
      <c r="A4134" s="144" t="s">
        <v>6236</v>
      </c>
      <c r="B4134" s="149" t="str">
        <f>IFERROR(VLOOKUP(Proc[[#This Row],[App]],Table2[],3,0),"open")</f>
        <v>ok</v>
      </c>
      <c r="C4134" s="144" t="s">
        <v>369</v>
      </c>
      <c r="D4134" t="s">
        <v>6221</v>
      </c>
      <c r="E4134" t="s">
        <v>4865</v>
      </c>
      <c r="F4134" s="140" t="s">
        <v>4865</v>
      </c>
      <c r="G4134" t="s">
        <v>400</v>
      </c>
      <c r="H4134" s="140" t="str">
        <f>IF(Proc[[#This Row],[type]]="LFF (MDG-F)",MID(Proc[[#This Row],[Obj]],13,10),"")</f>
        <v/>
      </c>
      <c r="J4134" s="140" t="b">
        <f>Proc[[#This Row],[Requested]]=Proc[[#This Row],[CurrentParent]]</f>
        <v>1</v>
      </c>
      <c r="K4134" s="144" t="str">
        <f>IF(Proc[[#This Row],[Author]]="Marcela Urrego",VLOOKUP(LEFT(Proc[[#This Row],[Requested]],1),Table3[#All],2,0),VLOOKUP(Proc[[#This Row],[Author]],Table4[],2,0))</f>
        <v>MGF</v>
      </c>
      <c r="L4134" s="140" t="s">
        <v>4894</v>
      </c>
      <c r="M4134" s="137">
        <v>45909</v>
      </c>
      <c r="N4134" s="137"/>
      <c r="O4134" s="137"/>
      <c r="P4134" s="145" t="str">
        <f ca="1">IF(Proc[[#This Row],[DaysAgeing]]&gt;5,"yep","on track")</f>
        <v>yep</v>
      </c>
      <c r="Q4134" s="3">
        <f ca="1">IF(Proc[[#This Row],[DateClosed]]="",ABS(NETWORKDAYS(Proc[[#This Row],[DateOpened]],TODAY()))-1,ABS(NETWORKDAYS(Proc[[#This Row],[DateOpened]],Proc[[#This Row],[DateClosed]]))-1)</f>
        <v>68</v>
      </c>
      <c r="R4134" s="137" t="s">
        <v>515</v>
      </c>
      <c r="S4134" s="140"/>
    </row>
    <row r="4135" spans="1:19">
      <c r="A4135" s="144" t="s">
        <v>6236</v>
      </c>
      <c r="B4135" s="149" t="str">
        <f>IFERROR(VLOOKUP(Proc[[#This Row],[App]],Table2[],3,0),"open")</f>
        <v>ok</v>
      </c>
      <c r="C4135" s="144" t="s">
        <v>369</v>
      </c>
      <c r="D4135" t="s">
        <v>6222</v>
      </c>
      <c r="E4135" t="s">
        <v>4865</v>
      </c>
      <c r="F4135" s="140" t="s">
        <v>4865</v>
      </c>
      <c r="G4135" t="s">
        <v>406</v>
      </c>
      <c r="H4135" s="140" t="str">
        <f>IF(Proc[[#This Row],[type]]="LFF (MDG-F)",MID(Proc[[#This Row],[Obj]],13,10),"")</f>
        <v>BE50GLE300</v>
      </c>
      <c r="J4135" s="140" t="b">
        <f>Proc[[#This Row],[Requested]]=Proc[[#This Row],[CurrentParent]]</f>
        <v>1</v>
      </c>
      <c r="K4135" s="144" t="str">
        <f>IF(Proc[[#This Row],[Author]]="Marcela Urrego",VLOOKUP(LEFT(Proc[[#This Row],[Requested]],1),Table3[#All],2,0),VLOOKUP(Proc[[#This Row],[Author]],Table4[],2,0))</f>
        <v>MGF</v>
      </c>
      <c r="L4135" s="140" t="s">
        <v>4894</v>
      </c>
      <c r="M4135" s="137">
        <v>45909</v>
      </c>
      <c r="N4135" s="137"/>
      <c r="O4135" s="137"/>
      <c r="P4135" s="145" t="str">
        <f ca="1">IF(Proc[[#This Row],[DaysAgeing]]&gt;5,"yep","on track")</f>
        <v>yep</v>
      </c>
      <c r="Q4135" s="3">
        <f ca="1">IF(Proc[[#This Row],[DateClosed]]="",ABS(NETWORKDAYS(Proc[[#This Row],[DateOpened]],TODAY()))-1,ABS(NETWORKDAYS(Proc[[#This Row],[DateOpened]],Proc[[#This Row],[DateClosed]]))-1)</f>
        <v>68</v>
      </c>
      <c r="R4135" s="137" t="s">
        <v>515</v>
      </c>
      <c r="S4135" s="140"/>
    </row>
    <row r="4136" spans="1:19">
      <c r="A4136" s="144" t="s">
        <v>6236</v>
      </c>
      <c r="B4136" s="149" t="str">
        <f>IFERROR(VLOOKUP(Proc[[#This Row],[App]],Table2[],3,0),"open")</f>
        <v>ok</v>
      </c>
      <c r="C4136" s="144" t="s">
        <v>369</v>
      </c>
      <c r="D4136" t="s">
        <v>6223</v>
      </c>
      <c r="E4136" t="s">
        <v>4864</v>
      </c>
      <c r="F4136" s="140" t="s">
        <v>4864</v>
      </c>
      <c r="G4136" s="144" t="s">
        <v>406</v>
      </c>
      <c r="H4136" s="140" t="str">
        <f>IF(Proc[[#This Row],[type]]="LFF (MDG-F)",MID(Proc[[#This Row],[Obj]],13,10),"")</f>
        <v>JP01GLE302</v>
      </c>
      <c r="J4136" s="140" t="b">
        <f>Proc[[#This Row],[Requested]]=Proc[[#This Row],[CurrentParent]]</f>
        <v>1</v>
      </c>
      <c r="K4136" s="144" t="str">
        <f>IF(Proc[[#This Row],[Author]]="Marcela Urrego",VLOOKUP(LEFT(Proc[[#This Row],[Requested]],1),Table3[#All],2,0),VLOOKUP(Proc[[#This Row],[Author]],Table4[],2,0))</f>
        <v>MGF</v>
      </c>
      <c r="L4136" s="140" t="s">
        <v>4894</v>
      </c>
      <c r="M4136" s="137">
        <v>45909</v>
      </c>
      <c r="N4136" s="137"/>
      <c r="O4136" s="137"/>
      <c r="P4136" s="145" t="str">
        <f ca="1">IF(Proc[[#This Row],[DaysAgeing]]&gt;5,"yep","on track")</f>
        <v>yep</v>
      </c>
      <c r="Q4136" s="3">
        <f ca="1">IF(Proc[[#This Row],[DateClosed]]="",ABS(NETWORKDAYS(Proc[[#This Row],[DateOpened]],TODAY()))-1,ABS(NETWORKDAYS(Proc[[#This Row],[DateOpened]],Proc[[#This Row],[DateClosed]]))-1)</f>
        <v>68</v>
      </c>
      <c r="R4136" s="137" t="s">
        <v>515</v>
      </c>
      <c r="S4136" s="140"/>
    </row>
    <row r="4137" spans="1:19">
      <c r="A4137" s="144" t="s">
        <v>6236</v>
      </c>
      <c r="B4137" s="149" t="str">
        <f>IFERROR(VLOOKUP(Proc[[#This Row],[App]],Table2[],3,0),"open")</f>
        <v>ok</v>
      </c>
      <c r="C4137" s="144" t="s">
        <v>369</v>
      </c>
      <c r="D4137" t="s">
        <v>6224</v>
      </c>
      <c r="E4137" t="s">
        <v>4864</v>
      </c>
      <c r="F4137" s="140" t="s">
        <v>4864</v>
      </c>
      <c r="G4137" s="144" t="s">
        <v>406</v>
      </c>
      <c r="H4137" s="140" t="str">
        <f>IF(Proc[[#This Row],[type]]="LFF (MDG-F)",MID(Proc[[#This Row],[Obj]],13,10),"")</f>
        <v>JP02GLE302</v>
      </c>
      <c r="J4137" s="140" t="b">
        <f>Proc[[#This Row],[Requested]]=Proc[[#This Row],[CurrentParent]]</f>
        <v>1</v>
      </c>
      <c r="K4137" s="144" t="str">
        <f>IF(Proc[[#This Row],[Author]]="Marcela Urrego",VLOOKUP(LEFT(Proc[[#This Row],[Requested]],1),Table3[#All],2,0),VLOOKUP(Proc[[#This Row],[Author]],Table4[],2,0))</f>
        <v>MGF</v>
      </c>
      <c r="L4137" s="140" t="s">
        <v>4894</v>
      </c>
      <c r="M4137" s="137">
        <v>45909</v>
      </c>
      <c r="N4137" s="137"/>
      <c r="O4137" s="137"/>
      <c r="P4137" s="145" t="str">
        <f ca="1">IF(Proc[[#This Row],[DaysAgeing]]&gt;5,"yep","on track")</f>
        <v>yep</v>
      </c>
      <c r="Q4137" s="3">
        <f ca="1">IF(Proc[[#This Row],[DateClosed]]="",ABS(NETWORKDAYS(Proc[[#This Row],[DateOpened]],TODAY()))-1,ABS(NETWORKDAYS(Proc[[#This Row],[DateOpened]],Proc[[#This Row],[DateClosed]]))-1)</f>
        <v>68</v>
      </c>
      <c r="R4137" s="137" t="s">
        <v>515</v>
      </c>
      <c r="S4137" s="140"/>
    </row>
    <row r="4138" spans="1:19">
      <c r="A4138" s="144" t="s">
        <v>6236</v>
      </c>
      <c r="B4138" s="149" t="str">
        <f>IFERROR(VLOOKUP(Proc[[#This Row],[App]],Table2[],3,0),"open")</f>
        <v>ok</v>
      </c>
      <c r="C4138" s="144" t="s">
        <v>369</v>
      </c>
      <c r="D4138" t="s">
        <v>6225</v>
      </c>
      <c r="E4138" t="s">
        <v>4864</v>
      </c>
      <c r="F4138" s="140" t="s">
        <v>4864</v>
      </c>
      <c r="G4138" s="144" t="s">
        <v>406</v>
      </c>
      <c r="H4138" s="140" t="str">
        <f>IF(Proc[[#This Row],[type]]="LFF (MDG-F)",MID(Proc[[#This Row],[Obj]],13,10),"")</f>
        <v>KR02GLE005</v>
      </c>
      <c r="J4138" s="140" t="b">
        <f>Proc[[#This Row],[Requested]]=Proc[[#This Row],[CurrentParent]]</f>
        <v>1</v>
      </c>
      <c r="K4138" s="144" t="str">
        <f>IF(Proc[[#This Row],[Author]]="Marcela Urrego",VLOOKUP(LEFT(Proc[[#This Row],[Requested]],1),Table3[#All],2,0),VLOOKUP(Proc[[#This Row],[Author]],Table4[],2,0))</f>
        <v>MGF</v>
      </c>
      <c r="L4138" s="140" t="s">
        <v>4894</v>
      </c>
      <c r="M4138" s="137">
        <v>45909</v>
      </c>
      <c r="N4138" s="137"/>
      <c r="O4138" s="137"/>
      <c r="P4138" s="145" t="str">
        <f ca="1">IF(Proc[[#This Row],[DaysAgeing]]&gt;5,"yep","on track")</f>
        <v>yep</v>
      </c>
      <c r="Q4138" s="3">
        <f ca="1">IF(Proc[[#This Row],[DateClosed]]="",ABS(NETWORKDAYS(Proc[[#This Row],[DateOpened]],TODAY()))-1,ABS(NETWORKDAYS(Proc[[#This Row],[DateOpened]],Proc[[#This Row],[DateClosed]]))-1)</f>
        <v>68</v>
      </c>
      <c r="R4138" s="137" t="s">
        <v>515</v>
      </c>
      <c r="S4138" s="140"/>
    </row>
    <row r="4139" spans="1:19">
      <c r="A4139" s="144" t="s">
        <v>6236</v>
      </c>
      <c r="B4139" s="149" t="str">
        <f>IFERROR(VLOOKUP(Proc[[#This Row],[App]],Table2[],3,0),"open")</f>
        <v>ok</v>
      </c>
      <c r="C4139" s="144" t="s">
        <v>369</v>
      </c>
      <c r="D4139" t="s">
        <v>6226</v>
      </c>
      <c r="E4139" t="s">
        <v>4864</v>
      </c>
      <c r="F4139" s="140" t="s">
        <v>4864</v>
      </c>
      <c r="G4139" s="144" t="s">
        <v>406</v>
      </c>
      <c r="H4139" s="140" t="str">
        <f>IF(Proc[[#This Row],[type]]="LFF (MDG-F)",MID(Proc[[#This Row],[Obj]],13,10),"")</f>
        <v>TW02GLE006</v>
      </c>
      <c r="J4139" s="140" t="b">
        <f>Proc[[#This Row],[Requested]]=Proc[[#This Row],[CurrentParent]]</f>
        <v>1</v>
      </c>
      <c r="K4139" s="144" t="str">
        <f>IF(Proc[[#This Row],[Author]]="Marcela Urrego",VLOOKUP(LEFT(Proc[[#This Row],[Requested]],1),Table3[#All],2,0),VLOOKUP(Proc[[#This Row],[Author]],Table4[],2,0))</f>
        <v>MGF</v>
      </c>
      <c r="L4139" s="140" t="s">
        <v>4894</v>
      </c>
      <c r="M4139" s="137">
        <v>45909</v>
      </c>
      <c r="N4139" s="137"/>
      <c r="O4139" s="137"/>
      <c r="P4139" s="145" t="str">
        <f ca="1">IF(Proc[[#This Row],[DaysAgeing]]&gt;5,"yep","on track")</f>
        <v>yep</v>
      </c>
      <c r="Q4139" s="3">
        <f ca="1">IF(Proc[[#This Row],[DateClosed]]="",ABS(NETWORKDAYS(Proc[[#This Row],[DateOpened]],TODAY()))-1,ABS(NETWORKDAYS(Proc[[#This Row],[DateOpened]],Proc[[#This Row],[DateClosed]]))-1)</f>
        <v>68</v>
      </c>
      <c r="R4139" s="137" t="s">
        <v>515</v>
      </c>
      <c r="S4139" s="140"/>
    </row>
    <row r="4140" spans="1:19">
      <c r="A4140" s="144" t="s">
        <v>6236</v>
      </c>
      <c r="B4140" s="149" t="str">
        <f>IFERROR(VLOOKUP(Proc[[#This Row],[App]],Table2[],3,0),"open")</f>
        <v>ok</v>
      </c>
      <c r="C4140" s="144" t="s">
        <v>369</v>
      </c>
      <c r="D4140" t="s">
        <v>6227</v>
      </c>
      <c r="E4140" t="s">
        <v>4864</v>
      </c>
      <c r="F4140" s="140" t="s">
        <v>4864</v>
      </c>
      <c r="G4140" s="144" t="s">
        <v>406</v>
      </c>
      <c r="H4140" s="140" t="str">
        <f>IF(Proc[[#This Row],[type]]="LFF (MDG-F)",MID(Proc[[#This Row],[Obj]],13,10),"")</f>
        <v>TW03GLE006</v>
      </c>
      <c r="J4140" s="140" t="b">
        <f>Proc[[#This Row],[Requested]]=Proc[[#This Row],[CurrentParent]]</f>
        <v>1</v>
      </c>
      <c r="K4140" s="144" t="str">
        <f>IF(Proc[[#This Row],[Author]]="Marcela Urrego",VLOOKUP(LEFT(Proc[[#This Row],[Requested]],1),Table3[#All],2,0),VLOOKUP(Proc[[#This Row],[Author]],Table4[],2,0))</f>
        <v>MGF</v>
      </c>
      <c r="L4140" s="140" t="s">
        <v>4894</v>
      </c>
      <c r="M4140" s="137">
        <v>45909</v>
      </c>
      <c r="N4140" s="137"/>
      <c r="O4140" s="137"/>
      <c r="P4140" s="145" t="str">
        <f ca="1">IF(Proc[[#This Row],[DaysAgeing]]&gt;5,"yep","on track")</f>
        <v>yep</v>
      </c>
      <c r="Q4140" s="3">
        <f ca="1">IF(Proc[[#This Row],[DateClosed]]="",ABS(NETWORKDAYS(Proc[[#This Row],[DateOpened]],TODAY()))-1,ABS(NETWORKDAYS(Proc[[#This Row],[DateOpened]],Proc[[#This Row],[DateClosed]]))-1)</f>
        <v>68</v>
      </c>
      <c r="R4140" s="137" t="s">
        <v>515</v>
      </c>
      <c r="S4140" s="140"/>
    </row>
    <row r="4141" spans="1:19">
      <c r="A4141" s="144" t="s">
        <v>6236</v>
      </c>
      <c r="B4141" s="149" t="str">
        <f>IFERROR(VLOOKUP(Proc[[#This Row],[App]],Table2[],3,0),"open")</f>
        <v>ok</v>
      </c>
      <c r="C4141" s="144" t="s">
        <v>369</v>
      </c>
      <c r="D4141" t="s">
        <v>6228</v>
      </c>
      <c r="E4141" t="s">
        <v>4865</v>
      </c>
      <c r="F4141" s="140" t="s">
        <v>4865</v>
      </c>
      <c r="G4141" s="144" t="s">
        <v>406</v>
      </c>
      <c r="H4141" s="140" t="str">
        <f>IF(Proc[[#This Row],[type]]="LFF (MDG-F)",MID(Proc[[#This Row],[Obj]],13,10),"")</f>
        <v>2057GLE006</v>
      </c>
      <c r="J4141" s="140" t="b">
        <f>Proc[[#This Row],[Requested]]=Proc[[#This Row],[CurrentParent]]</f>
        <v>1</v>
      </c>
      <c r="K4141" s="144" t="str">
        <f>IF(Proc[[#This Row],[Author]]="Marcela Urrego",VLOOKUP(LEFT(Proc[[#This Row],[Requested]],1),Table3[#All],2,0),VLOOKUP(Proc[[#This Row],[Author]],Table4[],2,0))</f>
        <v>MGF</v>
      </c>
      <c r="L4141" s="140" t="s">
        <v>4894</v>
      </c>
      <c r="M4141" s="137">
        <v>45909</v>
      </c>
      <c r="N4141" s="137"/>
      <c r="O4141" s="137"/>
      <c r="P4141" s="145" t="str">
        <f ca="1">IF(Proc[[#This Row],[DaysAgeing]]&gt;5,"yep","on track")</f>
        <v>yep</v>
      </c>
      <c r="Q4141" s="3">
        <f ca="1">IF(Proc[[#This Row],[DateClosed]]="",ABS(NETWORKDAYS(Proc[[#This Row],[DateOpened]],TODAY()))-1,ABS(NETWORKDAYS(Proc[[#This Row],[DateOpened]],Proc[[#This Row],[DateClosed]]))-1)</f>
        <v>68</v>
      </c>
      <c r="R4141" s="137" t="s">
        <v>515</v>
      </c>
      <c r="S4141" s="140"/>
    </row>
    <row r="4142" spans="1:19">
      <c r="A4142" s="144" t="s">
        <v>6236</v>
      </c>
      <c r="B4142" s="149" t="str">
        <f>IFERROR(VLOOKUP(Proc[[#This Row],[App]],Table2[],3,0),"open")</f>
        <v>ok</v>
      </c>
      <c r="C4142" s="144" t="s">
        <v>369</v>
      </c>
      <c r="D4142" t="s">
        <v>6229</v>
      </c>
      <c r="E4142" t="s">
        <v>4864</v>
      </c>
      <c r="F4142" s="140" t="s">
        <v>4864</v>
      </c>
      <c r="G4142" s="144" t="s">
        <v>406</v>
      </c>
      <c r="H4142" s="140" t="str">
        <f>IF(Proc[[#This Row],[type]]="LFF (MDG-F)",MID(Proc[[#This Row],[Obj]],13,10),"")</f>
        <v>KR03GLE005</v>
      </c>
      <c r="J4142" s="140" t="b">
        <f>Proc[[#This Row],[Requested]]=Proc[[#This Row],[CurrentParent]]</f>
        <v>1</v>
      </c>
      <c r="K4142" s="144" t="str">
        <f>IF(Proc[[#This Row],[Author]]="Marcela Urrego",VLOOKUP(LEFT(Proc[[#This Row],[Requested]],1),Table3[#All],2,0),VLOOKUP(Proc[[#This Row],[Author]],Table4[],2,0))</f>
        <v>MGF</v>
      </c>
      <c r="L4142" s="140" t="s">
        <v>4894</v>
      </c>
      <c r="M4142" s="137">
        <v>45909</v>
      </c>
      <c r="N4142" s="137"/>
      <c r="O4142" s="137"/>
      <c r="P4142" s="145" t="str">
        <f ca="1">IF(Proc[[#This Row],[DaysAgeing]]&gt;5,"yep","on track")</f>
        <v>yep</v>
      </c>
      <c r="Q4142" s="3">
        <f ca="1">IF(Proc[[#This Row],[DateClosed]]="",ABS(NETWORKDAYS(Proc[[#This Row],[DateOpened]],TODAY()))-1,ABS(NETWORKDAYS(Proc[[#This Row],[DateOpened]],Proc[[#This Row],[DateClosed]]))-1)</f>
        <v>68</v>
      </c>
      <c r="R4142" s="137" t="s">
        <v>515</v>
      </c>
      <c r="S4142" s="140"/>
    </row>
    <row r="4143" spans="1:19">
      <c r="A4143" s="144" t="s">
        <v>6236</v>
      </c>
      <c r="B4143" s="149" t="str">
        <f>IFERROR(VLOOKUP(Proc[[#This Row],[App]],Table2[],3,0),"open")</f>
        <v>ok</v>
      </c>
      <c r="C4143" s="144" t="s">
        <v>369</v>
      </c>
      <c r="D4143" t="s">
        <v>6230</v>
      </c>
      <c r="E4143" t="s">
        <v>4864</v>
      </c>
      <c r="F4143" s="140" t="s">
        <v>4864</v>
      </c>
      <c r="G4143" s="144" t="s">
        <v>406</v>
      </c>
      <c r="H4143" s="140" t="str">
        <f>IF(Proc[[#This Row],[type]]="LFF (MDG-F)",MID(Proc[[#This Row],[Obj]],13,10),"")</f>
        <v>TW10GLE106</v>
      </c>
      <c r="J4143" s="140" t="b">
        <f>Proc[[#This Row],[Requested]]=Proc[[#This Row],[CurrentParent]]</f>
        <v>1</v>
      </c>
      <c r="K4143" s="144" t="str">
        <f>IF(Proc[[#This Row],[Author]]="Marcela Urrego",VLOOKUP(LEFT(Proc[[#This Row],[Requested]],1),Table3[#All],2,0),VLOOKUP(Proc[[#This Row],[Author]],Table4[],2,0))</f>
        <v>MGF</v>
      </c>
      <c r="L4143" s="140" t="s">
        <v>4894</v>
      </c>
      <c r="M4143" s="137">
        <v>45909</v>
      </c>
      <c r="N4143" s="137"/>
      <c r="O4143" s="137"/>
      <c r="P4143" s="145" t="str">
        <f ca="1">IF(Proc[[#This Row],[DaysAgeing]]&gt;5,"yep","on track")</f>
        <v>yep</v>
      </c>
      <c r="Q4143" s="3">
        <f ca="1">IF(Proc[[#This Row],[DateClosed]]="",ABS(NETWORKDAYS(Proc[[#This Row],[DateOpened]],TODAY()))-1,ABS(NETWORKDAYS(Proc[[#This Row],[DateOpened]],Proc[[#This Row],[DateClosed]]))-1)</f>
        <v>68</v>
      </c>
      <c r="R4143" s="137" t="s">
        <v>515</v>
      </c>
      <c r="S4143" s="140"/>
    </row>
    <row r="4144" spans="1:19">
      <c r="A4144" s="144" t="s">
        <v>6236</v>
      </c>
      <c r="B4144" s="149" t="str">
        <f>IFERROR(VLOOKUP(Proc[[#This Row],[App]],Table2[],3,0),"open")</f>
        <v>ok</v>
      </c>
      <c r="C4144" s="144" t="s">
        <v>369</v>
      </c>
      <c r="D4144" t="s">
        <v>6231</v>
      </c>
      <c r="E4144" t="s">
        <v>4864</v>
      </c>
      <c r="F4144" s="140" t="s">
        <v>4864</v>
      </c>
      <c r="G4144" s="144" t="s">
        <v>406</v>
      </c>
      <c r="H4144" s="140" t="str">
        <f>IF(Proc[[#This Row],[type]]="LFF (MDG-F)",MID(Proc[[#This Row],[Obj]],13,10),"")</f>
        <v>TW91GLE106</v>
      </c>
      <c r="J4144" s="140" t="b">
        <f>Proc[[#This Row],[Requested]]=Proc[[#This Row],[CurrentParent]]</f>
        <v>1</v>
      </c>
      <c r="K4144" s="144" t="str">
        <f>IF(Proc[[#This Row],[Author]]="Marcela Urrego",VLOOKUP(LEFT(Proc[[#This Row],[Requested]],1),Table3[#All],2,0),VLOOKUP(Proc[[#This Row],[Author]],Table4[],2,0))</f>
        <v>MGF</v>
      </c>
      <c r="L4144" s="140" t="s">
        <v>4894</v>
      </c>
      <c r="M4144" s="137">
        <v>45909</v>
      </c>
      <c r="N4144" s="137"/>
      <c r="O4144" s="137"/>
      <c r="P4144" s="145" t="str">
        <f ca="1">IF(Proc[[#This Row],[DaysAgeing]]&gt;5,"yep","on track")</f>
        <v>yep</v>
      </c>
      <c r="Q4144" s="3">
        <f ca="1">IF(Proc[[#This Row],[DateClosed]]="",ABS(NETWORKDAYS(Proc[[#This Row],[DateOpened]],TODAY()))-1,ABS(NETWORKDAYS(Proc[[#This Row],[DateOpened]],Proc[[#This Row],[DateClosed]]))-1)</f>
        <v>68</v>
      </c>
      <c r="R4144" s="137" t="s">
        <v>515</v>
      </c>
      <c r="S4144" s="140"/>
    </row>
    <row r="4145" spans="1:19">
      <c r="A4145" s="144" t="s">
        <v>6236</v>
      </c>
      <c r="B4145" s="149" t="str">
        <f>IFERROR(VLOOKUP(Proc[[#This Row],[App]],Table2[],3,0),"open")</f>
        <v>ok</v>
      </c>
      <c r="C4145" s="144" t="s">
        <v>369</v>
      </c>
      <c r="D4145" t="s">
        <v>6232</v>
      </c>
      <c r="E4145" t="s">
        <v>4864</v>
      </c>
      <c r="F4145" s="140" t="s">
        <v>4864</v>
      </c>
      <c r="G4145" t="s">
        <v>400</v>
      </c>
      <c r="H4145" s="140" t="str">
        <f>IF(Proc[[#This Row],[type]]="LFF (MDG-F)",MID(Proc[[#This Row],[Obj]],13,10),"")</f>
        <v/>
      </c>
      <c r="J4145" s="140" t="b">
        <f>Proc[[#This Row],[Requested]]=Proc[[#This Row],[CurrentParent]]</f>
        <v>1</v>
      </c>
      <c r="K4145" s="144" t="str">
        <f>IF(Proc[[#This Row],[Author]]="Marcela Urrego",VLOOKUP(LEFT(Proc[[#This Row],[Requested]],1),Table3[#All],2,0),VLOOKUP(Proc[[#This Row],[Author]],Table4[],2,0))</f>
        <v>MGF</v>
      </c>
      <c r="L4145" s="140" t="s">
        <v>4894</v>
      </c>
      <c r="M4145" s="137">
        <v>45909</v>
      </c>
      <c r="N4145" s="137"/>
      <c r="O4145" s="137"/>
      <c r="P4145" s="145" t="str">
        <f ca="1">IF(Proc[[#This Row],[DaysAgeing]]&gt;5,"yep","on track")</f>
        <v>yep</v>
      </c>
      <c r="Q4145" s="3">
        <f ca="1">IF(Proc[[#This Row],[DateClosed]]="",ABS(NETWORKDAYS(Proc[[#This Row],[DateOpened]],TODAY()))-1,ABS(NETWORKDAYS(Proc[[#This Row],[DateOpened]],Proc[[#This Row],[DateClosed]]))-1)</f>
        <v>68</v>
      </c>
      <c r="R4145" s="137" t="s">
        <v>515</v>
      </c>
      <c r="S4145" s="140"/>
    </row>
    <row r="4146" spans="1:19">
      <c r="A4146" s="144" t="s">
        <v>6236</v>
      </c>
      <c r="B4146" s="149" t="str">
        <f>IFERROR(VLOOKUP(Proc[[#This Row],[App]],Table2[],3,0),"open")</f>
        <v>ok</v>
      </c>
      <c r="C4146" s="144" t="s">
        <v>369</v>
      </c>
      <c r="D4146" t="s">
        <v>6233</v>
      </c>
      <c r="E4146" t="s">
        <v>4864</v>
      </c>
      <c r="F4146" s="140" t="s">
        <v>4864</v>
      </c>
      <c r="G4146" t="s">
        <v>400</v>
      </c>
      <c r="H4146" s="140" t="str">
        <f>IF(Proc[[#This Row],[type]]="LFF (MDG-F)",MID(Proc[[#This Row],[Obj]],13,10),"")</f>
        <v/>
      </c>
      <c r="J4146" s="140" t="b">
        <f>Proc[[#This Row],[Requested]]=Proc[[#This Row],[CurrentParent]]</f>
        <v>1</v>
      </c>
      <c r="K4146" s="144" t="str">
        <f>IF(Proc[[#This Row],[Author]]="Marcela Urrego",VLOOKUP(LEFT(Proc[[#This Row],[Requested]],1),Table3[#All],2,0),VLOOKUP(Proc[[#This Row],[Author]],Table4[],2,0))</f>
        <v>MGF</v>
      </c>
      <c r="L4146" s="140" t="s">
        <v>4894</v>
      </c>
      <c r="M4146" s="137">
        <v>45909</v>
      </c>
      <c r="N4146" s="137"/>
      <c r="O4146" s="137"/>
      <c r="P4146" s="145" t="str">
        <f ca="1">IF(Proc[[#This Row],[DaysAgeing]]&gt;5,"yep","on track")</f>
        <v>yep</v>
      </c>
      <c r="Q4146" s="3">
        <f ca="1">IF(Proc[[#This Row],[DateClosed]]="",ABS(NETWORKDAYS(Proc[[#This Row],[DateOpened]],TODAY()))-1,ABS(NETWORKDAYS(Proc[[#This Row],[DateOpened]],Proc[[#This Row],[DateClosed]]))-1)</f>
        <v>68</v>
      </c>
      <c r="R4146" s="137" t="s">
        <v>515</v>
      </c>
      <c r="S4146" s="140"/>
    </row>
    <row r="4147" spans="1:19">
      <c r="A4147" s="144" t="s">
        <v>6236</v>
      </c>
      <c r="B4147" s="149" t="str">
        <f>IFERROR(VLOOKUP(Proc[[#This Row],[App]],Table2[],3,0),"open")</f>
        <v>ok</v>
      </c>
      <c r="C4147" s="144" t="s">
        <v>369</v>
      </c>
      <c r="D4147" t="s">
        <v>6234</v>
      </c>
      <c r="E4147" t="s">
        <v>6237</v>
      </c>
      <c r="F4147" s="140" t="s">
        <v>6237</v>
      </c>
      <c r="G4147" t="s">
        <v>400</v>
      </c>
      <c r="H4147" s="140" t="str">
        <f>IF(Proc[[#This Row],[type]]="LFF (MDG-F)",MID(Proc[[#This Row],[Obj]],13,10),"")</f>
        <v/>
      </c>
      <c r="J4147" s="140" t="b">
        <f>Proc[[#This Row],[Requested]]=Proc[[#This Row],[CurrentParent]]</f>
        <v>1</v>
      </c>
      <c r="K4147" s="144" t="str">
        <f>IF(Proc[[#This Row],[Author]]="Marcela Urrego",VLOOKUP(LEFT(Proc[[#This Row],[Requested]],1),Table3[#All],2,0),VLOOKUP(Proc[[#This Row],[Author]],Table4[],2,0))</f>
        <v>MGF</v>
      </c>
      <c r="L4147" s="140" t="s">
        <v>4894</v>
      </c>
      <c r="M4147" s="137">
        <v>45909</v>
      </c>
      <c r="N4147" s="137"/>
      <c r="O4147" s="137"/>
      <c r="P4147" s="145" t="str">
        <f ca="1">IF(Proc[[#This Row],[DaysAgeing]]&gt;5,"yep","on track")</f>
        <v>yep</v>
      </c>
      <c r="Q4147" s="3">
        <f ca="1">IF(Proc[[#This Row],[DateClosed]]="",ABS(NETWORKDAYS(Proc[[#This Row],[DateOpened]],TODAY()))-1,ABS(NETWORKDAYS(Proc[[#This Row],[DateOpened]],Proc[[#This Row],[DateClosed]]))-1)</f>
        <v>68</v>
      </c>
      <c r="R4147" s="137" t="s">
        <v>515</v>
      </c>
      <c r="S4147" s="140"/>
    </row>
    <row r="4148" spans="1:19">
      <c r="A4148" s="144" t="s">
        <v>6236</v>
      </c>
      <c r="B4148" s="149" t="str">
        <f>IFERROR(VLOOKUP(Proc[[#This Row],[App]],Table2[],3,0),"open")</f>
        <v>ok</v>
      </c>
      <c r="C4148" s="144" t="s">
        <v>369</v>
      </c>
      <c r="D4148" t="s">
        <v>6235</v>
      </c>
      <c r="E4148" t="s">
        <v>6237</v>
      </c>
      <c r="F4148" s="140" t="s">
        <v>6237</v>
      </c>
      <c r="G4148" s="144" t="s">
        <v>400</v>
      </c>
      <c r="H4148" s="140" t="str">
        <f>IF(Proc[[#This Row],[type]]="LFF (MDG-F)",MID(Proc[[#This Row],[Obj]],13,10),"")</f>
        <v/>
      </c>
      <c r="J4148" s="140" t="b">
        <f>Proc[[#This Row],[Requested]]=Proc[[#This Row],[CurrentParent]]</f>
        <v>1</v>
      </c>
      <c r="K4148" s="144" t="str">
        <f>IF(Proc[[#This Row],[Author]]="Marcela Urrego",VLOOKUP(LEFT(Proc[[#This Row],[Requested]],1),Table3[#All],2,0),VLOOKUP(Proc[[#This Row],[Author]],Table4[],2,0))</f>
        <v>MGF</v>
      </c>
      <c r="L4148" s="140" t="s">
        <v>4894</v>
      </c>
      <c r="M4148" s="137">
        <v>45909</v>
      </c>
      <c r="N4148" s="137"/>
      <c r="O4148" s="137"/>
      <c r="P4148" s="145" t="str">
        <f ca="1">IF(Proc[[#This Row],[DaysAgeing]]&gt;5,"yep","on track")</f>
        <v>yep</v>
      </c>
      <c r="Q4148" s="3">
        <f ca="1">IF(Proc[[#This Row],[DateClosed]]="",ABS(NETWORKDAYS(Proc[[#This Row],[DateOpened]],TODAY()))-1,ABS(NETWORKDAYS(Proc[[#This Row],[DateOpened]],Proc[[#This Row],[DateClosed]]))-1)</f>
        <v>68</v>
      </c>
      <c r="R4148" s="137" t="s">
        <v>515</v>
      </c>
      <c r="S4148" s="140"/>
    </row>
    <row r="4149" spans="1:19">
      <c r="A4149" t="s">
        <v>6239</v>
      </c>
      <c r="B4149" s="149" t="str">
        <f>IFERROR(VLOOKUP(Proc[[#This Row],[App]],Table2[],3,0),"open")</f>
        <v>ok</v>
      </c>
      <c r="C4149" s="144" t="s">
        <v>369</v>
      </c>
      <c r="D4149" t="s">
        <v>6243</v>
      </c>
      <c r="E4149" s="144" t="s">
        <v>6238</v>
      </c>
      <c r="F4149" s="140" t="s">
        <v>6238</v>
      </c>
      <c r="G4149" s="144" t="s">
        <v>406</v>
      </c>
      <c r="H4149" s="140" t="str">
        <f>IF(Proc[[#This Row],[type]]="LFF (MDG-F)",MID(Proc[[#This Row],[Obj]],13,10),"")</f>
        <v>DE10620801</v>
      </c>
      <c r="J4149" s="140" t="b">
        <f>Proc[[#This Row],[Requested]]=Proc[[#This Row],[CurrentParent]]</f>
        <v>1</v>
      </c>
      <c r="K4149" s="144" t="str">
        <f>IF(Proc[[#This Row],[Author]]="Marcela Urrego",VLOOKUP(LEFT(Proc[[#This Row],[Requested]],1),Table3[#All],2,0),VLOOKUP(Proc[[#This Row],[Author]],Table4[],2,0))</f>
        <v>MGF</v>
      </c>
      <c r="L4149" s="140" t="s">
        <v>4894</v>
      </c>
      <c r="M4149" s="137">
        <v>45909</v>
      </c>
      <c r="N4149" s="137"/>
      <c r="O4149" s="137"/>
      <c r="P4149" s="145" t="str">
        <f ca="1">IF(Proc[[#This Row],[DaysAgeing]]&gt;5,"yep","on track")</f>
        <v>yep</v>
      </c>
      <c r="Q4149" s="3">
        <f ca="1">IF(Proc[[#This Row],[DateClosed]]="",ABS(NETWORKDAYS(Proc[[#This Row],[DateOpened]],TODAY()))-1,ABS(NETWORKDAYS(Proc[[#This Row],[DateOpened]],Proc[[#This Row],[DateClosed]]))-1)</f>
        <v>68</v>
      </c>
      <c r="R4149" s="137" t="s">
        <v>452</v>
      </c>
      <c r="S4149" s="140"/>
    </row>
    <row r="4150" spans="1:19">
      <c r="A4150" t="s">
        <v>6240</v>
      </c>
      <c r="B4150" s="149" t="str">
        <f>IFERROR(VLOOKUP(Proc[[#This Row],[App]],Table2[],3,0),"open")</f>
        <v>ok</v>
      </c>
      <c r="C4150" s="149" t="s">
        <v>369</v>
      </c>
      <c r="D4150" t="s">
        <v>6244</v>
      </c>
      <c r="E4150" t="s">
        <v>1458</v>
      </c>
      <c r="F4150" s="150" t="s">
        <v>1458</v>
      </c>
      <c r="G4150" s="144" t="s">
        <v>400</v>
      </c>
      <c r="H4150" s="140" t="str">
        <f>IF(Proc[[#This Row],[type]]="LFF (MDG-F)",MID(Proc[[#This Row],[Obj]],13,10),"")</f>
        <v/>
      </c>
      <c r="J4150" s="140" t="b">
        <f>Proc[[#This Row],[Requested]]=Proc[[#This Row],[CurrentParent]]</f>
        <v>1</v>
      </c>
      <c r="K4150" s="144" t="str">
        <f>IF(Proc[[#This Row],[Author]]="Marcela Urrego",VLOOKUP(LEFT(Proc[[#This Row],[Requested]],1),Table3[#All],2,0),VLOOKUP(Proc[[#This Row],[Author]],Table4[],2,0))</f>
        <v>MGF</v>
      </c>
      <c r="L4150" s="150" t="s">
        <v>4894</v>
      </c>
      <c r="M4150" s="137">
        <v>45909</v>
      </c>
      <c r="N4150" s="137"/>
      <c r="O4150" s="137"/>
      <c r="P4150" s="145" t="str">
        <f ca="1">IF(Proc[[#This Row],[DaysAgeing]]&gt;5,"yep","on track")</f>
        <v>yep</v>
      </c>
      <c r="Q4150" s="3">
        <f ca="1">IF(Proc[[#This Row],[DateClosed]]="",ABS(NETWORKDAYS(Proc[[#This Row],[DateOpened]],TODAY()))-1,ABS(NETWORKDAYS(Proc[[#This Row],[DateOpened]],Proc[[#This Row],[DateClosed]]))-1)</f>
        <v>68</v>
      </c>
      <c r="R4150" s="145" t="s">
        <v>1459</v>
      </c>
      <c r="S4150" s="140"/>
    </row>
    <row r="4151" spans="1:19">
      <c r="A4151" t="s">
        <v>6241</v>
      </c>
      <c r="B4151" s="149" t="str">
        <f>IFERROR(VLOOKUP(Proc[[#This Row],[App]],Table2[],3,0),"open")</f>
        <v>ok</v>
      </c>
      <c r="C4151" s="144" t="s">
        <v>369</v>
      </c>
      <c r="D4151" t="s">
        <v>6205</v>
      </c>
      <c r="E4151" t="s">
        <v>6242</v>
      </c>
      <c r="F4151" s="140" t="s">
        <v>6242</v>
      </c>
      <c r="G4151" t="s">
        <v>406</v>
      </c>
      <c r="H4151" s="140" t="str">
        <f>IF(Proc[[#This Row],[type]]="LFF (MDG-F)",MID(Proc[[#This Row],[Obj]],13,10),"")</f>
        <v>CNS1OF0144</v>
      </c>
      <c r="J4151" s="140" t="b">
        <f>Proc[[#This Row],[Requested]]=Proc[[#This Row],[CurrentParent]]</f>
        <v>1</v>
      </c>
      <c r="K4151" s="144" t="str">
        <f>IF(Proc[[#This Row],[Author]]="Marcela Urrego",VLOOKUP(LEFT(Proc[[#This Row],[Requested]],1),Table3[#All],2,0),VLOOKUP(Proc[[#This Row],[Author]],Table4[],2,0))</f>
        <v>EL</v>
      </c>
      <c r="L4151" s="140" t="s">
        <v>4894</v>
      </c>
      <c r="M4151" s="137">
        <v>45909</v>
      </c>
      <c r="N4151" s="137"/>
      <c r="O4151" s="137"/>
      <c r="P4151" s="145" t="str">
        <f ca="1">IF(Proc[[#This Row],[DaysAgeing]]&gt;5,"yep","on track")</f>
        <v>yep</v>
      </c>
      <c r="Q4151" s="3">
        <f ca="1">IF(Proc[[#This Row],[DateClosed]]="",ABS(NETWORKDAYS(Proc[[#This Row],[DateOpened]],TODAY()))-1,ABS(NETWORKDAYS(Proc[[#This Row],[DateOpened]],Proc[[#This Row],[DateClosed]]))-1)</f>
        <v>68</v>
      </c>
      <c r="R4151" s="145" t="s">
        <v>6087</v>
      </c>
      <c r="S4151" s="140"/>
    </row>
    <row r="4152" spans="1:19">
      <c r="A4152" s="144" t="s">
        <v>6241</v>
      </c>
      <c r="B4152" s="149" t="str">
        <f>IFERROR(VLOOKUP(Proc[[#This Row],[App]],Table2[],3,0),"open")</f>
        <v>ok</v>
      </c>
      <c r="C4152" s="144" t="s">
        <v>369</v>
      </c>
      <c r="D4152" t="s">
        <v>6210</v>
      </c>
      <c r="E4152" t="s">
        <v>6242</v>
      </c>
      <c r="F4152" s="140" t="s">
        <v>6242</v>
      </c>
      <c r="G4152" s="144" t="s">
        <v>406</v>
      </c>
      <c r="H4152" s="140" t="str">
        <f>IF(Proc[[#This Row],[type]]="LFF (MDG-F)",MID(Proc[[#This Row],[Obj]],13,10),"")</f>
        <v>MYS1OF0110</v>
      </c>
      <c r="J4152" s="140" t="b">
        <f>Proc[[#This Row],[Requested]]=Proc[[#This Row],[CurrentParent]]</f>
        <v>1</v>
      </c>
      <c r="K4152" s="144" t="str">
        <f>IF(Proc[[#This Row],[Author]]="Marcela Urrego",VLOOKUP(LEFT(Proc[[#This Row],[Requested]],1),Table3[#All],2,0),VLOOKUP(Proc[[#This Row],[Author]],Table4[],2,0))</f>
        <v>EL</v>
      </c>
      <c r="L4152" s="140" t="s">
        <v>4894</v>
      </c>
      <c r="M4152" s="137">
        <v>45909</v>
      </c>
      <c r="N4152" s="137"/>
      <c r="O4152" s="137"/>
      <c r="P4152" s="145" t="str">
        <f ca="1">IF(Proc[[#This Row],[DaysAgeing]]&gt;5,"yep","on track")</f>
        <v>yep</v>
      </c>
      <c r="Q4152" s="3">
        <f ca="1">IF(Proc[[#This Row],[DateClosed]]="",ABS(NETWORKDAYS(Proc[[#This Row],[DateOpened]],TODAY()))-1,ABS(NETWORKDAYS(Proc[[#This Row],[DateOpened]],Proc[[#This Row],[DateClosed]]))-1)</f>
        <v>68</v>
      </c>
      <c r="R4152" s="145" t="s">
        <v>6087</v>
      </c>
      <c r="S4152" s="140"/>
    </row>
    <row r="4153" spans="1:19">
      <c r="A4153" s="144" t="s">
        <v>6241</v>
      </c>
      <c r="B4153" s="149" t="str">
        <f>IFERROR(VLOOKUP(Proc[[#This Row],[App]],Table2[],3,0),"open")</f>
        <v>ok</v>
      </c>
      <c r="C4153" s="144" t="s">
        <v>369</v>
      </c>
      <c r="D4153" t="s">
        <v>6212</v>
      </c>
      <c r="E4153" t="s">
        <v>6242</v>
      </c>
      <c r="F4153" s="140" t="s">
        <v>6242</v>
      </c>
      <c r="G4153" s="144" t="s">
        <v>406</v>
      </c>
      <c r="H4153" s="140" t="str">
        <f>IF(Proc[[#This Row],[type]]="LFF (MDG-F)",MID(Proc[[#This Row],[Obj]],13,10),"")</f>
        <v>THS1OF0110</v>
      </c>
      <c r="J4153" s="140" t="b">
        <f>Proc[[#This Row],[Requested]]=Proc[[#This Row],[CurrentParent]]</f>
        <v>1</v>
      </c>
      <c r="K4153" s="144" t="str">
        <f>IF(Proc[[#This Row],[Author]]="Marcela Urrego",VLOOKUP(LEFT(Proc[[#This Row],[Requested]],1),Table3[#All],2,0),VLOOKUP(Proc[[#This Row],[Author]],Table4[],2,0))</f>
        <v>EL</v>
      </c>
      <c r="L4153" s="140" t="s">
        <v>4894</v>
      </c>
      <c r="M4153" s="137">
        <v>45909</v>
      </c>
      <c r="N4153" s="137"/>
      <c r="O4153" s="137"/>
      <c r="P4153" s="145" t="str">
        <f ca="1">IF(Proc[[#This Row],[DaysAgeing]]&gt;5,"yep","on track")</f>
        <v>yep</v>
      </c>
      <c r="Q4153" s="3">
        <f ca="1">IF(Proc[[#This Row],[DateClosed]]="",ABS(NETWORKDAYS(Proc[[#This Row],[DateOpened]],TODAY()))-1,ABS(NETWORKDAYS(Proc[[#This Row],[DateOpened]],Proc[[#This Row],[DateClosed]]))-1)</f>
        <v>68</v>
      </c>
      <c r="R4153" s="145" t="s">
        <v>6087</v>
      </c>
      <c r="S4153" s="140"/>
    </row>
    <row r="4154" spans="1:19">
      <c r="A4154" s="144" t="s">
        <v>6241</v>
      </c>
      <c r="B4154" s="149" t="str">
        <f>IFERROR(VLOOKUP(Proc[[#This Row],[App]],Table2[],3,0),"open")</f>
        <v>ok</v>
      </c>
      <c r="C4154" s="144" t="s">
        <v>369</v>
      </c>
      <c r="D4154" t="s">
        <v>6210</v>
      </c>
      <c r="E4154" t="s">
        <v>6242</v>
      </c>
      <c r="F4154" s="140" t="s">
        <v>6242</v>
      </c>
      <c r="G4154" s="144" t="s">
        <v>406</v>
      </c>
      <c r="H4154" s="140" t="str">
        <f>IF(Proc[[#This Row],[type]]="LFF (MDG-F)",MID(Proc[[#This Row],[Obj]],13,10),"")</f>
        <v>MYS1OF0110</v>
      </c>
      <c r="J4154" s="140" t="b">
        <f>Proc[[#This Row],[Requested]]=Proc[[#This Row],[CurrentParent]]</f>
        <v>1</v>
      </c>
      <c r="K4154" s="144" t="str">
        <f>IF(Proc[[#This Row],[Author]]="Marcela Urrego",VLOOKUP(LEFT(Proc[[#This Row],[Requested]],1),Table3[#All],2,0),VLOOKUP(Proc[[#This Row],[Author]],Table4[],2,0))</f>
        <v>EL</v>
      </c>
      <c r="L4154" s="140" t="s">
        <v>4894</v>
      </c>
      <c r="M4154" s="137">
        <v>45909</v>
      </c>
      <c r="N4154" s="137"/>
      <c r="O4154" s="137"/>
      <c r="P4154" s="145" t="str">
        <f ca="1">IF(Proc[[#This Row],[DaysAgeing]]&gt;5,"yep","on track")</f>
        <v>yep</v>
      </c>
      <c r="Q4154" s="3">
        <f ca="1">IF(Proc[[#This Row],[DateClosed]]="",ABS(NETWORKDAYS(Proc[[#This Row],[DateOpened]],TODAY()))-1,ABS(NETWORKDAYS(Proc[[#This Row],[DateOpened]],Proc[[#This Row],[DateClosed]]))-1)</f>
        <v>68</v>
      </c>
      <c r="R4154" s="145" t="s">
        <v>6087</v>
      </c>
      <c r="S4154" s="140"/>
    </row>
    <row r="4155" spans="1:19">
      <c r="A4155" t="s">
        <v>6246</v>
      </c>
      <c r="B4155" s="149" t="str">
        <f>IFERROR(VLOOKUP(Proc[[#This Row],[App]],Table2[],3,0),"open")</f>
        <v>ok</v>
      </c>
      <c r="C4155" s="144" t="s">
        <v>369</v>
      </c>
      <c r="D4155" t="s">
        <v>5534</v>
      </c>
      <c r="E4155" t="s">
        <v>6245</v>
      </c>
      <c r="F4155" s="140" t="s">
        <v>6245</v>
      </c>
      <c r="G4155" t="s">
        <v>400</v>
      </c>
      <c r="H4155" s="140" t="str">
        <f>IF(Proc[[#This Row],[type]]="LFF (MDG-F)",MID(Proc[[#This Row],[Obj]],13,10),"")</f>
        <v/>
      </c>
      <c r="J4155" s="140" t="b">
        <f>Proc[[#This Row],[Requested]]=Proc[[#This Row],[CurrentParent]]</f>
        <v>1</v>
      </c>
      <c r="K4155" s="140" t="str">
        <f>IF(Proc[[#This Row],[Author]]="Marcela Urrego",VLOOKUP(LEFT(Proc[[#This Row],[Requested]],1),Table3[#All],2,0),VLOOKUP(Proc[[#This Row],[Author]],Table4[],2,0))</f>
        <v>MGF</v>
      </c>
      <c r="L4155" s="140" t="s">
        <v>4894</v>
      </c>
      <c r="M4155" s="145">
        <v>45909</v>
      </c>
      <c r="N4155" s="145"/>
      <c r="O4155" s="145"/>
      <c r="P4155" s="146" t="str">
        <f ca="1">IF(Proc[[#This Row],[DaysAgeing]]&gt;5,"yep","on track")</f>
        <v>yep</v>
      </c>
      <c r="Q4155" s="3">
        <f ca="1">IF(Proc[[#This Row],[DateClosed]]="",ABS(NETWORKDAYS(Proc[[#This Row],[DateOpened]],TODAY()))-1,ABS(NETWORKDAYS(Proc[[#This Row],[DateOpened]],Proc[[#This Row],[DateClosed]]))-1)</f>
        <v>68</v>
      </c>
      <c r="R4155" s="146" t="s">
        <v>6247</v>
      </c>
      <c r="S4155" s="140"/>
    </row>
    <row r="4156" spans="1:19">
      <c r="A4156" t="s">
        <v>6246</v>
      </c>
      <c r="B4156" s="149" t="str">
        <f>IFERROR(VLOOKUP(Proc[[#This Row],[App]],Table2[],3,0),"open")</f>
        <v>ok</v>
      </c>
      <c r="C4156" s="144" t="s">
        <v>369</v>
      </c>
      <c r="D4156" t="s">
        <v>5535</v>
      </c>
      <c r="E4156" t="s">
        <v>6245</v>
      </c>
      <c r="F4156" s="140" t="s">
        <v>6245</v>
      </c>
      <c r="G4156" t="s">
        <v>400</v>
      </c>
      <c r="H4156" s="140" t="str">
        <f>IF(Proc[[#This Row],[type]]="LFF (MDG-F)",MID(Proc[[#This Row],[Obj]],13,10),"")</f>
        <v/>
      </c>
      <c r="J4156" s="140" t="b">
        <f>Proc[[#This Row],[Requested]]=Proc[[#This Row],[CurrentParent]]</f>
        <v>1</v>
      </c>
      <c r="K4156" s="140" t="str">
        <f>IF(Proc[[#This Row],[Author]]="Marcela Urrego",VLOOKUP(LEFT(Proc[[#This Row],[Requested]],1),Table3[#All],2,0),VLOOKUP(Proc[[#This Row],[Author]],Table4[],2,0))</f>
        <v>MGF</v>
      </c>
      <c r="L4156" s="140" t="s">
        <v>4894</v>
      </c>
      <c r="M4156" s="145">
        <v>45909</v>
      </c>
      <c r="N4156" s="145"/>
      <c r="O4156" s="145"/>
      <c r="P4156" s="146" t="str">
        <f ca="1">IF(Proc[[#This Row],[DaysAgeing]]&gt;5,"yep","on track")</f>
        <v>yep</v>
      </c>
      <c r="Q4156" s="3">
        <f ca="1">IF(Proc[[#This Row],[DateClosed]]="",ABS(NETWORKDAYS(Proc[[#This Row],[DateOpened]],TODAY()))-1,ABS(NETWORKDAYS(Proc[[#This Row],[DateOpened]],Proc[[#This Row],[DateClosed]]))-1)</f>
        <v>68</v>
      </c>
      <c r="R4156" s="146" t="s">
        <v>6247</v>
      </c>
      <c r="S4156" s="140"/>
    </row>
    <row r="4157" spans="1:19">
      <c r="A4157" s="144" t="s">
        <v>6246</v>
      </c>
      <c r="B4157" s="149" t="str">
        <f>IFERROR(VLOOKUP(Proc[[#This Row],[App]],Table2[],3,0),"open")</f>
        <v>ok</v>
      </c>
      <c r="C4157" s="144" t="s">
        <v>369</v>
      </c>
      <c r="D4157" t="s">
        <v>5536</v>
      </c>
      <c r="E4157" t="s">
        <v>6245</v>
      </c>
      <c r="F4157" s="140" t="s">
        <v>6245</v>
      </c>
      <c r="G4157" s="144" t="s">
        <v>400</v>
      </c>
      <c r="H4157" s="140" t="str">
        <f>IF(Proc[[#This Row],[type]]="LFF (MDG-F)",MID(Proc[[#This Row],[Obj]],13,10),"")</f>
        <v/>
      </c>
      <c r="J4157" s="140" t="b">
        <f>Proc[[#This Row],[Requested]]=Proc[[#This Row],[CurrentParent]]</f>
        <v>1</v>
      </c>
      <c r="K4157" s="140" t="str">
        <f>IF(Proc[[#This Row],[Author]]="Marcela Urrego",VLOOKUP(LEFT(Proc[[#This Row],[Requested]],1),Table3[#All],2,0),VLOOKUP(Proc[[#This Row],[Author]],Table4[],2,0))</f>
        <v>MGF</v>
      </c>
      <c r="L4157" s="140" t="s">
        <v>4894</v>
      </c>
      <c r="M4157" s="145">
        <v>45909</v>
      </c>
      <c r="N4157" s="145"/>
      <c r="O4157" s="145"/>
      <c r="P4157" s="146" t="str">
        <f ca="1">IF(Proc[[#This Row],[DaysAgeing]]&gt;5,"yep","on track")</f>
        <v>yep</v>
      </c>
      <c r="Q4157" s="3">
        <f ca="1">IF(Proc[[#This Row],[DateClosed]]="",ABS(NETWORKDAYS(Proc[[#This Row],[DateOpened]],TODAY()))-1,ABS(NETWORKDAYS(Proc[[#This Row],[DateOpened]],Proc[[#This Row],[DateClosed]]))-1)</f>
        <v>68</v>
      </c>
      <c r="R4157" s="146" t="s">
        <v>6247</v>
      </c>
      <c r="S4157" s="140"/>
    </row>
    <row r="4158" spans="1:19">
      <c r="A4158" s="144" t="s">
        <v>6246</v>
      </c>
      <c r="B4158" s="149" t="str">
        <f>IFERROR(VLOOKUP(Proc[[#This Row],[App]],Table2[],3,0),"open")</f>
        <v>ok</v>
      </c>
      <c r="C4158" s="144" t="s">
        <v>369</v>
      </c>
      <c r="D4158" t="s">
        <v>5537</v>
      </c>
      <c r="E4158" t="s">
        <v>6245</v>
      </c>
      <c r="F4158" s="140" t="s">
        <v>6245</v>
      </c>
      <c r="G4158" s="144" t="s">
        <v>400</v>
      </c>
      <c r="H4158" s="140" t="str">
        <f>IF(Proc[[#This Row],[type]]="LFF (MDG-F)",MID(Proc[[#This Row],[Obj]],13,10),"")</f>
        <v/>
      </c>
      <c r="J4158" s="140" t="b">
        <f>Proc[[#This Row],[Requested]]=Proc[[#This Row],[CurrentParent]]</f>
        <v>1</v>
      </c>
      <c r="K4158" s="140" t="str">
        <f>IF(Proc[[#This Row],[Author]]="Marcela Urrego",VLOOKUP(LEFT(Proc[[#This Row],[Requested]],1),Table3[#All],2,0),VLOOKUP(Proc[[#This Row],[Author]],Table4[],2,0))</f>
        <v>MGF</v>
      </c>
      <c r="L4158" s="140" t="s">
        <v>4894</v>
      </c>
      <c r="M4158" s="145">
        <v>45909</v>
      </c>
      <c r="N4158" s="145"/>
      <c r="O4158" s="145"/>
      <c r="P4158" s="146" t="str">
        <f ca="1">IF(Proc[[#This Row],[DaysAgeing]]&gt;5,"yep","on track")</f>
        <v>yep</v>
      </c>
      <c r="Q4158" s="3">
        <f ca="1">IF(Proc[[#This Row],[DateClosed]]="",ABS(NETWORKDAYS(Proc[[#This Row],[DateOpened]],TODAY()))-1,ABS(NETWORKDAYS(Proc[[#This Row],[DateOpened]],Proc[[#This Row],[DateClosed]]))-1)</f>
        <v>68</v>
      </c>
      <c r="R4158" s="146" t="s">
        <v>6247</v>
      </c>
      <c r="S4158" s="140"/>
    </row>
    <row r="4159" spans="1:19">
      <c r="A4159" s="144" t="s">
        <v>6246</v>
      </c>
      <c r="B4159" s="149" t="str">
        <f>IFERROR(VLOOKUP(Proc[[#This Row],[App]],Table2[],3,0),"open")</f>
        <v>ok</v>
      </c>
      <c r="C4159" s="144" t="s">
        <v>369</v>
      </c>
      <c r="D4159" t="s">
        <v>5538</v>
      </c>
      <c r="E4159" t="s">
        <v>6245</v>
      </c>
      <c r="F4159" s="140" t="s">
        <v>6245</v>
      </c>
      <c r="G4159" s="144" t="s">
        <v>400</v>
      </c>
      <c r="H4159" s="140" t="str">
        <f>IF(Proc[[#This Row],[type]]="LFF (MDG-F)",MID(Proc[[#This Row],[Obj]],13,10),"")</f>
        <v/>
      </c>
      <c r="J4159" s="140" t="b">
        <f>Proc[[#This Row],[Requested]]=Proc[[#This Row],[CurrentParent]]</f>
        <v>1</v>
      </c>
      <c r="K4159" s="140" t="str">
        <f>IF(Proc[[#This Row],[Author]]="Marcela Urrego",VLOOKUP(LEFT(Proc[[#This Row],[Requested]],1),Table3[#All],2,0),VLOOKUP(Proc[[#This Row],[Author]],Table4[],2,0))</f>
        <v>MGF</v>
      </c>
      <c r="L4159" s="140" t="s">
        <v>4894</v>
      </c>
      <c r="M4159" s="145">
        <v>45909</v>
      </c>
      <c r="N4159" s="145"/>
      <c r="O4159" s="145"/>
      <c r="P4159" s="146" t="str">
        <f ca="1">IF(Proc[[#This Row],[DaysAgeing]]&gt;5,"yep","on track")</f>
        <v>yep</v>
      </c>
      <c r="Q4159" s="3">
        <f ca="1">IF(Proc[[#This Row],[DateClosed]]="",ABS(NETWORKDAYS(Proc[[#This Row],[DateOpened]],TODAY()))-1,ABS(NETWORKDAYS(Proc[[#This Row],[DateOpened]],Proc[[#This Row],[DateClosed]]))-1)</f>
        <v>68</v>
      </c>
      <c r="R4159" s="146" t="s">
        <v>6247</v>
      </c>
      <c r="S4159" s="140"/>
    </row>
    <row r="4160" spans="1:19">
      <c r="A4160" t="s">
        <v>6250</v>
      </c>
      <c r="B4160" s="149" t="str">
        <f>IFERROR(VLOOKUP(Proc[[#This Row],[App]],Table2[],3,0),"open")</f>
        <v>ok</v>
      </c>
      <c r="C4160" s="144" t="s">
        <v>369</v>
      </c>
      <c r="D4160" s="147" t="s">
        <v>6251</v>
      </c>
      <c r="E4160" t="s">
        <v>6248</v>
      </c>
      <c r="F4160" s="140" t="s">
        <v>6248</v>
      </c>
      <c r="G4160" t="s">
        <v>406</v>
      </c>
      <c r="H4160" s="140" t="str">
        <f>IF(Proc[[#This Row],[type]]="LFF (MDG-F)",MID(Proc[[#This Row],[Obj]],13,10),"")</f>
        <v>US10O05003</v>
      </c>
      <c r="J4160" s="140" t="b">
        <f>Proc[[#This Row],[Requested]]=Proc[[#This Row],[CurrentParent]]</f>
        <v>1</v>
      </c>
      <c r="K4160" s="140" t="str">
        <f>IF(Proc[[#This Row],[Author]]="Marcela Urrego",VLOOKUP(LEFT(Proc[[#This Row],[Requested]],1),Table3[#All],2,0),VLOOKUP(Proc[[#This Row],[Author]],Table4[],2,0))</f>
        <v>EL</v>
      </c>
      <c r="L4160" s="140" t="s">
        <v>4894</v>
      </c>
      <c r="M4160" s="146">
        <v>45909</v>
      </c>
      <c r="N4160" s="148"/>
      <c r="O4160" s="148"/>
      <c r="P4160" s="146" t="str">
        <f ca="1">IF(Proc[[#This Row],[DaysAgeing]]&gt;5,"yep","on track")</f>
        <v>yep</v>
      </c>
      <c r="Q4160" s="3">
        <f ca="1">IF(Proc[[#This Row],[DateClosed]]="",ABS(NETWORKDAYS(Proc[[#This Row],[DateOpened]],TODAY()))-1,ABS(NETWORKDAYS(Proc[[#This Row],[DateOpened]],Proc[[#This Row],[DateClosed]]))-1)</f>
        <v>68</v>
      </c>
      <c r="R4160" s="146" t="s">
        <v>5709</v>
      </c>
      <c r="S4160" s="140"/>
    </row>
    <row r="4161" spans="1:19">
      <c r="A4161" s="144" t="s">
        <v>6250</v>
      </c>
      <c r="B4161" s="149" t="str">
        <f>IFERROR(VLOOKUP(Proc[[#This Row],[App]],Table2[],3,0),"open")</f>
        <v>ok</v>
      </c>
      <c r="C4161" s="144" t="s">
        <v>369</v>
      </c>
      <c r="D4161" s="147" t="s">
        <v>6252</v>
      </c>
      <c r="E4161" s="144" t="s">
        <v>6249</v>
      </c>
      <c r="F4161" s="140" t="s">
        <v>6249</v>
      </c>
      <c r="G4161" s="144" t="s">
        <v>406</v>
      </c>
      <c r="H4161" s="140" t="str">
        <f>IF(Proc[[#This Row],[type]]="LFF (MDG-F)",MID(Proc[[#This Row],[Obj]],13,10),"")</f>
        <v>KR07O05003</v>
      </c>
      <c r="J4161" s="140" t="b">
        <f>Proc[[#This Row],[Requested]]=Proc[[#This Row],[CurrentParent]]</f>
        <v>1</v>
      </c>
      <c r="K4161" s="140" t="str">
        <f>IF(Proc[[#This Row],[Author]]="Marcela Urrego",VLOOKUP(LEFT(Proc[[#This Row],[Requested]],1),Table3[#All],2,0),VLOOKUP(Proc[[#This Row],[Author]],Table4[],2,0))</f>
        <v>EL</v>
      </c>
      <c r="L4161" s="140" t="s">
        <v>4894</v>
      </c>
      <c r="M4161" s="146">
        <v>45909</v>
      </c>
      <c r="N4161" s="148"/>
      <c r="O4161" s="148"/>
      <c r="P4161" s="146" t="str">
        <f ca="1">IF(Proc[[#This Row],[DaysAgeing]]&gt;5,"yep","on track")</f>
        <v>yep</v>
      </c>
      <c r="Q4161" s="3">
        <f ca="1">IF(Proc[[#This Row],[DateClosed]]="",ABS(NETWORKDAYS(Proc[[#This Row],[DateOpened]],TODAY()))-1,ABS(NETWORKDAYS(Proc[[#This Row],[DateOpened]],Proc[[#This Row],[DateClosed]]))-1)</f>
        <v>68</v>
      </c>
      <c r="R4161" s="146" t="s">
        <v>5709</v>
      </c>
      <c r="S4161" s="140"/>
    </row>
    <row r="4162" spans="1:19">
      <c r="A4162" s="144" t="s">
        <v>6250</v>
      </c>
      <c r="B4162" s="149" t="str">
        <f>IFERROR(VLOOKUP(Proc[[#This Row],[App]],Table2[],3,0),"open")</f>
        <v>ok</v>
      </c>
      <c r="C4162" s="144" t="s">
        <v>369</v>
      </c>
      <c r="D4162" s="147" t="s">
        <v>6253</v>
      </c>
      <c r="E4162" s="144" t="s">
        <v>6249</v>
      </c>
      <c r="F4162" s="140" t="s">
        <v>6249</v>
      </c>
      <c r="G4162" s="144" t="s">
        <v>406</v>
      </c>
      <c r="H4162" s="140" t="str">
        <f>IF(Proc[[#This Row],[type]]="LFF (MDG-F)",MID(Proc[[#This Row],[Obj]],13,10),"")</f>
        <v>CN10O05003</v>
      </c>
      <c r="J4162" s="140" t="b">
        <f>Proc[[#This Row],[Requested]]=Proc[[#This Row],[CurrentParent]]</f>
        <v>1</v>
      </c>
      <c r="K4162" s="140" t="str">
        <f>IF(Proc[[#This Row],[Author]]="Marcela Urrego",VLOOKUP(LEFT(Proc[[#This Row],[Requested]],1),Table3[#All],2,0),VLOOKUP(Proc[[#This Row],[Author]],Table4[],2,0))</f>
        <v>EL</v>
      </c>
      <c r="L4162" s="140" t="s">
        <v>4894</v>
      </c>
      <c r="M4162" s="146">
        <v>45909</v>
      </c>
      <c r="N4162" s="148"/>
      <c r="O4162" s="148"/>
      <c r="P4162" s="146" t="str">
        <f ca="1">IF(Proc[[#This Row],[DaysAgeing]]&gt;5,"yep","on track")</f>
        <v>yep</v>
      </c>
      <c r="Q4162" s="3">
        <f ca="1">IF(Proc[[#This Row],[DateClosed]]="",ABS(NETWORKDAYS(Proc[[#This Row],[DateOpened]],TODAY()))-1,ABS(NETWORKDAYS(Proc[[#This Row],[DateOpened]],Proc[[#This Row],[DateClosed]]))-1)</f>
        <v>68</v>
      </c>
      <c r="R4162" s="146" t="s">
        <v>5709</v>
      </c>
      <c r="S4162" s="140"/>
    </row>
    <row r="4163" spans="1:19">
      <c r="A4163" t="s">
        <v>6270</v>
      </c>
      <c r="B4163" s="149" t="str">
        <f>IFERROR(VLOOKUP(Proc[[#This Row],[App]],Table2[],3,0),"open")</f>
        <v>ok</v>
      </c>
      <c r="C4163" s="144" t="s">
        <v>369</v>
      </c>
      <c r="D4163" t="s">
        <v>6254</v>
      </c>
      <c r="E4163" t="s">
        <v>6263</v>
      </c>
      <c r="F4163" s="150" t="s">
        <v>6263</v>
      </c>
      <c r="G4163" t="s">
        <v>400</v>
      </c>
      <c r="H4163" s="140" t="str">
        <f>IF(Proc[[#This Row],[type]]="LFF (MDG-F)",MID(Proc[[#This Row],[Obj]],13,10),"")</f>
        <v/>
      </c>
      <c r="J4163" s="140" t="b">
        <f>Proc[[#This Row],[Requested]]=Proc[[#This Row],[CurrentParent]]</f>
        <v>1</v>
      </c>
      <c r="K4163" s="140" t="str">
        <f>IF(Proc[[#This Row],[Author]]="Marcela Urrego",VLOOKUP(LEFT(Proc[[#This Row],[Requested]],1),Table3[#All],2,0),VLOOKUP(Proc[[#This Row],[Author]],Table4[],2,0))</f>
        <v>EL</v>
      </c>
      <c r="L4163" s="140" t="s">
        <v>4894</v>
      </c>
      <c r="M4163" s="146">
        <v>45912</v>
      </c>
      <c r="N4163" s="148"/>
      <c r="O4163" s="148"/>
      <c r="P4163" s="146" t="str">
        <f ca="1">IF(Proc[[#This Row],[DaysAgeing]]&gt;5,"yep","on track")</f>
        <v>yep</v>
      </c>
      <c r="Q4163" s="3">
        <f ca="1">IF(Proc[[#This Row],[DateClosed]]="",ABS(NETWORKDAYS(Proc[[#This Row],[DateOpened]],TODAY()))-1,ABS(NETWORKDAYS(Proc[[#This Row],[DateOpened]],Proc[[#This Row],[DateClosed]]))-1)</f>
        <v>65</v>
      </c>
      <c r="R4163" s="146" t="s">
        <v>780</v>
      </c>
      <c r="S4163" s="140"/>
    </row>
    <row r="4164" spans="1:19">
      <c r="A4164" s="144" t="s">
        <v>6270</v>
      </c>
      <c r="B4164" s="149" t="str">
        <f>IFERROR(VLOOKUP(Proc[[#This Row],[App]],Table2[],3,0),"open")</f>
        <v>ok</v>
      </c>
      <c r="C4164" s="149" t="s">
        <v>369</v>
      </c>
      <c r="D4164" t="s">
        <v>6255</v>
      </c>
      <c r="E4164" t="s">
        <v>6264</v>
      </c>
      <c r="F4164" s="150" t="s">
        <v>6264</v>
      </c>
      <c r="G4164" t="s">
        <v>406</v>
      </c>
      <c r="H4164" s="140" t="str">
        <f>IF(Proc[[#This Row],[type]]="LFF (MDG-F)",MID(Proc[[#This Row],[Obj]],13,10),"")</f>
        <v>TW91PD1010</v>
      </c>
      <c r="I4164" s="144"/>
      <c r="J4164" s="140" t="b">
        <f>Proc[[#This Row],[Requested]]=Proc[[#This Row],[CurrentParent]]</f>
        <v>1</v>
      </c>
      <c r="K4164" s="140" t="str">
        <f>IF(Proc[[#This Row],[Author]]="Marcela Urrego",VLOOKUP(LEFT(Proc[[#This Row],[Requested]],1),Table3[#All],2,0),VLOOKUP(Proc[[#This Row],[Author]],Table4[],2,0))</f>
        <v>EL</v>
      </c>
      <c r="L4164" s="140" t="s">
        <v>4894</v>
      </c>
      <c r="M4164" s="146">
        <v>45912</v>
      </c>
      <c r="N4164" s="148"/>
      <c r="O4164" s="148"/>
      <c r="P4164" s="146" t="str">
        <f ca="1">IF(Proc[[#This Row],[DaysAgeing]]&gt;5,"yep","on track")</f>
        <v>yep</v>
      </c>
      <c r="Q4164" s="3">
        <f ca="1">IF(Proc[[#This Row],[DateClosed]]="",ABS(NETWORKDAYS(Proc[[#This Row],[DateOpened]],TODAY()))-1,ABS(NETWORKDAYS(Proc[[#This Row],[DateOpened]],Proc[[#This Row],[DateClosed]]))-1)</f>
        <v>65</v>
      </c>
      <c r="R4164" s="146" t="s">
        <v>780</v>
      </c>
      <c r="S4164" s="140"/>
    </row>
    <row r="4165" spans="1:19">
      <c r="A4165" s="144" t="s">
        <v>6270</v>
      </c>
      <c r="B4165" s="149" t="str">
        <f>IFERROR(VLOOKUP(Proc[[#This Row],[App]],Table2[],3,0),"open")</f>
        <v>ok</v>
      </c>
      <c r="C4165" s="149" t="s">
        <v>369</v>
      </c>
      <c r="D4165" t="s">
        <v>6256</v>
      </c>
      <c r="E4165" t="s">
        <v>6265</v>
      </c>
      <c r="F4165" s="150" t="s">
        <v>6265</v>
      </c>
      <c r="G4165" s="144" t="s">
        <v>406</v>
      </c>
      <c r="H4165" s="140" t="str">
        <f>IF(Proc[[#This Row],[type]]="LFF (MDG-F)",MID(Proc[[#This Row],[Obj]],13,10),"")</f>
        <v>US10C05025</v>
      </c>
      <c r="I4165" s="144"/>
      <c r="J4165" s="140" t="b">
        <f>Proc[[#This Row],[Requested]]=Proc[[#This Row],[CurrentParent]]</f>
        <v>1</v>
      </c>
      <c r="K4165" s="140" t="str">
        <f>IF(Proc[[#This Row],[Author]]="Marcela Urrego",VLOOKUP(LEFT(Proc[[#This Row],[Requested]],1),Table3[#All],2,0),VLOOKUP(Proc[[#This Row],[Author]],Table4[],2,0))</f>
        <v>EL</v>
      </c>
      <c r="L4165" s="140" t="s">
        <v>4894</v>
      </c>
      <c r="M4165" s="146">
        <v>45912</v>
      </c>
      <c r="N4165" s="148"/>
      <c r="O4165" s="148"/>
      <c r="P4165" s="146" t="str">
        <f ca="1">IF(Proc[[#This Row],[DaysAgeing]]&gt;5,"yep","on track")</f>
        <v>yep</v>
      </c>
      <c r="Q4165" s="3">
        <f ca="1">IF(Proc[[#This Row],[DateClosed]]="",ABS(NETWORKDAYS(Proc[[#This Row],[DateOpened]],TODAY()))-1,ABS(NETWORKDAYS(Proc[[#This Row],[DateOpened]],Proc[[#This Row],[DateClosed]]))-1)</f>
        <v>65</v>
      </c>
      <c r="R4165" s="146" t="s">
        <v>780</v>
      </c>
      <c r="S4165" s="140"/>
    </row>
    <row r="4166" spans="1:19">
      <c r="A4166" s="144" t="s">
        <v>6270</v>
      </c>
      <c r="B4166" s="149" t="str">
        <f>IFERROR(VLOOKUP(Proc[[#This Row],[App]],Table2[],3,0),"open")</f>
        <v>ok</v>
      </c>
      <c r="C4166" s="149" t="s">
        <v>369</v>
      </c>
      <c r="D4166" t="s">
        <v>6257</v>
      </c>
      <c r="E4166" t="s">
        <v>6266</v>
      </c>
      <c r="F4166" s="150" t="s">
        <v>6266</v>
      </c>
      <c r="G4166" s="144" t="s">
        <v>406</v>
      </c>
      <c r="H4166" s="140" t="str">
        <f>IF(Proc[[#This Row],[type]]="LFF (MDG-F)",MID(Proc[[#This Row],[Obj]],13,10),"")</f>
        <v>KR15C01027</v>
      </c>
      <c r="I4166" s="144"/>
      <c r="J4166" s="140" t="b">
        <f>Proc[[#This Row],[Requested]]=Proc[[#This Row],[CurrentParent]]</f>
        <v>1</v>
      </c>
      <c r="K4166" s="140" t="str">
        <f>IF(Proc[[#This Row],[Author]]="Marcela Urrego",VLOOKUP(LEFT(Proc[[#This Row],[Requested]],1),Table3[#All],2,0),VLOOKUP(Proc[[#This Row],[Author]],Table4[],2,0))</f>
        <v>EL</v>
      </c>
      <c r="L4166" s="140" t="s">
        <v>4894</v>
      </c>
      <c r="M4166" s="146">
        <v>45912</v>
      </c>
      <c r="N4166" s="148"/>
      <c r="O4166" s="148"/>
      <c r="P4166" s="146" t="str">
        <f ca="1">IF(Proc[[#This Row],[DaysAgeing]]&gt;5,"yep","on track")</f>
        <v>yep</v>
      </c>
      <c r="Q4166" s="3">
        <f ca="1">IF(Proc[[#This Row],[DateClosed]]="",ABS(NETWORKDAYS(Proc[[#This Row],[DateOpened]],TODAY()))-1,ABS(NETWORKDAYS(Proc[[#This Row],[DateOpened]],Proc[[#This Row],[DateClosed]]))-1)</f>
        <v>65</v>
      </c>
      <c r="R4166" s="146" t="s">
        <v>780</v>
      </c>
      <c r="S4166" s="140"/>
    </row>
    <row r="4167" spans="1:19">
      <c r="A4167" s="144" t="s">
        <v>6270</v>
      </c>
      <c r="B4167" s="149" t="str">
        <f>IFERROR(VLOOKUP(Proc[[#This Row],[App]],Table2[],3,0),"open")</f>
        <v>ok</v>
      </c>
      <c r="C4167" s="149" t="s">
        <v>369</v>
      </c>
      <c r="D4167" t="s">
        <v>6258</v>
      </c>
      <c r="E4167" t="s">
        <v>6266</v>
      </c>
      <c r="F4167" s="150" t="s">
        <v>6266</v>
      </c>
      <c r="G4167" s="144" t="s">
        <v>406</v>
      </c>
      <c r="H4167" s="140" t="str">
        <f>IF(Proc[[#This Row],[type]]="LFF (MDG-F)",MID(Proc[[#This Row],[Obj]],13,10),"")</f>
        <v>KR16C01027</v>
      </c>
      <c r="I4167" s="144"/>
      <c r="J4167" s="140" t="b">
        <f>Proc[[#This Row],[Requested]]=Proc[[#This Row],[CurrentParent]]</f>
        <v>1</v>
      </c>
      <c r="K4167" s="140" t="str">
        <f>IF(Proc[[#This Row],[Author]]="Marcela Urrego",VLOOKUP(LEFT(Proc[[#This Row],[Requested]],1),Table3[#All],2,0),VLOOKUP(Proc[[#This Row],[Author]],Table4[],2,0))</f>
        <v>EL</v>
      </c>
      <c r="L4167" s="140" t="s">
        <v>4894</v>
      </c>
      <c r="M4167" s="146">
        <v>45912</v>
      </c>
      <c r="N4167" s="148"/>
      <c r="O4167" s="148"/>
      <c r="P4167" s="146" t="str">
        <f ca="1">IF(Proc[[#This Row],[DaysAgeing]]&gt;5,"yep","on track")</f>
        <v>yep</v>
      </c>
      <c r="Q4167" s="3">
        <f ca="1">IF(Proc[[#This Row],[DateClosed]]="",ABS(NETWORKDAYS(Proc[[#This Row],[DateOpened]],TODAY()))-1,ABS(NETWORKDAYS(Proc[[#This Row],[DateOpened]],Proc[[#This Row],[DateClosed]]))-1)</f>
        <v>65</v>
      </c>
      <c r="R4167" s="146" t="s">
        <v>780</v>
      </c>
      <c r="S4167" s="140"/>
    </row>
    <row r="4168" spans="1:19">
      <c r="A4168" s="144" t="s">
        <v>6270</v>
      </c>
      <c r="B4168" s="149" t="str">
        <f>IFERROR(VLOOKUP(Proc[[#This Row],[App]],Table2[],3,0),"open")</f>
        <v>ok</v>
      </c>
      <c r="C4168" s="149" t="s">
        <v>369</v>
      </c>
      <c r="D4168" t="s">
        <v>6259</v>
      </c>
      <c r="E4168" t="s">
        <v>6267</v>
      </c>
      <c r="F4168" s="150" t="s">
        <v>6267</v>
      </c>
      <c r="G4168" s="144" t="s">
        <v>406</v>
      </c>
      <c r="H4168" s="140" t="str">
        <f>IF(Proc[[#This Row],[type]]="LFF (MDG-F)",MID(Proc[[#This Row],[Obj]],13,10),"")</f>
        <v>CN09C05003</v>
      </c>
      <c r="I4168" s="144"/>
      <c r="J4168" s="140" t="b">
        <f>Proc[[#This Row],[Requested]]=Proc[[#This Row],[CurrentParent]]</f>
        <v>1</v>
      </c>
      <c r="K4168" s="140" t="str">
        <f>IF(Proc[[#This Row],[Author]]="Marcela Urrego",VLOOKUP(LEFT(Proc[[#This Row],[Requested]],1),Table3[#All],2,0),VLOOKUP(Proc[[#This Row],[Author]],Table4[],2,0))</f>
        <v>EL</v>
      </c>
      <c r="L4168" s="140" t="s">
        <v>4894</v>
      </c>
      <c r="M4168" s="146">
        <v>45912</v>
      </c>
      <c r="N4168" s="148"/>
      <c r="O4168" s="148"/>
      <c r="P4168" s="146" t="str">
        <f ca="1">IF(Proc[[#This Row],[DaysAgeing]]&gt;5,"yep","on track")</f>
        <v>yep</v>
      </c>
      <c r="Q4168" s="3">
        <f ca="1">IF(Proc[[#This Row],[DateClosed]]="",ABS(NETWORKDAYS(Proc[[#This Row],[DateOpened]],TODAY()))-1,ABS(NETWORKDAYS(Proc[[#This Row],[DateOpened]],Proc[[#This Row],[DateClosed]]))-1)</f>
        <v>65</v>
      </c>
      <c r="R4168" s="146" t="s">
        <v>780</v>
      </c>
      <c r="S4168" s="140"/>
    </row>
    <row r="4169" spans="1:19">
      <c r="A4169" s="144" t="s">
        <v>6270</v>
      </c>
      <c r="B4169" s="149" t="str">
        <f>IFERROR(VLOOKUP(Proc[[#This Row],[App]],Table2[],3,0),"open")</f>
        <v>ok</v>
      </c>
      <c r="C4169" s="149" t="s">
        <v>369</v>
      </c>
      <c r="D4169" t="s">
        <v>6260</v>
      </c>
      <c r="E4169" t="s">
        <v>6267</v>
      </c>
      <c r="F4169" s="150" t="s">
        <v>6267</v>
      </c>
      <c r="G4169" s="144" t="s">
        <v>406</v>
      </c>
      <c r="H4169" s="140" t="str">
        <f>IF(Proc[[#This Row],[type]]="LFF (MDG-F)",MID(Proc[[#This Row],[Obj]],13,10),"")</f>
        <v>NL10C05001</v>
      </c>
      <c r="I4169" s="144"/>
      <c r="J4169" s="140" t="b">
        <f>Proc[[#This Row],[Requested]]=Proc[[#This Row],[CurrentParent]]</f>
        <v>1</v>
      </c>
      <c r="K4169" s="140" t="str">
        <f>IF(Proc[[#This Row],[Author]]="Marcela Urrego",VLOOKUP(LEFT(Proc[[#This Row],[Requested]],1),Table3[#All],2,0),VLOOKUP(Proc[[#This Row],[Author]],Table4[],2,0))</f>
        <v>EL</v>
      </c>
      <c r="L4169" s="140" t="s">
        <v>4894</v>
      </c>
      <c r="M4169" s="146">
        <v>45912</v>
      </c>
      <c r="N4169" s="148"/>
      <c r="O4169" s="148"/>
      <c r="P4169" s="146" t="str">
        <f ca="1">IF(Proc[[#This Row],[DaysAgeing]]&gt;5,"yep","on track")</f>
        <v>yep</v>
      </c>
      <c r="Q4169" s="3">
        <f ca="1">IF(Proc[[#This Row],[DateClosed]]="",ABS(NETWORKDAYS(Proc[[#This Row],[DateOpened]],TODAY()))-1,ABS(NETWORKDAYS(Proc[[#This Row],[DateOpened]],Proc[[#This Row],[DateClosed]]))-1)</f>
        <v>65</v>
      </c>
      <c r="R4169" s="146" t="s">
        <v>780</v>
      </c>
      <c r="S4169" s="140"/>
    </row>
    <row r="4170" spans="1:19">
      <c r="A4170" s="144" t="s">
        <v>6270</v>
      </c>
      <c r="B4170" s="149" t="str">
        <f>IFERROR(VLOOKUP(Proc[[#This Row],[App]],Table2[],3,0),"open")</f>
        <v>ok</v>
      </c>
      <c r="C4170" s="149" t="s">
        <v>369</v>
      </c>
      <c r="D4170" t="s">
        <v>6261</v>
      </c>
      <c r="E4170" t="s">
        <v>6268</v>
      </c>
      <c r="F4170" s="150" t="s">
        <v>6268</v>
      </c>
      <c r="G4170" s="144" t="s">
        <v>406</v>
      </c>
      <c r="H4170" s="140" t="str">
        <f>IF(Proc[[#This Row],[type]]="LFF (MDG-F)",MID(Proc[[#This Row],[Obj]],13,10),"")</f>
        <v>MY10C05000</v>
      </c>
      <c r="I4170" s="144"/>
      <c r="J4170" s="140" t="b">
        <f>Proc[[#This Row],[Requested]]=Proc[[#This Row],[CurrentParent]]</f>
        <v>1</v>
      </c>
      <c r="K4170" s="140" t="str">
        <f>IF(Proc[[#This Row],[Author]]="Marcela Urrego",VLOOKUP(LEFT(Proc[[#This Row],[Requested]],1),Table3[#All],2,0),VLOOKUP(Proc[[#This Row],[Author]],Table4[],2,0))</f>
        <v>EL</v>
      </c>
      <c r="L4170" s="140" t="s">
        <v>4894</v>
      </c>
      <c r="M4170" s="146">
        <v>45912</v>
      </c>
      <c r="N4170" s="148"/>
      <c r="O4170" s="148"/>
      <c r="P4170" s="146" t="str">
        <f ca="1">IF(Proc[[#This Row],[DaysAgeing]]&gt;5,"yep","on track")</f>
        <v>yep</v>
      </c>
      <c r="Q4170" s="3">
        <f ca="1">IF(Proc[[#This Row],[DateClosed]]="",ABS(NETWORKDAYS(Proc[[#This Row],[DateOpened]],TODAY()))-1,ABS(NETWORKDAYS(Proc[[#This Row],[DateOpened]],Proc[[#This Row],[DateClosed]]))-1)</f>
        <v>65</v>
      </c>
      <c r="R4170" s="146" t="s">
        <v>780</v>
      </c>
      <c r="S4170" s="140"/>
    </row>
    <row r="4171" spans="1:19">
      <c r="A4171" s="144" t="s">
        <v>6270</v>
      </c>
      <c r="B4171" s="149" t="str">
        <f>IFERROR(VLOOKUP(Proc[[#This Row],[App]],Table2[],3,0),"open")</f>
        <v>ok</v>
      </c>
      <c r="C4171" s="149" t="s">
        <v>369</v>
      </c>
      <c r="D4171" t="s">
        <v>6262</v>
      </c>
      <c r="E4171" t="s">
        <v>6269</v>
      </c>
      <c r="F4171" s="150" t="s">
        <v>6269</v>
      </c>
      <c r="G4171" s="144" t="s">
        <v>406</v>
      </c>
      <c r="H4171" s="140" t="str">
        <f>IF(Proc[[#This Row],[type]]="LFF (MDG-F)",MID(Proc[[#This Row],[Obj]],13,10),"")</f>
        <v>TW02C00311</v>
      </c>
      <c r="I4171" s="144"/>
      <c r="J4171" s="140" t="b">
        <f>Proc[[#This Row],[Requested]]=Proc[[#This Row],[CurrentParent]]</f>
        <v>1</v>
      </c>
      <c r="K4171" s="140" t="str">
        <f>IF(Proc[[#This Row],[Author]]="Marcela Urrego",VLOOKUP(LEFT(Proc[[#This Row],[Requested]],1),Table3[#All],2,0),VLOOKUP(Proc[[#This Row],[Author]],Table4[],2,0))</f>
        <v>EL</v>
      </c>
      <c r="L4171" s="140" t="s">
        <v>4894</v>
      </c>
      <c r="M4171" s="146">
        <v>45912</v>
      </c>
      <c r="N4171" s="148"/>
      <c r="O4171" s="148"/>
      <c r="P4171" s="146" t="str">
        <f ca="1">IF(Proc[[#This Row],[DaysAgeing]]&gt;5,"yep","on track")</f>
        <v>yep</v>
      </c>
      <c r="Q4171" s="3">
        <f ca="1">IF(Proc[[#This Row],[DateClosed]]="",ABS(NETWORKDAYS(Proc[[#This Row],[DateOpened]],TODAY()))-1,ABS(NETWORKDAYS(Proc[[#This Row],[DateOpened]],Proc[[#This Row],[DateClosed]]))-1)</f>
        <v>65</v>
      </c>
      <c r="R4171" s="146" t="s">
        <v>780</v>
      </c>
      <c r="S4171" s="140"/>
    </row>
    <row r="4172" spans="1:19">
      <c r="A4172" t="s">
        <v>6274</v>
      </c>
      <c r="B4172" s="149" t="str">
        <f>IFERROR(VLOOKUP(Proc[[#This Row],[App]],Table2[],3,0),"open")</f>
        <v>ok</v>
      </c>
      <c r="C4172" s="149" t="s">
        <v>369</v>
      </c>
      <c r="D4172" t="s">
        <v>6271</v>
      </c>
      <c r="E4172" s="149" t="s">
        <v>6272</v>
      </c>
      <c r="F4172" s="150" t="s">
        <v>6272</v>
      </c>
      <c r="G4172" t="s">
        <v>406</v>
      </c>
      <c r="H4172" s="140" t="str">
        <f>IF(Proc[[#This Row],[type]]="LFF (MDG-F)",MID(Proc[[#This Row],[Obj]],13,10),"")</f>
        <v>CN60TANA01</v>
      </c>
      <c r="J4172" s="140" t="b">
        <f>Proc[[#This Row],[Requested]]=Proc[[#This Row],[CurrentParent]]</f>
        <v>1</v>
      </c>
      <c r="K4172" s="140" t="str">
        <f>IF(Proc[[#This Row],[Author]]="Marcela Urrego",VLOOKUP(LEFT(Proc[[#This Row],[Requested]],1),Table3[#All],2,0),VLOOKUP(Proc[[#This Row],[Author]],Table4[],2,0))</f>
        <v>HC</v>
      </c>
      <c r="L4172" s="150" t="s">
        <v>4894</v>
      </c>
      <c r="M4172" s="146">
        <v>45915</v>
      </c>
      <c r="N4172" s="148"/>
      <c r="O4172" s="148"/>
      <c r="P4172" s="146" t="str">
        <f ca="1">IF(Proc[[#This Row],[DaysAgeing]]&gt;5,"yep","on track")</f>
        <v>yep</v>
      </c>
      <c r="Q4172" s="3">
        <f ca="1">IF(Proc[[#This Row],[DateClosed]]="",ABS(NETWORKDAYS(Proc[[#This Row],[DateOpened]],TODAY()))-1,ABS(NETWORKDAYS(Proc[[#This Row],[DateOpened]],Proc[[#This Row],[DateClosed]]))-1)</f>
        <v>64</v>
      </c>
      <c r="R4172" s="146" t="s">
        <v>6273</v>
      </c>
      <c r="S4172" s="140"/>
    </row>
    <row r="4173" spans="1:19">
      <c r="A4173" t="s">
        <v>6287</v>
      </c>
      <c r="B4173" s="150" t="str">
        <f>IFERROR(VLOOKUP(Proc[[#This Row],[App]],Table2[],3,0),"open")</f>
        <v>ok</v>
      </c>
      <c r="C4173" t="s">
        <v>369</v>
      </c>
      <c r="D4173" t="s">
        <v>6277</v>
      </c>
      <c r="E4173" t="s">
        <v>417</v>
      </c>
      <c r="F4173" s="150" t="s">
        <v>417</v>
      </c>
      <c r="G4173" t="s">
        <v>400</v>
      </c>
      <c r="H4173" s="150" t="str">
        <f>IF(Proc[[#This Row],[type]]="LFF (MDG-F)",MID(Proc[[#This Row],[Obj]],13,10),"")</f>
        <v/>
      </c>
      <c r="I4173" t="s">
        <v>6285</v>
      </c>
      <c r="J4173" s="150" t="b">
        <f>Proc[[#This Row],[Requested]]=Proc[[#This Row],[CurrentParent]]</f>
        <v>1</v>
      </c>
      <c r="K4173" s="150" t="str">
        <f>IF(Proc[[#This Row],[Author]]="Marcela Urrego",VLOOKUP(LEFT(Proc[[#This Row],[Requested]],1),Table3[#All],2,0),VLOOKUP(Proc[[#This Row],[Author]],Table4[],2,0))</f>
        <v>LS</v>
      </c>
      <c r="L4173" s="150" t="s">
        <v>4894</v>
      </c>
      <c r="M4173" s="146">
        <v>45916</v>
      </c>
      <c r="N4173" s="148"/>
      <c r="O4173" s="148"/>
      <c r="P4173" s="146" t="str">
        <f ca="1">IF(Proc[[#This Row],[DaysAgeing]]&gt;5,"yep","on track")</f>
        <v>yep</v>
      </c>
      <c r="Q4173" s="3">
        <f ca="1">IF(Proc[[#This Row],[DateClosed]]="",ABS(NETWORKDAYS(Proc[[#This Row],[DateOpened]],TODAY()))-1,ABS(NETWORKDAYS(Proc[[#This Row],[DateOpened]],Proc[[#This Row],[DateClosed]]))-1)</f>
        <v>63</v>
      </c>
      <c r="R4173" s="146" t="s">
        <v>489</v>
      </c>
      <c r="S4173" s="150"/>
    </row>
    <row r="4174" spans="1:19">
      <c r="A4174" s="149" t="s">
        <v>6287</v>
      </c>
      <c r="B4174" s="150" t="str">
        <f>IFERROR(VLOOKUP(Proc[[#This Row],[App]],Table2[],3,0),"open")</f>
        <v>ok</v>
      </c>
      <c r="C4174" s="149" t="s">
        <v>369</v>
      </c>
      <c r="D4174" t="s">
        <v>6278</v>
      </c>
      <c r="E4174" t="s">
        <v>417</v>
      </c>
      <c r="F4174" s="150" t="s">
        <v>417</v>
      </c>
      <c r="G4174" s="149" t="s">
        <v>400</v>
      </c>
      <c r="H4174" s="150" t="str">
        <f>IF(Proc[[#This Row],[type]]="LFF (MDG-F)",MID(Proc[[#This Row],[Obj]],13,10),"")</f>
        <v/>
      </c>
      <c r="I4174" t="s">
        <v>6286</v>
      </c>
      <c r="J4174" s="150" t="b">
        <f>Proc[[#This Row],[Requested]]=Proc[[#This Row],[CurrentParent]]</f>
        <v>1</v>
      </c>
      <c r="K4174" s="150" t="str">
        <f>IF(Proc[[#This Row],[Author]]="Marcela Urrego",VLOOKUP(LEFT(Proc[[#This Row],[Requested]],1),Table3[#All],2,0),VLOOKUP(Proc[[#This Row],[Author]],Table4[],2,0))</f>
        <v>LS</v>
      </c>
      <c r="L4174" s="150" t="s">
        <v>4894</v>
      </c>
      <c r="M4174" s="146">
        <v>45916</v>
      </c>
      <c r="N4174" s="148"/>
      <c r="O4174" s="148"/>
      <c r="P4174" s="146" t="str">
        <f ca="1">IF(Proc[[#This Row],[DaysAgeing]]&gt;5,"yep","on track")</f>
        <v>yep</v>
      </c>
      <c r="Q4174" s="3">
        <f ca="1">IF(Proc[[#This Row],[DateClosed]]="",ABS(NETWORKDAYS(Proc[[#This Row],[DateOpened]],TODAY()))-1,ABS(NETWORKDAYS(Proc[[#This Row],[DateOpened]],Proc[[#This Row],[DateClosed]]))-1)</f>
        <v>63</v>
      </c>
      <c r="R4174" s="146" t="s">
        <v>489</v>
      </c>
      <c r="S4174" s="150"/>
    </row>
    <row r="4175" spans="1:19">
      <c r="A4175" s="149" t="s">
        <v>6287</v>
      </c>
      <c r="B4175" s="150" t="str">
        <f>IFERROR(VLOOKUP(Proc[[#This Row],[App]],Table2[],3,0),"open")</f>
        <v>ok</v>
      </c>
      <c r="C4175" s="149" t="s">
        <v>369</v>
      </c>
      <c r="D4175" t="s">
        <v>6279</v>
      </c>
      <c r="E4175" t="s">
        <v>6283</v>
      </c>
      <c r="F4175" s="150" t="s">
        <v>6283</v>
      </c>
      <c r="G4175" s="149" t="s">
        <v>400</v>
      </c>
      <c r="H4175" s="150" t="str">
        <f>IF(Proc[[#This Row],[type]]="LFF (MDG-F)",MID(Proc[[#This Row],[Obj]],13,10),"")</f>
        <v/>
      </c>
      <c r="J4175" s="150" t="b">
        <f>Proc[[#This Row],[Requested]]=Proc[[#This Row],[CurrentParent]]</f>
        <v>1</v>
      </c>
      <c r="K4175" s="150" t="str">
        <f>IF(Proc[[#This Row],[Author]]="Marcela Urrego",VLOOKUP(LEFT(Proc[[#This Row],[Requested]],1),Table3[#All],2,0),VLOOKUP(Proc[[#This Row],[Author]],Table4[],2,0))</f>
        <v>LS</v>
      </c>
      <c r="L4175" s="150" t="s">
        <v>4894</v>
      </c>
      <c r="M4175" s="146">
        <v>45916</v>
      </c>
      <c r="N4175" s="148"/>
      <c r="O4175" s="148"/>
      <c r="P4175" s="146" t="str">
        <f ca="1">IF(Proc[[#This Row],[DaysAgeing]]&gt;5,"yep","on track")</f>
        <v>yep</v>
      </c>
      <c r="Q4175" s="3">
        <f ca="1">IF(Proc[[#This Row],[DateClosed]]="",ABS(NETWORKDAYS(Proc[[#This Row],[DateOpened]],TODAY()))-1,ABS(NETWORKDAYS(Proc[[#This Row],[DateOpened]],Proc[[#This Row],[DateClosed]]))-1)</f>
        <v>63</v>
      </c>
      <c r="R4175" s="146" t="s">
        <v>489</v>
      </c>
      <c r="S4175" s="150"/>
    </row>
    <row r="4176" spans="1:19">
      <c r="A4176" s="149" t="s">
        <v>6287</v>
      </c>
      <c r="B4176" s="150" t="str">
        <f>IFERROR(VLOOKUP(Proc[[#This Row],[App]],Table2[],3,0),"open")</f>
        <v>ok</v>
      </c>
      <c r="C4176" s="149" t="s">
        <v>369</v>
      </c>
      <c r="D4176" t="s">
        <v>6280</v>
      </c>
      <c r="E4176" t="s">
        <v>2678</v>
      </c>
      <c r="F4176" s="150" t="s">
        <v>2678</v>
      </c>
      <c r="G4176" s="149" t="s">
        <v>400</v>
      </c>
      <c r="H4176" s="150" t="str">
        <f>IF(Proc[[#This Row],[type]]="LFF (MDG-F)",MID(Proc[[#This Row],[Obj]],13,10),"")</f>
        <v/>
      </c>
      <c r="J4176" s="150" t="b">
        <f>Proc[[#This Row],[Requested]]=Proc[[#This Row],[CurrentParent]]</f>
        <v>1</v>
      </c>
      <c r="K4176" s="150" t="str">
        <f>IF(Proc[[#This Row],[Author]]="Marcela Urrego",VLOOKUP(LEFT(Proc[[#This Row],[Requested]],1),Table3[#All],2,0),VLOOKUP(Proc[[#This Row],[Author]],Table4[],2,0))</f>
        <v>LS</v>
      </c>
      <c r="L4176" s="150" t="s">
        <v>4894</v>
      </c>
      <c r="M4176" s="146">
        <v>45916</v>
      </c>
      <c r="N4176" s="148"/>
      <c r="O4176" s="148"/>
      <c r="P4176" s="146" t="str">
        <f ca="1">IF(Proc[[#This Row],[DaysAgeing]]&gt;5,"yep","on track")</f>
        <v>yep</v>
      </c>
      <c r="Q4176" s="3">
        <f ca="1">IF(Proc[[#This Row],[DateClosed]]="",ABS(NETWORKDAYS(Proc[[#This Row],[DateOpened]],TODAY()))-1,ABS(NETWORKDAYS(Proc[[#This Row],[DateOpened]],Proc[[#This Row],[DateClosed]]))-1)</f>
        <v>63</v>
      </c>
      <c r="R4176" s="146" t="s">
        <v>489</v>
      </c>
      <c r="S4176" s="150"/>
    </row>
    <row r="4177" spans="1:19">
      <c r="A4177" s="149" t="s">
        <v>6287</v>
      </c>
      <c r="B4177" s="150" t="str">
        <f>IFERROR(VLOOKUP(Proc[[#This Row],[App]],Table2[],3,0),"open")</f>
        <v>ok</v>
      </c>
      <c r="C4177" s="149" t="s">
        <v>369</v>
      </c>
      <c r="D4177" t="s">
        <v>6281</v>
      </c>
      <c r="E4177" t="s">
        <v>2592</v>
      </c>
      <c r="F4177" s="150" t="s">
        <v>2592</v>
      </c>
      <c r="G4177" s="149" t="s">
        <v>400</v>
      </c>
      <c r="H4177" s="150" t="str">
        <f>IF(Proc[[#This Row],[type]]="LFF (MDG-F)",MID(Proc[[#This Row],[Obj]],13,10),"")</f>
        <v/>
      </c>
      <c r="I4177" t="s">
        <v>6288</v>
      </c>
      <c r="J4177" s="150" t="b">
        <f>Proc[[#This Row],[Requested]]=Proc[[#This Row],[CurrentParent]]</f>
        <v>1</v>
      </c>
      <c r="K4177" s="150" t="str">
        <f>IF(Proc[[#This Row],[Author]]="Marcela Urrego",VLOOKUP(LEFT(Proc[[#This Row],[Requested]],1),Table3[#All],2,0),VLOOKUP(Proc[[#This Row],[Author]],Table4[],2,0))</f>
        <v>LS</v>
      </c>
      <c r="L4177" s="150" t="s">
        <v>4894</v>
      </c>
      <c r="M4177" s="146">
        <v>45916</v>
      </c>
      <c r="N4177" s="148"/>
      <c r="O4177" s="148"/>
      <c r="P4177" s="146" t="str">
        <f ca="1">IF(Proc[[#This Row],[DaysAgeing]]&gt;5,"yep","on track")</f>
        <v>yep</v>
      </c>
      <c r="Q4177" s="3">
        <f ca="1">IF(Proc[[#This Row],[DateClosed]]="",ABS(NETWORKDAYS(Proc[[#This Row],[DateOpened]],TODAY()))-1,ABS(NETWORKDAYS(Proc[[#This Row],[DateOpened]],Proc[[#This Row],[DateClosed]]))-1)</f>
        <v>63</v>
      </c>
      <c r="R4177" s="146" t="s">
        <v>489</v>
      </c>
      <c r="S4177" s="150"/>
    </row>
    <row r="4178" spans="1:19">
      <c r="A4178" s="149" t="s">
        <v>6287</v>
      </c>
      <c r="B4178" s="150" t="str">
        <f>IFERROR(VLOOKUP(Proc[[#This Row],[App]],Table2[],3,0),"open")</f>
        <v>ok</v>
      </c>
      <c r="C4178" s="149" t="s">
        <v>369</v>
      </c>
      <c r="D4178" t="s">
        <v>6282</v>
      </c>
      <c r="E4178" t="s">
        <v>6284</v>
      </c>
      <c r="F4178" s="150" t="s">
        <v>6284</v>
      </c>
      <c r="G4178" s="149" t="s">
        <v>400</v>
      </c>
      <c r="H4178" s="150" t="str">
        <f>IF(Proc[[#This Row],[type]]="LFF (MDG-F)",MID(Proc[[#This Row],[Obj]],13,10),"")</f>
        <v/>
      </c>
      <c r="J4178" s="150" t="b">
        <f>Proc[[#This Row],[Requested]]=Proc[[#This Row],[CurrentParent]]</f>
        <v>1</v>
      </c>
      <c r="K4178" s="150" t="str">
        <f>IF(Proc[[#This Row],[Author]]="Marcela Urrego",VLOOKUP(LEFT(Proc[[#This Row],[Requested]],1),Table3[#All],2,0),VLOOKUP(Proc[[#This Row],[Author]],Table4[],2,0))</f>
        <v>LS</v>
      </c>
      <c r="L4178" s="150" t="s">
        <v>4894</v>
      </c>
      <c r="M4178" s="146">
        <v>45916</v>
      </c>
      <c r="N4178" s="148"/>
      <c r="O4178" s="148"/>
      <c r="P4178" s="146" t="str">
        <f ca="1">IF(Proc[[#This Row],[DaysAgeing]]&gt;5,"yep","on track")</f>
        <v>yep</v>
      </c>
      <c r="Q4178" s="3">
        <f ca="1">IF(Proc[[#This Row],[DateClosed]]="",ABS(NETWORKDAYS(Proc[[#This Row],[DateOpened]],TODAY()))-1,ABS(NETWORKDAYS(Proc[[#This Row],[DateOpened]],Proc[[#This Row],[DateClosed]]))-1)</f>
        <v>63</v>
      </c>
      <c r="R4178" s="146" t="s">
        <v>489</v>
      </c>
      <c r="S4178" s="150"/>
    </row>
    <row r="4179" spans="1:19">
      <c r="A4179" t="s">
        <v>6303</v>
      </c>
      <c r="B4179" s="150" t="str">
        <f>IFERROR(VLOOKUP(Proc[[#This Row],[App]],Table2[],3,0),"open")</f>
        <v>ok</v>
      </c>
      <c r="C4179" t="s">
        <v>369</v>
      </c>
      <c r="D4179" t="s">
        <v>6289</v>
      </c>
      <c r="E4179" t="s">
        <v>4173</v>
      </c>
      <c r="F4179" s="150" t="s">
        <v>4173</v>
      </c>
      <c r="G4179" t="s">
        <v>400</v>
      </c>
      <c r="H4179" s="150" t="str">
        <f>IF(Proc[[#This Row],[type]]="LFF (MDG-F)",MID(Proc[[#This Row],[Obj]],13,10),"")</f>
        <v/>
      </c>
      <c r="I4179" s="149" t="s">
        <v>6306</v>
      </c>
      <c r="J4179" s="150" t="b">
        <f>Proc[[#This Row],[Requested]]=Proc[[#This Row],[CurrentParent]]</f>
        <v>1</v>
      </c>
      <c r="K4179" s="150" t="str">
        <f>IF(Proc[[#This Row],[Author]]="Marcela Urrego",VLOOKUP(LEFT(Proc[[#This Row],[Requested]],1),Table3[#All],2,0),VLOOKUP(Proc[[#This Row],[Author]],Table4[],2,0))</f>
        <v>HC</v>
      </c>
      <c r="L4179" s="150" t="s">
        <v>4894</v>
      </c>
      <c r="M4179" s="146">
        <v>45917</v>
      </c>
      <c r="N4179" s="148"/>
      <c r="O4179" s="148"/>
      <c r="P4179" s="146" t="str">
        <f ca="1">IF(Proc[[#This Row],[DaysAgeing]]&gt;5,"yep","on track")</f>
        <v>yep</v>
      </c>
      <c r="Q4179" s="3">
        <f ca="1">IF(Proc[[#This Row],[DateClosed]]="",ABS(NETWORKDAYS(Proc[[#This Row],[DateOpened]],TODAY()))-1,ABS(NETWORKDAYS(Proc[[#This Row],[DateOpened]],Proc[[#This Row],[DateClosed]]))-1)</f>
        <v>62</v>
      </c>
      <c r="R4179" s="146" t="s">
        <v>410</v>
      </c>
      <c r="S4179" s="150"/>
    </row>
    <row r="4180" spans="1:19">
      <c r="A4180" s="149" t="s">
        <v>6303</v>
      </c>
      <c r="B4180" s="150" t="str">
        <f>IFERROR(VLOOKUP(Proc[[#This Row],[App]],Table2[],3,0),"open")</f>
        <v>ok</v>
      </c>
      <c r="C4180" s="149" t="s">
        <v>369</v>
      </c>
      <c r="D4180" t="s">
        <v>6290</v>
      </c>
      <c r="E4180" t="s">
        <v>4173</v>
      </c>
      <c r="F4180" s="150" t="s">
        <v>4173</v>
      </c>
      <c r="G4180" s="149" t="s">
        <v>400</v>
      </c>
      <c r="H4180" s="150" t="str">
        <f>IF(Proc[[#This Row],[type]]="LFF (MDG-F)",MID(Proc[[#This Row],[Obj]],13,10),"")</f>
        <v/>
      </c>
      <c r="I4180" s="149" t="s">
        <v>6306</v>
      </c>
      <c r="J4180" s="150" t="b">
        <f>Proc[[#This Row],[Requested]]=Proc[[#This Row],[CurrentParent]]</f>
        <v>1</v>
      </c>
      <c r="K4180" s="150" t="str">
        <f>IF(Proc[[#This Row],[Author]]="Marcela Urrego",VLOOKUP(LEFT(Proc[[#This Row],[Requested]],1),Table3[#All],2,0),VLOOKUP(Proc[[#This Row],[Author]],Table4[],2,0))</f>
        <v>HC</v>
      </c>
      <c r="L4180" s="150" t="s">
        <v>4894</v>
      </c>
      <c r="M4180" s="146">
        <v>45917</v>
      </c>
      <c r="N4180" s="148"/>
      <c r="O4180" s="148"/>
      <c r="P4180" s="146" t="str">
        <f ca="1">IF(Proc[[#This Row],[DaysAgeing]]&gt;5,"yep","on track")</f>
        <v>yep</v>
      </c>
      <c r="Q4180" s="3">
        <f ca="1">IF(Proc[[#This Row],[DateClosed]]="",ABS(NETWORKDAYS(Proc[[#This Row],[DateOpened]],TODAY()))-1,ABS(NETWORKDAYS(Proc[[#This Row],[DateOpened]],Proc[[#This Row],[DateClosed]]))-1)</f>
        <v>62</v>
      </c>
      <c r="R4180" s="146" t="s">
        <v>410</v>
      </c>
      <c r="S4180" s="150"/>
    </row>
    <row r="4181" spans="1:19">
      <c r="A4181" s="149" t="s">
        <v>6303</v>
      </c>
      <c r="B4181" s="150" t="str">
        <f>IFERROR(VLOOKUP(Proc[[#This Row],[App]],Table2[],3,0),"open")</f>
        <v>ok</v>
      </c>
      <c r="C4181" s="149" t="s">
        <v>369</v>
      </c>
      <c r="D4181" t="s">
        <v>6291</v>
      </c>
      <c r="E4181" t="s">
        <v>4173</v>
      </c>
      <c r="F4181" s="150" t="s">
        <v>4173</v>
      </c>
      <c r="G4181" s="149" t="s">
        <v>400</v>
      </c>
      <c r="H4181" s="150" t="str">
        <f>IF(Proc[[#This Row],[type]]="LFF (MDG-F)",MID(Proc[[#This Row],[Obj]],13,10),"")</f>
        <v/>
      </c>
      <c r="I4181" s="149" t="s">
        <v>6306</v>
      </c>
      <c r="J4181" s="150" t="b">
        <f>Proc[[#This Row],[Requested]]=Proc[[#This Row],[CurrentParent]]</f>
        <v>1</v>
      </c>
      <c r="K4181" s="150" t="str">
        <f>IF(Proc[[#This Row],[Author]]="Marcela Urrego",VLOOKUP(LEFT(Proc[[#This Row],[Requested]],1),Table3[#All],2,0),VLOOKUP(Proc[[#This Row],[Author]],Table4[],2,0))</f>
        <v>HC</v>
      </c>
      <c r="L4181" s="150" t="s">
        <v>4894</v>
      </c>
      <c r="M4181" s="146">
        <v>45917</v>
      </c>
      <c r="N4181" s="148"/>
      <c r="O4181" s="148"/>
      <c r="P4181" s="146" t="str">
        <f ca="1">IF(Proc[[#This Row],[DaysAgeing]]&gt;5,"yep","on track")</f>
        <v>yep</v>
      </c>
      <c r="Q4181" s="3">
        <f ca="1">IF(Proc[[#This Row],[DateClosed]]="",ABS(NETWORKDAYS(Proc[[#This Row],[DateOpened]],TODAY()))-1,ABS(NETWORKDAYS(Proc[[#This Row],[DateOpened]],Proc[[#This Row],[DateClosed]]))-1)</f>
        <v>62</v>
      </c>
      <c r="R4181" s="146" t="s">
        <v>410</v>
      </c>
      <c r="S4181" s="150"/>
    </row>
    <row r="4182" spans="1:19">
      <c r="A4182" s="149" t="s">
        <v>6303</v>
      </c>
      <c r="B4182" s="150" t="str">
        <f>IFERROR(VLOOKUP(Proc[[#This Row],[App]],Table2[],3,0),"open")</f>
        <v>ok</v>
      </c>
      <c r="C4182" s="149" t="s">
        <v>369</v>
      </c>
      <c r="D4182" t="s">
        <v>6292</v>
      </c>
      <c r="E4182" t="s">
        <v>4173</v>
      </c>
      <c r="F4182" s="150" t="s">
        <v>4173</v>
      </c>
      <c r="G4182" s="149" t="s">
        <v>400</v>
      </c>
      <c r="H4182" s="150" t="str">
        <f>IF(Proc[[#This Row],[type]]="LFF (MDG-F)",MID(Proc[[#This Row],[Obj]],13,10),"")</f>
        <v/>
      </c>
      <c r="I4182" s="149" t="s">
        <v>6306</v>
      </c>
      <c r="J4182" s="150" t="b">
        <f>Proc[[#This Row],[Requested]]=Proc[[#This Row],[CurrentParent]]</f>
        <v>1</v>
      </c>
      <c r="K4182" s="150" t="str">
        <f>IF(Proc[[#This Row],[Author]]="Marcela Urrego",VLOOKUP(LEFT(Proc[[#This Row],[Requested]],1),Table3[#All],2,0),VLOOKUP(Proc[[#This Row],[Author]],Table4[],2,0))</f>
        <v>HC</v>
      </c>
      <c r="L4182" s="150" t="s">
        <v>4894</v>
      </c>
      <c r="M4182" s="146">
        <v>45917</v>
      </c>
      <c r="N4182" s="148"/>
      <c r="O4182" s="148"/>
      <c r="P4182" s="146" t="str">
        <f ca="1">IF(Proc[[#This Row],[DaysAgeing]]&gt;5,"yep","on track")</f>
        <v>yep</v>
      </c>
      <c r="Q4182" s="3">
        <f ca="1">IF(Proc[[#This Row],[DateClosed]]="",ABS(NETWORKDAYS(Proc[[#This Row],[DateOpened]],TODAY()))-1,ABS(NETWORKDAYS(Proc[[#This Row],[DateOpened]],Proc[[#This Row],[DateClosed]]))-1)</f>
        <v>62</v>
      </c>
      <c r="R4182" s="146" t="s">
        <v>410</v>
      </c>
      <c r="S4182" s="150"/>
    </row>
    <row r="4183" spans="1:19">
      <c r="A4183" s="149" t="s">
        <v>6303</v>
      </c>
      <c r="B4183" s="150" t="str">
        <f>IFERROR(VLOOKUP(Proc[[#This Row],[App]],Table2[],3,0),"open")</f>
        <v>ok</v>
      </c>
      <c r="C4183" s="149" t="s">
        <v>369</v>
      </c>
      <c r="D4183" t="s">
        <v>6293</v>
      </c>
      <c r="E4183" t="s">
        <v>4173</v>
      </c>
      <c r="F4183" s="150" t="s">
        <v>4173</v>
      </c>
      <c r="G4183" s="149" t="s">
        <v>400</v>
      </c>
      <c r="H4183" s="150" t="str">
        <f>IF(Proc[[#This Row],[type]]="LFF (MDG-F)",MID(Proc[[#This Row],[Obj]],13,10),"")</f>
        <v/>
      </c>
      <c r="I4183" s="149" t="s">
        <v>6306</v>
      </c>
      <c r="J4183" s="150" t="b">
        <f>Proc[[#This Row],[Requested]]=Proc[[#This Row],[CurrentParent]]</f>
        <v>1</v>
      </c>
      <c r="K4183" s="150" t="str">
        <f>IF(Proc[[#This Row],[Author]]="Marcela Urrego",VLOOKUP(LEFT(Proc[[#This Row],[Requested]],1),Table3[#All],2,0),VLOOKUP(Proc[[#This Row],[Author]],Table4[],2,0))</f>
        <v>HC</v>
      </c>
      <c r="L4183" s="150" t="s">
        <v>4894</v>
      </c>
      <c r="M4183" s="146">
        <v>45917</v>
      </c>
      <c r="N4183" s="148"/>
      <c r="O4183" s="148"/>
      <c r="P4183" s="146" t="str">
        <f ca="1">IF(Proc[[#This Row],[DaysAgeing]]&gt;5,"yep","on track")</f>
        <v>yep</v>
      </c>
      <c r="Q4183" s="3">
        <f ca="1">IF(Proc[[#This Row],[DateClosed]]="",ABS(NETWORKDAYS(Proc[[#This Row],[DateOpened]],TODAY()))-1,ABS(NETWORKDAYS(Proc[[#This Row],[DateOpened]],Proc[[#This Row],[DateClosed]]))-1)</f>
        <v>62</v>
      </c>
      <c r="R4183" s="146" t="s">
        <v>410</v>
      </c>
      <c r="S4183" s="150"/>
    </row>
    <row r="4184" spans="1:19">
      <c r="A4184" s="149" t="s">
        <v>6303</v>
      </c>
      <c r="B4184" s="150" t="str">
        <f>IFERROR(VLOOKUP(Proc[[#This Row],[App]],Table2[],3,0),"open")</f>
        <v>ok</v>
      </c>
      <c r="C4184" s="149" t="s">
        <v>369</v>
      </c>
      <c r="D4184" t="s">
        <v>6294</v>
      </c>
      <c r="E4184" t="s">
        <v>4174</v>
      </c>
      <c r="F4184" s="150" t="s">
        <v>4174</v>
      </c>
      <c r="G4184" s="149" t="s">
        <v>400</v>
      </c>
      <c r="H4184" s="150" t="str">
        <f>IF(Proc[[#This Row],[type]]="LFF (MDG-F)",MID(Proc[[#This Row],[Obj]],13,10),"")</f>
        <v/>
      </c>
      <c r="I4184" s="149" t="s">
        <v>6306</v>
      </c>
      <c r="J4184" s="150" t="b">
        <f>Proc[[#This Row],[Requested]]=Proc[[#This Row],[CurrentParent]]</f>
        <v>1</v>
      </c>
      <c r="K4184" s="150" t="str">
        <f>IF(Proc[[#This Row],[Author]]="Marcela Urrego",VLOOKUP(LEFT(Proc[[#This Row],[Requested]],1),Table3[#All],2,0),VLOOKUP(Proc[[#This Row],[Author]],Table4[],2,0))</f>
        <v>HC</v>
      </c>
      <c r="L4184" s="150" t="s">
        <v>4894</v>
      </c>
      <c r="M4184" s="146">
        <v>45917</v>
      </c>
      <c r="N4184" s="148"/>
      <c r="O4184" s="148"/>
      <c r="P4184" s="146" t="str">
        <f ca="1">IF(Proc[[#This Row],[DaysAgeing]]&gt;5,"yep","on track")</f>
        <v>yep</v>
      </c>
      <c r="Q4184" s="3">
        <f ca="1">IF(Proc[[#This Row],[DateClosed]]="",ABS(NETWORKDAYS(Proc[[#This Row],[DateOpened]],TODAY()))-1,ABS(NETWORKDAYS(Proc[[#This Row],[DateOpened]],Proc[[#This Row],[DateClosed]]))-1)</f>
        <v>62</v>
      </c>
      <c r="R4184" s="146" t="s">
        <v>410</v>
      </c>
      <c r="S4184" s="150"/>
    </row>
    <row r="4185" spans="1:19">
      <c r="A4185" s="149" t="s">
        <v>6303</v>
      </c>
      <c r="B4185" s="150" t="str">
        <f>IFERROR(VLOOKUP(Proc[[#This Row],[App]],Table2[],3,0),"open")</f>
        <v>ok</v>
      </c>
      <c r="C4185" s="149" t="s">
        <v>369</v>
      </c>
      <c r="D4185" t="s">
        <v>6295</v>
      </c>
      <c r="E4185" t="s">
        <v>4174</v>
      </c>
      <c r="F4185" s="150" t="s">
        <v>4174</v>
      </c>
      <c r="G4185" s="149" t="s">
        <v>400</v>
      </c>
      <c r="H4185" s="150" t="str">
        <f>IF(Proc[[#This Row],[type]]="LFF (MDG-F)",MID(Proc[[#This Row],[Obj]],13,10),"")</f>
        <v/>
      </c>
      <c r="I4185" s="149" t="s">
        <v>6306</v>
      </c>
      <c r="J4185" s="150" t="b">
        <f>Proc[[#This Row],[Requested]]=Proc[[#This Row],[CurrentParent]]</f>
        <v>1</v>
      </c>
      <c r="K4185" s="150" t="str">
        <f>IF(Proc[[#This Row],[Author]]="Marcela Urrego",VLOOKUP(LEFT(Proc[[#This Row],[Requested]],1),Table3[#All],2,0),VLOOKUP(Proc[[#This Row],[Author]],Table4[],2,0))</f>
        <v>HC</v>
      </c>
      <c r="L4185" s="150" t="s">
        <v>4894</v>
      </c>
      <c r="M4185" s="146">
        <v>45917</v>
      </c>
      <c r="N4185" s="148"/>
      <c r="O4185" s="148"/>
      <c r="P4185" s="146" t="str">
        <f ca="1">IF(Proc[[#This Row],[DaysAgeing]]&gt;5,"yep","on track")</f>
        <v>yep</v>
      </c>
      <c r="Q4185" s="3">
        <f ca="1">IF(Proc[[#This Row],[DateClosed]]="",ABS(NETWORKDAYS(Proc[[#This Row],[DateOpened]],TODAY()))-1,ABS(NETWORKDAYS(Proc[[#This Row],[DateOpened]],Proc[[#This Row],[DateClosed]]))-1)</f>
        <v>62</v>
      </c>
      <c r="R4185" s="146" t="s">
        <v>410</v>
      </c>
      <c r="S4185" s="150"/>
    </row>
    <row r="4186" spans="1:19">
      <c r="A4186" s="149" t="s">
        <v>6303</v>
      </c>
      <c r="B4186" s="150" t="str">
        <f>IFERROR(VLOOKUP(Proc[[#This Row],[App]],Table2[],3,0),"open")</f>
        <v>ok</v>
      </c>
      <c r="C4186" s="149" t="s">
        <v>369</v>
      </c>
      <c r="D4186" t="s">
        <v>6296</v>
      </c>
      <c r="E4186" t="s">
        <v>4174</v>
      </c>
      <c r="F4186" s="150" t="s">
        <v>4174</v>
      </c>
      <c r="G4186" s="149" t="s">
        <v>400</v>
      </c>
      <c r="H4186" s="150" t="str">
        <f>IF(Proc[[#This Row],[type]]="LFF (MDG-F)",MID(Proc[[#This Row],[Obj]],13,10),"")</f>
        <v/>
      </c>
      <c r="I4186" s="149" t="s">
        <v>6306</v>
      </c>
      <c r="J4186" s="150" t="b">
        <f>Proc[[#This Row],[Requested]]=Proc[[#This Row],[CurrentParent]]</f>
        <v>1</v>
      </c>
      <c r="K4186" s="150" t="str">
        <f>IF(Proc[[#This Row],[Author]]="Marcela Urrego",VLOOKUP(LEFT(Proc[[#This Row],[Requested]],1),Table3[#All],2,0),VLOOKUP(Proc[[#This Row],[Author]],Table4[],2,0))</f>
        <v>HC</v>
      </c>
      <c r="L4186" s="150" t="s">
        <v>4894</v>
      </c>
      <c r="M4186" s="146">
        <v>45917</v>
      </c>
      <c r="N4186" s="148"/>
      <c r="O4186" s="148"/>
      <c r="P4186" s="146" t="str">
        <f ca="1">IF(Proc[[#This Row],[DaysAgeing]]&gt;5,"yep","on track")</f>
        <v>yep</v>
      </c>
      <c r="Q4186" s="3">
        <f ca="1">IF(Proc[[#This Row],[DateClosed]]="",ABS(NETWORKDAYS(Proc[[#This Row],[DateOpened]],TODAY()))-1,ABS(NETWORKDAYS(Proc[[#This Row],[DateOpened]],Proc[[#This Row],[DateClosed]]))-1)</f>
        <v>62</v>
      </c>
      <c r="R4186" s="146" t="s">
        <v>410</v>
      </c>
      <c r="S4186" s="150"/>
    </row>
    <row r="4187" spans="1:19">
      <c r="A4187" s="149" t="s">
        <v>6303</v>
      </c>
      <c r="B4187" s="150" t="str">
        <f>IFERROR(VLOOKUP(Proc[[#This Row],[App]],Table2[],3,0),"open")</f>
        <v>ok</v>
      </c>
      <c r="C4187" s="149" t="s">
        <v>369</v>
      </c>
      <c r="D4187" t="s">
        <v>6297</v>
      </c>
      <c r="E4187" t="s">
        <v>4174</v>
      </c>
      <c r="F4187" s="150" t="s">
        <v>4174</v>
      </c>
      <c r="G4187" s="149" t="s">
        <v>400</v>
      </c>
      <c r="H4187" s="150" t="str">
        <f>IF(Proc[[#This Row],[type]]="LFF (MDG-F)",MID(Proc[[#This Row],[Obj]],13,10),"")</f>
        <v/>
      </c>
      <c r="I4187" s="149" t="s">
        <v>6306</v>
      </c>
      <c r="J4187" s="150" t="b">
        <f>Proc[[#This Row],[Requested]]=Proc[[#This Row],[CurrentParent]]</f>
        <v>1</v>
      </c>
      <c r="K4187" s="150" t="str">
        <f>IF(Proc[[#This Row],[Author]]="Marcela Urrego",VLOOKUP(LEFT(Proc[[#This Row],[Requested]],1),Table3[#All],2,0),VLOOKUP(Proc[[#This Row],[Author]],Table4[],2,0))</f>
        <v>HC</v>
      </c>
      <c r="L4187" s="150" t="s">
        <v>4894</v>
      </c>
      <c r="M4187" s="146">
        <v>45917</v>
      </c>
      <c r="N4187" s="148"/>
      <c r="O4187" s="148"/>
      <c r="P4187" s="146" t="str">
        <f ca="1">IF(Proc[[#This Row],[DaysAgeing]]&gt;5,"yep","on track")</f>
        <v>yep</v>
      </c>
      <c r="Q4187" s="3">
        <f ca="1">IF(Proc[[#This Row],[DateClosed]]="",ABS(NETWORKDAYS(Proc[[#This Row],[DateOpened]],TODAY()))-1,ABS(NETWORKDAYS(Proc[[#This Row],[DateOpened]],Proc[[#This Row],[DateClosed]]))-1)</f>
        <v>62</v>
      </c>
      <c r="R4187" s="146" t="s">
        <v>410</v>
      </c>
      <c r="S4187" s="150"/>
    </row>
    <row r="4188" spans="1:19">
      <c r="A4188" s="149" t="s">
        <v>6303</v>
      </c>
      <c r="B4188" s="150" t="str">
        <f>IFERROR(VLOOKUP(Proc[[#This Row],[App]],Table2[],3,0),"open")</f>
        <v>ok</v>
      </c>
      <c r="C4188" s="149" t="s">
        <v>369</v>
      </c>
      <c r="D4188" t="s">
        <v>6298</v>
      </c>
      <c r="E4188" t="s">
        <v>4174</v>
      </c>
      <c r="F4188" s="150" t="s">
        <v>4174</v>
      </c>
      <c r="G4188" s="149" t="s">
        <v>400</v>
      </c>
      <c r="H4188" s="150" t="str">
        <f>IF(Proc[[#This Row],[type]]="LFF (MDG-F)",MID(Proc[[#This Row],[Obj]],13,10),"")</f>
        <v/>
      </c>
      <c r="I4188" s="149" t="s">
        <v>6306</v>
      </c>
      <c r="J4188" s="150" t="b">
        <f>Proc[[#This Row],[Requested]]=Proc[[#This Row],[CurrentParent]]</f>
        <v>1</v>
      </c>
      <c r="K4188" s="150" t="str">
        <f>IF(Proc[[#This Row],[Author]]="Marcela Urrego",VLOOKUP(LEFT(Proc[[#This Row],[Requested]],1),Table3[#All],2,0),VLOOKUP(Proc[[#This Row],[Author]],Table4[],2,0))</f>
        <v>HC</v>
      </c>
      <c r="L4188" s="150" t="s">
        <v>4894</v>
      </c>
      <c r="M4188" s="146">
        <v>45917</v>
      </c>
      <c r="N4188" s="148"/>
      <c r="O4188" s="148"/>
      <c r="P4188" s="146" t="str">
        <f ca="1">IF(Proc[[#This Row],[DaysAgeing]]&gt;5,"yep","on track")</f>
        <v>yep</v>
      </c>
      <c r="Q4188" s="3">
        <f ca="1">IF(Proc[[#This Row],[DateClosed]]="",ABS(NETWORKDAYS(Proc[[#This Row],[DateOpened]],TODAY()))-1,ABS(NETWORKDAYS(Proc[[#This Row],[DateOpened]],Proc[[#This Row],[DateClosed]]))-1)</f>
        <v>62</v>
      </c>
      <c r="R4188" s="146" t="s">
        <v>410</v>
      </c>
      <c r="S4188" s="150"/>
    </row>
    <row r="4189" spans="1:19">
      <c r="A4189" s="149" t="s">
        <v>6303</v>
      </c>
      <c r="B4189" s="150" t="str">
        <f>IFERROR(VLOOKUP(Proc[[#This Row],[App]],Table2[],3,0),"open")</f>
        <v>ok</v>
      </c>
      <c r="C4189" s="149" t="s">
        <v>369</v>
      </c>
      <c r="D4189" t="s">
        <v>6308</v>
      </c>
      <c r="E4189" t="s">
        <v>4173</v>
      </c>
      <c r="F4189" s="150" t="s">
        <v>4173</v>
      </c>
      <c r="G4189" s="149" t="s">
        <v>406</v>
      </c>
      <c r="H4189" s="150" t="str">
        <f>IF(Proc[[#This Row],[type]]="LFF (MDG-F)",MID(Proc[[#This Row],[Obj]],13,10),"")</f>
        <v>CH50L95005</v>
      </c>
      <c r="I4189" s="149" t="s">
        <v>6307</v>
      </c>
      <c r="J4189" s="150" t="b">
        <f>Proc[[#This Row],[Requested]]=Proc[[#This Row],[CurrentParent]]</f>
        <v>1</v>
      </c>
      <c r="K4189" s="150" t="str">
        <f>IF(Proc[[#This Row],[Author]]="Marcela Urrego",VLOOKUP(LEFT(Proc[[#This Row],[Requested]],1),Table3[#All],2,0),VLOOKUP(Proc[[#This Row],[Author]],Table4[],2,0))</f>
        <v>HC</v>
      </c>
      <c r="L4189" s="150" t="s">
        <v>4894</v>
      </c>
      <c r="M4189" s="146">
        <v>45917</v>
      </c>
      <c r="N4189" s="148"/>
      <c r="O4189" s="148"/>
      <c r="P4189" s="146" t="str">
        <f ca="1">IF(Proc[[#This Row],[DaysAgeing]]&gt;5,"yep","on track")</f>
        <v>yep</v>
      </c>
      <c r="Q4189" s="3">
        <f ca="1">IF(Proc[[#This Row],[DateClosed]]="",ABS(NETWORKDAYS(Proc[[#This Row],[DateOpened]],TODAY()))-1,ABS(NETWORKDAYS(Proc[[#This Row],[DateOpened]],Proc[[#This Row],[DateClosed]]))-1)</f>
        <v>62</v>
      </c>
      <c r="R4189" s="146" t="s">
        <v>410</v>
      </c>
      <c r="S4189" s="150"/>
    </row>
    <row r="4190" spans="1:19">
      <c r="A4190" s="149" t="s">
        <v>6303</v>
      </c>
      <c r="B4190" s="150" t="str">
        <f>IFERROR(VLOOKUP(Proc[[#This Row],[App]],Table2[],3,0),"open")</f>
        <v>ok</v>
      </c>
      <c r="C4190" s="149" t="s">
        <v>369</v>
      </c>
      <c r="D4190" t="s">
        <v>6309</v>
      </c>
      <c r="E4190" t="s">
        <v>4173</v>
      </c>
      <c r="F4190" s="150" t="s">
        <v>4173</v>
      </c>
      <c r="G4190" s="149" t="s">
        <v>406</v>
      </c>
      <c r="H4190" s="150" t="str">
        <f>IF(Proc[[#This Row],[type]]="LFF (MDG-F)",MID(Proc[[#This Row],[Obj]],13,10),"")</f>
        <v>CH50L95009</v>
      </c>
      <c r="I4190" s="149" t="s">
        <v>6307</v>
      </c>
      <c r="J4190" s="150" t="b">
        <f>Proc[[#This Row],[Requested]]=Proc[[#This Row],[CurrentParent]]</f>
        <v>1</v>
      </c>
      <c r="K4190" s="150" t="str">
        <f>IF(Proc[[#This Row],[Author]]="Marcela Urrego",VLOOKUP(LEFT(Proc[[#This Row],[Requested]],1),Table3[#All],2,0),VLOOKUP(Proc[[#This Row],[Author]],Table4[],2,0))</f>
        <v>HC</v>
      </c>
      <c r="L4190" s="150" t="s">
        <v>4894</v>
      </c>
      <c r="M4190" s="146">
        <v>45917</v>
      </c>
      <c r="N4190" s="148"/>
      <c r="O4190" s="148"/>
      <c r="P4190" s="146" t="str">
        <f ca="1">IF(Proc[[#This Row],[DaysAgeing]]&gt;5,"yep","on track")</f>
        <v>yep</v>
      </c>
      <c r="Q4190" s="3">
        <f ca="1">IF(Proc[[#This Row],[DateClosed]]="",ABS(NETWORKDAYS(Proc[[#This Row],[DateOpened]],TODAY()))-1,ABS(NETWORKDAYS(Proc[[#This Row],[DateOpened]],Proc[[#This Row],[DateClosed]]))-1)</f>
        <v>62</v>
      </c>
      <c r="R4190" s="146" t="s">
        <v>410</v>
      </c>
      <c r="S4190" s="150"/>
    </row>
    <row r="4191" spans="1:19">
      <c r="A4191" s="149" t="s">
        <v>6303</v>
      </c>
      <c r="B4191" s="150" t="str">
        <f>IFERROR(VLOOKUP(Proc[[#This Row],[App]],Table2[],3,0),"open")</f>
        <v>ok</v>
      </c>
      <c r="C4191" s="149" t="s">
        <v>369</v>
      </c>
      <c r="D4191" t="s">
        <v>6299</v>
      </c>
      <c r="E4191" t="s">
        <v>4173</v>
      </c>
      <c r="F4191" s="150" t="s">
        <v>4173</v>
      </c>
      <c r="G4191" s="149" t="s">
        <v>400</v>
      </c>
      <c r="H4191" s="150" t="str">
        <f>IF(Proc[[#This Row],[type]]="LFF (MDG-F)",MID(Proc[[#This Row],[Obj]],13,10),"")</f>
        <v/>
      </c>
      <c r="I4191" s="149" t="s">
        <v>6306</v>
      </c>
      <c r="J4191" s="150" t="b">
        <f>Proc[[#This Row],[Requested]]=Proc[[#This Row],[CurrentParent]]</f>
        <v>1</v>
      </c>
      <c r="K4191" s="150" t="str">
        <f>IF(Proc[[#This Row],[Author]]="Marcela Urrego",VLOOKUP(LEFT(Proc[[#This Row],[Requested]],1),Table3[#All],2,0),VLOOKUP(Proc[[#This Row],[Author]],Table4[],2,0))</f>
        <v>HC</v>
      </c>
      <c r="L4191" s="150" t="s">
        <v>4894</v>
      </c>
      <c r="M4191" s="146">
        <v>45917</v>
      </c>
      <c r="N4191" s="148"/>
      <c r="O4191" s="148"/>
      <c r="P4191" s="146" t="str">
        <f ca="1">IF(Proc[[#This Row],[DaysAgeing]]&gt;5,"yep","on track")</f>
        <v>yep</v>
      </c>
      <c r="Q4191" s="3">
        <f ca="1">IF(Proc[[#This Row],[DateClosed]]="",ABS(NETWORKDAYS(Proc[[#This Row],[DateOpened]],TODAY()))-1,ABS(NETWORKDAYS(Proc[[#This Row],[DateOpened]],Proc[[#This Row],[DateClosed]]))-1)</f>
        <v>62</v>
      </c>
      <c r="R4191" s="146" t="s">
        <v>410</v>
      </c>
      <c r="S4191" s="150"/>
    </row>
    <row r="4192" spans="1:19">
      <c r="A4192" s="149" t="s">
        <v>6303</v>
      </c>
      <c r="B4192" s="150" t="str">
        <f>IFERROR(VLOOKUP(Proc[[#This Row],[App]],Table2[],3,0),"open")</f>
        <v>ok</v>
      </c>
      <c r="C4192" s="149" t="s">
        <v>369</v>
      </c>
      <c r="D4192" t="s">
        <v>6310</v>
      </c>
      <c r="E4192" t="s">
        <v>4173</v>
      </c>
      <c r="F4192" s="150" t="s">
        <v>4173</v>
      </c>
      <c r="G4192" s="149" t="s">
        <v>406</v>
      </c>
      <c r="H4192" s="150" t="str">
        <f>IF(Proc[[#This Row],[type]]="LFF (MDG-F)",MID(Proc[[#This Row],[Obj]],13,10),"")</f>
        <v>DE50OF0124</v>
      </c>
      <c r="I4192" s="149" t="s">
        <v>6307</v>
      </c>
      <c r="J4192" s="150" t="b">
        <f>Proc[[#This Row],[Requested]]=Proc[[#This Row],[CurrentParent]]</f>
        <v>1</v>
      </c>
      <c r="K4192" s="150" t="str">
        <f>IF(Proc[[#This Row],[Author]]="Marcela Urrego",VLOOKUP(LEFT(Proc[[#This Row],[Requested]],1),Table3[#All],2,0),VLOOKUP(Proc[[#This Row],[Author]],Table4[],2,0))</f>
        <v>HC</v>
      </c>
      <c r="L4192" s="150" t="s">
        <v>4894</v>
      </c>
      <c r="M4192" s="146">
        <v>45917</v>
      </c>
      <c r="N4192" s="148"/>
      <c r="O4192" s="148"/>
      <c r="P4192" s="146" t="str">
        <f ca="1">IF(Proc[[#This Row],[DaysAgeing]]&gt;5,"yep","on track")</f>
        <v>yep</v>
      </c>
      <c r="Q4192" s="3">
        <f ca="1">IF(Proc[[#This Row],[DateClosed]]="",ABS(NETWORKDAYS(Proc[[#This Row],[DateOpened]],TODAY()))-1,ABS(NETWORKDAYS(Proc[[#This Row],[DateOpened]],Proc[[#This Row],[DateClosed]]))-1)</f>
        <v>62</v>
      </c>
      <c r="R4192" s="146" t="s">
        <v>410</v>
      </c>
      <c r="S4192" s="150"/>
    </row>
    <row r="4193" spans="1:19">
      <c r="A4193" s="149" t="s">
        <v>6303</v>
      </c>
      <c r="B4193" s="150" t="str">
        <f>IFERROR(VLOOKUP(Proc[[#This Row],[App]],Table2[],3,0),"open")</f>
        <v>ok</v>
      </c>
      <c r="C4193" s="149" t="s">
        <v>369</v>
      </c>
      <c r="D4193" t="s">
        <v>6300</v>
      </c>
      <c r="E4193" t="s">
        <v>4174</v>
      </c>
      <c r="F4193" s="150" t="s">
        <v>4174</v>
      </c>
      <c r="G4193" s="149" t="s">
        <v>400</v>
      </c>
      <c r="H4193" s="150" t="str">
        <f>IF(Proc[[#This Row],[type]]="LFF (MDG-F)",MID(Proc[[#This Row],[Obj]],13,10),"")</f>
        <v/>
      </c>
      <c r="I4193" s="149" t="s">
        <v>6306</v>
      </c>
      <c r="J4193" s="150" t="b">
        <f>Proc[[#This Row],[Requested]]=Proc[[#This Row],[CurrentParent]]</f>
        <v>1</v>
      </c>
      <c r="K4193" s="150" t="str">
        <f>IF(Proc[[#This Row],[Author]]="Marcela Urrego",VLOOKUP(LEFT(Proc[[#This Row],[Requested]],1),Table3[#All],2,0),VLOOKUP(Proc[[#This Row],[Author]],Table4[],2,0))</f>
        <v>HC</v>
      </c>
      <c r="L4193" s="150" t="s">
        <v>4894</v>
      </c>
      <c r="M4193" s="146">
        <v>45917</v>
      </c>
      <c r="N4193" s="148"/>
      <c r="O4193" s="148"/>
      <c r="P4193" s="146" t="str">
        <f ca="1">IF(Proc[[#This Row],[DaysAgeing]]&gt;5,"yep","on track")</f>
        <v>yep</v>
      </c>
      <c r="Q4193" s="3">
        <f ca="1">IF(Proc[[#This Row],[DateClosed]]="",ABS(NETWORKDAYS(Proc[[#This Row],[DateOpened]],TODAY()))-1,ABS(NETWORKDAYS(Proc[[#This Row],[DateOpened]],Proc[[#This Row],[DateClosed]]))-1)</f>
        <v>62</v>
      </c>
      <c r="R4193" s="146" t="s">
        <v>410</v>
      </c>
      <c r="S4193" s="150"/>
    </row>
    <row r="4194" spans="1:19">
      <c r="A4194" s="149" t="s">
        <v>6303</v>
      </c>
      <c r="B4194" s="150" t="str">
        <f>IFERROR(VLOOKUP(Proc[[#This Row],[App]],Table2[],3,0),"open")</f>
        <v>ok</v>
      </c>
      <c r="C4194" s="149" t="s">
        <v>369</v>
      </c>
      <c r="D4194" t="s">
        <v>6301</v>
      </c>
      <c r="E4194" t="s">
        <v>4174</v>
      </c>
      <c r="F4194" s="150" t="s">
        <v>4174</v>
      </c>
      <c r="G4194" s="149" t="s">
        <v>400</v>
      </c>
      <c r="H4194" s="150" t="str">
        <f>IF(Proc[[#This Row],[type]]="LFF (MDG-F)",MID(Proc[[#This Row],[Obj]],13,10),"")</f>
        <v/>
      </c>
      <c r="I4194" s="149" t="s">
        <v>6306</v>
      </c>
      <c r="J4194" s="150" t="b">
        <f>Proc[[#This Row],[Requested]]=Proc[[#This Row],[CurrentParent]]</f>
        <v>1</v>
      </c>
      <c r="K4194" s="150" t="str">
        <f>IF(Proc[[#This Row],[Author]]="Marcela Urrego",VLOOKUP(LEFT(Proc[[#This Row],[Requested]],1),Table3[#All],2,0),VLOOKUP(Proc[[#This Row],[Author]],Table4[],2,0))</f>
        <v>HC</v>
      </c>
      <c r="L4194" s="150" t="s">
        <v>4894</v>
      </c>
      <c r="M4194" s="146">
        <v>45917</v>
      </c>
      <c r="N4194" s="148"/>
      <c r="O4194" s="148"/>
      <c r="P4194" s="146" t="str">
        <f ca="1">IF(Proc[[#This Row],[DaysAgeing]]&gt;5,"yep","on track")</f>
        <v>yep</v>
      </c>
      <c r="Q4194" s="3">
        <f ca="1">IF(Proc[[#This Row],[DateClosed]]="",ABS(NETWORKDAYS(Proc[[#This Row],[DateOpened]],TODAY()))-1,ABS(NETWORKDAYS(Proc[[#This Row],[DateOpened]],Proc[[#This Row],[DateClosed]]))-1)</f>
        <v>62</v>
      </c>
      <c r="R4194" s="146" t="s">
        <v>410</v>
      </c>
      <c r="S4194" s="150"/>
    </row>
    <row r="4195" spans="1:19">
      <c r="A4195" s="149" t="s">
        <v>6303</v>
      </c>
      <c r="B4195" s="150" t="str">
        <f>IFERROR(VLOOKUP(Proc[[#This Row],[App]],Table2[],3,0),"open")</f>
        <v>ok</v>
      </c>
      <c r="C4195" s="149" t="s">
        <v>369</v>
      </c>
      <c r="D4195" t="s">
        <v>6302</v>
      </c>
      <c r="E4195" t="s">
        <v>4174</v>
      </c>
      <c r="F4195" s="150" t="s">
        <v>4174</v>
      </c>
      <c r="G4195" s="149" t="s">
        <v>400</v>
      </c>
      <c r="H4195" s="150" t="str">
        <f>IF(Proc[[#This Row],[type]]="LFF (MDG-F)",MID(Proc[[#This Row],[Obj]],13,10),"")</f>
        <v/>
      </c>
      <c r="I4195" s="149" t="s">
        <v>6306</v>
      </c>
      <c r="J4195" s="150" t="b">
        <f>Proc[[#This Row],[Requested]]=Proc[[#This Row],[CurrentParent]]</f>
        <v>1</v>
      </c>
      <c r="K4195" s="150" t="str">
        <f>IF(Proc[[#This Row],[Author]]="Marcela Urrego",VLOOKUP(LEFT(Proc[[#This Row],[Requested]],1),Table3[#All],2,0),VLOOKUP(Proc[[#This Row],[Author]],Table4[],2,0))</f>
        <v>HC</v>
      </c>
      <c r="L4195" s="150" t="s">
        <v>4894</v>
      </c>
      <c r="M4195" s="146">
        <v>45917</v>
      </c>
      <c r="N4195" s="148"/>
      <c r="O4195" s="148"/>
      <c r="P4195" s="146" t="str">
        <f ca="1">IF(Proc[[#This Row],[DaysAgeing]]&gt;5,"yep","on track")</f>
        <v>yep</v>
      </c>
      <c r="Q4195" s="3">
        <f ca="1">IF(Proc[[#This Row],[DateClosed]]="",ABS(NETWORKDAYS(Proc[[#This Row],[DateOpened]],TODAY()))-1,ABS(NETWORKDAYS(Proc[[#This Row],[DateOpened]],Proc[[#This Row],[DateClosed]]))-1)</f>
        <v>62</v>
      </c>
      <c r="R4195" s="146" t="s">
        <v>410</v>
      </c>
      <c r="S4195" s="150"/>
    </row>
    <row r="4196" spans="1:19">
      <c r="A4196" t="s">
        <v>6304</v>
      </c>
      <c r="B4196" s="150" t="str">
        <f>IFERROR(VLOOKUP(Proc[[#This Row],[App]],Table2[],3,0),"open")</f>
        <v>ok</v>
      </c>
      <c r="C4196" s="149" t="s">
        <v>369</v>
      </c>
      <c r="D4196" t="s">
        <v>5953</v>
      </c>
      <c r="E4196" t="s">
        <v>6103</v>
      </c>
      <c r="F4196" s="150" t="s">
        <v>6103</v>
      </c>
      <c r="G4196" s="149" t="s">
        <v>406</v>
      </c>
      <c r="H4196" s="150" t="str">
        <f>IF(Proc[[#This Row],[type]]="LFF (MDG-F)",MID(Proc[[#This Row],[Obj]],13,10),"")</f>
        <v>JP01C0M825</v>
      </c>
      <c r="I4196" s="149" t="s">
        <v>6307</v>
      </c>
      <c r="J4196" s="150" t="b">
        <f>Proc[[#This Row],[Requested]]=Proc[[#This Row],[CurrentParent]]</f>
        <v>1</v>
      </c>
      <c r="K4196" s="150" t="str">
        <f>IF(Proc[[#This Row],[Author]]="Marcela Urrego",VLOOKUP(LEFT(Proc[[#This Row],[Requested]],1),Table3[#All],2,0),VLOOKUP(Proc[[#This Row],[Author]],Table4[],2,0))</f>
        <v>MGF</v>
      </c>
      <c r="L4196" s="150" t="s">
        <v>4894</v>
      </c>
      <c r="M4196" s="146">
        <v>45917</v>
      </c>
      <c r="N4196" s="148"/>
      <c r="O4196" s="148"/>
      <c r="P4196" s="146" t="str">
        <f ca="1">IF(Proc[[#This Row],[DaysAgeing]]&gt;5,"yep","on track")</f>
        <v>yep</v>
      </c>
      <c r="Q4196" s="3">
        <f ca="1">IF(Proc[[#This Row],[DateClosed]]="",ABS(NETWORKDAYS(Proc[[#This Row],[DateOpened]],TODAY()))-1,ABS(NETWORKDAYS(Proc[[#This Row],[DateOpened]],Proc[[#This Row],[DateClosed]]))-1)</f>
        <v>62</v>
      </c>
      <c r="R4196" s="146" t="s">
        <v>6305</v>
      </c>
      <c r="S4196" s="150"/>
    </row>
    <row r="4197" spans="1:19">
      <c r="A4197" s="149" t="s">
        <v>6304</v>
      </c>
      <c r="B4197" s="150" t="str">
        <f>IFERROR(VLOOKUP(Proc[[#This Row],[App]],Table2[],3,0),"open")</f>
        <v>ok</v>
      </c>
      <c r="C4197" s="149" t="s">
        <v>369</v>
      </c>
      <c r="D4197" t="s">
        <v>5960</v>
      </c>
      <c r="E4197" t="s">
        <v>1842</v>
      </c>
      <c r="F4197" s="150" t="s">
        <v>1842</v>
      </c>
      <c r="G4197" s="149" t="s">
        <v>406</v>
      </c>
      <c r="H4197" s="150" t="str">
        <f>IF(Proc[[#This Row],[type]]="LFF (MDG-F)",MID(Proc[[#This Row],[Obj]],13,10),"")</f>
        <v>JP01GBT305</v>
      </c>
      <c r="I4197" s="149" t="s">
        <v>6307</v>
      </c>
      <c r="J4197" s="150" t="b">
        <f>Proc[[#This Row],[Requested]]=Proc[[#This Row],[CurrentParent]]</f>
        <v>1</v>
      </c>
      <c r="K4197" s="150" t="str">
        <f>IF(Proc[[#This Row],[Author]]="Marcela Urrego",VLOOKUP(LEFT(Proc[[#This Row],[Requested]],1),Table3[#All],2,0),VLOOKUP(Proc[[#This Row],[Author]],Table4[],2,0))</f>
        <v>MGF</v>
      </c>
      <c r="L4197" s="150" t="s">
        <v>4894</v>
      </c>
      <c r="M4197" s="146">
        <v>45917</v>
      </c>
      <c r="N4197" s="148"/>
      <c r="O4197" s="148"/>
      <c r="P4197" s="146" t="str">
        <f ca="1">IF(Proc[[#This Row],[DaysAgeing]]&gt;5,"yep","on track")</f>
        <v>yep</v>
      </c>
      <c r="Q4197" s="3">
        <f ca="1">IF(Proc[[#This Row],[DateClosed]]="",ABS(NETWORKDAYS(Proc[[#This Row],[DateOpened]],TODAY()))-1,ABS(NETWORKDAYS(Proc[[#This Row],[DateOpened]],Proc[[#This Row],[DateClosed]]))-1)</f>
        <v>62</v>
      </c>
      <c r="R4197" s="146" t="s">
        <v>6305</v>
      </c>
      <c r="S4197" s="150"/>
    </row>
    <row r="4198" spans="1:19">
      <c r="A4198" s="149" t="s">
        <v>6304</v>
      </c>
      <c r="B4198" s="150" t="str">
        <f>IFERROR(VLOOKUP(Proc[[#This Row],[App]],Table2[],3,0),"open")</f>
        <v>ok</v>
      </c>
      <c r="C4198" s="149" t="s">
        <v>369</v>
      </c>
      <c r="D4198" t="s">
        <v>5965</v>
      </c>
      <c r="E4198" t="s">
        <v>2552</v>
      </c>
      <c r="F4198" s="150" t="s">
        <v>2552</v>
      </c>
      <c r="G4198" s="149" t="s">
        <v>406</v>
      </c>
      <c r="H4198" s="150" t="str">
        <f>IF(Proc[[#This Row],[type]]="LFF (MDG-F)",MID(Proc[[#This Row],[Obj]],13,10),"")</f>
        <v>JP01GHR301</v>
      </c>
      <c r="I4198" s="149" t="s">
        <v>6307</v>
      </c>
      <c r="J4198" s="150" t="b">
        <f>Proc[[#This Row],[Requested]]=Proc[[#This Row],[CurrentParent]]</f>
        <v>1</v>
      </c>
      <c r="K4198" s="150" t="str">
        <f>IF(Proc[[#This Row],[Author]]="Marcela Urrego",VLOOKUP(LEFT(Proc[[#This Row],[Requested]],1),Table3[#All],2,0),VLOOKUP(Proc[[#This Row],[Author]],Table4[],2,0))</f>
        <v>MGF</v>
      </c>
      <c r="L4198" s="150" t="s">
        <v>4894</v>
      </c>
      <c r="M4198" s="146">
        <v>45917</v>
      </c>
      <c r="N4198" s="148"/>
      <c r="O4198" s="148"/>
      <c r="P4198" s="146" t="str">
        <f ca="1">IF(Proc[[#This Row],[DaysAgeing]]&gt;5,"yep","on track")</f>
        <v>yep</v>
      </c>
      <c r="Q4198" s="3">
        <f ca="1">IF(Proc[[#This Row],[DateClosed]]="",ABS(NETWORKDAYS(Proc[[#This Row],[DateOpened]],TODAY()))-1,ABS(NETWORKDAYS(Proc[[#This Row],[DateOpened]],Proc[[#This Row],[DateClosed]]))-1)</f>
        <v>62</v>
      </c>
      <c r="R4198" s="146" t="s">
        <v>6305</v>
      </c>
      <c r="S4198" s="150"/>
    </row>
    <row r="4199" spans="1:19">
      <c r="A4199" t="s">
        <v>6311</v>
      </c>
      <c r="B4199" s="150" t="str">
        <f>IFERROR(VLOOKUP(Proc[[#This Row],[App]],Table2[],3,0),"open")</f>
        <v>ok</v>
      </c>
      <c r="C4199" s="149" t="s">
        <v>369</v>
      </c>
      <c r="D4199" t="s">
        <v>2472</v>
      </c>
      <c r="E4199" t="s">
        <v>6323</v>
      </c>
      <c r="F4199" s="150" t="s">
        <v>6323</v>
      </c>
      <c r="G4199" t="s">
        <v>400</v>
      </c>
      <c r="H4199" s="150" t="str">
        <f>IF(Proc[[#This Row],[type]]="LFF (MDG-F)",MID(Proc[[#This Row],[Obj]],13,10),"")</f>
        <v/>
      </c>
      <c r="J4199" s="150" t="b">
        <f>Proc[[#This Row],[Requested]]=Proc[[#This Row],[CurrentParent]]</f>
        <v>1</v>
      </c>
      <c r="K4199" s="150" t="str">
        <f>IF(Proc[[#This Row],[Author]]="Marcela Urrego",VLOOKUP(LEFT(Proc[[#This Row],[Requested]],1),Table3[#All],2,0),VLOOKUP(Proc[[#This Row],[Author]],Table4[],2,0))</f>
        <v>EL</v>
      </c>
      <c r="L4199" s="150" t="s">
        <v>4894</v>
      </c>
      <c r="M4199" s="146">
        <v>45918</v>
      </c>
      <c r="N4199" s="148"/>
      <c r="O4199" s="148"/>
      <c r="P4199" s="146" t="str">
        <f ca="1">IF(Proc[[#This Row],[DaysAgeing]]&gt;5,"yep","on track")</f>
        <v>yep</v>
      </c>
      <c r="Q4199" s="3">
        <f ca="1">IF(Proc[[#This Row],[DateClosed]]="",ABS(NETWORKDAYS(Proc[[#This Row],[DateOpened]],TODAY()))-1,ABS(NETWORKDAYS(Proc[[#This Row],[DateOpened]],Proc[[#This Row],[DateClosed]]))-1)</f>
        <v>61</v>
      </c>
      <c r="R4199" s="146" t="s">
        <v>780</v>
      </c>
      <c r="S4199" s="150"/>
    </row>
    <row r="4200" spans="1:19">
      <c r="A4200" s="149" t="s">
        <v>6311</v>
      </c>
      <c r="B4200" s="150" t="str">
        <f>IFERROR(VLOOKUP(Proc[[#This Row],[App]],Table2[],3,0),"open")</f>
        <v>ok</v>
      </c>
      <c r="C4200" s="149" t="s">
        <v>369</v>
      </c>
      <c r="D4200" t="s">
        <v>6312</v>
      </c>
      <c r="E4200" t="s">
        <v>6323</v>
      </c>
      <c r="F4200" s="150" t="s">
        <v>6323</v>
      </c>
      <c r="G4200" t="s">
        <v>406</v>
      </c>
      <c r="H4200" s="150" t="str">
        <f>IF(Proc[[#This Row],[type]]="LFF (MDG-F)",MID(Proc[[#This Row],[Obj]],13,10),"")</f>
        <v>DE10O05003</v>
      </c>
      <c r="J4200" s="150" t="b">
        <f>Proc[[#This Row],[Requested]]=Proc[[#This Row],[CurrentParent]]</f>
        <v>1</v>
      </c>
      <c r="K4200" s="150" t="str">
        <f>IF(Proc[[#This Row],[Author]]="Marcela Urrego",VLOOKUP(LEFT(Proc[[#This Row],[Requested]],1),Table3[#All],2,0),VLOOKUP(Proc[[#This Row],[Author]],Table4[],2,0))</f>
        <v>EL</v>
      </c>
      <c r="L4200" s="150" t="s">
        <v>4894</v>
      </c>
      <c r="M4200" s="146">
        <v>45918</v>
      </c>
      <c r="N4200" s="148"/>
      <c r="O4200" s="148"/>
      <c r="P4200" s="146" t="str">
        <f ca="1">IF(Proc[[#This Row],[DaysAgeing]]&gt;5,"yep","on track")</f>
        <v>yep</v>
      </c>
      <c r="Q4200" s="3">
        <f ca="1">IF(Proc[[#This Row],[DateClosed]]="",ABS(NETWORKDAYS(Proc[[#This Row],[DateOpened]],TODAY()))-1,ABS(NETWORKDAYS(Proc[[#This Row],[DateOpened]],Proc[[#This Row],[DateClosed]]))-1)</f>
        <v>61</v>
      </c>
      <c r="R4200" s="146" t="s">
        <v>780</v>
      </c>
      <c r="S4200" s="150"/>
    </row>
    <row r="4201" spans="1:19">
      <c r="A4201" s="149" t="s">
        <v>6311</v>
      </c>
      <c r="B4201" s="150" t="str">
        <f>IFERROR(VLOOKUP(Proc[[#This Row],[App]],Table2[],3,0),"open")</f>
        <v>ok</v>
      </c>
      <c r="C4201" s="149" t="s">
        <v>369</v>
      </c>
      <c r="D4201" t="s">
        <v>6313</v>
      </c>
      <c r="E4201" t="s">
        <v>6323</v>
      </c>
      <c r="F4201" s="150" t="s">
        <v>6323</v>
      </c>
      <c r="G4201" s="149" t="s">
        <v>400</v>
      </c>
      <c r="H4201" s="150" t="str">
        <f>IF(Proc[[#This Row],[type]]="LFF (MDG-F)",MID(Proc[[#This Row],[Obj]],13,10),"")</f>
        <v/>
      </c>
      <c r="J4201" s="150" t="b">
        <f>Proc[[#This Row],[Requested]]=Proc[[#This Row],[CurrentParent]]</f>
        <v>1</v>
      </c>
      <c r="K4201" s="150" t="str">
        <f>IF(Proc[[#This Row],[Author]]="Marcela Urrego",VLOOKUP(LEFT(Proc[[#This Row],[Requested]],1),Table3[#All],2,0),VLOOKUP(Proc[[#This Row],[Author]],Table4[],2,0))</f>
        <v>EL</v>
      </c>
      <c r="L4201" s="150" t="s">
        <v>4894</v>
      </c>
      <c r="M4201" s="146">
        <v>45918</v>
      </c>
      <c r="N4201" s="148"/>
      <c r="O4201" s="148"/>
      <c r="P4201" s="146" t="str">
        <f ca="1">IF(Proc[[#This Row],[DaysAgeing]]&gt;5,"yep","on track")</f>
        <v>yep</v>
      </c>
      <c r="Q4201" s="3">
        <f ca="1">IF(Proc[[#This Row],[DateClosed]]="",ABS(NETWORKDAYS(Proc[[#This Row],[DateOpened]],TODAY()))-1,ABS(NETWORKDAYS(Proc[[#This Row],[DateOpened]],Proc[[#This Row],[DateClosed]]))-1)</f>
        <v>61</v>
      </c>
      <c r="R4201" s="146" t="s">
        <v>780</v>
      </c>
      <c r="S4201" s="150"/>
    </row>
    <row r="4202" spans="1:19">
      <c r="A4202" s="149" t="s">
        <v>6311</v>
      </c>
      <c r="B4202" s="150" t="str">
        <f>IFERROR(VLOOKUP(Proc[[#This Row],[App]],Table2[],3,0),"open")</f>
        <v>ok</v>
      </c>
      <c r="C4202" s="149" t="s">
        <v>369</v>
      </c>
      <c r="D4202" t="s">
        <v>6314</v>
      </c>
      <c r="E4202" t="s">
        <v>6323</v>
      </c>
      <c r="F4202" s="150" t="s">
        <v>6323</v>
      </c>
      <c r="G4202" s="149" t="s">
        <v>400</v>
      </c>
      <c r="H4202" s="150" t="str">
        <f>IF(Proc[[#This Row],[type]]="LFF (MDG-F)",MID(Proc[[#This Row],[Obj]],13,10),"")</f>
        <v/>
      </c>
      <c r="J4202" s="150" t="b">
        <f>Proc[[#This Row],[Requested]]=Proc[[#This Row],[CurrentParent]]</f>
        <v>1</v>
      </c>
      <c r="K4202" s="150" t="str">
        <f>IF(Proc[[#This Row],[Author]]="Marcela Urrego",VLOOKUP(LEFT(Proc[[#This Row],[Requested]],1),Table3[#All],2,0),VLOOKUP(Proc[[#This Row],[Author]],Table4[],2,0))</f>
        <v>EL</v>
      </c>
      <c r="L4202" s="150" t="s">
        <v>4894</v>
      </c>
      <c r="M4202" s="146">
        <v>45918</v>
      </c>
      <c r="N4202" s="148"/>
      <c r="O4202" s="148"/>
      <c r="P4202" s="146" t="str">
        <f ca="1">IF(Proc[[#This Row],[DaysAgeing]]&gt;5,"yep","on track")</f>
        <v>yep</v>
      </c>
      <c r="Q4202" s="3">
        <f ca="1">IF(Proc[[#This Row],[DateClosed]]="",ABS(NETWORKDAYS(Proc[[#This Row],[DateOpened]],TODAY()))-1,ABS(NETWORKDAYS(Proc[[#This Row],[DateOpened]],Proc[[#This Row],[DateClosed]]))-1)</f>
        <v>61</v>
      </c>
      <c r="R4202" s="146" t="s">
        <v>780</v>
      </c>
      <c r="S4202" s="150"/>
    </row>
    <row r="4203" spans="1:19">
      <c r="A4203" s="149" t="s">
        <v>6311</v>
      </c>
      <c r="B4203" s="150" t="str">
        <f>IFERROR(VLOOKUP(Proc[[#This Row],[App]],Table2[],3,0),"open")</f>
        <v>ok</v>
      </c>
      <c r="C4203" s="149" t="s">
        <v>369</v>
      </c>
      <c r="D4203" t="s">
        <v>6315</v>
      </c>
      <c r="E4203" t="s">
        <v>6248</v>
      </c>
      <c r="F4203" s="150" t="s">
        <v>6248</v>
      </c>
      <c r="G4203" s="149" t="s">
        <v>406</v>
      </c>
      <c r="H4203" s="150" t="str">
        <f>IF(Proc[[#This Row],[type]]="LFF (MDG-F)",MID(Proc[[#This Row],[Obj]],13,10),"")</f>
        <v>CN01O05001</v>
      </c>
      <c r="I4203" t="s">
        <v>6351</v>
      </c>
      <c r="J4203" s="150" t="b">
        <f>Proc[[#This Row],[Requested]]=Proc[[#This Row],[CurrentParent]]</f>
        <v>1</v>
      </c>
      <c r="K4203" s="150" t="str">
        <f>IF(Proc[[#This Row],[Author]]="Marcela Urrego",VLOOKUP(LEFT(Proc[[#This Row],[Requested]],1),Table3[#All],2,0),VLOOKUP(Proc[[#This Row],[Author]],Table4[],2,0))</f>
        <v>EL</v>
      </c>
      <c r="L4203" s="150" t="s">
        <v>4894</v>
      </c>
      <c r="M4203" s="146">
        <v>45918</v>
      </c>
      <c r="N4203" s="148"/>
      <c r="O4203" s="148"/>
      <c r="P4203" s="146" t="str">
        <f ca="1">IF(Proc[[#This Row],[DaysAgeing]]&gt;5,"yep","on track")</f>
        <v>yep</v>
      </c>
      <c r="Q4203" s="3">
        <f ca="1">IF(Proc[[#This Row],[DateClosed]]="",ABS(NETWORKDAYS(Proc[[#This Row],[DateOpened]],TODAY()))-1,ABS(NETWORKDAYS(Proc[[#This Row],[DateOpened]],Proc[[#This Row],[DateClosed]]))-1)</f>
        <v>61</v>
      </c>
      <c r="R4203" s="146" t="s">
        <v>780</v>
      </c>
      <c r="S4203" s="150"/>
    </row>
    <row r="4204" spans="1:19">
      <c r="A4204" s="149" t="s">
        <v>6311</v>
      </c>
      <c r="B4204" s="150" t="str">
        <f>IFERROR(VLOOKUP(Proc[[#This Row],[App]],Table2[],3,0),"open")</f>
        <v>ok</v>
      </c>
      <c r="C4204" s="149" t="s">
        <v>369</v>
      </c>
      <c r="D4204" t="s">
        <v>6316</v>
      </c>
      <c r="E4204" t="s">
        <v>6324</v>
      </c>
      <c r="F4204" s="150" t="s">
        <v>6324</v>
      </c>
      <c r="G4204" s="149" t="s">
        <v>400</v>
      </c>
      <c r="H4204" s="150" t="str">
        <f>IF(Proc[[#This Row],[type]]="LFF (MDG-F)",MID(Proc[[#This Row],[Obj]],13,10),"")</f>
        <v/>
      </c>
      <c r="J4204" s="150" t="b">
        <f>Proc[[#This Row],[Requested]]=Proc[[#This Row],[CurrentParent]]</f>
        <v>1</v>
      </c>
      <c r="K4204" s="150" t="str">
        <f>IF(Proc[[#This Row],[Author]]="Marcela Urrego",VLOOKUP(LEFT(Proc[[#This Row],[Requested]],1),Table3[#All],2,0),VLOOKUP(Proc[[#This Row],[Author]],Table4[],2,0))</f>
        <v>EL</v>
      </c>
      <c r="L4204" s="150" t="s">
        <v>4894</v>
      </c>
      <c r="M4204" s="146">
        <v>45918</v>
      </c>
      <c r="N4204" s="148"/>
      <c r="O4204" s="148"/>
      <c r="P4204" s="146" t="str">
        <f ca="1">IF(Proc[[#This Row],[DaysAgeing]]&gt;5,"yep","on track")</f>
        <v>yep</v>
      </c>
      <c r="Q4204" s="3">
        <f ca="1">IF(Proc[[#This Row],[DateClosed]]="",ABS(NETWORKDAYS(Proc[[#This Row],[DateOpened]],TODAY()))-1,ABS(NETWORKDAYS(Proc[[#This Row],[DateOpened]],Proc[[#This Row],[DateClosed]]))-1)</f>
        <v>61</v>
      </c>
      <c r="R4204" s="146" t="s">
        <v>780</v>
      </c>
      <c r="S4204" s="150"/>
    </row>
    <row r="4205" spans="1:19">
      <c r="A4205" s="149" t="s">
        <v>6311</v>
      </c>
      <c r="B4205" s="150" t="str">
        <f>IFERROR(VLOOKUP(Proc[[#This Row],[App]],Table2[],3,0),"open")</f>
        <v>ok</v>
      </c>
      <c r="C4205" s="149" t="s">
        <v>369</v>
      </c>
      <c r="D4205" t="s">
        <v>6317</v>
      </c>
      <c r="E4205" t="s">
        <v>6325</v>
      </c>
      <c r="F4205" s="150" t="s">
        <v>6325</v>
      </c>
      <c r="G4205" s="149" t="s">
        <v>400</v>
      </c>
      <c r="H4205" s="150" t="str">
        <f>IF(Proc[[#This Row],[type]]="LFF (MDG-F)",MID(Proc[[#This Row],[Obj]],13,10),"")</f>
        <v/>
      </c>
      <c r="J4205" s="150" t="b">
        <f>Proc[[#This Row],[Requested]]=Proc[[#This Row],[CurrentParent]]</f>
        <v>1</v>
      </c>
      <c r="K4205" s="150" t="str">
        <f>IF(Proc[[#This Row],[Author]]="Marcela Urrego",VLOOKUP(LEFT(Proc[[#This Row],[Requested]],1),Table3[#All],2,0),VLOOKUP(Proc[[#This Row],[Author]],Table4[],2,0))</f>
        <v>EL</v>
      </c>
      <c r="L4205" s="150" t="s">
        <v>4894</v>
      </c>
      <c r="M4205" s="146">
        <v>45918</v>
      </c>
      <c r="N4205" s="148"/>
      <c r="O4205" s="148"/>
      <c r="P4205" s="146" t="str">
        <f ca="1">IF(Proc[[#This Row],[DaysAgeing]]&gt;5,"yep","on track")</f>
        <v>yep</v>
      </c>
      <c r="Q4205" s="3">
        <f ca="1">IF(Proc[[#This Row],[DateClosed]]="",ABS(NETWORKDAYS(Proc[[#This Row],[DateOpened]],TODAY()))-1,ABS(NETWORKDAYS(Proc[[#This Row],[DateOpened]],Proc[[#This Row],[DateClosed]]))-1)</f>
        <v>61</v>
      </c>
      <c r="R4205" s="146" t="s">
        <v>780</v>
      </c>
      <c r="S4205" s="150"/>
    </row>
    <row r="4206" spans="1:19">
      <c r="A4206" s="149" t="s">
        <v>6311</v>
      </c>
      <c r="B4206" s="150" t="str">
        <f>IFERROR(VLOOKUP(Proc[[#This Row],[App]],Table2[],3,0),"open")</f>
        <v>ok</v>
      </c>
      <c r="C4206" s="149" t="s">
        <v>369</v>
      </c>
      <c r="D4206" s="149" t="s">
        <v>6330</v>
      </c>
      <c r="E4206" t="s">
        <v>6326</v>
      </c>
      <c r="F4206" s="150" t="s">
        <v>6326</v>
      </c>
      <c r="G4206" s="149" t="s">
        <v>400</v>
      </c>
      <c r="H4206" s="150" t="str">
        <f>IF(Proc[[#This Row],[type]]="LFF (MDG-F)",MID(Proc[[#This Row],[Obj]],13,10),"")</f>
        <v/>
      </c>
      <c r="I4206" s="149" t="s">
        <v>6318</v>
      </c>
      <c r="J4206" s="150" t="b">
        <f>Proc[[#This Row],[Requested]]=Proc[[#This Row],[CurrentParent]]</f>
        <v>1</v>
      </c>
      <c r="K4206" s="150" t="str">
        <f>IF(Proc[[#This Row],[Author]]="Marcela Urrego",VLOOKUP(LEFT(Proc[[#This Row],[Requested]],1),Table3[#All],2,0),VLOOKUP(Proc[[#This Row],[Author]],Table4[],2,0))</f>
        <v>EL</v>
      </c>
      <c r="L4206" s="150" t="s">
        <v>4894</v>
      </c>
      <c r="M4206" s="146">
        <v>45918</v>
      </c>
      <c r="N4206" s="148"/>
      <c r="O4206" s="148"/>
      <c r="P4206" s="146" t="str">
        <f ca="1">IF(Proc[[#This Row],[DaysAgeing]]&gt;5,"yep","on track")</f>
        <v>yep</v>
      </c>
      <c r="Q4206" s="3">
        <f ca="1">IF(Proc[[#This Row],[DateClosed]]="",ABS(NETWORKDAYS(Proc[[#This Row],[DateOpened]],TODAY()))-1,ABS(NETWORKDAYS(Proc[[#This Row],[DateOpened]],Proc[[#This Row],[DateClosed]]))-1)</f>
        <v>61</v>
      </c>
      <c r="R4206" s="146" t="s">
        <v>780</v>
      </c>
      <c r="S4206" s="150"/>
    </row>
    <row r="4207" spans="1:19">
      <c r="A4207" s="149" t="s">
        <v>6311</v>
      </c>
      <c r="B4207" s="150" t="str">
        <f>IFERROR(VLOOKUP(Proc[[#This Row],[App]],Table2[],3,0),"open")</f>
        <v>ok</v>
      </c>
      <c r="C4207" s="149" t="s">
        <v>369</v>
      </c>
      <c r="D4207" s="149" t="s">
        <v>6331</v>
      </c>
      <c r="E4207" t="s">
        <v>6327</v>
      </c>
      <c r="F4207" s="150" t="s">
        <v>6327</v>
      </c>
      <c r="G4207" s="149" t="s">
        <v>400</v>
      </c>
      <c r="H4207" s="150" t="str">
        <f>IF(Proc[[#This Row],[type]]="LFF (MDG-F)",MID(Proc[[#This Row],[Obj]],13,10),"")</f>
        <v/>
      </c>
      <c r="I4207" s="149" t="s">
        <v>6319</v>
      </c>
      <c r="J4207" s="150" t="b">
        <f>Proc[[#This Row],[Requested]]=Proc[[#This Row],[CurrentParent]]</f>
        <v>1</v>
      </c>
      <c r="K4207" s="150" t="str">
        <f>IF(Proc[[#This Row],[Author]]="Marcela Urrego",VLOOKUP(LEFT(Proc[[#This Row],[Requested]],1),Table3[#All],2,0),VLOOKUP(Proc[[#This Row],[Author]],Table4[],2,0))</f>
        <v>EL</v>
      </c>
      <c r="L4207" s="150" t="s">
        <v>4894</v>
      </c>
      <c r="M4207" s="146">
        <v>45918</v>
      </c>
      <c r="N4207" s="148"/>
      <c r="O4207" s="148"/>
      <c r="P4207" s="146" t="str">
        <f ca="1">IF(Proc[[#This Row],[DaysAgeing]]&gt;5,"yep","on track")</f>
        <v>yep</v>
      </c>
      <c r="Q4207" s="3">
        <f ca="1">IF(Proc[[#This Row],[DateClosed]]="",ABS(NETWORKDAYS(Proc[[#This Row],[DateOpened]],TODAY()))-1,ABS(NETWORKDAYS(Proc[[#This Row],[DateOpened]],Proc[[#This Row],[DateClosed]]))-1)</f>
        <v>61</v>
      </c>
      <c r="R4207" s="146" t="s">
        <v>780</v>
      </c>
      <c r="S4207" s="150"/>
    </row>
    <row r="4208" spans="1:19">
      <c r="A4208" s="149" t="s">
        <v>6311</v>
      </c>
      <c r="B4208" s="150" t="str">
        <f>IFERROR(VLOOKUP(Proc[[#This Row],[App]],Table2[],3,0),"open")</f>
        <v>ok</v>
      </c>
      <c r="C4208" s="149" t="s">
        <v>369</v>
      </c>
      <c r="D4208" s="149" t="s">
        <v>6332</v>
      </c>
      <c r="E4208" t="s">
        <v>6328</v>
      </c>
      <c r="F4208" s="150" t="s">
        <v>6328</v>
      </c>
      <c r="G4208" s="149" t="s">
        <v>400</v>
      </c>
      <c r="H4208" s="150" t="str">
        <f>IF(Proc[[#This Row],[type]]="LFF (MDG-F)",MID(Proc[[#This Row],[Obj]],13,10),"")</f>
        <v/>
      </c>
      <c r="I4208" s="149" t="s">
        <v>6320</v>
      </c>
      <c r="J4208" s="150" t="b">
        <f>Proc[[#This Row],[Requested]]=Proc[[#This Row],[CurrentParent]]</f>
        <v>1</v>
      </c>
      <c r="K4208" s="150" t="str">
        <f>IF(Proc[[#This Row],[Author]]="Marcela Urrego",VLOOKUP(LEFT(Proc[[#This Row],[Requested]],1),Table3[#All],2,0),VLOOKUP(Proc[[#This Row],[Author]],Table4[],2,0))</f>
        <v>EL</v>
      </c>
      <c r="L4208" s="150" t="s">
        <v>4894</v>
      </c>
      <c r="M4208" s="146">
        <v>45918</v>
      </c>
      <c r="N4208" s="148"/>
      <c r="O4208" s="148"/>
      <c r="P4208" s="146" t="str">
        <f ca="1">IF(Proc[[#This Row],[DaysAgeing]]&gt;5,"yep","on track")</f>
        <v>yep</v>
      </c>
      <c r="Q4208" s="3">
        <f ca="1">IF(Proc[[#This Row],[DateClosed]]="",ABS(NETWORKDAYS(Proc[[#This Row],[DateOpened]],TODAY()))-1,ABS(NETWORKDAYS(Proc[[#This Row],[DateOpened]],Proc[[#This Row],[DateClosed]]))-1)</f>
        <v>61</v>
      </c>
      <c r="R4208" s="146" t="s">
        <v>780</v>
      </c>
      <c r="S4208" s="150"/>
    </row>
    <row r="4209" spans="1:19">
      <c r="A4209" s="149" t="s">
        <v>6311</v>
      </c>
      <c r="B4209" s="150" t="str">
        <f>IFERROR(VLOOKUP(Proc[[#This Row],[App]],Table2[],3,0),"open")</f>
        <v>ok</v>
      </c>
      <c r="C4209" s="149" t="s">
        <v>369</v>
      </c>
      <c r="D4209" t="s">
        <v>6321</v>
      </c>
      <c r="E4209" t="s">
        <v>6329</v>
      </c>
      <c r="F4209" s="150" t="s">
        <v>6329</v>
      </c>
      <c r="G4209" s="149" t="s">
        <v>400</v>
      </c>
      <c r="H4209" s="150" t="str">
        <f>IF(Proc[[#This Row],[type]]="LFF (MDG-F)",MID(Proc[[#This Row],[Obj]],13,10),"")</f>
        <v/>
      </c>
      <c r="J4209" s="150" t="b">
        <f>Proc[[#This Row],[Requested]]=Proc[[#This Row],[CurrentParent]]</f>
        <v>1</v>
      </c>
      <c r="K4209" s="150" t="str">
        <f>IF(Proc[[#This Row],[Author]]="Marcela Urrego",VLOOKUP(LEFT(Proc[[#This Row],[Requested]],1),Table3[#All],2,0),VLOOKUP(Proc[[#This Row],[Author]],Table4[],2,0))</f>
        <v>EL</v>
      </c>
      <c r="L4209" s="150" t="s">
        <v>4894</v>
      </c>
      <c r="M4209" s="146">
        <v>45918</v>
      </c>
      <c r="N4209" s="148"/>
      <c r="O4209" s="148"/>
      <c r="P4209" s="146" t="str">
        <f ca="1">IF(Proc[[#This Row],[DaysAgeing]]&gt;5,"yep","on track")</f>
        <v>yep</v>
      </c>
      <c r="Q4209" s="3">
        <f ca="1">IF(Proc[[#This Row],[DateClosed]]="",ABS(NETWORKDAYS(Proc[[#This Row],[DateOpened]],TODAY()))-1,ABS(NETWORKDAYS(Proc[[#This Row],[DateOpened]],Proc[[#This Row],[DateClosed]]))-1)</f>
        <v>61</v>
      </c>
      <c r="R4209" s="146" t="s">
        <v>780</v>
      </c>
      <c r="S4209" s="150"/>
    </row>
    <row r="4210" spans="1:19">
      <c r="A4210" s="149" t="s">
        <v>6311</v>
      </c>
      <c r="B4210" s="150" t="str">
        <f>IFERROR(VLOOKUP(Proc[[#This Row],[App]],Table2[],3,0),"open")</f>
        <v>ok</v>
      </c>
      <c r="C4210" s="149" t="s">
        <v>369</v>
      </c>
      <c r="D4210" t="s">
        <v>6322</v>
      </c>
      <c r="E4210" t="s">
        <v>6329</v>
      </c>
      <c r="F4210" s="150" t="s">
        <v>6329</v>
      </c>
      <c r="G4210" s="149" t="s">
        <v>400</v>
      </c>
      <c r="H4210" s="150" t="str">
        <f>IF(Proc[[#This Row],[type]]="LFF (MDG-F)",MID(Proc[[#This Row],[Obj]],13,10),"")</f>
        <v/>
      </c>
      <c r="J4210" s="150" t="b">
        <f>Proc[[#This Row],[Requested]]=Proc[[#This Row],[CurrentParent]]</f>
        <v>1</v>
      </c>
      <c r="K4210" s="150" t="str">
        <f>IF(Proc[[#This Row],[Author]]="Marcela Urrego",VLOOKUP(LEFT(Proc[[#This Row],[Requested]],1),Table3[#All],2,0),VLOOKUP(Proc[[#This Row],[Author]],Table4[],2,0))</f>
        <v>EL</v>
      </c>
      <c r="L4210" s="150" t="s">
        <v>4894</v>
      </c>
      <c r="M4210" s="146">
        <v>45918</v>
      </c>
      <c r="N4210" s="148"/>
      <c r="O4210" s="148"/>
      <c r="P4210" s="146" t="str">
        <f ca="1">IF(Proc[[#This Row],[DaysAgeing]]&gt;5,"yep","on track")</f>
        <v>yep</v>
      </c>
      <c r="Q4210" s="3">
        <f ca="1">IF(Proc[[#This Row],[DateClosed]]="",ABS(NETWORKDAYS(Proc[[#This Row],[DateOpened]],TODAY()))-1,ABS(NETWORKDAYS(Proc[[#This Row],[DateOpened]],Proc[[#This Row],[DateClosed]]))-1)</f>
        <v>61</v>
      </c>
      <c r="R4210" s="146" t="s">
        <v>780</v>
      </c>
      <c r="S4210" s="150"/>
    </row>
    <row r="4211" spans="1:19">
      <c r="A4211" t="s">
        <v>6344</v>
      </c>
      <c r="B4211" s="150" t="str">
        <f>IFERROR(VLOOKUP(Proc[[#This Row],[App]],Table2[],3,0),"open")</f>
        <v>ok</v>
      </c>
      <c r="C4211" s="149" t="s">
        <v>369</v>
      </c>
      <c r="D4211" t="s">
        <v>6333</v>
      </c>
      <c r="E4211" t="s">
        <v>6345</v>
      </c>
      <c r="F4211" s="150" t="s">
        <v>6345</v>
      </c>
      <c r="G4211" s="149" t="s">
        <v>406</v>
      </c>
      <c r="H4211" s="150" t="str">
        <f>IF(Proc[[#This Row],[type]]="LFF (MDG-F)",MID(Proc[[#This Row],[Obj]],13,10),"")</f>
        <v>DE10Z01000</v>
      </c>
      <c r="J4211" s="150" t="b">
        <f>Proc[[#This Row],[Requested]]=Proc[[#This Row],[CurrentParent]]</f>
        <v>1</v>
      </c>
      <c r="K4211" s="150" t="str">
        <f>IF(Proc[[#This Row],[Author]]="Marcela Urrego",VLOOKUP(LEFT(Proc[[#This Row],[Requested]],1),Table3[#All],2,0),VLOOKUP(Proc[[#This Row],[Author]],Table4[],2,0))</f>
        <v>EL</v>
      </c>
      <c r="L4211" s="150" t="s">
        <v>4894</v>
      </c>
      <c r="M4211" s="146">
        <v>45919</v>
      </c>
      <c r="N4211" s="148"/>
      <c r="O4211" s="148"/>
      <c r="P4211" s="146" t="str">
        <f ca="1">IF(Proc[[#This Row],[DaysAgeing]]&gt;5,"yep","on track")</f>
        <v>yep</v>
      </c>
      <c r="Q4211" s="3">
        <f ca="1">IF(Proc[[#This Row],[DateClosed]]="",ABS(NETWORKDAYS(Proc[[#This Row],[DateOpened]],TODAY()))-1,ABS(NETWORKDAYS(Proc[[#This Row],[DateOpened]],Proc[[#This Row],[DateClosed]]))-1)</f>
        <v>60</v>
      </c>
      <c r="R4211" s="146" t="s">
        <v>780</v>
      </c>
      <c r="S4211" s="150"/>
    </row>
    <row r="4212" spans="1:19">
      <c r="A4212" s="149" t="s">
        <v>6344</v>
      </c>
      <c r="B4212" s="150" t="str">
        <f>IFERROR(VLOOKUP(Proc[[#This Row],[App]],Table2[],3,0),"open")</f>
        <v>ok</v>
      </c>
      <c r="C4212" s="149" t="s">
        <v>369</v>
      </c>
      <c r="D4212" t="s">
        <v>6334</v>
      </c>
      <c r="E4212" t="s">
        <v>6346</v>
      </c>
      <c r="F4212" s="150" t="s">
        <v>6346</v>
      </c>
      <c r="G4212" s="149" t="s">
        <v>406</v>
      </c>
      <c r="H4212" s="150" t="str">
        <f>IF(Proc[[#This Row],[type]]="LFF (MDG-F)",MID(Proc[[#This Row],[Obj]],13,10),"")</f>
        <v>CN90Z01000</v>
      </c>
      <c r="I4212" s="149"/>
      <c r="J4212" s="150" t="b">
        <f>Proc[[#This Row],[Requested]]=Proc[[#This Row],[CurrentParent]]</f>
        <v>1</v>
      </c>
      <c r="K4212" s="150" t="str">
        <f>IF(Proc[[#This Row],[Author]]="Marcela Urrego",VLOOKUP(LEFT(Proc[[#This Row],[Requested]],1),Table3[#All],2,0),VLOOKUP(Proc[[#This Row],[Author]],Table4[],2,0))</f>
        <v>EL</v>
      </c>
      <c r="L4212" s="150" t="s">
        <v>4894</v>
      </c>
      <c r="M4212" s="146">
        <v>45919</v>
      </c>
      <c r="N4212" s="148"/>
      <c r="O4212" s="148"/>
      <c r="P4212" s="146" t="str">
        <f ca="1">IF(Proc[[#This Row],[DaysAgeing]]&gt;5,"yep","on track")</f>
        <v>yep</v>
      </c>
      <c r="Q4212" s="3">
        <f ca="1">IF(Proc[[#This Row],[DateClosed]]="",ABS(NETWORKDAYS(Proc[[#This Row],[DateOpened]],TODAY()))-1,ABS(NETWORKDAYS(Proc[[#This Row],[DateOpened]],Proc[[#This Row],[DateClosed]]))-1)</f>
        <v>60</v>
      </c>
      <c r="R4212" s="146" t="s">
        <v>780</v>
      </c>
      <c r="S4212" s="150"/>
    </row>
    <row r="4213" spans="1:19">
      <c r="A4213" s="149" t="s">
        <v>6344</v>
      </c>
      <c r="B4213" s="150" t="str">
        <f>IFERROR(VLOOKUP(Proc[[#This Row],[App]],Table2[],3,0),"open")</f>
        <v>ok</v>
      </c>
      <c r="C4213" s="149" t="s">
        <v>369</v>
      </c>
      <c r="D4213" t="s">
        <v>6335</v>
      </c>
      <c r="E4213" t="s">
        <v>6347</v>
      </c>
      <c r="F4213" s="150" t="s">
        <v>6347</v>
      </c>
      <c r="G4213" s="149" t="s">
        <v>406</v>
      </c>
      <c r="H4213" s="150" t="str">
        <f>IF(Proc[[#This Row],[type]]="LFF (MDG-F)",MID(Proc[[#This Row],[Obj]],13,10),"")</f>
        <v>ES50Z01000</v>
      </c>
      <c r="I4213" s="149"/>
      <c r="J4213" s="150" t="b">
        <f>Proc[[#This Row],[Requested]]=Proc[[#This Row],[CurrentParent]]</f>
        <v>1</v>
      </c>
      <c r="K4213" s="150" t="str">
        <f>IF(Proc[[#This Row],[Author]]="Marcela Urrego",VLOOKUP(LEFT(Proc[[#This Row],[Requested]],1),Table3[#All],2,0),VLOOKUP(Proc[[#This Row],[Author]],Table4[],2,0))</f>
        <v>EL</v>
      </c>
      <c r="L4213" s="150" t="s">
        <v>4894</v>
      </c>
      <c r="M4213" s="146">
        <v>45919</v>
      </c>
      <c r="N4213" s="148"/>
      <c r="O4213" s="148"/>
      <c r="P4213" s="146" t="str">
        <f ca="1">IF(Proc[[#This Row],[DaysAgeing]]&gt;5,"yep","on track")</f>
        <v>yep</v>
      </c>
      <c r="Q4213" s="3">
        <f ca="1">IF(Proc[[#This Row],[DateClosed]]="",ABS(NETWORKDAYS(Proc[[#This Row],[DateOpened]],TODAY()))-1,ABS(NETWORKDAYS(Proc[[#This Row],[DateOpened]],Proc[[#This Row],[DateClosed]]))-1)</f>
        <v>60</v>
      </c>
      <c r="R4213" s="146" t="s">
        <v>780</v>
      </c>
      <c r="S4213" s="150"/>
    </row>
    <row r="4214" spans="1:19">
      <c r="A4214" s="149" t="s">
        <v>6344</v>
      </c>
      <c r="B4214" s="150" t="str">
        <f>IFERROR(VLOOKUP(Proc[[#This Row],[App]],Table2[],3,0),"open")</f>
        <v>ok</v>
      </c>
      <c r="C4214" s="149" t="s">
        <v>369</v>
      </c>
      <c r="D4214" t="s">
        <v>6336</v>
      </c>
      <c r="E4214" t="s">
        <v>6177</v>
      </c>
      <c r="F4214" s="150" t="s">
        <v>6177</v>
      </c>
      <c r="G4214" s="149" t="s">
        <v>406</v>
      </c>
      <c r="H4214" s="150" t="str">
        <f>IF(Proc[[#This Row],[type]]="LFF (MDG-F)",MID(Proc[[#This Row],[Obj]],13,10),"")</f>
        <v>CN03Z01000</v>
      </c>
      <c r="I4214" s="149"/>
      <c r="J4214" s="150" t="b">
        <f>Proc[[#This Row],[Requested]]=Proc[[#This Row],[CurrentParent]]</f>
        <v>1</v>
      </c>
      <c r="K4214" s="150" t="str">
        <f>IF(Proc[[#This Row],[Author]]="Marcela Urrego",VLOOKUP(LEFT(Proc[[#This Row],[Requested]],1),Table3[#All],2,0),VLOOKUP(Proc[[#This Row],[Author]],Table4[],2,0))</f>
        <v>EL</v>
      </c>
      <c r="L4214" s="150" t="s">
        <v>4894</v>
      </c>
      <c r="M4214" s="146">
        <v>45919</v>
      </c>
      <c r="N4214" s="148"/>
      <c r="O4214" s="148"/>
      <c r="P4214" s="146" t="str">
        <f ca="1">IF(Proc[[#This Row],[DaysAgeing]]&gt;5,"yep","on track")</f>
        <v>yep</v>
      </c>
      <c r="Q4214" s="3">
        <f ca="1">IF(Proc[[#This Row],[DateClosed]]="",ABS(NETWORKDAYS(Proc[[#This Row],[DateOpened]],TODAY()))-1,ABS(NETWORKDAYS(Proc[[#This Row],[DateOpened]],Proc[[#This Row],[DateClosed]]))-1)</f>
        <v>60</v>
      </c>
      <c r="R4214" s="146" t="s">
        <v>780</v>
      </c>
      <c r="S4214" s="150"/>
    </row>
    <row r="4215" spans="1:19">
      <c r="A4215" s="149" t="s">
        <v>6344</v>
      </c>
      <c r="B4215" s="150" t="str">
        <f>IFERROR(VLOOKUP(Proc[[#This Row],[App]],Table2[],3,0),"open")</f>
        <v>ok</v>
      </c>
      <c r="C4215" s="149" t="s">
        <v>369</v>
      </c>
      <c r="D4215" t="s">
        <v>6337</v>
      </c>
      <c r="E4215" t="s">
        <v>6177</v>
      </c>
      <c r="F4215" s="150" t="s">
        <v>6177</v>
      </c>
      <c r="G4215" s="149" t="s">
        <v>406</v>
      </c>
      <c r="H4215" s="150" t="str">
        <f>IF(Proc[[#This Row],[type]]="LFF (MDG-F)",MID(Proc[[#This Row],[Obj]],13,10),"")</f>
        <v>IN01Z01000</v>
      </c>
      <c r="I4215" s="149"/>
      <c r="J4215" s="150" t="b">
        <f>Proc[[#This Row],[Requested]]=Proc[[#This Row],[CurrentParent]]</f>
        <v>1</v>
      </c>
      <c r="K4215" s="150" t="str">
        <f>IF(Proc[[#This Row],[Author]]="Marcela Urrego",VLOOKUP(LEFT(Proc[[#This Row],[Requested]],1),Table3[#All],2,0),VLOOKUP(Proc[[#This Row],[Author]],Table4[],2,0))</f>
        <v>EL</v>
      </c>
      <c r="L4215" s="150" t="s">
        <v>4894</v>
      </c>
      <c r="M4215" s="146">
        <v>45919</v>
      </c>
      <c r="N4215" s="148"/>
      <c r="O4215" s="148"/>
      <c r="P4215" s="146" t="str">
        <f ca="1">IF(Proc[[#This Row],[DaysAgeing]]&gt;5,"yep","on track")</f>
        <v>yep</v>
      </c>
      <c r="Q4215" s="3">
        <f ca="1">IF(Proc[[#This Row],[DateClosed]]="",ABS(NETWORKDAYS(Proc[[#This Row],[DateOpened]],TODAY()))-1,ABS(NETWORKDAYS(Proc[[#This Row],[DateOpened]],Proc[[#This Row],[DateClosed]]))-1)</f>
        <v>60</v>
      </c>
      <c r="R4215" s="146" t="s">
        <v>780</v>
      </c>
      <c r="S4215" s="150"/>
    </row>
    <row r="4216" spans="1:19">
      <c r="A4216" s="149" t="s">
        <v>6344</v>
      </c>
      <c r="B4216" s="150" t="str">
        <f>IFERROR(VLOOKUP(Proc[[#This Row],[App]],Table2[],3,0),"open")</f>
        <v>ok</v>
      </c>
      <c r="C4216" s="149" t="s">
        <v>369</v>
      </c>
      <c r="D4216" t="s">
        <v>6338</v>
      </c>
      <c r="E4216" t="s">
        <v>6177</v>
      </c>
      <c r="F4216" s="150" t="s">
        <v>6177</v>
      </c>
      <c r="G4216" s="149" t="s">
        <v>406</v>
      </c>
      <c r="H4216" s="150" t="str">
        <f>IF(Proc[[#This Row],[type]]="LFF (MDG-F)",MID(Proc[[#This Row],[Obj]],13,10),"")</f>
        <v>SG09Z01000</v>
      </c>
      <c r="I4216" s="149"/>
      <c r="J4216" s="150" t="b">
        <f>Proc[[#This Row],[Requested]]=Proc[[#This Row],[CurrentParent]]</f>
        <v>1</v>
      </c>
      <c r="K4216" s="150" t="str">
        <f>IF(Proc[[#This Row],[Author]]="Marcela Urrego",VLOOKUP(LEFT(Proc[[#This Row],[Requested]],1),Table3[#All],2,0),VLOOKUP(Proc[[#This Row],[Author]],Table4[],2,0))</f>
        <v>EL</v>
      </c>
      <c r="L4216" s="150" t="s">
        <v>4894</v>
      </c>
      <c r="M4216" s="146">
        <v>45919</v>
      </c>
      <c r="N4216" s="148"/>
      <c r="O4216" s="148"/>
      <c r="P4216" s="146" t="str">
        <f ca="1">IF(Proc[[#This Row],[DaysAgeing]]&gt;5,"yep","on track")</f>
        <v>yep</v>
      </c>
      <c r="Q4216" s="3">
        <f ca="1">IF(Proc[[#This Row],[DateClosed]]="",ABS(NETWORKDAYS(Proc[[#This Row],[DateOpened]],TODAY()))-1,ABS(NETWORKDAYS(Proc[[#This Row],[DateOpened]],Proc[[#This Row],[DateClosed]]))-1)</f>
        <v>60</v>
      </c>
      <c r="R4216" s="146" t="s">
        <v>780</v>
      </c>
      <c r="S4216" s="150"/>
    </row>
    <row r="4217" spans="1:19">
      <c r="A4217" s="149" t="s">
        <v>6344</v>
      </c>
      <c r="B4217" s="150" t="str">
        <f>IFERROR(VLOOKUP(Proc[[#This Row],[App]],Table2[],3,0),"open")</f>
        <v>ok</v>
      </c>
      <c r="C4217" s="149" t="s">
        <v>369</v>
      </c>
      <c r="D4217" t="s">
        <v>6350</v>
      </c>
      <c r="E4217" t="s">
        <v>6348</v>
      </c>
      <c r="F4217" s="150" t="s">
        <v>6348</v>
      </c>
      <c r="G4217" t="s">
        <v>400</v>
      </c>
      <c r="H4217" s="150" t="str">
        <f>IF(Proc[[#This Row],[type]]="LFF (MDG-F)",MID(Proc[[#This Row],[Obj]],13,10),"")</f>
        <v/>
      </c>
      <c r="I4217" s="149"/>
      <c r="J4217" s="150" t="b">
        <f>Proc[[#This Row],[Requested]]=Proc[[#This Row],[CurrentParent]]</f>
        <v>1</v>
      </c>
      <c r="K4217" s="150" t="str">
        <f>IF(Proc[[#This Row],[Author]]="Marcela Urrego",VLOOKUP(LEFT(Proc[[#This Row],[Requested]],1),Table3[#All],2,0),VLOOKUP(Proc[[#This Row],[Author]],Table4[],2,0))</f>
        <v>EL</v>
      </c>
      <c r="L4217" s="150" t="s">
        <v>4894</v>
      </c>
      <c r="M4217" s="146">
        <v>45919</v>
      </c>
      <c r="N4217" s="148"/>
      <c r="O4217" s="148"/>
      <c r="P4217" s="146" t="str">
        <f ca="1">IF(Proc[[#This Row],[DaysAgeing]]&gt;5,"yep","on track")</f>
        <v>yep</v>
      </c>
      <c r="Q4217" s="3">
        <f ca="1">IF(Proc[[#This Row],[DateClosed]]="",ABS(NETWORKDAYS(Proc[[#This Row],[DateOpened]],TODAY()))-1,ABS(NETWORKDAYS(Proc[[#This Row],[DateOpened]],Proc[[#This Row],[DateClosed]]))-1)</f>
        <v>60</v>
      </c>
      <c r="R4217" s="146" t="s">
        <v>780</v>
      </c>
      <c r="S4217" s="150"/>
    </row>
    <row r="4218" spans="1:19">
      <c r="A4218" s="149" t="s">
        <v>6344</v>
      </c>
      <c r="B4218" s="150" t="str">
        <f>IFERROR(VLOOKUP(Proc[[#This Row],[App]],Table2[],3,0),"open")</f>
        <v>ok</v>
      </c>
      <c r="C4218" s="149" t="s">
        <v>369</v>
      </c>
      <c r="D4218" t="s">
        <v>6339</v>
      </c>
      <c r="E4218" t="s">
        <v>735</v>
      </c>
      <c r="F4218" s="150" t="s">
        <v>735</v>
      </c>
      <c r="G4218" s="149" t="s">
        <v>406</v>
      </c>
      <c r="H4218" s="150" t="str">
        <f>IF(Proc[[#This Row],[type]]="LFF (MDG-F)",MID(Proc[[#This Row],[Obj]],13,10),"")</f>
        <v>CN01Z01000</v>
      </c>
      <c r="I4218" s="149"/>
      <c r="J4218" s="150" t="b">
        <f>Proc[[#This Row],[Requested]]=Proc[[#This Row],[CurrentParent]]</f>
        <v>1</v>
      </c>
      <c r="K4218" s="150" t="str">
        <f>IF(Proc[[#This Row],[Author]]="Marcela Urrego",VLOOKUP(LEFT(Proc[[#This Row],[Requested]],1),Table3[#All],2,0),VLOOKUP(Proc[[#This Row],[Author]],Table4[],2,0))</f>
        <v>EL</v>
      </c>
      <c r="L4218" s="150" t="s">
        <v>4894</v>
      </c>
      <c r="M4218" s="146">
        <v>45919</v>
      </c>
      <c r="N4218" s="148"/>
      <c r="O4218" s="148"/>
      <c r="P4218" s="146" t="str">
        <f ca="1">IF(Proc[[#This Row],[DaysAgeing]]&gt;5,"yep","on track")</f>
        <v>yep</v>
      </c>
      <c r="Q4218" s="3">
        <f ca="1">IF(Proc[[#This Row],[DateClosed]]="",ABS(NETWORKDAYS(Proc[[#This Row],[DateOpened]],TODAY()))-1,ABS(NETWORKDAYS(Proc[[#This Row],[DateOpened]],Proc[[#This Row],[DateClosed]]))-1)</f>
        <v>60</v>
      </c>
      <c r="R4218" s="146" t="s">
        <v>780</v>
      </c>
      <c r="S4218" s="150"/>
    </row>
    <row r="4219" spans="1:19">
      <c r="A4219" s="149" t="s">
        <v>6344</v>
      </c>
      <c r="B4219" s="150" t="str">
        <f>IFERROR(VLOOKUP(Proc[[#This Row],[App]],Table2[],3,0),"open")</f>
        <v>ok</v>
      </c>
      <c r="C4219" s="149" t="s">
        <v>369</v>
      </c>
      <c r="D4219" t="s">
        <v>6340</v>
      </c>
      <c r="E4219" t="s">
        <v>735</v>
      </c>
      <c r="F4219" s="150" t="s">
        <v>735</v>
      </c>
      <c r="G4219" s="149" t="s">
        <v>406</v>
      </c>
      <c r="H4219" s="150" t="str">
        <f>IF(Proc[[#This Row],[type]]="LFF (MDG-F)",MID(Proc[[#This Row],[Obj]],13,10),"")</f>
        <v>DE04Z01000</v>
      </c>
      <c r="I4219" s="149"/>
      <c r="J4219" s="150" t="b">
        <f>Proc[[#This Row],[Requested]]=Proc[[#This Row],[CurrentParent]]</f>
        <v>1</v>
      </c>
      <c r="K4219" s="150" t="str">
        <f>IF(Proc[[#This Row],[Author]]="Marcela Urrego",VLOOKUP(LEFT(Proc[[#This Row],[Requested]],1),Table3[#All],2,0),VLOOKUP(Proc[[#This Row],[Author]],Table4[],2,0))</f>
        <v>EL</v>
      </c>
      <c r="L4219" s="150" t="s">
        <v>4894</v>
      </c>
      <c r="M4219" s="146">
        <v>45919</v>
      </c>
      <c r="N4219" s="148"/>
      <c r="O4219" s="148"/>
      <c r="P4219" s="146" t="str">
        <f ca="1">IF(Proc[[#This Row],[DaysAgeing]]&gt;5,"yep","on track")</f>
        <v>yep</v>
      </c>
      <c r="Q4219" s="3">
        <f ca="1">IF(Proc[[#This Row],[DateClosed]]="",ABS(NETWORKDAYS(Proc[[#This Row],[DateOpened]],TODAY()))-1,ABS(NETWORKDAYS(Proc[[#This Row],[DateOpened]],Proc[[#This Row],[DateClosed]]))-1)</f>
        <v>60</v>
      </c>
      <c r="R4219" s="146" t="s">
        <v>780</v>
      </c>
      <c r="S4219" s="150"/>
    </row>
    <row r="4220" spans="1:19">
      <c r="A4220" s="149" t="s">
        <v>6344</v>
      </c>
      <c r="B4220" s="150" t="str">
        <f>IFERROR(VLOOKUP(Proc[[#This Row],[App]],Table2[],3,0),"open")</f>
        <v>ok</v>
      </c>
      <c r="C4220" s="149" t="s">
        <v>369</v>
      </c>
      <c r="D4220" t="s">
        <v>6341</v>
      </c>
      <c r="E4220" t="s">
        <v>735</v>
      </c>
      <c r="F4220" s="150" t="s">
        <v>735</v>
      </c>
      <c r="G4220" s="149" t="s">
        <v>406</v>
      </c>
      <c r="H4220" s="150" t="str">
        <f>IF(Proc[[#This Row],[type]]="LFF (MDG-F)",MID(Proc[[#This Row],[Obj]],13,10),"")</f>
        <v>KR03Z01000</v>
      </c>
      <c r="I4220" s="149" t="s">
        <v>6349</v>
      </c>
      <c r="J4220" s="150" t="b">
        <f>Proc[[#This Row],[Requested]]=Proc[[#This Row],[CurrentParent]]</f>
        <v>1</v>
      </c>
      <c r="K4220" s="150" t="str">
        <f>IF(Proc[[#This Row],[Author]]="Marcela Urrego",VLOOKUP(LEFT(Proc[[#This Row],[Requested]],1),Table3[#All],2,0),VLOOKUP(Proc[[#This Row],[Author]],Table4[],2,0))</f>
        <v>EL</v>
      </c>
      <c r="L4220" s="150" t="s">
        <v>4894</v>
      </c>
      <c r="M4220" s="146">
        <v>45919</v>
      </c>
      <c r="N4220" s="148"/>
      <c r="O4220" s="148"/>
      <c r="P4220" s="146" t="str">
        <f ca="1">IF(Proc[[#This Row],[DaysAgeing]]&gt;5,"yep","on track")</f>
        <v>yep</v>
      </c>
      <c r="Q4220" s="3">
        <f ca="1">IF(Proc[[#This Row],[DateClosed]]="",ABS(NETWORKDAYS(Proc[[#This Row],[DateOpened]],TODAY()))-1,ABS(NETWORKDAYS(Proc[[#This Row],[DateOpened]],Proc[[#This Row],[DateClosed]]))-1)</f>
        <v>60</v>
      </c>
      <c r="R4220" s="146" t="s">
        <v>780</v>
      </c>
      <c r="S4220" s="150"/>
    </row>
    <row r="4221" spans="1:19">
      <c r="A4221" s="149" t="s">
        <v>6344</v>
      </c>
      <c r="B4221" s="150" t="str">
        <f>IFERROR(VLOOKUP(Proc[[#This Row],[App]],Table2[],3,0),"open")</f>
        <v>ok</v>
      </c>
      <c r="C4221" s="149" t="s">
        <v>369</v>
      </c>
      <c r="D4221" t="s">
        <v>6342</v>
      </c>
      <c r="E4221" s="149" t="s">
        <v>735</v>
      </c>
      <c r="F4221" s="150" t="s">
        <v>735</v>
      </c>
      <c r="G4221" s="149" t="s">
        <v>406</v>
      </c>
      <c r="H4221" s="150" t="str">
        <f>IF(Proc[[#This Row],[type]]="LFF (MDG-F)",MID(Proc[[#This Row],[Obj]],13,10),"")</f>
        <v>US01Z01000</v>
      </c>
      <c r="I4221" s="149"/>
      <c r="J4221" s="150" t="b">
        <f>Proc[[#This Row],[Requested]]=Proc[[#This Row],[CurrentParent]]</f>
        <v>1</v>
      </c>
      <c r="K4221" s="150" t="str">
        <f>IF(Proc[[#This Row],[Author]]="Marcela Urrego",VLOOKUP(LEFT(Proc[[#This Row],[Requested]],1),Table3[#All],2,0),VLOOKUP(Proc[[#This Row],[Author]],Table4[],2,0))</f>
        <v>EL</v>
      </c>
      <c r="L4221" s="150" t="s">
        <v>4894</v>
      </c>
      <c r="M4221" s="146">
        <v>45919</v>
      </c>
      <c r="N4221" s="148"/>
      <c r="O4221" s="148"/>
      <c r="P4221" s="146" t="str">
        <f ca="1">IF(Proc[[#This Row],[DaysAgeing]]&gt;5,"yep","on track")</f>
        <v>yep</v>
      </c>
      <c r="Q4221" s="3">
        <f ca="1">IF(Proc[[#This Row],[DateClosed]]="",ABS(NETWORKDAYS(Proc[[#This Row],[DateOpened]],TODAY()))-1,ABS(NETWORKDAYS(Proc[[#This Row],[DateOpened]],Proc[[#This Row],[DateClosed]]))-1)</f>
        <v>60</v>
      </c>
      <c r="R4221" s="146" t="s">
        <v>780</v>
      </c>
      <c r="S4221" s="150"/>
    </row>
    <row r="4222" spans="1:19">
      <c r="A4222" s="149" t="s">
        <v>6344</v>
      </c>
      <c r="B4222" s="150" t="str">
        <f>IFERROR(VLOOKUP(Proc[[#This Row],[App]],Table2[],3,0),"open")</f>
        <v>ok</v>
      </c>
      <c r="C4222" s="149" t="s">
        <v>369</v>
      </c>
      <c r="D4222" t="s">
        <v>6343</v>
      </c>
      <c r="E4222" t="s">
        <v>6501</v>
      </c>
      <c r="F4222" s="150" t="s">
        <v>6268</v>
      </c>
      <c r="G4222" s="149" t="s">
        <v>406</v>
      </c>
      <c r="H4222" s="150" t="str">
        <f>IF(Proc[[#This Row],[type]]="LFF (MDG-F)",MID(Proc[[#This Row],[Obj]],13,10),"")</f>
        <v>TW02Z01000</v>
      </c>
      <c r="I4222" s="149"/>
      <c r="J4222" s="150" t="b">
        <f>Proc[[#This Row],[Requested]]=Proc[[#This Row],[CurrentParent]]</f>
        <v>0</v>
      </c>
      <c r="K4222" s="150" t="str">
        <f>IF(Proc[[#This Row],[Author]]="Marcela Urrego",VLOOKUP(LEFT(Proc[[#This Row],[Requested]],1),Table3[#All],2,0),VLOOKUP(Proc[[#This Row],[Author]],Table4[],2,0))</f>
        <v>EL</v>
      </c>
      <c r="L4222" s="150" t="s">
        <v>4894</v>
      </c>
      <c r="M4222" s="146">
        <v>45919</v>
      </c>
      <c r="N4222" s="148"/>
      <c r="O4222" s="148"/>
      <c r="P4222" s="146" t="str">
        <f ca="1">IF(Proc[[#This Row],[DaysAgeing]]&gt;5,"yep","on track")</f>
        <v>yep</v>
      </c>
      <c r="Q4222" s="3">
        <f ca="1">IF(Proc[[#This Row],[DateClosed]]="",ABS(NETWORKDAYS(Proc[[#This Row],[DateOpened]],TODAY()))-1,ABS(NETWORKDAYS(Proc[[#This Row],[DateOpened]],Proc[[#This Row],[DateClosed]]))-1)</f>
        <v>60</v>
      </c>
      <c r="R4222" s="146" t="s">
        <v>780</v>
      </c>
      <c r="S4222" s="150"/>
    </row>
    <row r="4223" spans="1:19">
      <c r="A4223" t="s">
        <v>6352</v>
      </c>
      <c r="B4223" s="150" t="str">
        <f>IFERROR(VLOOKUP(Proc[[#This Row],[App]],Table2[],3,0),"open")</f>
        <v>ok</v>
      </c>
      <c r="C4223" s="149" t="s">
        <v>369</v>
      </c>
      <c r="D4223" t="s">
        <v>6353</v>
      </c>
      <c r="E4223" t="s">
        <v>6354</v>
      </c>
      <c r="F4223" s="150" t="s">
        <v>6354</v>
      </c>
      <c r="G4223" s="149" t="s">
        <v>400</v>
      </c>
      <c r="H4223" s="150" t="str">
        <f>IF(Proc[[#This Row],[type]]="LFF (MDG-F)",MID(Proc[[#This Row],[Obj]],13,10),"")</f>
        <v/>
      </c>
      <c r="J4223" s="150" t="b">
        <f>Proc[[#This Row],[Requested]]=Proc[[#This Row],[CurrentParent]]</f>
        <v>1</v>
      </c>
      <c r="K4223" s="150" t="str">
        <f>IF(Proc[[#This Row],[Author]]="Marcela Urrego",VLOOKUP(LEFT(Proc[[#This Row],[Requested]],1),Table3[#All],2,0),VLOOKUP(Proc[[#This Row],[Author]],Table4[],2,0))</f>
        <v>LS</v>
      </c>
      <c r="L4223" s="150" t="s">
        <v>4894</v>
      </c>
      <c r="M4223" s="148">
        <v>45924</v>
      </c>
      <c r="N4223" s="151"/>
      <c r="O4223" s="151"/>
      <c r="P4223" s="148" t="str">
        <f ca="1">IF(Proc[[#This Row],[DaysAgeing]]&gt;5,"yep","on track")</f>
        <v>yep</v>
      </c>
      <c r="Q4223" s="3">
        <f ca="1">IF(Proc[[#This Row],[DateClosed]]="",ABS(NETWORKDAYS(Proc[[#This Row],[DateOpened]],TODAY()))-1,ABS(NETWORKDAYS(Proc[[#This Row],[DateOpened]],Proc[[#This Row],[DateClosed]]))-1)</f>
        <v>57</v>
      </c>
      <c r="R4223" s="148" t="s">
        <v>489</v>
      </c>
      <c r="S4223" s="150"/>
    </row>
    <row r="4224" spans="1:19">
      <c r="A4224" t="s">
        <v>6356</v>
      </c>
      <c r="B4224" s="150" t="str">
        <f>IFERROR(VLOOKUP(Proc[[#This Row],[App]],Table2[],3,0),"open")</f>
        <v>ok</v>
      </c>
      <c r="C4224" s="149" t="s">
        <v>369</v>
      </c>
      <c r="D4224" t="s">
        <v>6355</v>
      </c>
      <c r="E4224" t="s">
        <v>2815</v>
      </c>
      <c r="F4224" s="150" t="s">
        <v>2815</v>
      </c>
      <c r="G4224" s="149" t="s">
        <v>400</v>
      </c>
      <c r="H4224" s="150" t="str">
        <f>IF(Proc[[#This Row],[type]]="LFF (MDG-F)",MID(Proc[[#This Row],[Obj]],13,10),"")</f>
        <v/>
      </c>
      <c r="J4224" s="150" t="b">
        <f>Proc[[#This Row],[Requested]]=Proc[[#This Row],[CurrentParent]]</f>
        <v>1</v>
      </c>
      <c r="K4224" s="150" t="str">
        <f>IF(Proc[[#This Row],[Author]]="Marcela Urrego",VLOOKUP(LEFT(Proc[[#This Row],[Requested]],1),Table3[#All],2,0),VLOOKUP(Proc[[#This Row],[Author]],Table4[],2,0))</f>
        <v>LS</v>
      </c>
      <c r="L4224" s="150" t="s">
        <v>4894</v>
      </c>
      <c r="M4224" s="151">
        <v>45924</v>
      </c>
      <c r="N4224" s="151"/>
      <c r="O4224" s="151"/>
      <c r="P4224" s="148" t="str">
        <f ca="1">IF(Proc[[#This Row],[DaysAgeing]]&gt;5,"yep","on track")</f>
        <v>yep</v>
      </c>
      <c r="Q4224" s="3">
        <f ca="1">IF(Proc[[#This Row],[DateClosed]]="",ABS(NETWORKDAYS(Proc[[#This Row],[DateOpened]],TODAY()))-1,ABS(NETWORKDAYS(Proc[[#This Row],[DateOpened]],Proc[[#This Row],[DateClosed]]))-1)</f>
        <v>57</v>
      </c>
      <c r="R4224" s="148" t="s">
        <v>489</v>
      </c>
      <c r="S4224" s="150"/>
    </row>
    <row r="4225" spans="1:19">
      <c r="A4225" t="s">
        <v>6402</v>
      </c>
      <c r="B4225" s="150" t="str">
        <f>IFERROR(VLOOKUP(Proc[[#This Row],[App]],Table2[],3,0),"open")</f>
        <v>ok</v>
      </c>
      <c r="C4225" s="149" t="s">
        <v>369</v>
      </c>
      <c r="D4225" t="s">
        <v>6357</v>
      </c>
      <c r="E4225" t="s">
        <v>6403</v>
      </c>
      <c r="F4225" s="150" t="s">
        <v>6403</v>
      </c>
      <c r="G4225" t="s">
        <v>400</v>
      </c>
      <c r="H4225" s="150" t="str">
        <f>IF(Proc[[#This Row],[type]]="LFF (MDG-F)",MID(Proc[[#This Row],[Obj]],13,10),"")</f>
        <v/>
      </c>
      <c r="J4225" s="150" t="b">
        <f>Proc[[#This Row],[Requested]]=Proc[[#This Row],[CurrentParent]]</f>
        <v>1</v>
      </c>
      <c r="K4225" s="150" t="str">
        <f>IF(Proc[[#This Row],[Author]]="Marcela Urrego",VLOOKUP(LEFT(Proc[[#This Row],[Requested]],1),Table3[#All],2,0),VLOOKUP(Proc[[#This Row],[Author]],Table4[],2,0))</f>
        <v>HC</v>
      </c>
      <c r="L4225" s="150" t="s">
        <v>4894</v>
      </c>
      <c r="M4225" s="151">
        <v>45924</v>
      </c>
      <c r="N4225" s="151"/>
      <c r="O4225" s="151"/>
      <c r="P4225" s="152" t="str">
        <f ca="1">IF(Proc[[#This Row],[DaysAgeing]]&gt;5,"yep","on track")</f>
        <v>yep</v>
      </c>
      <c r="Q4225" s="3">
        <f ca="1">IF(Proc[[#This Row],[DateClosed]]="",ABS(NETWORKDAYS(Proc[[#This Row],[DateOpened]],TODAY()))-1,ABS(NETWORKDAYS(Proc[[#This Row],[DateOpened]],Proc[[#This Row],[DateClosed]]))-1)</f>
        <v>57</v>
      </c>
      <c r="R4225" s="152" t="s">
        <v>410</v>
      </c>
      <c r="S4225" s="150"/>
    </row>
    <row r="4226" spans="1:19">
      <c r="A4226" s="149" t="s">
        <v>6402</v>
      </c>
      <c r="B4226" s="150" t="str">
        <f>IFERROR(VLOOKUP(Proc[[#This Row],[App]],Table2[],3,0),"open")</f>
        <v>ok</v>
      </c>
      <c r="C4226" s="149" t="s">
        <v>369</v>
      </c>
      <c r="D4226" t="s">
        <v>6358</v>
      </c>
      <c r="E4226" t="s">
        <v>6403</v>
      </c>
      <c r="F4226" s="150" t="s">
        <v>6403</v>
      </c>
      <c r="G4226" t="s">
        <v>406</v>
      </c>
      <c r="H4226" s="150" t="str">
        <f>IF(Proc[[#This Row],[type]]="LFF (MDG-F)",MID(Proc[[#This Row],[Obj]],13,10),"")</f>
        <v>BE50C00901</v>
      </c>
      <c r="J4226" s="150" t="b">
        <f>Proc[[#This Row],[Requested]]=Proc[[#This Row],[CurrentParent]]</f>
        <v>1</v>
      </c>
      <c r="K4226" s="150" t="str">
        <f>IF(Proc[[#This Row],[Author]]="Marcela Urrego",VLOOKUP(LEFT(Proc[[#This Row],[Requested]],1),Table3[#All],2,0),VLOOKUP(Proc[[#This Row],[Author]],Table4[],2,0))</f>
        <v>HC</v>
      </c>
      <c r="L4226" s="150" t="s">
        <v>4894</v>
      </c>
      <c r="M4226" s="151">
        <v>45924</v>
      </c>
      <c r="N4226" s="151"/>
      <c r="O4226" s="151"/>
      <c r="P4226" s="152" t="str">
        <f ca="1">IF(Proc[[#This Row],[DaysAgeing]]&gt;5,"yep","on track")</f>
        <v>yep</v>
      </c>
      <c r="Q4226" s="3">
        <f ca="1">IF(Proc[[#This Row],[DateClosed]]="",ABS(NETWORKDAYS(Proc[[#This Row],[DateOpened]],TODAY()))-1,ABS(NETWORKDAYS(Proc[[#This Row],[DateOpened]],Proc[[#This Row],[DateClosed]]))-1)</f>
        <v>57</v>
      </c>
      <c r="R4226" s="152" t="s">
        <v>410</v>
      </c>
      <c r="S4226" s="150"/>
    </row>
    <row r="4227" spans="1:19">
      <c r="A4227" s="149" t="s">
        <v>6402</v>
      </c>
      <c r="B4227" s="150" t="str">
        <f>IFERROR(VLOOKUP(Proc[[#This Row],[App]],Table2[],3,0),"open")</f>
        <v>ok</v>
      </c>
      <c r="C4227" s="149" t="s">
        <v>369</v>
      </c>
      <c r="D4227" t="s">
        <v>6359</v>
      </c>
      <c r="E4227" t="s">
        <v>6404</v>
      </c>
      <c r="F4227" s="150" t="s">
        <v>6404</v>
      </c>
      <c r="G4227" s="149" t="s">
        <v>406</v>
      </c>
      <c r="H4227" s="150" t="str">
        <f>IF(Proc[[#This Row],[type]]="LFF (MDG-F)",MID(Proc[[#This Row],[Obj]],13,10),"")</f>
        <v>BE50C00912</v>
      </c>
      <c r="J4227" s="150" t="b">
        <f>Proc[[#This Row],[Requested]]=Proc[[#This Row],[CurrentParent]]</f>
        <v>1</v>
      </c>
      <c r="K4227" s="150" t="str">
        <f>IF(Proc[[#This Row],[Author]]="Marcela Urrego",VLOOKUP(LEFT(Proc[[#This Row],[Requested]],1),Table3[#All],2,0),VLOOKUP(Proc[[#This Row],[Author]],Table4[],2,0))</f>
        <v>HC</v>
      </c>
      <c r="L4227" s="150" t="s">
        <v>4894</v>
      </c>
      <c r="M4227" s="151">
        <v>45924</v>
      </c>
      <c r="N4227" s="151"/>
      <c r="O4227" s="151"/>
      <c r="P4227" s="152" t="str">
        <f ca="1">IF(Proc[[#This Row],[DaysAgeing]]&gt;5,"yep","on track")</f>
        <v>yep</v>
      </c>
      <c r="Q4227" s="3">
        <f ca="1">IF(Proc[[#This Row],[DateClosed]]="",ABS(NETWORKDAYS(Proc[[#This Row],[DateOpened]],TODAY()))-1,ABS(NETWORKDAYS(Proc[[#This Row],[DateOpened]],Proc[[#This Row],[DateClosed]]))-1)</f>
        <v>57</v>
      </c>
      <c r="R4227" s="152" t="s">
        <v>410</v>
      </c>
      <c r="S4227" s="150"/>
    </row>
    <row r="4228" spans="1:19">
      <c r="A4228" s="149" t="s">
        <v>6402</v>
      </c>
      <c r="B4228" s="150" t="str">
        <f>IFERROR(VLOOKUP(Proc[[#This Row],[App]],Table2[],3,0),"open")</f>
        <v>ok</v>
      </c>
      <c r="C4228" s="149" t="s">
        <v>369</v>
      </c>
      <c r="D4228" t="s">
        <v>6360</v>
      </c>
      <c r="E4228" t="s">
        <v>6403</v>
      </c>
      <c r="F4228" s="150" t="s">
        <v>6403</v>
      </c>
      <c r="G4228" s="149" t="s">
        <v>406</v>
      </c>
      <c r="H4228" s="150" t="str">
        <f>IF(Proc[[#This Row],[type]]="LFF (MDG-F)",MID(Proc[[#This Row],[Obj]],13,10),"")</f>
        <v>BE50C00921</v>
      </c>
      <c r="J4228" s="150" t="b">
        <f>Proc[[#This Row],[Requested]]=Proc[[#This Row],[CurrentParent]]</f>
        <v>1</v>
      </c>
      <c r="K4228" s="150" t="str">
        <f>IF(Proc[[#This Row],[Author]]="Marcela Urrego",VLOOKUP(LEFT(Proc[[#This Row],[Requested]],1),Table3[#All],2,0),VLOOKUP(Proc[[#This Row],[Author]],Table4[],2,0))</f>
        <v>HC</v>
      </c>
      <c r="L4228" s="150" t="s">
        <v>4894</v>
      </c>
      <c r="M4228" s="151">
        <v>45924</v>
      </c>
      <c r="N4228" s="151"/>
      <c r="O4228" s="151"/>
      <c r="P4228" s="152" t="str">
        <f ca="1">IF(Proc[[#This Row],[DaysAgeing]]&gt;5,"yep","on track")</f>
        <v>yep</v>
      </c>
      <c r="Q4228" s="3">
        <f ca="1">IF(Proc[[#This Row],[DateClosed]]="",ABS(NETWORKDAYS(Proc[[#This Row],[DateOpened]],TODAY()))-1,ABS(NETWORKDAYS(Proc[[#This Row],[DateOpened]],Proc[[#This Row],[DateClosed]]))-1)</f>
        <v>57</v>
      </c>
      <c r="R4228" s="152" t="s">
        <v>410</v>
      </c>
      <c r="S4228" s="150"/>
    </row>
    <row r="4229" spans="1:19">
      <c r="A4229" s="149" t="s">
        <v>6402</v>
      </c>
      <c r="B4229" s="150" t="str">
        <f>IFERROR(VLOOKUP(Proc[[#This Row],[App]],Table2[],3,0),"open")</f>
        <v>ok</v>
      </c>
      <c r="C4229" s="149" t="s">
        <v>369</v>
      </c>
      <c r="D4229" t="s">
        <v>6361</v>
      </c>
      <c r="E4229" t="s">
        <v>6403</v>
      </c>
      <c r="F4229" s="150" t="s">
        <v>6403</v>
      </c>
      <c r="G4229" s="149" t="s">
        <v>406</v>
      </c>
      <c r="H4229" s="150" t="str">
        <f>IF(Proc[[#This Row],[type]]="LFF (MDG-F)",MID(Proc[[#This Row],[Obj]],13,10),"")</f>
        <v>CN50GCA002</v>
      </c>
      <c r="J4229" s="150" t="b">
        <f>Proc[[#This Row],[Requested]]=Proc[[#This Row],[CurrentParent]]</f>
        <v>1</v>
      </c>
      <c r="K4229" s="150" t="str">
        <f>IF(Proc[[#This Row],[Author]]="Marcela Urrego",VLOOKUP(LEFT(Proc[[#This Row],[Requested]],1),Table3[#All],2,0),VLOOKUP(Proc[[#This Row],[Author]],Table4[],2,0))</f>
        <v>HC</v>
      </c>
      <c r="L4229" s="150" t="s">
        <v>4894</v>
      </c>
      <c r="M4229" s="151">
        <v>45924</v>
      </c>
      <c r="N4229" s="151"/>
      <c r="O4229" s="151"/>
      <c r="P4229" s="152" t="str">
        <f ca="1">IF(Proc[[#This Row],[DaysAgeing]]&gt;5,"yep","on track")</f>
        <v>yep</v>
      </c>
      <c r="Q4229" s="3">
        <f ca="1">IF(Proc[[#This Row],[DateClosed]]="",ABS(NETWORKDAYS(Proc[[#This Row],[DateOpened]],TODAY()))-1,ABS(NETWORKDAYS(Proc[[#This Row],[DateOpened]],Proc[[#This Row],[DateClosed]]))-1)</f>
        <v>57</v>
      </c>
      <c r="R4229" s="152" t="s">
        <v>410</v>
      </c>
      <c r="S4229" s="150"/>
    </row>
    <row r="4230" spans="1:19">
      <c r="A4230" s="149" t="s">
        <v>6402</v>
      </c>
      <c r="B4230" s="150" t="str">
        <f>IFERROR(VLOOKUP(Proc[[#This Row],[App]],Table2[],3,0),"open")</f>
        <v>ok</v>
      </c>
      <c r="C4230" s="149" t="s">
        <v>369</v>
      </c>
      <c r="D4230" t="s">
        <v>6362</v>
      </c>
      <c r="E4230" t="s">
        <v>6404</v>
      </c>
      <c r="F4230" s="150" t="s">
        <v>6404</v>
      </c>
      <c r="G4230" s="149" t="s">
        <v>406</v>
      </c>
      <c r="H4230" s="150" t="str">
        <f>IF(Proc[[#This Row],[type]]="LFF (MDG-F)",MID(Proc[[#This Row],[Obj]],13,10),"")</f>
        <v>CN50GCA004</v>
      </c>
      <c r="J4230" s="150" t="b">
        <f>Proc[[#This Row],[Requested]]=Proc[[#This Row],[CurrentParent]]</f>
        <v>1</v>
      </c>
      <c r="K4230" s="150" t="str">
        <f>IF(Proc[[#This Row],[Author]]="Marcela Urrego",VLOOKUP(LEFT(Proc[[#This Row],[Requested]],1),Table3[#All],2,0),VLOOKUP(Proc[[#This Row],[Author]],Table4[],2,0))</f>
        <v>HC</v>
      </c>
      <c r="L4230" s="150" t="s">
        <v>4894</v>
      </c>
      <c r="M4230" s="151">
        <v>45924</v>
      </c>
      <c r="N4230" s="151"/>
      <c r="O4230" s="151"/>
      <c r="P4230" s="152" t="str">
        <f ca="1">IF(Proc[[#This Row],[DaysAgeing]]&gt;5,"yep","on track")</f>
        <v>yep</v>
      </c>
      <c r="Q4230" s="3">
        <f ca="1">IF(Proc[[#This Row],[DateClosed]]="",ABS(NETWORKDAYS(Proc[[#This Row],[DateOpened]],TODAY()))-1,ABS(NETWORKDAYS(Proc[[#This Row],[DateOpened]],Proc[[#This Row],[DateClosed]]))-1)</f>
        <v>57</v>
      </c>
      <c r="R4230" s="152" t="s">
        <v>410</v>
      </c>
      <c r="S4230" s="150"/>
    </row>
    <row r="4231" spans="1:19">
      <c r="A4231" s="149" t="s">
        <v>6402</v>
      </c>
      <c r="B4231" s="150" t="str">
        <f>IFERROR(VLOOKUP(Proc[[#This Row],[App]],Table2[],3,0),"open")</f>
        <v>ok</v>
      </c>
      <c r="C4231" s="149" t="s">
        <v>369</v>
      </c>
      <c r="D4231" t="s">
        <v>6363</v>
      </c>
      <c r="E4231" t="s">
        <v>6404</v>
      </c>
      <c r="F4231" s="150" t="s">
        <v>6404</v>
      </c>
      <c r="G4231" s="149" t="s">
        <v>406</v>
      </c>
      <c r="H4231" s="150" t="str">
        <f>IF(Proc[[#This Row],[type]]="LFF (MDG-F)",MID(Proc[[#This Row],[Obj]],13,10),"")</f>
        <v>CN50GCA005</v>
      </c>
      <c r="J4231" s="150" t="b">
        <f>Proc[[#This Row],[Requested]]=Proc[[#This Row],[CurrentParent]]</f>
        <v>1</v>
      </c>
      <c r="K4231" s="150" t="str">
        <f>IF(Proc[[#This Row],[Author]]="Marcela Urrego",VLOOKUP(LEFT(Proc[[#This Row],[Requested]],1),Table3[#All],2,0),VLOOKUP(Proc[[#This Row],[Author]],Table4[],2,0))</f>
        <v>HC</v>
      </c>
      <c r="L4231" s="150" t="s">
        <v>4894</v>
      </c>
      <c r="M4231" s="151">
        <v>45924</v>
      </c>
      <c r="N4231" s="151"/>
      <c r="O4231" s="151"/>
      <c r="P4231" s="152" t="str">
        <f ca="1">IF(Proc[[#This Row],[DaysAgeing]]&gt;5,"yep","on track")</f>
        <v>yep</v>
      </c>
      <c r="Q4231" s="3">
        <f ca="1">IF(Proc[[#This Row],[DateClosed]]="",ABS(NETWORKDAYS(Proc[[#This Row],[DateOpened]],TODAY()))-1,ABS(NETWORKDAYS(Proc[[#This Row],[DateOpened]],Proc[[#This Row],[DateClosed]]))-1)</f>
        <v>57</v>
      </c>
      <c r="R4231" s="152" t="s">
        <v>410</v>
      </c>
      <c r="S4231" s="150"/>
    </row>
    <row r="4232" spans="1:19">
      <c r="A4232" s="149" t="s">
        <v>6402</v>
      </c>
      <c r="B4232" s="150" t="str">
        <f>IFERROR(VLOOKUP(Proc[[#This Row],[App]],Table2[],3,0),"open")</f>
        <v>ok</v>
      </c>
      <c r="C4232" s="149" t="s">
        <v>369</v>
      </c>
      <c r="D4232" t="s">
        <v>6364</v>
      </c>
      <c r="E4232" t="s">
        <v>6404</v>
      </c>
      <c r="F4232" s="150" t="s">
        <v>6404</v>
      </c>
      <c r="G4232" s="149" t="s">
        <v>406</v>
      </c>
      <c r="H4232" s="150" t="str">
        <f>IF(Proc[[#This Row],[type]]="LFF (MDG-F)",MID(Proc[[#This Row],[Obj]],13,10),"")</f>
        <v>CN50GCA012</v>
      </c>
      <c r="J4232" s="150" t="b">
        <f>Proc[[#This Row],[Requested]]=Proc[[#This Row],[CurrentParent]]</f>
        <v>1</v>
      </c>
      <c r="K4232" s="150" t="str">
        <f>IF(Proc[[#This Row],[Author]]="Marcela Urrego",VLOOKUP(LEFT(Proc[[#This Row],[Requested]],1),Table3[#All],2,0),VLOOKUP(Proc[[#This Row],[Author]],Table4[],2,0))</f>
        <v>HC</v>
      </c>
      <c r="L4232" s="150" t="s">
        <v>4894</v>
      </c>
      <c r="M4232" s="151">
        <v>45924</v>
      </c>
      <c r="N4232" s="151"/>
      <c r="O4232" s="151"/>
      <c r="P4232" s="152" t="str">
        <f ca="1">IF(Proc[[#This Row],[DaysAgeing]]&gt;5,"yep","on track")</f>
        <v>yep</v>
      </c>
      <c r="Q4232" s="3">
        <f ca="1">IF(Proc[[#This Row],[DateClosed]]="",ABS(NETWORKDAYS(Proc[[#This Row],[DateOpened]],TODAY()))-1,ABS(NETWORKDAYS(Proc[[#This Row],[DateOpened]],Proc[[#This Row],[DateClosed]]))-1)</f>
        <v>57</v>
      </c>
      <c r="R4232" s="152" t="s">
        <v>410</v>
      </c>
      <c r="S4232" s="150"/>
    </row>
    <row r="4233" spans="1:19">
      <c r="A4233" s="149" t="s">
        <v>6402</v>
      </c>
      <c r="B4233" s="150" t="str">
        <f>IFERROR(VLOOKUP(Proc[[#This Row],[App]],Table2[],3,0),"open")</f>
        <v>ok</v>
      </c>
      <c r="C4233" s="149" t="s">
        <v>369</v>
      </c>
      <c r="D4233" t="s">
        <v>6365</v>
      </c>
      <c r="E4233" t="s">
        <v>6403</v>
      </c>
      <c r="F4233" s="150" t="s">
        <v>6403</v>
      </c>
      <c r="G4233" s="149" t="s">
        <v>406</v>
      </c>
      <c r="H4233" s="150" t="str">
        <f>IF(Proc[[#This Row],[type]]="LFF (MDG-F)",MID(Proc[[#This Row],[Obj]],13,10),"")</f>
        <v>CN90GCA002</v>
      </c>
      <c r="J4233" s="150" t="b">
        <f>Proc[[#This Row],[Requested]]=Proc[[#This Row],[CurrentParent]]</f>
        <v>1</v>
      </c>
      <c r="K4233" s="150" t="str">
        <f>IF(Proc[[#This Row],[Author]]="Marcela Urrego",VLOOKUP(LEFT(Proc[[#This Row],[Requested]],1),Table3[#All],2,0),VLOOKUP(Proc[[#This Row],[Author]],Table4[],2,0))</f>
        <v>HC</v>
      </c>
      <c r="L4233" s="150" t="s">
        <v>4894</v>
      </c>
      <c r="M4233" s="151">
        <v>45924</v>
      </c>
      <c r="N4233" s="151"/>
      <c r="O4233" s="151"/>
      <c r="P4233" s="152" t="str">
        <f ca="1">IF(Proc[[#This Row],[DaysAgeing]]&gt;5,"yep","on track")</f>
        <v>yep</v>
      </c>
      <c r="Q4233" s="3">
        <f ca="1">IF(Proc[[#This Row],[DateClosed]]="",ABS(NETWORKDAYS(Proc[[#This Row],[DateOpened]],TODAY()))-1,ABS(NETWORKDAYS(Proc[[#This Row],[DateOpened]],Proc[[#This Row],[DateClosed]]))-1)</f>
        <v>57</v>
      </c>
      <c r="R4233" s="152" t="s">
        <v>410</v>
      </c>
      <c r="S4233" s="150"/>
    </row>
    <row r="4234" spans="1:19">
      <c r="A4234" s="149" t="s">
        <v>6402</v>
      </c>
      <c r="B4234" s="150" t="str">
        <f>IFERROR(VLOOKUP(Proc[[#This Row],[App]],Table2[],3,0),"open")</f>
        <v>ok</v>
      </c>
      <c r="C4234" s="149" t="s">
        <v>369</v>
      </c>
      <c r="D4234" t="s">
        <v>6366</v>
      </c>
      <c r="E4234" t="s">
        <v>6404</v>
      </c>
      <c r="F4234" s="150" t="s">
        <v>6404</v>
      </c>
      <c r="G4234" s="149" t="s">
        <v>406</v>
      </c>
      <c r="H4234" s="150" t="str">
        <f>IF(Proc[[#This Row],[type]]="LFF (MDG-F)",MID(Proc[[#This Row],[Obj]],13,10),"")</f>
        <v>CN90GCA004</v>
      </c>
      <c r="J4234" s="150" t="b">
        <f>Proc[[#This Row],[Requested]]=Proc[[#This Row],[CurrentParent]]</f>
        <v>1</v>
      </c>
      <c r="K4234" s="150" t="str">
        <f>IF(Proc[[#This Row],[Author]]="Marcela Urrego",VLOOKUP(LEFT(Proc[[#This Row],[Requested]],1),Table3[#All],2,0),VLOOKUP(Proc[[#This Row],[Author]],Table4[],2,0))</f>
        <v>HC</v>
      </c>
      <c r="L4234" s="150" t="s">
        <v>4894</v>
      </c>
      <c r="M4234" s="151">
        <v>45924</v>
      </c>
      <c r="N4234" s="151"/>
      <c r="O4234" s="151"/>
      <c r="P4234" s="152" t="str">
        <f ca="1">IF(Proc[[#This Row],[DaysAgeing]]&gt;5,"yep","on track")</f>
        <v>yep</v>
      </c>
      <c r="Q4234" s="3">
        <f ca="1">IF(Proc[[#This Row],[DateClosed]]="",ABS(NETWORKDAYS(Proc[[#This Row],[DateOpened]],TODAY()))-1,ABS(NETWORKDAYS(Proc[[#This Row],[DateOpened]],Proc[[#This Row],[DateClosed]]))-1)</f>
        <v>57</v>
      </c>
      <c r="R4234" s="152" t="s">
        <v>410</v>
      </c>
      <c r="S4234" s="150"/>
    </row>
    <row r="4235" spans="1:19">
      <c r="A4235" s="149" t="s">
        <v>6402</v>
      </c>
      <c r="B4235" s="150" t="str">
        <f>IFERROR(VLOOKUP(Proc[[#This Row],[App]],Table2[],3,0),"open")</f>
        <v>ok</v>
      </c>
      <c r="C4235" s="149" t="s">
        <v>369</v>
      </c>
      <c r="D4235" t="s">
        <v>6367</v>
      </c>
      <c r="E4235" t="s">
        <v>6404</v>
      </c>
      <c r="F4235" s="150" t="s">
        <v>6404</v>
      </c>
      <c r="G4235" s="149" t="s">
        <v>406</v>
      </c>
      <c r="H4235" s="150" t="str">
        <f>IF(Proc[[#This Row],[type]]="LFF (MDG-F)",MID(Proc[[#This Row],[Obj]],13,10),"")</f>
        <v>CN90GCA005</v>
      </c>
      <c r="J4235" s="150" t="b">
        <f>Proc[[#This Row],[Requested]]=Proc[[#This Row],[CurrentParent]]</f>
        <v>1</v>
      </c>
      <c r="K4235" s="150" t="str">
        <f>IF(Proc[[#This Row],[Author]]="Marcela Urrego",VLOOKUP(LEFT(Proc[[#This Row],[Requested]],1),Table3[#All],2,0),VLOOKUP(Proc[[#This Row],[Author]],Table4[],2,0))</f>
        <v>HC</v>
      </c>
      <c r="L4235" s="150" t="s">
        <v>4894</v>
      </c>
      <c r="M4235" s="151">
        <v>45924</v>
      </c>
      <c r="N4235" s="151"/>
      <c r="O4235" s="151"/>
      <c r="P4235" s="152" t="str">
        <f ca="1">IF(Proc[[#This Row],[DaysAgeing]]&gt;5,"yep","on track")</f>
        <v>yep</v>
      </c>
      <c r="Q4235" s="3">
        <f ca="1">IF(Proc[[#This Row],[DateClosed]]="",ABS(NETWORKDAYS(Proc[[#This Row],[DateOpened]],TODAY()))-1,ABS(NETWORKDAYS(Proc[[#This Row],[DateOpened]],Proc[[#This Row],[DateClosed]]))-1)</f>
        <v>57</v>
      </c>
      <c r="R4235" s="152" t="s">
        <v>410</v>
      </c>
      <c r="S4235" s="150"/>
    </row>
    <row r="4236" spans="1:19">
      <c r="A4236" s="149" t="s">
        <v>6402</v>
      </c>
      <c r="B4236" s="150" t="str">
        <f>IFERROR(VLOOKUP(Proc[[#This Row],[App]],Table2[],3,0),"open")</f>
        <v>ok</v>
      </c>
      <c r="C4236" s="149" t="s">
        <v>369</v>
      </c>
      <c r="D4236" t="s">
        <v>6368</v>
      </c>
      <c r="E4236" t="s">
        <v>6404</v>
      </c>
      <c r="F4236" s="150" t="s">
        <v>6404</v>
      </c>
      <c r="G4236" s="149" t="s">
        <v>406</v>
      </c>
      <c r="H4236" s="150" t="str">
        <f>IF(Proc[[#This Row],[type]]="LFF (MDG-F)",MID(Proc[[#This Row],[Obj]],13,10),"")</f>
        <v>CN90GCA012</v>
      </c>
      <c r="J4236" s="150" t="b">
        <f>Proc[[#This Row],[Requested]]=Proc[[#This Row],[CurrentParent]]</f>
        <v>1</v>
      </c>
      <c r="K4236" s="150" t="str">
        <f>IF(Proc[[#This Row],[Author]]="Marcela Urrego",VLOOKUP(LEFT(Proc[[#This Row],[Requested]],1),Table3[#All],2,0),VLOOKUP(Proc[[#This Row],[Author]],Table4[],2,0))</f>
        <v>HC</v>
      </c>
      <c r="L4236" s="150" t="s">
        <v>4894</v>
      </c>
      <c r="M4236" s="151">
        <v>45924</v>
      </c>
      <c r="N4236" s="151"/>
      <c r="O4236" s="151"/>
      <c r="P4236" s="152" t="str">
        <f ca="1">IF(Proc[[#This Row],[DaysAgeing]]&gt;5,"yep","on track")</f>
        <v>yep</v>
      </c>
      <c r="Q4236" s="3">
        <f ca="1">IF(Proc[[#This Row],[DateClosed]]="",ABS(NETWORKDAYS(Proc[[#This Row],[DateOpened]],TODAY()))-1,ABS(NETWORKDAYS(Proc[[#This Row],[DateOpened]],Proc[[#This Row],[DateClosed]]))-1)</f>
        <v>57</v>
      </c>
      <c r="R4236" s="152" t="s">
        <v>410</v>
      </c>
      <c r="S4236" s="150"/>
    </row>
    <row r="4237" spans="1:19">
      <c r="A4237" s="149" t="s">
        <v>6402</v>
      </c>
      <c r="B4237" s="150" t="str">
        <f>IFERROR(VLOOKUP(Proc[[#This Row],[App]],Table2[],3,0),"open")</f>
        <v>ok</v>
      </c>
      <c r="C4237" s="149" t="s">
        <v>369</v>
      </c>
      <c r="D4237" t="s">
        <v>6369</v>
      </c>
      <c r="E4237" t="s">
        <v>6404</v>
      </c>
      <c r="F4237" s="150" t="s">
        <v>6404</v>
      </c>
      <c r="G4237" s="149" t="s">
        <v>406</v>
      </c>
      <c r="H4237" s="150" t="str">
        <f>IF(Proc[[#This Row],[type]]="LFF (MDG-F)",MID(Proc[[#This Row],[Obj]],13,10),"")</f>
        <v>CN90GCA022</v>
      </c>
      <c r="J4237" s="150" t="b">
        <f>Proc[[#This Row],[Requested]]=Proc[[#This Row],[CurrentParent]]</f>
        <v>1</v>
      </c>
      <c r="K4237" s="150" t="str">
        <f>IF(Proc[[#This Row],[Author]]="Marcela Urrego",VLOOKUP(LEFT(Proc[[#This Row],[Requested]],1),Table3[#All],2,0),VLOOKUP(Proc[[#This Row],[Author]],Table4[],2,0))</f>
        <v>HC</v>
      </c>
      <c r="L4237" s="150" t="s">
        <v>4894</v>
      </c>
      <c r="M4237" s="151">
        <v>45924</v>
      </c>
      <c r="N4237" s="151"/>
      <c r="O4237" s="151"/>
      <c r="P4237" s="152" t="str">
        <f ca="1">IF(Proc[[#This Row],[DaysAgeing]]&gt;5,"yep","on track")</f>
        <v>yep</v>
      </c>
      <c r="Q4237" s="3">
        <f ca="1">IF(Proc[[#This Row],[DateClosed]]="",ABS(NETWORKDAYS(Proc[[#This Row],[DateOpened]],TODAY()))-1,ABS(NETWORKDAYS(Proc[[#This Row],[DateOpened]],Proc[[#This Row],[DateClosed]]))-1)</f>
        <v>57</v>
      </c>
      <c r="R4237" s="152" t="s">
        <v>410</v>
      </c>
      <c r="S4237" s="150"/>
    </row>
    <row r="4238" spans="1:19">
      <c r="A4238" s="149" t="s">
        <v>6402</v>
      </c>
      <c r="B4238" s="150" t="str">
        <f>IFERROR(VLOOKUP(Proc[[#This Row],[App]],Table2[],3,0),"open")</f>
        <v>ok</v>
      </c>
      <c r="C4238" s="149" t="s">
        <v>369</v>
      </c>
      <c r="D4238" t="s">
        <v>6370</v>
      </c>
      <c r="E4238" t="s">
        <v>6404</v>
      </c>
      <c r="F4238" s="150" t="s">
        <v>6404</v>
      </c>
      <c r="G4238" s="149" t="s">
        <v>406</v>
      </c>
      <c r="H4238" s="150" t="str">
        <f>IF(Proc[[#This Row],[type]]="LFF (MDG-F)",MID(Proc[[#This Row],[Obj]],13,10),"")</f>
        <v>CN90GCA032</v>
      </c>
      <c r="J4238" s="150" t="b">
        <f>Proc[[#This Row],[Requested]]=Proc[[#This Row],[CurrentParent]]</f>
        <v>1</v>
      </c>
      <c r="K4238" s="150" t="str">
        <f>IF(Proc[[#This Row],[Author]]="Marcela Urrego",VLOOKUP(LEFT(Proc[[#This Row],[Requested]],1),Table3[#All],2,0),VLOOKUP(Proc[[#This Row],[Author]],Table4[],2,0))</f>
        <v>HC</v>
      </c>
      <c r="L4238" s="150" t="s">
        <v>4894</v>
      </c>
      <c r="M4238" s="151">
        <v>45924</v>
      </c>
      <c r="N4238" s="151"/>
      <c r="O4238" s="151"/>
      <c r="P4238" s="152" t="str">
        <f ca="1">IF(Proc[[#This Row],[DaysAgeing]]&gt;5,"yep","on track")</f>
        <v>yep</v>
      </c>
      <c r="Q4238" s="3">
        <f ca="1">IF(Proc[[#This Row],[DateClosed]]="",ABS(NETWORKDAYS(Proc[[#This Row],[DateOpened]],TODAY()))-1,ABS(NETWORKDAYS(Proc[[#This Row],[DateOpened]],Proc[[#This Row],[DateClosed]]))-1)</f>
        <v>57</v>
      </c>
      <c r="R4238" s="152" t="s">
        <v>410</v>
      </c>
      <c r="S4238" s="150"/>
    </row>
    <row r="4239" spans="1:19">
      <c r="A4239" s="149" t="s">
        <v>6402</v>
      </c>
      <c r="B4239" s="150" t="str">
        <f>IFERROR(VLOOKUP(Proc[[#This Row],[App]],Table2[],3,0),"open")</f>
        <v>ok</v>
      </c>
      <c r="C4239" s="149" t="s">
        <v>369</v>
      </c>
      <c r="D4239" t="s">
        <v>6371</v>
      </c>
      <c r="E4239" t="s">
        <v>6403</v>
      </c>
      <c r="F4239" s="150" t="s">
        <v>6403</v>
      </c>
      <c r="G4239" s="149" t="s">
        <v>406</v>
      </c>
      <c r="H4239" s="150" t="str">
        <f>IF(Proc[[#This Row],[type]]="LFF (MDG-F)",MID(Proc[[#This Row],[Obj]],13,10),"")</f>
        <v>DE10694000</v>
      </c>
      <c r="J4239" s="150" t="b">
        <f>Proc[[#This Row],[Requested]]=Proc[[#This Row],[CurrentParent]]</f>
        <v>1</v>
      </c>
      <c r="K4239" s="150" t="str">
        <f>IF(Proc[[#This Row],[Author]]="Marcela Urrego",VLOOKUP(LEFT(Proc[[#This Row],[Requested]],1),Table3[#All],2,0),VLOOKUP(Proc[[#This Row],[Author]],Table4[],2,0))</f>
        <v>HC</v>
      </c>
      <c r="L4239" s="150" t="s">
        <v>4894</v>
      </c>
      <c r="M4239" s="151">
        <v>45924</v>
      </c>
      <c r="N4239" s="151"/>
      <c r="O4239" s="151"/>
      <c r="P4239" s="152" t="str">
        <f ca="1">IF(Proc[[#This Row],[DaysAgeing]]&gt;5,"yep","on track")</f>
        <v>yep</v>
      </c>
      <c r="Q4239" s="3">
        <f ca="1">IF(Proc[[#This Row],[DateClosed]]="",ABS(NETWORKDAYS(Proc[[#This Row],[DateOpened]],TODAY()))-1,ABS(NETWORKDAYS(Proc[[#This Row],[DateOpened]],Proc[[#This Row],[DateClosed]]))-1)</f>
        <v>57</v>
      </c>
      <c r="R4239" s="152" t="s">
        <v>410</v>
      </c>
      <c r="S4239" s="150"/>
    </row>
    <row r="4240" spans="1:19">
      <c r="A4240" s="149" t="s">
        <v>6402</v>
      </c>
      <c r="B4240" s="150" t="str">
        <f>IFERROR(VLOOKUP(Proc[[#This Row],[App]],Table2[],3,0),"open")</f>
        <v>ok</v>
      </c>
      <c r="C4240" s="149" t="s">
        <v>369</v>
      </c>
      <c r="D4240" t="s">
        <v>6372</v>
      </c>
      <c r="E4240" t="s">
        <v>6403</v>
      </c>
      <c r="F4240" s="150" t="s">
        <v>6403</v>
      </c>
      <c r="G4240" s="149" t="s">
        <v>406</v>
      </c>
      <c r="H4240" s="150" t="str">
        <f>IF(Proc[[#This Row],[type]]="LFF (MDG-F)",MID(Proc[[#This Row],[Obj]],13,10),"")</f>
        <v>DE50C00011</v>
      </c>
      <c r="J4240" s="150" t="b">
        <f>Proc[[#This Row],[Requested]]=Proc[[#This Row],[CurrentParent]]</f>
        <v>1</v>
      </c>
      <c r="K4240" s="150" t="str">
        <f>IF(Proc[[#This Row],[Author]]="Marcela Urrego",VLOOKUP(LEFT(Proc[[#This Row],[Requested]],1),Table3[#All],2,0),VLOOKUP(Proc[[#This Row],[Author]],Table4[],2,0))</f>
        <v>HC</v>
      </c>
      <c r="L4240" s="150" t="s">
        <v>4894</v>
      </c>
      <c r="M4240" s="151">
        <v>45924</v>
      </c>
      <c r="N4240" s="151"/>
      <c r="O4240" s="151"/>
      <c r="P4240" s="152" t="str">
        <f ca="1">IF(Proc[[#This Row],[DaysAgeing]]&gt;5,"yep","on track")</f>
        <v>yep</v>
      </c>
      <c r="Q4240" s="3">
        <f ca="1">IF(Proc[[#This Row],[DateClosed]]="",ABS(NETWORKDAYS(Proc[[#This Row],[DateOpened]],TODAY()))-1,ABS(NETWORKDAYS(Proc[[#This Row],[DateOpened]],Proc[[#This Row],[DateClosed]]))-1)</f>
        <v>57</v>
      </c>
      <c r="R4240" s="152" t="s">
        <v>410</v>
      </c>
      <c r="S4240" s="150"/>
    </row>
    <row r="4241" spans="1:19">
      <c r="A4241" s="149" t="s">
        <v>6402</v>
      </c>
      <c r="B4241" s="150" t="str">
        <f>IFERROR(VLOOKUP(Proc[[#This Row],[App]],Table2[],3,0),"open")</f>
        <v>ok</v>
      </c>
      <c r="C4241" s="149" t="s">
        <v>369</v>
      </c>
      <c r="D4241" t="s">
        <v>6373</v>
      </c>
      <c r="E4241" t="s">
        <v>6403</v>
      </c>
      <c r="F4241" s="150" t="s">
        <v>6403</v>
      </c>
      <c r="G4241" s="149" t="s">
        <v>406</v>
      </c>
      <c r="H4241" s="150" t="str">
        <f>IF(Proc[[#This Row],[type]]="LFF (MDG-F)",MID(Proc[[#This Row],[Obj]],13,10),"")</f>
        <v>DE50C06595</v>
      </c>
      <c r="J4241" s="150" t="b">
        <f>Proc[[#This Row],[Requested]]=Proc[[#This Row],[CurrentParent]]</f>
        <v>1</v>
      </c>
      <c r="K4241" s="150" t="str">
        <f>IF(Proc[[#This Row],[Author]]="Marcela Urrego",VLOOKUP(LEFT(Proc[[#This Row],[Requested]],1),Table3[#All],2,0),VLOOKUP(Proc[[#This Row],[Author]],Table4[],2,0))</f>
        <v>HC</v>
      </c>
      <c r="L4241" s="150" t="s">
        <v>4894</v>
      </c>
      <c r="M4241" s="151">
        <v>45924</v>
      </c>
      <c r="N4241" s="151"/>
      <c r="O4241" s="151"/>
      <c r="P4241" s="152" t="str">
        <f ca="1">IF(Proc[[#This Row],[DaysAgeing]]&gt;5,"yep","on track")</f>
        <v>yep</v>
      </c>
      <c r="Q4241" s="3">
        <f ca="1">IF(Proc[[#This Row],[DateClosed]]="",ABS(NETWORKDAYS(Proc[[#This Row],[DateOpened]],TODAY()))-1,ABS(NETWORKDAYS(Proc[[#This Row],[DateOpened]],Proc[[#This Row],[DateClosed]]))-1)</f>
        <v>57</v>
      </c>
      <c r="R4241" s="152" t="s">
        <v>410</v>
      </c>
      <c r="S4241" s="150"/>
    </row>
    <row r="4242" spans="1:19">
      <c r="A4242" s="149" t="s">
        <v>6402</v>
      </c>
      <c r="B4242" s="150" t="str">
        <f>IFERROR(VLOOKUP(Proc[[#This Row],[App]],Table2[],3,0),"open")</f>
        <v>ok</v>
      </c>
      <c r="C4242" s="149" t="s">
        <v>369</v>
      </c>
      <c r="D4242" t="s">
        <v>6374</v>
      </c>
      <c r="E4242" t="s">
        <v>6403</v>
      </c>
      <c r="F4242" s="150" t="s">
        <v>6403</v>
      </c>
      <c r="G4242" s="149" t="s">
        <v>406</v>
      </c>
      <c r="H4242" s="150" t="str">
        <f>IF(Proc[[#This Row],[type]]="LFF (MDG-F)",MID(Proc[[#This Row],[Obj]],13,10),"")</f>
        <v>DE50C06886</v>
      </c>
      <c r="J4242" s="150" t="b">
        <f>Proc[[#This Row],[Requested]]=Proc[[#This Row],[CurrentParent]]</f>
        <v>1</v>
      </c>
      <c r="K4242" s="150" t="str">
        <f>IF(Proc[[#This Row],[Author]]="Marcela Urrego",VLOOKUP(LEFT(Proc[[#This Row],[Requested]],1),Table3[#All],2,0),VLOOKUP(Proc[[#This Row],[Author]],Table4[],2,0))</f>
        <v>HC</v>
      </c>
      <c r="L4242" s="150" t="s">
        <v>4894</v>
      </c>
      <c r="M4242" s="151">
        <v>45924</v>
      </c>
      <c r="N4242" s="151"/>
      <c r="O4242" s="151"/>
      <c r="P4242" s="152" t="str">
        <f ca="1">IF(Proc[[#This Row],[DaysAgeing]]&gt;5,"yep","on track")</f>
        <v>yep</v>
      </c>
      <c r="Q4242" s="3">
        <f ca="1">IF(Proc[[#This Row],[DateClosed]]="",ABS(NETWORKDAYS(Proc[[#This Row],[DateOpened]],TODAY()))-1,ABS(NETWORKDAYS(Proc[[#This Row],[DateOpened]],Proc[[#This Row],[DateClosed]]))-1)</f>
        <v>57</v>
      </c>
      <c r="R4242" s="152" t="s">
        <v>410</v>
      </c>
      <c r="S4242" s="150"/>
    </row>
    <row r="4243" spans="1:19">
      <c r="A4243" s="149" t="s">
        <v>6402</v>
      </c>
      <c r="B4243" s="150" t="str">
        <f>IFERROR(VLOOKUP(Proc[[#This Row],[App]],Table2[],3,0),"open")</f>
        <v>ok</v>
      </c>
      <c r="C4243" s="149" t="s">
        <v>369</v>
      </c>
      <c r="D4243" t="s">
        <v>6375</v>
      </c>
      <c r="E4243" t="s">
        <v>6403</v>
      </c>
      <c r="F4243" s="150" t="s">
        <v>6403</v>
      </c>
      <c r="G4243" s="149" t="s">
        <v>406</v>
      </c>
      <c r="H4243" s="150" t="str">
        <f>IF(Proc[[#This Row],[type]]="LFF (MDG-F)",MID(Proc[[#This Row],[Obj]],13,10),"")</f>
        <v>ES50L40182</v>
      </c>
      <c r="J4243" s="150" t="b">
        <f>Proc[[#This Row],[Requested]]=Proc[[#This Row],[CurrentParent]]</f>
        <v>1</v>
      </c>
      <c r="K4243" s="150" t="str">
        <f>IF(Proc[[#This Row],[Author]]="Marcela Urrego",VLOOKUP(LEFT(Proc[[#This Row],[Requested]],1),Table3[#All],2,0),VLOOKUP(Proc[[#This Row],[Author]],Table4[],2,0))</f>
        <v>HC</v>
      </c>
      <c r="L4243" s="150" t="s">
        <v>4894</v>
      </c>
      <c r="M4243" s="151">
        <v>45924</v>
      </c>
      <c r="N4243" s="151"/>
      <c r="O4243" s="151"/>
      <c r="P4243" s="152" t="str">
        <f ca="1">IF(Proc[[#This Row],[DaysAgeing]]&gt;5,"yep","on track")</f>
        <v>yep</v>
      </c>
      <c r="Q4243" s="3">
        <f ca="1">IF(Proc[[#This Row],[DateClosed]]="",ABS(NETWORKDAYS(Proc[[#This Row],[DateOpened]],TODAY()))-1,ABS(NETWORKDAYS(Proc[[#This Row],[DateOpened]],Proc[[#This Row],[DateClosed]]))-1)</f>
        <v>57</v>
      </c>
      <c r="R4243" s="152" t="s">
        <v>410</v>
      </c>
      <c r="S4243" s="150"/>
    </row>
    <row r="4244" spans="1:19">
      <c r="A4244" s="149" t="s">
        <v>6402</v>
      </c>
      <c r="B4244" s="150" t="str">
        <f>IFERROR(VLOOKUP(Proc[[#This Row],[App]],Table2[],3,0),"open")</f>
        <v>ok</v>
      </c>
      <c r="C4244" s="149" t="s">
        <v>369</v>
      </c>
      <c r="D4244" t="s">
        <v>6376</v>
      </c>
      <c r="E4244" t="s">
        <v>6404</v>
      </c>
      <c r="F4244" s="150" t="s">
        <v>6404</v>
      </c>
      <c r="G4244" s="149" t="s">
        <v>406</v>
      </c>
      <c r="H4244" s="150" t="str">
        <f>IF(Proc[[#This Row],[type]]="LFF (MDG-F)",MID(Proc[[#This Row],[Obj]],13,10),"")</f>
        <v>VN50C00024</v>
      </c>
      <c r="J4244" s="150" t="b">
        <f>Proc[[#This Row],[Requested]]=Proc[[#This Row],[CurrentParent]]</f>
        <v>1</v>
      </c>
      <c r="K4244" s="150" t="str">
        <f>IF(Proc[[#This Row],[Author]]="Marcela Urrego",VLOOKUP(LEFT(Proc[[#This Row],[Requested]],1),Table3[#All],2,0),VLOOKUP(Proc[[#This Row],[Author]],Table4[],2,0))</f>
        <v>HC</v>
      </c>
      <c r="L4244" s="150" t="s">
        <v>4894</v>
      </c>
      <c r="M4244" s="151">
        <v>45924</v>
      </c>
      <c r="N4244" s="151"/>
      <c r="O4244" s="151"/>
      <c r="P4244" s="152" t="str">
        <f ca="1">IF(Proc[[#This Row],[DaysAgeing]]&gt;5,"yep","on track")</f>
        <v>yep</v>
      </c>
      <c r="Q4244" s="3">
        <f ca="1">IF(Proc[[#This Row],[DateClosed]]="",ABS(NETWORKDAYS(Proc[[#This Row],[DateOpened]],TODAY()))-1,ABS(NETWORKDAYS(Proc[[#This Row],[DateOpened]],Proc[[#This Row],[DateClosed]]))-1)</f>
        <v>57</v>
      </c>
      <c r="R4244" s="152" t="s">
        <v>410</v>
      </c>
      <c r="S4244" s="150"/>
    </row>
    <row r="4245" spans="1:19">
      <c r="A4245" s="149" t="s">
        <v>6402</v>
      </c>
      <c r="B4245" s="150" t="str">
        <f>IFERROR(VLOOKUP(Proc[[#This Row],[App]],Table2[],3,0),"open")</f>
        <v>ok</v>
      </c>
      <c r="C4245" s="149" t="s">
        <v>369</v>
      </c>
      <c r="D4245" t="s">
        <v>6377</v>
      </c>
      <c r="E4245" t="s">
        <v>6404</v>
      </c>
      <c r="F4245" s="150" t="s">
        <v>6404</v>
      </c>
      <c r="G4245" t="s">
        <v>400</v>
      </c>
      <c r="H4245" s="150" t="str">
        <f>IF(Proc[[#This Row],[type]]="LFF (MDG-F)",MID(Proc[[#This Row],[Obj]],13,10),"")</f>
        <v/>
      </c>
      <c r="J4245" s="150" t="b">
        <f>Proc[[#This Row],[Requested]]=Proc[[#This Row],[CurrentParent]]</f>
        <v>1</v>
      </c>
      <c r="K4245" s="150" t="str">
        <f>IF(Proc[[#This Row],[Author]]="Marcela Urrego",VLOOKUP(LEFT(Proc[[#This Row],[Requested]],1),Table3[#All],2,0),VLOOKUP(Proc[[#This Row],[Author]],Table4[],2,0))</f>
        <v>HC</v>
      </c>
      <c r="L4245" s="150" t="s">
        <v>4894</v>
      </c>
      <c r="M4245" s="151">
        <v>45924</v>
      </c>
      <c r="N4245" s="151"/>
      <c r="O4245" s="151"/>
      <c r="P4245" s="152" t="str">
        <f ca="1">IF(Proc[[#This Row],[DaysAgeing]]&gt;5,"yep","on track")</f>
        <v>yep</v>
      </c>
      <c r="Q4245" s="3">
        <f ca="1">IF(Proc[[#This Row],[DateClosed]]="",ABS(NETWORKDAYS(Proc[[#This Row],[DateOpened]],TODAY()))-1,ABS(NETWORKDAYS(Proc[[#This Row],[DateOpened]],Proc[[#This Row],[DateClosed]]))-1)</f>
        <v>57</v>
      </c>
      <c r="R4245" s="152" t="s">
        <v>410</v>
      </c>
      <c r="S4245" s="150"/>
    </row>
    <row r="4246" spans="1:19">
      <c r="A4246" s="149" t="s">
        <v>6402</v>
      </c>
      <c r="B4246" s="150" t="str">
        <f>IFERROR(VLOOKUP(Proc[[#This Row],[App]],Table2[],3,0),"open")</f>
        <v>ok</v>
      </c>
      <c r="C4246" s="149" t="s">
        <v>369</v>
      </c>
      <c r="D4246" t="s">
        <v>6378</v>
      </c>
      <c r="E4246" t="s">
        <v>6404</v>
      </c>
      <c r="F4246" s="150" t="s">
        <v>6404</v>
      </c>
      <c r="G4246" s="149" t="s">
        <v>400</v>
      </c>
      <c r="H4246" s="150" t="str">
        <f>IF(Proc[[#This Row],[type]]="LFF (MDG-F)",MID(Proc[[#This Row],[Obj]],13,10),"")</f>
        <v/>
      </c>
      <c r="J4246" s="150" t="b">
        <f>Proc[[#This Row],[Requested]]=Proc[[#This Row],[CurrentParent]]</f>
        <v>1</v>
      </c>
      <c r="K4246" s="150" t="str">
        <f>IF(Proc[[#This Row],[Author]]="Marcela Urrego",VLOOKUP(LEFT(Proc[[#This Row],[Requested]],1),Table3[#All],2,0),VLOOKUP(Proc[[#This Row],[Author]],Table4[],2,0))</f>
        <v>HC</v>
      </c>
      <c r="L4246" s="150" t="s">
        <v>4894</v>
      </c>
      <c r="M4246" s="151">
        <v>45924</v>
      </c>
      <c r="N4246" s="151"/>
      <c r="O4246" s="151"/>
      <c r="P4246" s="152" t="str">
        <f ca="1">IF(Proc[[#This Row],[DaysAgeing]]&gt;5,"yep","on track")</f>
        <v>yep</v>
      </c>
      <c r="Q4246" s="3">
        <f ca="1">IF(Proc[[#This Row],[DateClosed]]="",ABS(NETWORKDAYS(Proc[[#This Row],[DateOpened]],TODAY()))-1,ABS(NETWORKDAYS(Proc[[#This Row],[DateOpened]],Proc[[#This Row],[DateClosed]]))-1)</f>
        <v>57</v>
      </c>
      <c r="R4246" s="152" t="s">
        <v>410</v>
      </c>
      <c r="S4246" s="150"/>
    </row>
    <row r="4247" spans="1:19">
      <c r="A4247" s="149" t="s">
        <v>6402</v>
      </c>
      <c r="B4247" s="150" t="str">
        <f>IFERROR(VLOOKUP(Proc[[#This Row],[App]],Table2[],3,0),"open")</f>
        <v>ok</v>
      </c>
      <c r="C4247" s="149" t="s">
        <v>369</v>
      </c>
      <c r="D4247" t="s">
        <v>6379</v>
      </c>
      <c r="E4247" t="s">
        <v>6404</v>
      </c>
      <c r="F4247" s="150" t="s">
        <v>6404</v>
      </c>
      <c r="G4247" s="149" t="s">
        <v>400</v>
      </c>
      <c r="H4247" s="150" t="str">
        <f>IF(Proc[[#This Row],[type]]="LFF (MDG-F)",MID(Proc[[#This Row],[Obj]],13,10),"")</f>
        <v/>
      </c>
      <c r="J4247" s="150" t="b">
        <f>Proc[[#This Row],[Requested]]=Proc[[#This Row],[CurrentParent]]</f>
        <v>1</v>
      </c>
      <c r="K4247" s="150" t="str">
        <f>IF(Proc[[#This Row],[Author]]="Marcela Urrego",VLOOKUP(LEFT(Proc[[#This Row],[Requested]],1),Table3[#All],2,0),VLOOKUP(Proc[[#This Row],[Author]],Table4[],2,0))</f>
        <v>HC</v>
      </c>
      <c r="L4247" s="150" t="s">
        <v>4894</v>
      </c>
      <c r="M4247" s="151">
        <v>45924</v>
      </c>
      <c r="N4247" s="151"/>
      <c r="O4247" s="151"/>
      <c r="P4247" s="152" t="str">
        <f ca="1">IF(Proc[[#This Row],[DaysAgeing]]&gt;5,"yep","on track")</f>
        <v>yep</v>
      </c>
      <c r="Q4247" s="3">
        <f ca="1">IF(Proc[[#This Row],[DateClosed]]="",ABS(NETWORKDAYS(Proc[[#This Row],[DateOpened]],TODAY()))-1,ABS(NETWORKDAYS(Proc[[#This Row],[DateOpened]],Proc[[#This Row],[DateClosed]]))-1)</f>
        <v>57</v>
      </c>
      <c r="R4247" s="152" t="s">
        <v>410</v>
      </c>
      <c r="S4247" s="150"/>
    </row>
    <row r="4248" spans="1:19">
      <c r="A4248" s="149" t="s">
        <v>6402</v>
      </c>
      <c r="B4248" s="150" t="str">
        <f>IFERROR(VLOOKUP(Proc[[#This Row],[App]],Table2[],3,0),"open")</f>
        <v>ok</v>
      </c>
      <c r="C4248" s="149" t="s">
        <v>369</v>
      </c>
      <c r="D4248" t="s">
        <v>6380</v>
      </c>
      <c r="E4248" t="s">
        <v>6403</v>
      </c>
      <c r="F4248" s="150" t="s">
        <v>6403</v>
      </c>
      <c r="G4248" s="149" t="s">
        <v>400</v>
      </c>
      <c r="H4248" s="150" t="str">
        <f>IF(Proc[[#This Row],[type]]="LFF (MDG-F)",MID(Proc[[#This Row],[Obj]],13,10),"")</f>
        <v/>
      </c>
      <c r="J4248" s="150" t="b">
        <f>Proc[[#This Row],[Requested]]=Proc[[#This Row],[CurrentParent]]</f>
        <v>1</v>
      </c>
      <c r="K4248" s="150" t="str">
        <f>IF(Proc[[#This Row],[Author]]="Marcela Urrego",VLOOKUP(LEFT(Proc[[#This Row],[Requested]],1),Table3[#All],2,0),VLOOKUP(Proc[[#This Row],[Author]],Table4[],2,0))</f>
        <v>HC</v>
      </c>
      <c r="L4248" s="150" t="s">
        <v>4894</v>
      </c>
      <c r="M4248" s="151">
        <v>45924</v>
      </c>
      <c r="N4248" s="151"/>
      <c r="O4248" s="151"/>
      <c r="P4248" s="152" t="str">
        <f ca="1">IF(Proc[[#This Row],[DaysAgeing]]&gt;5,"yep","on track")</f>
        <v>yep</v>
      </c>
      <c r="Q4248" s="3">
        <f ca="1">IF(Proc[[#This Row],[DateClosed]]="",ABS(NETWORKDAYS(Proc[[#This Row],[DateOpened]],TODAY()))-1,ABS(NETWORKDAYS(Proc[[#This Row],[DateOpened]],Proc[[#This Row],[DateClosed]]))-1)</f>
        <v>57</v>
      </c>
      <c r="R4248" s="152" t="s">
        <v>410</v>
      </c>
      <c r="S4248" s="150"/>
    </row>
    <row r="4249" spans="1:19">
      <c r="A4249" s="149" t="s">
        <v>6402</v>
      </c>
      <c r="B4249" s="150" t="str">
        <f>IFERROR(VLOOKUP(Proc[[#This Row],[App]],Table2[],3,0),"open")</f>
        <v>ok</v>
      </c>
      <c r="C4249" s="149" t="s">
        <v>369</v>
      </c>
      <c r="D4249" t="s">
        <v>6381</v>
      </c>
      <c r="E4249" t="s">
        <v>6403</v>
      </c>
      <c r="F4249" s="150" t="s">
        <v>6403</v>
      </c>
      <c r="G4249" s="149" t="s">
        <v>400</v>
      </c>
      <c r="H4249" s="150" t="str">
        <f>IF(Proc[[#This Row],[type]]="LFF (MDG-F)",MID(Proc[[#This Row],[Obj]],13,10),"")</f>
        <v/>
      </c>
      <c r="J4249" s="150" t="b">
        <f>Proc[[#This Row],[Requested]]=Proc[[#This Row],[CurrentParent]]</f>
        <v>1</v>
      </c>
      <c r="K4249" s="150" t="str">
        <f>IF(Proc[[#This Row],[Author]]="Marcela Urrego",VLOOKUP(LEFT(Proc[[#This Row],[Requested]],1),Table3[#All],2,0),VLOOKUP(Proc[[#This Row],[Author]],Table4[],2,0))</f>
        <v>HC</v>
      </c>
      <c r="L4249" s="150" t="s">
        <v>4894</v>
      </c>
      <c r="M4249" s="151">
        <v>45924</v>
      </c>
      <c r="N4249" s="151"/>
      <c r="O4249" s="151"/>
      <c r="P4249" s="152" t="str">
        <f ca="1">IF(Proc[[#This Row],[DaysAgeing]]&gt;5,"yep","on track")</f>
        <v>yep</v>
      </c>
      <c r="Q4249" s="3">
        <f ca="1">IF(Proc[[#This Row],[DateClosed]]="",ABS(NETWORKDAYS(Proc[[#This Row],[DateOpened]],TODAY()))-1,ABS(NETWORKDAYS(Proc[[#This Row],[DateOpened]],Proc[[#This Row],[DateClosed]]))-1)</f>
        <v>57</v>
      </c>
      <c r="R4249" s="152" t="s">
        <v>410</v>
      </c>
      <c r="S4249" s="150"/>
    </row>
    <row r="4250" spans="1:19">
      <c r="A4250" s="149" t="s">
        <v>6402</v>
      </c>
      <c r="B4250" s="150" t="str">
        <f>IFERROR(VLOOKUP(Proc[[#This Row],[App]],Table2[],3,0),"open")</f>
        <v>ok</v>
      </c>
      <c r="C4250" s="149" t="s">
        <v>369</v>
      </c>
      <c r="D4250" t="s">
        <v>6382</v>
      </c>
      <c r="E4250" t="s">
        <v>6403</v>
      </c>
      <c r="F4250" s="150" t="s">
        <v>6403</v>
      </c>
      <c r="G4250" s="149" t="s">
        <v>400</v>
      </c>
      <c r="H4250" s="150" t="str">
        <f>IF(Proc[[#This Row],[type]]="LFF (MDG-F)",MID(Proc[[#This Row],[Obj]],13,10),"")</f>
        <v/>
      </c>
      <c r="J4250" s="150" t="b">
        <f>Proc[[#This Row],[Requested]]=Proc[[#This Row],[CurrentParent]]</f>
        <v>1</v>
      </c>
      <c r="K4250" s="150" t="str">
        <f>IF(Proc[[#This Row],[Author]]="Marcela Urrego",VLOOKUP(LEFT(Proc[[#This Row],[Requested]],1),Table3[#All],2,0),VLOOKUP(Proc[[#This Row],[Author]],Table4[],2,0))</f>
        <v>HC</v>
      </c>
      <c r="L4250" s="150" t="s">
        <v>4894</v>
      </c>
      <c r="M4250" s="151">
        <v>45924</v>
      </c>
      <c r="N4250" s="151"/>
      <c r="O4250" s="151"/>
      <c r="P4250" s="152" t="str">
        <f ca="1">IF(Proc[[#This Row],[DaysAgeing]]&gt;5,"yep","on track")</f>
        <v>yep</v>
      </c>
      <c r="Q4250" s="3">
        <f ca="1">IF(Proc[[#This Row],[DateClosed]]="",ABS(NETWORKDAYS(Proc[[#This Row],[DateOpened]],TODAY()))-1,ABS(NETWORKDAYS(Proc[[#This Row],[DateOpened]],Proc[[#This Row],[DateClosed]]))-1)</f>
        <v>57</v>
      </c>
      <c r="R4250" s="152" t="s">
        <v>410</v>
      </c>
      <c r="S4250" s="150"/>
    </row>
    <row r="4251" spans="1:19">
      <c r="A4251" s="149" t="s">
        <v>6402</v>
      </c>
      <c r="B4251" s="150" t="str">
        <f>IFERROR(VLOOKUP(Proc[[#This Row],[App]],Table2[],3,0),"open")</f>
        <v>ok</v>
      </c>
      <c r="C4251" s="149" t="s">
        <v>369</v>
      </c>
      <c r="D4251" t="s">
        <v>6383</v>
      </c>
      <c r="E4251" t="s">
        <v>6405</v>
      </c>
      <c r="F4251" s="150" t="s">
        <v>6405</v>
      </c>
      <c r="G4251" s="149" t="s">
        <v>400</v>
      </c>
      <c r="H4251" s="150" t="str">
        <f>IF(Proc[[#This Row],[type]]="LFF (MDG-F)",MID(Proc[[#This Row],[Obj]],13,10),"")</f>
        <v/>
      </c>
      <c r="J4251" s="150" t="b">
        <f>Proc[[#This Row],[Requested]]=Proc[[#This Row],[CurrentParent]]</f>
        <v>1</v>
      </c>
      <c r="K4251" s="150" t="str">
        <f>IF(Proc[[#This Row],[Author]]="Marcela Urrego",VLOOKUP(LEFT(Proc[[#This Row],[Requested]],1),Table3[#All],2,0),VLOOKUP(Proc[[#This Row],[Author]],Table4[],2,0))</f>
        <v>HC</v>
      </c>
      <c r="L4251" s="150" t="s">
        <v>4894</v>
      </c>
      <c r="M4251" s="151">
        <v>45924</v>
      </c>
      <c r="N4251" s="151"/>
      <c r="O4251" s="151"/>
      <c r="P4251" s="152" t="str">
        <f ca="1">IF(Proc[[#This Row],[DaysAgeing]]&gt;5,"yep","on track")</f>
        <v>yep</v>
      </c>
      <c r="Q4251" s="3">
        <f ca="1">IF(Proc[[#This Row],[DateClosed]]="",ABS(NETWORKDAYS(Proc[[#This Row],[DateOpened]],TODAY()))-1,ABS(NETWORKDAYS(Proc[[#This Row],[DateOpened]],Proc[[#This Row],[DateClosed]]))-1)</f>
        <v>57</v>
      </c>
      <c r="R4251" s="152" t="s">
        <v>410</v>
      </c>
      <c r="S4251" s="150"/>
    </row>
    <row r="4252" spans="1:19">
      <c r="A4252" s="149" t="s">
        <v>6402</v>
      </c>
      <c r="B4252" s="150" t="str">
        <f>IFERROR(VLOOKUP(Proc[[#This Row],[App]],Table2[],3,0),"open")</f>
        <v>ok</v>
      </c>
      <c r="C4252" s="149" t="s">
        <v>369</v>
      </c>
      <c r="D4252" t="s">
        <v>6384</v>
      </c>
      <c r="E4252" t="s">
        <v>6405</v>
      </c>
      <c r="F4252" s="150" t="s">
        <v>6405</v>
      </c>
      <c r="G4252" s="149" t="s">
        <v>400</v>
      </c>
      <c r="H4252" s="150" t="str">
        <f>IF(Proc[[#This Row],[type]]="LFF (MDG-F)",MID(Proc[[#This Row],[Obj]],13,10),"")</f>
        <v/>
      </c>
      <c r="J4252" s="150" t="b">
        <f>Proc[[#This Row],[Requested]]=Proc[[#This Row],[CurrentParent]]</f>
        <v>1</v>
      </c>
      <c r="K4252" s="150" t="str">
        <f>IF(Proc[[#This Row],[Author]]="Marcela Urrego",VLOOKUP(LEFT(Proc[[#This Row],[Requested]],1),Table3[#All],2,0),VLOOKUP(Proc[[#This Row],[Author]],Table4[],2,0))</f>
        <v>HC</v>
      </c>
      <c r="L4252" s="150" t="s">
        <v>4894</v>
      </c>
      <c r="M4252" s="151">
        <v>45924</v>
      </c>
      <c r="N4252" s="151"/>
      <c r="O4252" s="151"/>
      <c r="P4252" s="152" t="str">
        <f ca="1">IF(Proc[[#This Row],[DaysAgeing]]&gt;5,"yep","on track")</f>
        <v>yep</v>
      </c>
      <c r="Q4252" s="3">
        <f ca="1">IF(Proc[[#This Row],[DateClosed]]="",ABS(NETWORKDAYS(Proc[[#This Row],[DateOpened]],TODAY()))-1,ABS(NETWORKDAYS(Proc[[#This Row],[DateOpened]],Proc[[#This Row],[DateClosed]]))-1)</f>
        <v>57</v>
      </c>
      <c r="R4252" s="152" t="s">
        <v>410</v>
      </c>
      <c r="S4252" s="150"/>
    </row>
    <row r="4253" spans="1:19">
      <c r="A4253" s="149" t="s">
        <v>6402</v>
      </c>
      <c r="B4253" s="150" t="str">
        <f>IFERROR(VLOOKUP(Proc[[#This Row],[App]],Table2[],3,0),"open")</f>
        <v>ok</v>
      </c>
      <c r="C4253" s="149" t="s">
        <v>369</v>
      </c>
      <c r="D4253" t="s">
        <v>6385</v>
      </c>
      <c r="E4253" t="s">
        <v>6405</v>
      </c>
      <c r="F4253" s="150" t="s">
        <v>6405</v>
      </c>
      <c r="G4253" s="149" t="s">
        <v>400</v>
      </c>
      <c r="H4253" s="150" t="str">
        <f>IF(Proc[[#This Row],[type]]="LFF (MDG-F)",MID(Proc[[#This Row],[Obj]],13,10),"")</f>
        <v/>
      </c>
      <c r="J4253" s="150" t="b">
        <f>Proc[[#This Row],[Requested]]=Proc[[#This Row],[CurrentParent]]</f>
        <v>1</v>
      </c>
      <c r="K4253" s="150" t="str">
        <f>IF(Proc[[#This Row],[Author]]="Marcela Urrego",VLOOKUP(LEFT(Proc[[#This Row],[Requested]],1),Table3[#All],2,0),VLOOKUP(Proc[[#This Row],[Author]],Table4[],2,0))</f>
        <v>HC</v>
      </c>
      <c r="L4253" s="150" t="s">
        <v>4894</v>
      </c>
      <c r="M4253" s="151">
        <v>45924</v>
      </c>
      <c r="N4253" s="151"/>
      <c r="O4253" s="151"/>
      <c r="P4253" s="152" t="str">
        <f ca="1">IF(Proc[[#This Row],[DaysAgeing]]&gt;5,"yep","on track")</f>
        <v>yep</v>
      </c>
      <c r="Q4253" s="3">
        <f ca="1">IF(Proc[[#This Row],[DateClosed]]="",ABS(NETWORKDAYS(Proc[[#This Row],[DateOpened]],TODAY()))-1,ABS(NETWORKDAYS(Proc[[#This Row],[DateOpened]],Proc[[#This Row],[DateClosed]]))-1)</f>
        <v>57</v>
      </c>
      <c r="R4253" s="152" t="s">
        <v>410</v>
      </c>
      <c r="S4253" s="150"/>
    </row>
    <row r="4254" spans="1:19">
      <c r="A4254" s="149" t="s">
        <v>6402</v>
      </c>
      <c r="B4254" s="150" t="str">
        <f>IFERROR(VLOOKUP(Proc[[#This Row],[App]],Table2[],3,0),"open")</f>
        <v>ok</v>
      </c>
      <c r="C4254" s="149" t="s">
        <v>369</v>
      </c>
      <c r="D4254" t="s">
        <v>6386</v>
      </c>
      <c r="E4254" t="s">
        <v>6405</v>
      </c>
      <c r="F4254" s="150" t="s">
        <v>6405</v>
      </c>
      <c r="G4254" s="149" t="s">
        <v>400</v>
      </c>
      <c r="H4254" s="150" t="str">
        <f>IF(Proc[[#This Row],[type]]="LFF (MDG-F)",MID(Proc[[#This Row],[Obj]],13,10),"")</f>
        <v/>
      </c>
      <c r="J4254" s="150" t="b">
        <f>Proc[[#This Row],[Requested]]=Proc[[#This Row],[CurrentParent]]</f>
        <v>1</v>
      </c>
      <c r="K4254" s="150" t="str">
        <f>IF(Proc[[#This Row],[Author]]="Marcela Urrego",VLOOKUP(LEFT(Proc[[#This Row],[Requested]],1),Table3[#All],2,0),VLOOKUP(Proc[[#This Row],[Author]],Table4[],2,0))</f>
        <v>HC</v>
      </c>
      <c r="L4254" s="150" t="s">
        <v>4894</v>
      </c>
      <c r="M4254" s="151">
        <v>45924</v>
      </c>
      <c r="N4254" s="151"/>
      <c r="O4254" s="151"/>
      <c r="P4254" s="152" t="str">
        <f ca="1">IF(Proc[[#This Row],[DaysAgeing]]&gt;5,"yep","on track")</f>
        <v>yep</v>
      </c>
      <c r="Q4254" s="3">
        <f ca="1">IF(Proc[[#This Row],[DateClosed]]="",ABS(NETWORKDAYS(Proc[[#This Row],[DateOpened]],TODAY()))-1,ABS(NETWORKDAYS(Proc[[#This Row],[DateOpened]],Proc[[#This Row],[DateClosed]]))-1)</f>
        <v>57</v>
      </c>
      <c r="R4254" s="152" t="s">
        <v>410</v>
      </c>
      <c r="S4254" s="150"/>
    </row>
    <row r="4255" spans="1:19">
      <c r="A4255" s="149" t="s">
        <v>6402</v>
      </c>
      <c r="B4255" s="150" t="str">
        <f>IFERROR(VLOOKUP(Proc[[#This Row],[App]],Table2[],3,0),"open")</f>
        <v>ok</v>
      </c>
      <c r="C4255" s="149" t="s">
        <v>369</v>
      </c>
      <c r="D4255" t="s">
        <v>6387</v>
      </c>
      <c r="E4255" t="s">
        <v>6404</v>
      </c>
      <c r="F4255" s="150" t="s">
        <v>6404</v>
      </c>
      <c r="G4255" s="149" t="s">
        <v>400</v>
      </c>
      <c r="H4255" s="150" t="str">
        <f>IF(Proc[[#This Row],[type]]="LFF (MDG-F)",MID(Proc[[#This Row],[Obj]],13,10),"")</f>
        <v/>
      </c>
      <c r="J4255" s="150" t="b">
        <f>Proc[[#This Row],[Requested]]=Proc[[#This Row],[CurrentParent]]</f>
        <v>1</v>
      </c>
      <c r="K4255" s="150" t="str">
        <f>IF(Proc[[#This Row],[Author]]="Marcela Urrego",VLOOKUP(LEFT(Proc[[#This Row],[Requested]],1),Table3[#All],2,0),VLOOKUP(Proc[[#This Row],[Author]],Table4[],2,0))</f>
        <v>HC</v>
      </c>
      <c r="L4255" s="150" t="s">
        <v>4894</v>
      </c>
      <c r="M4255" s="151">
        <v>45924</v>
      </c>
      <c r="N4255" s="151"/>
      <c r="O4255" s="151"/>
      <c r="P4255" s="152" t="str">
        <f ca="1">IF(Proc[[#This Row],[DaysAgeing]]&gt;5,"yep","on track")</f>
        <v>yep</v>
      </c>
      <c r="Q4255" s="3">
        <f ca="1">IF(Proc[[#This Row],[DateClosed]]="",ABS(NETWORKDAYS(Proc[[#This Row],[DateOpened]],TODAY()))-1,ABS(NETWORKDAYS(Proc[[#This Row],[DateOpened]],Proc[[#This Row],[DateClosed]]))-1)</f>
        <v>57</v>
      </c>
      <c r="R4255" s="152" t="s">
        <v>410</v>
      </c>
      <c r="S4255" s="150"/>
    </row>
    <row r="4256" spans="1:19">
      <c r="A4256" s="149" t="s">
        <v>6402</v>
      </c>
      <c r="B4256" s="150" t="str">
        <f>IFERROR(VLOOKUP(Proc[[#This Row],[App]],Table2[],3,0),"open")</f>
        <v>ok</v>
      </c>
      <c r="C4256" s="149" t="s">
        <v>377</v>
      </c>
      <c r="D4256" t="s">
        <v>6388</v>
      </c>
      <c r="E4256" t="s">
        <v>6404</v>
      </c>
      <c r="F4256" s="150" t="s">
        <v>5494</v>
      </c>
      <c r="G4256" s="149" t="s">
        <v>400</v>
      </c>
      <c r="H4256" s="150" t="str">
        <f>IF(Proc[[#This Row],[type]]="LFF (MDG-F)",MID(Proc[[#This Row],[Obj]],13,10),"")</f>
        <v/>
      </c>
      <c r="J4256" s="150" t="b">
        <f>Proc[[#This Row],[Requested]]=Proc[[#This Row],[CurrentParent]]</f>
        <v>0</v>
      </c>
      <c r="K4256" s="150" t="str">
        <f>IF(Proc[[#This Row],[Author]]="Marcela Urrego",VLOOKUP(LEFT(Proc[[#This Row],[Requested]],1),Table3[#All],2,0),VLOOKUP(Proc[[#This Row],[Author]],Table4[],2,0))</f>
        <v>HC</v>
      </c>
      <c r="L4256" s="150" t="s">
        <v>4894</v>
      </c>
      <c r="M4256" s="151">
        <v>45924</v>
      </c>
      <c r="N4256" s="151"/>
      <c r="O4256" s="151"/>
      <c r="P4256" s="152" t="str">
        <f ca="1">IF(Proc[[#This Row],[DaysAgeing]]&gt;5,"yep","on track")</f>
        <v>yep</v>
      </c>
      <c r="Q4256" s="3">
        <f ca="1">IF(Proc[[#This Row],[DateClosed]]="",ABS(NETWORKDAYS(Proc[[#This Row],[DateOpened]],TODAY()))-1,ABS(NETWORKDAYS(Proc[[#This Row],[DateOpened]],Proc[[#This Row],[DateClosed]]))-1)</f>
        <v>57</v>
      </c>
      <c r="R4256" s="152" t="s">
        <v>410</v>
      </c>
      <c r="S4256" s="150"/>
    </row>
    <row r="4257" spans="1:19">
      <c r="A4257" s="149" t="s">
        <v>6402</v>
      </c>
      <c r="B4257" s="150" t="str">
        <f>IFERROR(VLOOKUP(Proc[[#This Row],[App]],Table2[],3,0),"open")</f>
        <v>ok</v>
      </c>
      <c r="C4257" s="149" t="s">
        <v>369</v>
      </c>
      <c r="D4257" t="s">
        <v>6389</v>
      </c>
      <c r="E4257" t="s">
        <v>6404</v>
      </c>
      <c r="F4257" s="150" t="s">
        <v>6404</v>
      </c>
      <c r="G4257" s="149" t="s">
        <v>400</v>
      </c>
      <c r="H4257" s="150" t="str">
        <f>IF(Proc[[#This Row],[type]]="LFF (MDG-F)",MID(Proc[[#This Row],[Obj]],13,10),"")</f>
        <v/>
      </c>
      <c r="J4257" s="150" t="b">
        <f>Proc[[#This Row],[Requested]]=Proc[[#This Row],[CurrentParent]]</f>
        <v>1</v>
      </c>
      <c r="K4257" s="150" t="str">
        <f>IF(Proc[[#This Row],[Author]]="Marcela Urrego",VLOOKUP(LEFT(Proc[[#This Row],[Requested]],1),Table3[#All],2,0),VLOOKUP(Proc[[#This Row],[Author]],Table4[],2,0))</f>
        <v>HC</v>
      </c>
      <c r="L4257" s="150" t="s">
        <v>4894</v>
      </c>
      <c r="M4257" s="151">
        <v>45924</v>
      </c>
      <c r="N4257" s="151"/>
      <c r="O4257" s="151"/>
      <c r="P4257" s="152" t="str">
        <f ca="1">IF(Proc[[#This Row],[DaysAgeing]]&gt;5,"yep","on track")</f>
        <v>yep</v>
      </c>
      <c r="Q4257" s="3">
        <f ca="1">IF(Proc[[#This Row],[DateClosed]]="",ABS(NETWORKDAYS(Proc[[#This Row],[DateOpened]],TODAY()))-1,ABS(NETWORKDAYS(Proc[[#This Row],[DateOpened]],Proc[[#This Row],[DateClosed]]))-1)</f>
        <v>57</v>
      </c>
      <c r="R4257" s="152" t="s">
        <v>410</v>
      </c>
      <c r="S4257" s="150"/>
    </row>
    <row r="4258" spans="1:19">
      <c r="A4258" s="149" t="s">
        <v>6402</v>
      </c>
      <c r="B4258" s="150" t="str">
        <f>IFERROR(VLOOKUP(Proc[[#This Row],[App]],Table2[],3,0),"open")</f>
        <v>ok</v>
      </c>
      <c r="C4258" s="149" t="s">
        <v>377</v>
      </c>
      <c r="D4258" t="s">
        <v>6390</v>
      </c>
      <c r="E4258" t="s">
        <v>6404</v>
      </c>
      <c r="F4258" s="150" t="s">
        <v>5494</v>
      </c>
      <c r="G4258" s="149" t="s">
        <v>400</v>
      </c>
      <c r="H4258" s="150" t="str">
        <f>IF(Proc[[#This Row],[type]]="LFF (MDG-F)",MID(Proc[[#This Row],[Obj]],13,10),"")</f>
        <v/>
      </c>
      <c r="J4258" s="150" t="b">
        <f>Proc[[#This Row],[Requested]]=Proc[[#This Row],[CurrentParent]]</f>
        <v>0</v>
      </c>
      <c r="K4258" s="150" t="str">
        <f>IF(Proc[[#This Row],[Author]]="Marcela Urrego",VLOOKUP(LEFT(Proc[[#This Row],[Requested]],1),Table3[#All],2,0),VLOOKUP(Proc[[#This Row],[Author]],Table4[],2,0))</f>
        <v>HC</v>
      </c>
      <c r="L4258" s="150" t="s">
        <v>4894</v>
      </c>
      <c r="M4258" s="151">
        <v>45924</v>
      </c>
      <c r="N4258" s="151"/>
      <c r="O4258" s="151"/>
      <c r="P4258" s="152" t="str">
        <f ca="1">IF(Proc[[#This Row],[DaysAgeing]]&gt;5,"yep","on track")</f>
        <v>yep</v>
      </c>
      <c r="Q4258" s="3">
        <f ca="1">IF(Proc[[#This Row],[DateClosed]]="",ABS(NETWORKDAYS(Proc[[#This Row],[DateOpened]],TODAY()))-1,ABS(NETWORKDAYS(Proc[[#This Row],[DateOpened]],Proc[[#This Row],[DateClosed]]))-1)</f>
        <v>57</v>
      </c>
      <c r="R4258" s="152" t="s">
        <v>410</v>
      </c>
      <c r="S4258" s="150"/>
    </row>
    <row r="4259" spans="1:19">
      <c r="A4259" s="149" t="s">
        <v>6402</v>
      </c>
      <c r="B4259" s="150" t="str">
        <f>IFERROR(VLOOKUP(Proc[[#This Row],[App]],Table2[],3,0),"open")</f>
        <v>ok</v>
      </c>
      <c r="C4259" s="149" t="s">
        <v>377</v>
      </c>
      <c r="D4259" t="s">
        <v>6391</v>
      </c>
      <c r="E4259" t="s">
        <v>6404</v>
      </c>
      <c r="F4259" s="150" t="s">
        <v>5494</v>
      </c>
      <c r="G4259" s="149" t="s">
        <v>400</v>
      </c>
      <c r="H4259" s="150" t="str">
        <f>IF(Proc[[#This Row],[type]]="LFF (MDG-F)",MID(Proc[[#This Row],[Obj]],13,10),"")</f>
        <v/>
      </c>
      <c r="J4259" s="150" t="b">
        <f>Proc[[#This Row],[Requested]]=Proc[[#This Row],[CurrentParent]]</f>
        <v>0</v>
      </c>
      <c r="K4259" s="150" t="str">
        <f>IF(Proc[[#This Row],[Author]]="Marcela Urrego",VLOOKUP(LEFT(Proc[[#This Row],[Requested]],1),Table3[#All],2,0),VLOOKUP(Proc[[#This Row],[Author]],Table4[],2,0))</f>
        <v>HC</v>
      </c>
      <c r="L4259" s="150" t="s">
        <v>4894</v>
      </c>
      <c r="M4259" s="151">
        <v>45924</v>
      </c>
      <c r="N4259" s="151"/>
      <c r="O4259" s="151"/>
      <c r="P4259" s="152" t="str">
        <f ca="1">IF(Proc[[#This Row],[DaysAgeing]]&gt;5,"yep","on track")</f>
        <v>yep</v>
      </c>
      <c r="Q4259" s="3">
        <f ca="1">IF(Proc[[#This Row],[DateClosed]]="",ABS(NETWORKDAYS(Proc[[#This Row],[DateOpened]],TODAY()))-1,ABS(NETWORKDAYS(Proc[[#This Row],[DateOpened]],Proc[[#This Row],[DateClosed]]))-1)</f>
        <v>57</v>
      </c>
      <c r="R4259" s="152" t="s">
        <v>410</v>
      </c>
      <c r="S4259" s="150"/>
    </row>
    <row r="4260" spans="1:19">
      <c r="A4260" s="149" t="s">
        <v>6402</v>
      </c>
      <c r="B4260" s="150" t="str">
        <f>IFERROR(VLOOKUP(Proc[[#This Row],[App]],Table2[],3,0),"open")</f>
        <v>ok</v>
      </c>
      <c r="C4260" s="149" t="s">
        <v>369</v>
      </c>
      <c r="D4260" t="s">
        <v>6392</v>
      </c>
      <c r="E4260" t="s">
        <v>6405</v>
      </c>
      <c r="F4260" s="150" t="s">
        <v>6405</v>
      </c>
      <c r="G4260" s="149" t="s">
        <v>400</v>
      </c>
      <c r="H4260" s="150" t="str">
        <f>IF(Proc[[#This Row],[type]]="LFF (MDG-F)",MID(Proc[[#This Row],[Obj]],13,10),"")</f>
        <v/>
      </c>
      <c r="J4260" s="150" t="b">
        <f>Proc[[#This Row],[Requested]]=Proc[[#This Row],[CurrentParent]]</f>
        <v>1</v>
      </c>
      <c r="K4260" s="150" t="str">
        <f>IF(Proc[[#This Row],[Author]]="Marcela Urrego",VLOOKUP(LEFT(Proc[[#This Row],[Requested]],1),Table3[#All],2,0),VLOOKUP(Proc[[#This Row],[Author]],Table4[],2,0))</f>
        <v>HC</v>
      </c>
      <c r="L4260" s="150" t="s">
        <v>4894</v>
      </c>
      <c r="M4260" s="151">
        <v>45924</v>
      </c>
      <c r="N4260" s="151"/>
      <c r="O4260" s="151"/>
      <c r="P4260" s="152" t="str">
        <f ca="1">IF(Proc[[#This Row],[DaysAgeing]]&gt;5,"yep","on track")</f>
        <v>yep</v>
      </c>
      <c r="Q4260" s="3">
        <f ca="1">IF(Proc[[#This Row],[DateClosed]]="",ABS(NETWORKDAYS(Proc[[#This Row],[DateOpened]],TODAY()))-1,ABS(NETWORKDAYS(Proc[[#This Row],[DateOpened]],Proc[[#This Row],[DateClosed]]))-1)</f>
        <v>57</v>
      </c>
      <c r="R4260" s="152" t="s">
        <v>410</v>
      </c>
      <c r="S4260" s="150"/>
    </row>
    <row r="4261" spans="1:19">
      <c r="A4261" s="149" t="s">
        <v>6402</v>
      </c>
      <c r="B4261" s="150" t="str">
        <f>IFERROR(VLOOKUP(Proc[[#This Row],[App]],Table2[],3,0),"open")</f>
        <v>ok</v>
      </c>
      <c r="C4261" s="149" t="s">
        <v>369</v>
      </c>
      <c r="D4261" t="s">
        <v>6393</v>
      </c>
      <c r="E4261" t="s">
        <v>6404</v>
      </c>
      <c r="F4261" s="150" t="s">
        <v>6404</v>
      </c>
      <c r="G4261" s="149" t="s">
        <v>400</v>
      </c>
      <c r="H4261" s="150" t="str">
        <f>IF(Proc[[#This Row],[type]]="LFF (MDG-F)",MID(Proc[[#This Row],[Obj]],13,10),"")</f>
        <v/>
      </c>
      <c r="J4261" s="150" t="b">
        <f>Proc[[#This Row],[Requested]]=Proc[[#This Row],[CurrentParent]]</f>
        <v>1</v>
      </c>
      <c r="K4261" s="150" t="str">
        <f>IF(Proc[[#This Row],[Author]]="Marcela Urrego",VLOOKUP(LEFT(Proc[[#This Row],[Requested]],1),Table3[#All],2,0),VLOOKUP(Proc[[#This Row],[Author]],Table4[],2,0))</f>
        <v>HC</v>
      </c>
      <c r="L4261" s="150" t="s">
        <v>4894</v>
      </c>
      <c r="M4261" s="151">
        <v>45924</v>
      </c>
      <c r="N4261" s="151"/>
      <c r="O4261" s="151"/>
      <c r="P4261" s="152" t="str">
        <f ca="1">IF(Proc[[#This Row],[DaysAgeing]]&gt;5,"yep","on track")</f>
        <v>yep</v>
      </c>
      <c r="Q4261" s="3">
        <f ca="1">IF(Proc[[#This Row],[DateClosed]]="",ABS(NETWORKDAYS(Proc[[#This Row],[DateOpened]],TODAY()))-1,ABS(NETWORKDAYS(Proc[[#This Row],[DateOpened]],Proc[[#This Row],[DateClosed]]))-1)</f>
        <v>57</v>
      </c>
      <c r="R4261" s="152" t="s">
        <v>410</v>
      </c>
      <c r="S4261" s="150"/>
    </row>
    <row r="4262" spans="1:19">
      <c r="A4262" s="149" t="s">
        <v>6402</v>
      </c>
      <c r="B4262" s="150" t="str">
        <f>IFERROR(VLOOKUP(Proc[[#This Row],[App]],Table2[],3,0),"open")</f>
        <v>ok</v>
      </c>
      <c r="C4262" s="149" t="s">
        <v>369</v>
      </c>
      <c r="D4262" t="s">
        <v>5480</v>
      </c>
      <c r="E4262" t="s">
        <v>6404</v>
      </c>
      <c r="F4262" s="150" t="s">
        <v>6404</v>
      </c>
      <c r="G4262" s="149" t="s">
        <v>400</v>
      </c>
      <c r="H4262" s="150" t="str">
        <f>IF(Proc[[#This Row],[type]]="LFF (MDG-F)",MID(Proc[[#This Row],[Obj]],13,10),"")</f>
        <v/>
      </c>
      <c r="J4262" s="150" t="b">
        <f>Proc[[#This Row],[Requested]]=Proc[[#This Row],[CurrentParent]]</f>
        <v>1</v>
      </c>
      <c r="K4262" s="150" t="str">
        <f>IF(Proc[[#This Row],[Author]]="Marcela Urrego",VLOOKUP(LEFT(Proc[[#This Row],[Requested]],1),Table3[#All],2,0),VLOOKUP(Proc[[#This Row],[Author]],Table4[],2,0))</f>
        <v>HC</v>
      </c>
      <c r="L4262" s="150" t="s">
        <v>4894</v>
      </c>
      <c r="M4262" s="151">
        <v>45924</v>
      </c>
      <c r="N4262" s="151"/>
      <c r="O4262" s="151"/>
      <c r="P4262" s="152" t="str">
        <f ca="1">IF(Proc[[#This Row],[DaysAgeing]]&gt;5,"yep","on track")</f>
        <v>yep</v>
      </c>
      <c r="Q4262" s="3">
        <f ca="1">IF(Proc[[#This Row],[DateClosed]]="",ABS(NETWORKDAYS(Proc[[#This Row],[DateOpened]],TODAY()))-1,ABS(NETWORKDAYS(Proc[[#This Row],[DateOpened]],Proc[[#This Row],[DateClosed]]))-1)</f>
        <v>57</v>
      </c>
      <c r="R4262" s="152" t="s">
        <v>410</v>
      </c>
      <c r="S4262" s="150"/>
    </row>
    <row r="4263" spans="1:19">
      <c r="A4263" s="149" t="s">
        <v>6402</v>
      </c>
      <c r="B4263" s="150" t="str">
        <f>IFERROR(VLOOKUP(Proc[[#This Row],[App]],Table2[],3,0),"open")</f>
        <v>ok</v>
      </c>
      <c r="C4263" s="149" t="s">
        <v>369</v>
      </c>
      <c r="D4263" t="s">
        <v>6394</v>
      </c>
      <c r="E4263" t="s">
        <v>6404</v>
      </c>
      <c r="F4263" s="150" t="s">
        <v>6404</v>
      </c>
      <c r="G4263" s="149" t="s">
        <v>400</v>
      </c>
      <c r="H4263" s="150" t="str">
        <f>IF(Proc[[#This Row],[type]]="LFF (MDG-F)",MID(Proc[[#This Row],[Obj]],13,10),"")</f>
        <v/>
      </c>
      <c r="J4263" s="150" t="b">
        <f>Proc[[#This Row],[Requested]]=Proc[[#This Row],[CurrentParent]]</f>
        <v>1</v>
      </c>
      <c r="K4263" s="150" t="str">
        <f>IF(Proc[[#This Row],[Author]]="Marcela Urrego",VLOOKUP(LEFT(Proc[[#This Row],[Requested]],1),Table3[#All],2,0),VLOOKUP(Proc[[#This Row],[Author]],Table4[],2,0))</f>
        <v>HC</v>
      </c>
      <c r="L4263" s="150" t="s">
        <v>4894</v>
      </c>
      <c r="M4263" s="151">
        <v>45924</v>
      </c>
      <c r="N4263" s="151"/>
      <c r="O4263" s="151"/>
      <c r="P4263" s="152" t="str">
        <f ca="1">IF(Proc[[#This Row],[DaysAgeing]]&gt;5,"yep","on track")</f>
        <v>yep</v>
      </c>
      <c r="Q4263" s="3">
        <f ca="1">IF(Proc[[#This Row],[DateClosed]]="",ABS(NETWORKDAYS(Proc[[#This Row],[DateOpened]],TODAY()))-1,ABS(NETWORKDAYS(Proc[[#This Row],[DateOpened]],Proc[[#This Row],[DateClosed]]))-1)</f>
        <v>57</v>
      </c>
      <c r="R4263" s="152" t="s">
        <v>410</v>
      </c>
      <c r="S4263" s="150"/>
    </row>
    <row r="4264" spans="1:19">
      <c r="A4264" s="149" t="s">
        <v>6402</v>
      </c>
      <c r="B4264" s="150" t="str">
        <f>IFERROR(VLOOKUP(Proc[[#This Row],[App]],Table2[],3,0),"open")</f>
        <v>ok</v>
      </c>
      <c r="C4264" s="149" t="s">
        <v>369</v>
      </c>
      <c r="D4264" t="s">
        <v>6395</v>
      </c>
      <c r="E4264" t="s">
        <v>6405</v>
      </c>
      <c r="F4264" s="150" t="s">
        <v>6405</v>
      </c>
      <c r="G4264" s="149" t="s">
        <v>400</v>
      </c>
      <c r="H4264" s="150" t="str">
        <f>IF(Proc[[#This Row],[type]]="LFF (MDG-F)",MID(Proc[[#This Row],[Obj]],13,10),"")</f>
        <v/>
      </c>
      <c r="J4264" s="150" t="b">
        <f>Proc[[#This Row],[Requested]]=Proc[[#This Row],[CurrentParent]]</f>
        <v>1</v>
      </c>
      <c r="K4264" s="150" t="str">
        <f>IF(Proc[[#This Row],[Author]]="Marcela Urrego",VLOOKUP(LEFT(Proc[[#This Row],[Requested]],1),Table3[#All],2,0),VLOOKUP(Proc[[#This Row],[Author]],Table4[],2,0))</f>
        <v>HC</v>
      </c>
      <c r="L4264" s="150" t="s">
        <v>4894</v>
      </c>
      <c r="M4264" s="151">
        <v>45924</v>
      </c>
      <c r="N4264" s="151"/>
      <c r="O4264" s="151"/>
      <c r="P4264" s="152" t="str">
        <f ca="1">IF(Proc[[#This Row],[DaysAgeing]]&gt;5,"yep","on track")</f>
        <v>yep</v>
      </c>
      <c r="Q4264" s="3">
        <f ca="1">IF(Proc[[#This Row],[DateClosed]]="",ABS(NETWORKDAYS(Proc[[#This Row],[DateOpened]],TODAY()))-1,ABS(NETWORKDAYS(Proc[[#This Row],[DateOpened]],Proc[[#This Row],[DateClosed]]))-1)</f>
        <v>57</v>
      </c>
      <c r="R4264" s="152" t="s">
        <v>410</v>
      </c>
      <c r="S4264" s="150"/>
    </row>
    <row r="4265" spans="1:19">
      <c r="A4265" s="149" t="s">
        <v>6402</v>
      </c>
      <c r="B4265" s="150" t="str">
        <f>IFERROR(VLOOKUP(Proc[[#This Row],[App]],Table2[],3,0),"open")</f>
        <v>ok</v>
      </c>
      <c r="C4265" s="149" t="s">
        <v>369</v>
      </c>
      <c r="D4265" t="s">
        <v>5485</v>
      </c>
      <c r="E4265" t="s">
        <v>6404</v>
      </c>
      <c r="F4265" s="150" t="s">
        <v>6404</v>
      </c>
      <c r="G4265" s="149" t="s">
        <v>400</v>
      </c>
      <c r="H4265" s="150" t="str">
        <f>IF(Proc[[#This Row],[type]]="LFF (MDG-F)",MID(Proc[[#This Row],[Obj]],13,10),"")</f>
        <v/>
      </c>
      <c r="J4265" s="150" t="b">
        <f>Proc[[#This Row],[Requested]]=Proc[[#This Row],[CurrentParent]]</f>
        <v>1</v>
      </c>
      <c r="K4265" s="150" t="str">
        <f>IF(Proc[[#This Row],[Author]]="Marcela Urrego",VLOOKUP(LEFT(Proc[[#This Row],[Requested]],1),Table3[#All],2,0),VLOOKUP(Proc[[#This Row],[Author]],Table4[],2,0))</f>
        <v>HC</v>
      </c>
      <c r="L4265" s="150" t="s">
        <v>4894</v>
      </c>
      <c r="M4265" s="151">
        <v>45924</v>
      </c>
      <c r="N4265" s="151"/>
      <c r="O4265" s="151"/>
      <c r="P4265" s="152" t="str">
        <f ca="1">IF(Proc[[#This Row],[DaysAgeing]]&gt;5,"yep","on track")</f>
        <v>yep</v>
      </c>
      <c r="Q4265" s="3">
        <f ca="1">IF(Proc[[#This Row],[DateClosed]]="",ABS(NETWORKDAYS(Proc[[#This Row],[DateOpened]],TODAY()))-1,ABS(NETWORKDAYS(Proc[[#This Row],[DateOpened]],Proc[[#This Row],[DateClosed]]))-1)</f>
        <v>57</v>
      </c>
      <c r="R4265" s="152" t="s">
        <v>410</v>
      </c>
      <c r="S4265" s="150"/>
    </row>
    <row r="4266" spans="1:19">
      <c r="A4266" s="149" t="s">
        <v>6402</v>
      </c>
      <c r="B4266" s="150" t="str">
        <f>IFERROR(VLOOKUP(Proc[[#This Row],[App]],Table2[],3,0),"open")</f>
        <v>ok</v>
      </c>
      <c r="C4266" s="149" t="s">
        <v>369</v>
      </c>
      <c r="D4266" t="s">
        <v>6396</v>
      </c>
      <c r="E4266" t="s">
        <v>6404</v>
      </c>
      <c r="F4266" s="150" t="s">
        <v>6404</v>
      </c>
      <c r="G4266" s="149" t="s">
        <v>400</v>
      </c>
      <c r="H4266" s="150" t="str">
        <f>IF(Proc[[#This Row],[type]]="LFF (MDG-F)",MID(Proc[[#This Row],[Obj]],13,10),"")</f>
        <v/>
      </c>
      <c r="J4266" s="150" t="b">
        <f>Proc[[#This Row],[Requested]]=Proc[[#This Row],[CurrentParent]]</f>
        <v>1</v>
      </c>
      <c r="K4266" s="150" t="str">
        <f>IF(Proc[[#This Row],[Author]]="Marcela Urrego",VLOOKUP(LEFT(Proc[[#This Row],[Requested]],1),Table3[#All],2,0),VLOOKUP(Proc[[#This Row],[Author]],Table4[],2,0))</f>
        <v>HC</v>
      </c>
      <c r="L4266" s="150" t="s">
        <v>4894</v>
      </c>
      <c r="M4266" s="151">
        <v>45924</v>
      </c>
      <c r="N4266" s="151"/>
      <c r="O4266" s="151"/>
      <c r="P4266" s="152" t="str">
        <f ca="1">IF(Proc[[#This Row],[DaysAgeing]]&gt;5,"yep","on track")</f>
        <v>yep</v>
      </c>
      <c r="Q4266" s="3">
        <f ca="1">IF(Proc[[#This Row],[DateClosed]]="",ABS(NETWORKDAYS(Proc[[#This Row],[DateOpened]],TODAY()))-1,ABS(NETWORKDAYS(Proc[[#This Row],[DateOpened]],Proc[[#This Row],[DateClosed]]))-1)</f>
        <v>57</v>
      </c>
      <c r="R4266" s="152" t="s">
        <v>410</v>
      </c>
      <c r="S4266" s="150"/>
    </row>
    <row r="4267" spans="1:19">
      <c r="A4267" s="149" t="s">
        <v>6402</v>
      </c>
      <c r="B4267" s="150" t="str">
        <f>IFERROR(VLOOKUP(Proc[[#This Row],[App]],Table2[],3,0),"open")</f>
        <v>ok</v>
      </c>
      <c r="C4267" s="149" t="s">
        <v>369</v>
      </c>
      <c r="D4267" t="s">
        <v>6397</v>
      </c>
      <c r="E4267" t="s">
        <v>6405</v>
      </c>
      <c r="F4267" s="150" t="s">
        <v>6405</v>
      </c>
      <c r="G4267" s="149" t="s">
        <v>400</v>
      </c>
      <c r="H4267" s="150" t="str">
        <f>IF(Proc[[#This Row],[type]]="LFF (MDG-F)",MID(Proc[[#This Row],[Obj]],13,10),"")</f>
        <v/>
      </c>
      <c r="J4267" s="150" t="b">
        <f>Proc[[#This Row],[Requested]]=Proc[[#This Row],[CurrentParent]]</f>
        <v>1</v>
      </c>
      <c r="K4267" s="150" t="str">
        <f>IF(Proc[[#This Row],[Author]]="Marcela Urrego",VLOOKUP(LEFT(Proc[[#This Row],[Requested]],1),Table3[#All],2,0),VLOOKUP(Proc[[#This Row],[Author]],Table4[],2,0))</f>
        <v>HC</v>
      </c>
      <c r="L4267" s="150" t="s">
        <v>4894</v>
      </c>
      <c r="M4267" s="151">
        <v>45924</v>
      </c>
      <c r="N4267" s="151"/>
      <c r="O4267" s="151"/>
      <c r="P4267" s="152" t="str">
        <f ca="1">IF(Proc[[#This Row],[DaysAgeing]]&gt;5,"yep","on track")</f>
        <v>yep</v>
      </c>
      <c r="Q4267" s="3">
        <f ca="1">IF(Proc[[#This Row],[DateClosed]]="",ABS(NETWORKDAYS(Proc[[#This Row],[DateOpened]],TODAY()))-1,ABS(NETWORKDAYS(Proc[[#This Row],[DateOpened]],Proc[[#This Row],[DateClosed]]))-1)</f>
        <v>57</v>
      </c>
      <c r="R4267" s="152" t="s">
        <v>410</v>
      </c>
      <c r="S4267" s="150"/>
    </row>
    <row r="4268" spans="1:19">
      <c r="A4268" s="149" t="s">
        <v>6402</v>
      </c>
      <c r="B4268" s="150" t="str">
        <f>IFERROR(VLOOKUP(Proc[[#This Row],[App]],Table2[],3,0),"open")</f>
        <v>ok</v>
      </c>
      <c r="C4268" s="149" t="s">
        <v>369</v>
      </c>
      <c r="D4268" t="s">
        <v>6398</v>
      </c>
      <c r="E4268" t="s">
        <v>6405</v>
      </c>
      <c r="F4268" s="150" t="s">
        <v>6405</v>
      </c>
      <c r="G4268" s="149" t="s">
        <v>400</v>
      </c>
      <c r="H4268" s="150" t="str">
        <f>IF(Proc[[#This Row],[type]]="LFF (MDG-F)",MID(Proc[[#This Row],[Obj]],13,10),"")</f>
        <v/>
      </c>
      <c r="J4268" s="150" t="b">
        <f>Proc[[#This Row],[Requested]]=Proc[[#This Row],[CurrentParent]]</f>
        <v>1</v>
      </c>
      <c r="K4268" s="150" t="str">
        <f>IF(Proc[[#This Row],[Author]]="Marcela Urrego",VLOOKUP(LEFT(Proc[[#This Row],[Requested]],1),Table3[#All],2,0),VLOOKUP(Proc[[#This Row],[Author]],Table4[],2,0))</f>
        <v>HC</v>
      </c>
      <c r="L4268" s="150" t="s">
        <v>4894</v>
      </c>
      <c r="M4268" s="151">
        <v>45924</v>
      </c>
      <c r="N4268" s="151"/>
      <c r="O4268" s="151"/>
      <c r="P4268" s="152" t="str">
        <f ca="1">IF(Proc[[#This Row],[DaysAgeing]]&gt;5,"yep","on track")</f>
        <v>yep</v>
      </c>
      <c r="Q4268" s="3">
        <f ca="1">IF(Proc[[#This Row],[DateClosed]]="",ABS(NETWORKDAYS(Proc[[#This Row],[DateOpened]],TODAY()))-1,ABS(NETWORKDAYS(Proc[[#This Row],[DateOpened]],Proc[[#This Row],[DateClosed]]))-1)</f>
        <v>57</v>
      </c>
      <c r="R4268" s="152" t="s">
        <v>410</v>
      </c>
      <c r="S4268" s="150"/>
    </row>
    <row r="4269" spans="1:19">
      <c r="A4269" s="149" t="s">
        <v>6402</v>
      </c>
      <c r="B4269" s="150" t="str">
        <f>IFERROR(VLOOKUP(Proc[[#This Row],[App]],Table2[],3,0),"open")</f>
        <v>ok</v>
      </c>
      <c r="C4269" s="149" t="s">
        <v>369</v>
      </c>
      <c r="D4269" t="s">
        <v>6399</v>
      </c>
      <c r="E4269" t="s">
        <v>6405</v>
      </c>
      <c r="F4269" s="150" t="s">
        <v>6405</v>
      </c>
      <c r="G4269" s="149" t="s">
        <v>400</v>
      </c>
      <c r="H4269" s="150" t="str">
        <f>IF(Proc[[#This Row],[type]]="LFF (MDG-F)",MID(Proc[[#This Row],[Obj]],13,10),"")</f>
        <v/>
      </c>
      <c r="J4269" s="150" t="b">
        <f>Proc[[#This Row],[Requested]]=Proc[[#This Row],[CurrentParent]]</f>
        <v>1</v>
      </c>
      <c r="K4269" s="150" t="str">
        <f>IF(Proc[[#This Row],[Author]]="Marcela Urrego",VLOOKUP(LEFT(Proc[[#This Row],[Requested]],1),Table3[#All],2,0),VLOOKUP(Proc[[#This Row],[Author]],Table4[],2,0))</f>
        <v>HC</v>
      </c>
      <c r="L4269" s="150" t="s">
        <v>4894</v>
      </c>
      <c r="M4269" s="151">
        <v>45924</v>
      </c>
      <c r="N4269" s="151"/>
      <c r="O4269" s="151"/>
      <c r="P4269" s="152" t="str">
        <f ca="1">IF(Proc[[#This Row],[DaysAgeing]]&gt;5,"yep","on track")</f>
        <v>yep</v>
      </c>
      <c r="Q4269" s="3">
        <f ca="1">IF(Proc[[#This Row],[DateClosed]]="",ABS(NETWORKDAYS(Proc[[#This Row],[DateOpened]],TODAY()))-1,ABS(NETWORKDAYS(Proc[[#This Row],[DateOpened]],Proc[[#This Row],[DateClosed]]))-1)</f>
        <v>57</v>
      </c>
      <c r="R4269" s="152" t="s">
        <v>410</v>
      </c>
      <c r="S4269" s="150"/>
    </row>
    <row r="4270" spans="1:19">
      <c r="A4270" s="149" t="s">
        <v>6402</v>
      </c>
      <c r="B4270" s="150" t="str">
        <f>IFERROR(VLOOKUP(Proc[[#This Row],[App]],Table2[],3,0),"open")</f>
        <v>ok</v>
      </c>
      <c r="C4270" s="149" t="s">
        <v>369</v>
      </c>
      <c r="D4270" t="s">
        <v>6400</v>
      </c>
      <c r="E4270" t="s">
        <v>6405</v>
      </c>
      <c r="F4270" s="150" t="s">
        <v>6405</v>
      </c>
      <c r="G4270" s="149" t="s">
        <v>400</v>
      </c>
      <c r="H4270" s="150" t="str">
        <f>IF(Proc[[#This Row],[type]]="LFF (MDG-F)",MID(Proc[[#This Row],[Obj]],13,10),"")</f>
        <v/>
      </c>
      <c r="J4270" s="150" t="b">
        <f>Proc[[#This Row],[Requested]]=Proc[[#This Row],[CurrentParent]]</f>
        <v>1</v>
      </c>
      <c r="K4270" s="150" t="str">
        <f>IF(Proc[[#This Row],[Author]]="Marcela Urrego",VLOOKUP(LEFT(Proc[[#This Row],[Requested]],1),Table3[#All],2,0),VLOOKUP(Proc[[#This Row],[Author]],Table4[],2,0))</f>
        <v>HC</v>
      </c>
      <c r="L4270" s="150" t="s">
        <v>4894</v>
      </c>
      <c r="M4270" s="151">
        <v>45924</v>
      </c>
      <c r="N4270" s="151"/>
      <c r="O4270" s="151"/>
      <c r="P4270" s="152" t="str">
        <f ca="1">IF(Proc[[#This Row],[DaysAgeing]]&gt;5,"yep","on track")</f>
        <v>yep</v>
      </c>
      <c r="Q4270" s="3">
        <f ca="1">IF(Proc[[#This Row],[DateClosed]]="",ABS(NETWORKDAYS(Proc[[#This Row],[DateOpened]],TODAY()))-1,ABS(NETWORKDAYS(Proc[[#This Row],[DateOpened]],Proc[[#This Row],[DateClosed]]))-1)</f>
        <v>57</v>
      </c>
      <c r="R4270" s="152" t="s">
        <v>410</v>
      </c>
      <c r="S4270" s="150"/>
    </row>
    <row r="4271" spans="1:19">
      <c r="A4271" s="149" t="s">
        <v>6402</v>
      </c>
      <c r="B4271" s="150" t="str">
        <f>IFERROR(VLOOKUP(Proc[[#This Row],[App]],Table2[],3,0),"open")</f>
        <v>ok</v>
      </c>
      <c r="C4271" s="149" t="s">
        <v>369</v>
      </c>
      <c r="D4271" t="s">
        <v>6406</v>
      </c>
      <c r="E4271" t="s">
        <v>6405</v>
      </c>
      <c r="F4271" s="150" t="s">
        <v>6405</v>
      </c>
      <c r="G4271" s="149" t="s">
        <v>400</v>
      </c>
      <c r="H4271" s="150" t="str">
        <f>IF(Proc[[#This Row],[type]]="LFF (MDG-F)",MID(Proc[[#This Row],[Obj]],13,10),"")</f>
        <v/>
      </c>
      <c r="J4271" s="150" t="b">
        <f>Proc[[#This Row],[Requested]]=Proc[[#This Row],[CurrentParent]]</f>
        <v>1</v>
      </c>
      <c r="K4271" s="150" t="str">
        <f>IF(Proc[[#This Row],[Author]]="Marcela Urrego",VLOOKUP(LEFT(Proc[[#This Row],[Requested]],1),Table3[#All],2,0),VLOOKUP(Proc[[#This Row],[Author]],Table4[],2,0))</f>
        <v>HC</v>
      </c>
      <c r="L4271" s="150" t="s">
        <v>4894</v>
      </c>
      <c r="M4271" s="151">
        <v>45924</v>
      </c>
      <c r="N4271" s="151"/>
      <c r="O4271" s="151"/>
      <c r="P4271" s="152" t="str">
        <f ca="1">IF(Proc[[#This Row],[DaysAgeing]]&gt;5,"yep","on track")</f>
        <v>yep</v>
      </c>
      <c r="Q4271" s="3">
        <f ca="1">IF(Proc[[#This Row],[DateClosed]]="",ABS(NETWORKDAYS(Proc[[#This Row],[DateOpened]],TODAY()))-1,ABS(NETWORKDAYS(Proc[[#This Row],[DateOpened]],Proc[[#This Row],[DateClosed]]))-1)</f>
        <v>57</v>
      </c>
      <c r="R4271" s="152" t="s">
        <v>410</v>
      </c>
      <c r="S4271" s="150"/>
    </row>
    <row r="4272" spans="1:19">
      <c r="A4272" s="149" t="s">
        <v>6402</v>
      </c>
      <c r="B4272" s="150" t="str">
        <f>IFERROR(VLOOKUP(Proc[[#This Row],[App]],Table2[],3,0),"open")</f>
        <v>ok</v>
      </c>
      <c r="C4272" s="149" t="s">
        <v>369</v>
      </c>
      <c r="D4272" t="s">
        <v>6401</v>
      </c>
      <c r="E4272" t="s">
        <v>6404</v>
      </c>
      <c r="F4272" s="150" t="s">
        <v>6404</v>
      </c>
      <c r="G4272" s="149" t="s">
        <v>400</v>
      </c>
      <c r="H4272" s="150" t="str">
        <f>IF(Proc[[#This Row],[type]]="LFF (MDG-F)",MID(Proc[[#This Row],[Obj]],13,10),"")</f>
        <v/>
      </c>
      <c r="J4272" s="150" t="b">
        <f>Proc[[#This Row],[Requested]]=Proc[[#This Row],[CurrentParent]]</f>
        <v>1</v>
      </c>
      <c r="K4272" s="150" t="str">
        <f>IF(Proc[[#This Row],[Author]]="Marcela Urrego",VLOOKUP(LEFT(Proc[[#This Row],[Requested]],1),Table3[#All],2,0),VLOOKUP(Proc[[#This Row],[Author]],Table4[],2,0))</f>
        <v>HC</v>
      </c>
      <c r="L4272" s="150" t="s">
        <v>4894</v>
      </c>
      <c r="M4272" s="151">
        <v>45924</v>
      </c>
      <c r="N4272" s="151"/>
      <c r="O4272" s="151"/>
      <c r="P4272" s="152" t="str">
        <f ca="1">IF(Proc[[#This Row],[DaysAgeing]]&gt;5,"yep","on track")</f>
        <v>yep</v>
      </c>
      <c r="Q4272" s="3">
        <f ca="1">IF(Proc[[#This Row],[DateClosed]]="",ABS(NETWORKDAYS(Proc[[#This Row],[DateOpened]],TODAY()))-1,ABS(NETWORKDAYS(Proc[[#This Row],[DateOpened]],Proc[[#This Row],[DateClosed]]))-1)</f>
        <v>57</v>
      </c>
      <c r="R4272" s="152" t="s">
        <v>410</v>
      </c>
      <c r="S4272" s="150"/>
    </row>
    <row r="4273" spans="1:19">
      <c r="A4273" t="s">
        <v>6409</v>
      </c>
      <c r="B4273" s="150" t="str">
        <f>IFERROR(VLOOKUP(Proc[[#This Row],[App]],Table2[],3,0),"open")</f>
        <v>ok</v>
      </c>
      <c r="C4273" s="149" t="s">
        <v>369</v>
      </c>
      <c r="D4273" t="s">
        <v>6407</v>
      </c>
      <c r="E4273" t="s">
        <v>6410</v>
      </c>
      <c r="F4273" s="150" t="s">
        <v>6410</v>
      </c>
      <c r="G4273" t="s">
        <v>400</v>
      </c>
      <c r="H4273" s="150" t="str">
        <f>IF(Proc[[#This Row],[type]]="LFF (MDG-F)",MID(Proc[[#This Row],[Obj]],13,10),"")</f>
        <v/>
      </c>
      <c r="J4273" s="150" t="b">
        <f>Proc[[#This Row],[Requested]]=Proc[[#This Row],[CurrentParent]]</f>
        <v>1</v>
      </c>
      <c r="K4273" s="150" t="str">
        <f>IF(Proc[[#This Row],[Author]]="Marcela Urrego",VLOOKUP(LEFT(Proc[[#This Row],[Requested]],1),Table3[#All],2,0),VLOOKUP(Proc[[#This Row],[Author]],Table4[],2,0))</f>
        <v>LS</v>
      </c>
      <c r="L4273" s="150" t="s">
        <v>4894</v>
      </c>
      <c r="M4273" s="152">
        <v>45925</v>
      </c>
      <c r="N4273" s="152"/>
      <c r="O4273" s="152"/>
      <c r="P4273" s="153" t="str">
        <f ca="1">IF(Proc[[#This Row],[DaysAgeing]]&gt;5,"yep","on track")</f>
        <v>yep</v>
      </c>
      <c r="Q4273" s="3">
        <f ca="1">IF(Proc[[#This Row],[DateClosed]]="",ABS(NETWORKDAYS(Proc[[#This Row],[DateOpened]],TODAY()))-1,ABS(NETWORKDAYS(Proc[[#This Row],[DateOpened]],Proc[[#This Row],[DateClosed]]))-1)</f>
        <v>56</v>
      </c>
      <c r="R4273" s="153" t="s">
        <v>489</v>
      </c>
      <c r="S4273" s="150"/>
    </row>
    <row r="4274" spans="1:19">
      <c r="A4274" t="s">
        <v>6409</v>
      </c>
      <c r="B4274" s="150" t="str">
        <f>IFERROR(VLOOKUP(Proc[[#This Row],[App]],Table2[],3,0),"open")</f>
        <v>ok</v>
      </c>
      <c r="C4274" s="149" t="s">
        <v>369</v>
      </c>
      <c r="D4274" t="s">
        <v>6408</v>
      </c>
      <c r="E4274" t="s">
        <v>6411</v>
      </c>
      <c r="F4274" s="150" t="s">
        <v>6411</v>
      </c>
      <c r="G4274" t="s">
        <v>400</v>
      </c>
      <c r="H4274" s="150" t="str">
        <f>IF(Proc[[#This Row],[type]]="LFF (MDG-F)",MID(Proc[[#This Row],[Obj]],13,10),"")</f>
        <v/>
      </c>
      <c r="J4274" s="150" t="b">
        <f>Proc[[#This Row],[Requested]]=Proc[[#This Row],[CurrentParent]]</f>
        <v>1</v>
      </c>
      <c r="K4274" s="150" t="str">
        <f>IF(Proc[[#This Row],[Author]]="Marcela Urrego",VLOOKUP(LEFT(Proc[[#This Row],[Requested]],1),Table3[#All],2,0),VLOOKUP(Proc[[#This Row],[Author]],Table4[],2,0))</f>
        <v>LS</v>
      </c>
      <c r="L4274" s="150" t="s">
        <v>4894</v>
      </c>
      <c r="M4274" s="152">
        <v>45925</v>
      </c>
      <c r="N4274" s="152"/>
      <c r="O4274" s="152"/>
      <c r="P4274" s="153" t="str">
        <f ca="1">IF(Proc[[#This Row],[DaysAgeing]]&gt;5,"yep","on track")</f>
        <v>yep</v>
      </c>
      <c r="Q4274" s="3">
        <f ca="1">IF(Proc[[#This Row],[DateClosed]]="",ABS(NETWORKDAYS(Proc[[#This Row],[DateOpened]],TODAY()))-1,ABS(NETWORKDAYS(Proc[[#This Row],[DateOpened]],Proc[[#This Row],[DateClosed]]))-1)</f>
        <v>56</v>
      </c>
      <c r="R4274" s="153" t="s">
        <v>489</v>
      </c>
      <c r="S4274" s="150"/>
    </row>
    <row r="4275" spans="1:19">
      <c r="A4275" t="s">
        <v>6426</v>
      </c>
      <c r="B4275" s="150" t="str">
        <f>IFERROR(VLOOKUP(Proc[[#This Row],[App]],Table2[],3,0),"open")</f>
        <v>ok</v>
      </c>
      <c r="C4275" s="149" t="s">
        <v>369</v>
      </c>
      <c r="D4275" t="s">
        <v>6412</v>
      </c>
      <c r="E4275" s="149" t="s">
        <v>2430</v>
      </c>
      <c r="F4275" s="150" t="s">
        <v>2430</v>
      </c>
      <c r="G4275" t="s">
        <v>400</v>
      </c>
      <c r="H4275" s="150" t="str">
        <f>IF(Proc[[#This Row],[type]]="LFF (MDG-F)",MID(Proc[[#This Row],[Obj]],13,10),"")</f>
        <v/>
      </c>
      <c r="I4275" t="e">
        <v>#REF!</v>
      </c>
      <c r="J4275" s="150" t="b">
        <f>Proc[[#This Row],[Requested]]=Proc[[#This Row],[CurrentParent]]</f>
        <v>1</v>
      </c>
      <c r="K4275" s="150" t="str">
        <f>IF(Proc[[#This Row],[Author]]="Marcela Urrego",VLOOKUP(LEFT(Proc[[#This Row],[Requested]],1),Table3[#All],2,0),VLOOKUP(Proc[[#This Row],[Author]],Table4[],2,0))</f>
        <v>EL</v>
      </c>
      <c r="L4275" s="150" t="s">
        <v>4894</v>
      </c>
      <c r="M4275" s="152">
        <v>45925</v>
      </c>
      <c r="N4275" s="152"/>
      <c r="O4275" s="152"/>
      <c r="P4275" s="153" t="str">
        <f ca="1">IF(Proc[[#This Row],[DaysAgeing]]&gt;5,"yep","on track")</f>
        <v>yep</v>
      </c>
      <c r="Q4275" s="3">
        <f ca="1">IF(Proc[[#This Row],[DateClosed]]="",ABS(NETWORKDAYS(Proc[[#This Row],[DateOpened]],TODAY()))-1,ABS(NETWORKDAYS(Proc[[#This Row],[DateOpened]],Proc[[#This Row],[DateClosed]]))-1)</f>
        <v>56</v>
      </c>
      <c r="R4275" s="153" t="s">
        <v>780</v>
      </c>
      <c r="S4275" s="150"/>
    </row>
    <row r="4276" spans="1:19">
      <c r="A4276" s="149" t="s">
        <v>6426</v>
      </c>
      <c r="B4276" s="150" t="str">
        <f>IFERROR(VLOOKUP(Proc[[#This Row],[App]],Table2[],3,0),"open")</f>
        <v>ok</v>
      </c>
      <c r="C4276" s="149" t="s">
        <v>369</v>
      </c>
      <c r="D4276" t="s">
        <v>6413</v>
      </c>
      <c r="E4276" s="149" t="s">
        <v>2430</v>
      </c>
      <c r="F4276" s="150" t="s">
        <v>2430</v>
      </c>
      <c r="G4276" s="149" t="s">
        <v>400</v>
      </c>
      <c r="H4276" s="150" t="str">
        <f>IF(Proc[[#This Row],[type]]="LFF (MDG-F)",MID(Proc[[#This Row],[Obj]],13,10),"")</f>
        <v/>
      </c>
      <c r="I4276" s="149" t="e">
        <v>#REF!</v>
      </c>
      <c r="J4276" s="150" t="b">
        <f>Proc[[#This Row],[Requested]]=Proc[[#This Row],[CurrentParent]]</f>
        <v>1</v>
      </c>
      <c r="K4276" s="150" t="str">
        <f>IF(Proc[[#This Row],[Author]]="Marcela Urrego",VLOOKUP(LEFT(Proc[[#This Row],[Requested]],1),Table3[#All],2,0),VLOOKUP(Proc[[#This Row],[Author]],Table4[],2,0))</f>
        <v>EL</v>
      </c>
      <c r="L4276" s="150" t="s">
        <v>4894</v>
      </c>
      <c r="M4276" s="152">
        <v>45925</v>
      </c>
      <c r="N4276" s="152"/>
      <c r="O4276" s="152"/>
      <c r="P4276" s="153" t="str">
        <f ca="1">IF(Proc[[#This Row],[DaysAgeing]]&gt;5,"yep","on track")</f>
        <v>yep</v>
      </c>
      <c r="Q4276" s="3">
        <f ca="1">IF(Proc[[#This Row],[DateClosed]]="",ABS(NETWORKDAYS(Proc[[#This Row],[DateOpened]],TODAY()))-1,ABS(NETWORKDAYS(Proc[[#This Row],[DateOpened]],Proc[[#This Row],[DateClosed]]))-1)</f>
        <v>56</v>
      </c>
      <c r="R4276" s="153" t="s">
        <v>780</v>
      </c>
      <c r="S4276" s="150"/>
    </row>
    <row r="4277" spans="1:19">
      <c r="A4277" s="149" t="s">
        <v>6426</v>
      </c>
      <c r="B4277" s="150" t="str">
        <f>IFERROR(VLOOKUP(Proc[[#This Row],[App]],Table2[],3,0),"open")</f>
        <v>ok</v>
      </c>
      <c r="C4277" s="149" t="s">
        <v>369</v>
      </c>
      <c r="D4277" t="s">
        <v>6414</v>
      </c>
      <c r="E4277" t="s">
        <v>2430</v>
      </c>
      <c r="F4277" s="150" t="s">
        <v>2430</v>
      </c>
      <c r="G4277" s="149" t="s">
        <v>400</v>
      </c>
      <c r="H4277" s="150" t="str">
        <f>IF(Proc[[#This Row],[type]]="LFF (MDG-F)",MID(Proc[[#This Row],[Obj]],13,10),"")</f>
        <v/>
      </c>
      <c r="I4277" s="149" t="e">
        <v>#REF!</v>
      </c>
      <c r="J4277" s="150" t="b">
        <f>Proc[[#This Row],[Requested]]=Proc[[#This Row],[CurrentParent]]</f>
        <v>1</v>
      </c>
      <c r="K4277" s="150" t="str">
        <f>IF(Proc[[#This Row],[Author]]="Marcela Urrego",VLOOKUP(LEFT(Proc[[#This Row],[Requested]],1),Table3[#All],2,0),VLOOKUP(Proc[[#This Row],[Author]],Table4[],2,0))</f>
        <v>EL</v>
      </c>
      <c r="L4277" s="150" t="s">
        <v>4894</v>
      </c>
      <c r="M4277" s="152">
        <v>45925</v>
      </c>
      <c r="N4277" s="152"/>
      <c r="O4277" s="152"/>
      <c r="P4277" s="153" t="str">
        <f ca="1">IF(Proc[[#This Row],[DaysAgeing]]&gt;5,"yep","on track")</f>
        <v>yep</v>
      </c>
      <c r="Q4277" s="3">
        <f ca="1">IF(Proc[[#This Row],[DateClosed]]="",ABS(NETWORKDAYS(Proc[[#This Row],[DateOpened]],TODAY()))-1,ABS(NETWORKDAYS(Proc[[#This Row],[DateOpened]],Proc[[#This Row],[DateClosed]]))-1)</f>
        <v>56</v>
      </c>
      <c r="R4277" s="153" t="s">
        <v>780</v>
      </c>
      <c r="S4277" s="150"/>
    </row>
    <row r="4278" spans="1:19">
      <c r="A4278" s="149" t="s">
        <v>6426</v>
      </c>
      <c r="B4278" s="150" t="str">
        <f>IFERROR(VLOOKUP(Proc[[#This Row],[App]],Table2[],3,0),"open")</f>
        <v>ok</v>
      </c>
      <c r="C4278" s="149" t="s">
        <v>369</v>
      </c>
      <c r="D4278" t="s">
        <v>6415</v>
      </c>
      <c r="E4278" t="s">
        <v>2430</v>
      </c>
      <c r="F4278" s="150" t="s">
        <v>2430</v>
      </c>
      <c r="G4278" s="149" t="s">
        <v>400</v>
      </c>
      <c r="H4278" s="150" t="str">
        <f>IF(Proc[[#This Row],[type]]="LFF (MDG-F)",MID(Proc[[#This Row],[Obj]],13,10),"")</f>
        <v/>
      </c>
      <c r="J4278" s="150" t="b">
        <f>Proc[[#This Row],[Requested]]=Proc[[#This Row],[CurrentParent]]</f>
        <v>1</v>
      </c>
      <c r="K4278" s="150" t="str">
        <f>IF(Proc[[#This Row],[Author]]="Marcela Urrego",VLOOKUP(LEFT(Proc[[#This Row],[Requested]],1),Table3[#All],2,0),VLOOKUP(Proc[[#This Row],[Author]],Table4[],2,0))</f>
        <v>EL</v>
      </c>
      <c r="L4278" s="150" t="s">
        <v>4894</v>
      </c>
      <c r="M4278" s="152">
        <v>45925</v>
      </c>
      <c r="N4278" s="152"/>
      <c r="O4278" s="152"/>
      <c r="P4278" s="153" t="str">
        <f ca="1">IF(Proc[[#This Row],[DaysAgeing]]&gt;5,"yep","on track")</f>
        <v>yep</v>
      </c>
      <c r="Q4278" s="3">
        <f ca="1">IF(Proc[[#This Row],[DateClosed]]="",ABS(NETWORKDAYS(Proc[[#This Row],[DateOpened]],TODAY()))-1,ABS(NETWORKDAYS(Proc[[#This Row],[DateOpened]],Proc[[#This Row],[DateClosed]]))-1)</f>
        <v>56</v>
      </c>
      <c r="R4278" s="153" t="s">
        <v>780</v>
      </c>
      <c r="S4278" s="150"/>
    </row>
    <row r="4279" spans="1:19">
      <c r="A4279" s="149" t="s">
        <v>6426</v>
      </c>
      <c r="B4279" s="150" t="str">
        <f>IFERROR(VLOOKUP(Proc[[#This Row],[App]],Table2[],3,0),"open")</f>
        <v>ok</v>
      </c>
      <c r="C4279" s="149" t="s">
        <v>369</v>
      </c>
      <c r="D4279" t="s">
        <v>6416</v>
      </c>
      <c r="E4279" t="s">
        <v>2430</v>
      </c>
      <c r="F4279" s="150" t="s">
        <v>2430</v>
      </c>
      <c r="G4279" s="149" t="s">
        <v>400</v>
      </c>
      <c r="H4279" s="150" t="str">
        <f>IF(Proc[[#This Row],[type]]="LFF (MDG-F)",MID(Proc[[#This Row],[Obj]],13,10),"")</f>
        <v/>
      </c>
      <c r="J4279" s="150" t="b">
        <f>Proc[[#This Row],[Requested]]=Proc[[#This Row],[CurrentParent]]</f>
        <v>1</v>
      </c>
      <c r="K4279" s="150" t="str">
        <f>IF(Proc[[#This Row],[Author]]="Marcela Urrego",VLOOKUP(LEFT(Proc[[#This Row],[Requested]],1),Table3[#All],2,0),VLOOKUP(Proc[[#This Row],[Author]],Table4[],2,0))</f>
        <v>EL</v>
      </c>
      <c r="L4279" s="150" t="s">
        <v>4894</v>
      </c>
      <c r="M4279" s="152">
        <v>45925</v>
      </c>
      <c r="N4279" s="152"/>
      <c r="O4279" s="152"/>
      <c r="P4279" s="153" t="str">
        <f ca="1">IF(Proc[[#This Row],[DaysAgeing]]&gt;5,"yep","on track")</f>
        <v>yep</v>
      </c>
      <c r="Q4279" s="3">
        <f ca="1">IF(Proc[[#This Row],[DateClosed]]="",ABS(NETWORKDAYS(Proc[[#This Row],[DateOpened]],TODAY()))-1,ABS(NETWORKDAYS(Proc[[#This Row],[DateOpened]],Proc[[#This Row],[DateClosed]]))-1)</f>
        <v>56</v>
      </c>
      <c r="R4279" s="153" t="s">
        <v>780</v>
      </c>
      <c r="S4279" s="150"/>
    </row>
    <row r="4280" spans="1:19">
      <c r="A4280" s="149" t="s">
        <v>6426</v>
      </c>
      <c r="B4280" s="150" t="str">
        <f>IFERROR(VLOOKUP(Proc[[#This Row],[App]],Table2[],3,0),"open")</f>
        <v>ok</v>
      </c>
      <c r="C4280" s="149" t="s">
        <v>369</v>
      </c>
      <c r="D4280" t="s">
        <v>6417</v>
      </c>
      <c r="E4280" t="s">
        <v>2430</v>
      </c>
      <c r="F4280" s="150" t="s">
        <v>2430</v>
      </c>
      <c r="G4280" s="149" t="s">
        <v>400</v>
      </c>
      <c r="H4280" s="150" t="str">
        <f>IF(Proc[[#This Row],[type]]="LFF (MDG-F)",MID(Proc[[#This Row],[Obj]],13,10),"")</f>
        <v/>
      </c>
      <c r="J4280" s="150" t="b">
        <f>Proc[[#This Row],[Requested]]=Proc[[#This Row],[CurrentParent]]</f>
        <v>1</v>
      </c>
      <c r="K4280" s="150" t="str">
        <f>IF(Proc[[#This Row],[Author]]="Marcela Urrego",VLOOKUP(LEFT(Proc[[#This Row],[Requested]],1),Table3[#All],2,0),VLOOKUP(Proc[[#This Row],[Author]],Table4[],2,0))</f>
        <v>EL</v>
      </c>
      <c r="L4280" s="150" t="s">
        <v>4894</v>
      </c>
      <c r="M4280" s="152">
        <v>45925</v>
      </c>
      <c r="N4280" s="152"/>
      <c r="O4280" s="152"/>
      <c r="P4280" s="153" t="str">
        <f ca="1">IF(Proc[[#This Row],[DaysAgeing]]&gt;5,"yep","on track")</f>
        <v>yep</v>
      </c>
      <c r="Q4280" s="3">
        <f ca="1">IF(Proc[[#This Row],[DateClosed]]="",ABS(NETWORKDAYS(Proc[[#This Row],[DateOpened]],TODAY()))-1,ABS(NETWORKDAYS(Proc[[#This Row],[DateOpened]],Proc[[#This Row],[DateClosed]]))-1)</f>
        <v>56</v>
      </c>
      <c r="R4280" s="153" t="s">
        <v>780</v>
      </c>
      <c r="S4280" s="150"/>
    </row>
    <row r="4281" spans="1:19">
      <c r="A4281" s="149" t="s">
        <v>6426</v>
      </c>
      <c r="B4281" s="150" t="str">
        <f>IFERROR(VLOOKUP(Proc[[#This Row],[App]],Table2[],3,0),"open")</f>
        <v>ok</v>
      </c>
      <c r="C4281" s="149" t="s">
        <v>369</v>
      </c>
      <c r="D4281" t="s">
        <v>6418</v>
      </c>
      <c r="E4281" t="s">
        <v>2430</v>
      </c>
      <c r="F4281" s="150" t="s">
        <v>2430</v>
      </c>
      <c r="G4281" s="149" t="s">
        <v>400</v>
      </c>
      <c r="H4281" s="150" t="str">
        <f>IF(Proc[[#This Row],[type]]="LFF (MDG-F)",MID(Proc[[#This Row],[Obj]],13,10),"")</f>
        <v/>
      </c>
      <c r="J4281" s="150" t="b">
        <f>Proc[[#This Row],[Requested]]=Proc[[#This Row],[CurrentParent]]</f>
        <v>1</v>
      </c>
      <c r="K4281" s="150" t="str">
        <f>IF(Proc[[#This Row],[Author]]="Marcela Urrego",VLOOKUP(LEFT(Proc[[#This Row],[Requested]],1),Table3[#All],2,0),VLOOKUP(Proc[[#This Row],[Author]],Table4[],2,0))</f>
        <v>EL</v>
      </c>
      <c r="L4281" s="150" t="s">
        <v>4894</v>
      </c>
      <c r="M4281" s="152">
        <v>45925</v>
      </c>
      <c r="N4281" s="152"/>
      <c r="O4281" s="152"/>
      <c r="P4281" s="153" t="str">
        <f ca="1">IF(Proc[[#This Row],[DaysAgeing]]&gt;5,"yep","on track")</f>
        <v>yep</v>
      </c>
      <c r="Q4281" s="3">
        <f ca="1">IF(Proc[[#This Row],[DateClosed]]="",ABS(NETWORKDAYS(Proc[[#This Row],[DateOpened]],TODAY()))-1,ABS(NETWORKDAYS(Proc[[#This Row],[DateOpened]],Proc[[#This Row],[DateClosed]]))-1)</f>
        <v>56</v>
      </c>
      <c r="R4281" s="153" t="s">
        <v>780</v>
      </c>
      <c r="S4281" s="150"/>
    </row>
    <row r="4282" spans="1:19">
      <c r="A4282" s="149" t="s">
        <v>6426</v>
      </c>
      <c r="B4282" s="150" t="str">
        <f>IFERROR(VLOOKUP(Proc[[#This Row],[App]],Table2[],3,0),"open")</f>
        <v>ok</v>
      </c>
      <c r="C4282" s="149" t="s">
        <v>369</v>
      </c>
      <c r="D4282" t="s">
        <v>6419</v>
      </c>
      <c r="E4282" s="149" t="s">
        <v>419</v>
      </c>
      <c r="F4282" s="150" t="s">
        <v>419</v>
      </c>
      <c r="G4282" s="149" t="s">
        <v>400</v>
      </c>
      <c r="H4282" s="150" t="str">
        <f>IF(Proc[[#This Row],[type]]="LFF (MDG-F)",MID(Proc[[#This Row],[Obj]],13,10),"")</f>
        <v/>
      </c>
      <c r="I4282" s="149" t="e">
        <v>#REF!</v>
      </c>
      <c r="J4282" s="150" t="b">
        <f>Proc[[#This Row],[Requested]]=Proc[[#This Row],[CurrentParent]]</f>
        <v>1</v>
      </c>
      <c r="K4282" s="150" t="str">
        <f>IF(Proc[[#This Row],[Author]]="Marcela Urrego",VLOOKUP(LEFT(Proc[[#This Row],[Requested]],1),Table3[#All],2,0),VLOOKUP(Proc[[#This Row],[Author]],Table4[],2,0))</f>
        <v>EL</v>
      </c>
      <c r="L4282" s="150" t="s">
        <v>4894</v>
      </c>
      <c r="M4282" s="152">
        <v>45925</v>
      </c>
      <c r="N4282" s="152"/>
      <c r="O4282" s="152"/>
      <c r="P4282" s="153" t="str">
        <f ca="1">IF(Proc[[#This Row],[DaysAgeing]]&gt;5,"yep","on track")</f>
        <v>yep</v>
      </c>
      <c r="Q4282" s="3">
        <f ca="1">IF(Proc[[#This Row],[DateClosed]]="",ABS(NETWORKDAYS(Proc[[#This Row],[DateOpened]],TODAY()))-1,ABS(NETWORKDAYS(Proc[[#This Row],[DateOpened]],Proc[[#This Row],[DateClosed]]))-1)</f>
        <v>56</v>
      </c>
      <c r="R4282" s="153" t="s">
        <v>780</v>
      </c>
      <c r="S4282" s="150"/>
    </row>
    <row r="4283" spans="1:19">
      <c r="A4283" s="149" t="s">
        <v>6426</v>
      </c>
      <c r="B4283" s="150" t="str">
        <f>IFERROR(VLOOKUP(Proc[[#This Row],[App]],Table2[],3,0),"open")</f>
        <v>ok</v>
      </c>
      <c r="C4283" s="149" t="s">
        <v>369</v>
      </c>
      <c r="D4283" t="s">
        <v>6420</v>
      </c>
      <c r="E4283" s="149" t="s">
        <v>419</v>
      </c>
      <c r="F4283" s="150" t="s">
        <v>419</v>
      </c>
      <c r="G4283" s="149" t="s">
        <v>400</v>
      </c>
      <c r="H4283" s="150" t="str">
        <f>IF(Proc[[#This Row],[type]]="LFF (MDG-F)",MID(Proc[[#This Row],[Obj]],13,10),"")</f>
        <v/>
      </c>
      <c r="I4283" s="149" t="e">
        <v>#REF!</v>
      </c>
      <c r="J4283" s="150" t="b">
        <f>Proc[[#This Row],[Requested]]=Proc[[#This Row],[CurrentParent]]</f>
        <v>1</v>
      </c>
      <c r="K4283" s="150" t="str">
        <f>IF(Proc[[#This Row],[Author]]="Marcela Urrego",VLOOKUP(LEFT(Proc[[#This Row],[Requested]],1),Table3[#All],2,0),VLOOKUP(Proc[[#This Row],[Author]],Table4[],2,0))</f>
        <v>EL</v>
      </c>
      <c r="L4283" s="150" t="s">
        <v>4894</v>
      </c>
      <c r="M4283" s="152">
        <v>45925</v>
      </c>
      <c r="N4283" s="152"/>
      <c r="O4283" s="152"/>
      <c r="P4283" s="153" t="str">
        <f ca="1">IF(Proc[[#This Row],[DaysAgeing]]&gt;5,"yep","on track")</f>
        <v>yep</v>
      </c>
      <c r="Q4283" s="3">
        <f ca="1">IF(Proc[[#This Row],[DateClosed]]="",ABS(NETWORKDAYS(Proc[[#This Row],[DateOpened]],TODAY()))-1,ABS(NETWORKDAYS(Proc[[#This Row],[DateOpened]],Proc[[#This Row],[DateClosed]]))-1)</f>
        <v>56</v>
      </c>
      <c r="R4283" s="153" t="s">
        <v>780</v>
      </c>
      <c r="S4283" s="150"/>
    </row>
    <row r="4284" spans="1:19">
      <c r="A4284" s="149" t="s">
        <v>6426</v>
      </c>
      <c r="B4284" s="150" t="str">
        <f>IFERROR(VLOOKUP(Proc[[#This Row],[App]],Table2[],3,0),"open")</f>
        <v>ok</v>
      </c>
      <c r="C4284" s="149" t="s">
        <v>369</v>
      </c>
      <c r="D4284" t="s">
        <v>6421</v>
      </c>
      <c r="E4284" s="149" t="s">
        <v>419</v>
      </c>
      <c r="F4284" s="150" t="s">
        <v>419</v>
      </c>
      <c r="G4284" s="149" t="s">
        <v>400</v>
      </c>
      <c r="H4284" s="150" t="str">
        <f>IF(Proc[[#This Row],[type]]="LFF (MDG-F)",MID(Proc[[#This Row],[Obj]],13,10),"")</f>
        <v/>
      </c>
      <c r="I4284" s="149" t="e">
        <v>#REF!</v>
      </c>
      <c r="J4284" s="150" t="b">
        <f>Proc[[#This Row],[Requested]]=Proc[[#This Row],[CurrentParent]]</f>
        <v>1</v>
      </c>
      <c r="K4284" s="150" t="str">
        <f>IF(Proc[[#This Row],[Author]]="Marcela Urrego",VLOOKUP(LEFT(Proc[[#This Row],[Requested]],1),Table3[#All],2,0),VLOOKUP(Proc[[#This Row],[Author]],Table4[],2,0))</f>
        <v>EL</v>
      </c>
      <c r="L4284" s="150" t="s">
        <v>4894</v>
      </c>
      <c r="M4284" s="152">
        <v>45925</v>
      </c>
      <c r="N4284" s="152"/>
      <c r="O4284" s="152"/>
      <c r="P4284" s="153" t="str">
        <f ca="1">IF(Proc[[#This Row],[DaysAgeing]]&gt;5,"yep","on track")</f>
        <v>yep</v>
      </c>
      <c r="Q4284" s="3">
        <f ca="1">IF(Proc[[#This Row],[DateClosed]]="",ABS(NETWORKDAYS(Proc[[#This Row],[DateOpened]],TODAY()))-1,ABS(NETWORKDAYS(Proc[[#This Row],[DateOpened]],Proc[[#This Row],[DateClosed]]))-1)</f>
        <v>56</v>
      </c>
      <c r="R4284" s="153" t="s">
        <v>780</v>
      </c>
      <c r="S4284" s="150"/>
    </row>
    <row r="4285" spans="1:19">
      <c r="A4285" s="149" t="s">
        <v>6426</v>
      </c>
      <c r="B4285" s="150" t="str">
        <f>IFERROR(VLOOKUP(Proc[[#This Row],[App]],Table2[],3,0),"open")</f>
        <v>ok</v>
      </c>
      <c r="C4285" s="149" t="s">
        <v>369</v>
      </c>
      <c r="D4285" t="s">
        <v>6422</v>
      </c>
      <c r="E4285" s="149" t="s">
        <v>419</v>
      </c>
      <c r="F4285" s="150" t="s">
        <v>419</v>
      </c>
      <c r="G4285" s="149" t="s">
        <v>400</v>
      </c>
      <c r="H4285" s="150" t="str">
        <f>IF(Proc[[#This Row],[type]]="LFF (MDG-F)",MID(Proc[[#This Row],[Obj]],13,10),"")</f>
        <v/>
      </c>
      <c r="I4285" s="149" t="e">
        <v>#REF!</v>
      </c>
      <c r="J4285" s="150" t="b">
        <f>Proc[[#This Row],[Requested]]=Proc[[#This Row],[CurrentParent]]</f>
        <v>1</v>
      </c>
      <c r="K4285" s="150" t="str">
        <f>IF(Proc[[#This Row],[Author]]="Marcela Urrego",VLOOKUP(LEFT(Proc[[#This Row],[Requested]],1),Table3[#All],2,0),VLOOKUP(Proc[[#This Row],[Author]],Table4[],2,0))</f>
        <v>EL</v>
      </c>
      <c r="L4285" s="150" t="s">
        <v>4894</v>
      </c>
      <c r="M4285" s="152">
        <v>45925</v>
      </c>
      <c r="N4285" s="152"/>
      <c r="O4285" s="152"/>
      <c r="P4285" s="153" t="str">
        <f ca="1">IF(Proc[[#This Row],[DaysAgeing]]&gt;5,"yep","on track")</f>
        <v>yep</v>
      </c>
      <c r="Q4285" s="3">
        <f ca="1">IF(Proc[[#This Row],[DateClosed]]="",ABS(NETWORKDAYS(Proc[[#This Row],[DateOpened]],TODAY()))-1,ABS(NETWORKDAYS(Proc[[#This Row],[DateOpened]],Proc[[#This Row],[DateClosed]]))-1)</f>
        <v>56</v>
      </c>
      <c r="R4285" s="153" t="s">
        <v>780</v>
      </c>
      <c r="S4285" s="150"/>
    </row>
    <row r="4286" spans="1:19">
      <c r="A4286" s="149" t="s">
        <v>6426</v>
      </c>
      <c r="B4286" s="150" t="str">
        <f>IFERROR(VLOOKUP(Proc[[#This Row],[App]],Table2[],3,0),"open")</f>
        <v>ok</v>
      </c>
      <c r="C4286" s="149" t="s">
        <v>369</v>
      </c>
      <c r="D4286" t="s">
        <v>6423</v>
      </c>
      <c r="E4286" s="149" t="s">
        <v>419</v>
      </c>
      <c r="F4286" s="150" t="s">
        <v>419</v>
      </c>
      <c r="G4286" s="149" t="s">
        <v>400</v>
      </c>
      <c r="H4286" s="150" t="str">
        <f>IF(Proc[[#This Row],[type]]="LFF (MDG-F)",MID(Proc[[#This Row],[Obj]],13,10),"")</f>
        <v/>
      </c>
      <c r="I4286" s="149" t="e">
        <v>#REF!</v>
      </c>
      <c r="J4286" s="150" t="b">
        <f>Proc[[#This Row],[Requested]]=Proc[[#This Row],[CurrentParent]]</f>
        <v>1</v>
      </c>
      <c r="K4286" s="150" t="str">
        <f>IF(Proc[[#This Row],[Author]]="Marcela Urrego",VLOOKUP(LEFT(Proc[[#This Row],[Requested]],1),Table3[#All],2,0),VLOOKUP(Proc[[#This Row],[Author]],Table4[],2,0))</f>
        <v>EL</v>
      </c>
      <c r="L4286" s="150" t="s">
        <v>4894</v>
      </c>
      <c r="M4286" s="152">
        <v>45925</v>
      </c>
      <c r="N4286" s="152"/>
      <c r="O4286" s="152"/>
      <c r="P4286" s="153" t="str">
        <f ca="1">IF(Proc[[#This Row],[DaysAgeing]]&gt;5,"yep","on track")</f>
        <v>yep</v>
      </c>
      <c r="Q4286" s="3">
        <f ca="1">IF(Proc[[#This Row],[DateClosed]]="",ABS(NETWORKDAYS(Proc[[#This Row],[DateOpened]],TODAY()))-1,ABS(NETWORKDAYS(Proc[[#This Row],[DateOpened]],Proc[[#This Row],[DateClosed]]))-1)</f>
        <v>56</v>
      </c>
      <c r="R4286" s="153" t="s">
        <v>780</v>
      </c>
      <c r="S4286" s="150"/>
    </row>
    <row r="4287" spans="1:19">
      <c r="A4287" s="149" t="s">
        <v>6426</v>
      </c>
      <c r="B4287" s="150" t="str">
        <f>IFERROR(VLOOKUP(Proc[[#This Row],[App]],Table2[],3,0),"open")</f>
        <v>ok</v>
      </c>
      <c r="C4287" s="149" t="s">
        <v>369</v>
      </c>
      <c r="D4287" t="s">
        <v>6424</v>
      </c>
      <c r="E4287" s="149" t="s">
        <v>419</v>
      </c>
      <c r="F4287" s="150" t="s">
        <v>419</v>
      </c>
      <c r="G4287" s="149" t="s">
        <v>400</v>
      </c>
      <c r="H4287" s="150" t="str">
        <f>IF(Proc[[#This Row],[type]]="LFF (MDG-F)",MID(Proc[[#This Row],[Obj]],13,10),"")</f>
        <v/>
      </c>
      <c r="I4287" s="149" t="e">
        <v>#REF!</v>
      </c>
      <c r="J4287" s="150" t="b">
        <f>Proc[[#This Row],[Requested]]=Proc[[#This Row],[CurrentParent]]</f>
        <v>1</v>
      </c>
      <c r="K4287" s="150" t="str">
        <f>IF(Proc[[#This Row],[Author]]="Marcela Urrego",VLOOKUP(LEFT(Proc[[#This Row],[Requested]],1),Table3[#All],2,0),VLOOKUP(Proc[[#This Row],[Author]],Table4[],2,0))</f>
        <v>EL</v>
      </c>
      <c r="L4287" s="150" t="s">
        <v>4894</v>
      </c>
      <c r="M4287" s="152">
        <v>45925</v>
      </c>
      <c r="N4287" s="152"/>
      <c r="O4287" s="152"/>
      <c r="P4287" s="153" t="str">
        <f ca="1">IF(Proc[[#This Row],[DaysAgeing]]&gt;5,"yep","on track")</f>
        <v>yep</v>
      </c>
      <c r="Q4287" s="3">
        <f ca="1">IF(Proc[[#This Row],[DateClosed]]="",ABS(NETWORKDAYS(Proc[[#This Row],[DateOpened]],TODAY()))-1,ABS(NETWORKDAYS(Proc[[#This Row],[DateOpened]],Proc[[#This Row],[DateClosed]]))-1)</f>
        <v>56</v>
      </c>
      <c r="R4287" s="153" t="s">
        <v>780</v>
      </c>
      <c r="S4287" s="150"/>
    </row>
    <row r="4288" spans="1:19">
      <c r="A4288" s="149" t="s">
        <v>6426</v>
      </c>
      <c r="B4288" s="150" t="str">
        <f>IFERROR(VLOOKUP(Proc[[#This Row],[App]],Table2[],3,0),"open")</f>
        <v>ok</v>
      </c>
      <c r="C4288" s="149" t="s">
        <v>369</v>
      </c>
      <c r="D4288" t="s">
        <v>6425</v>
      </c>
      <c r="E4288" t="s">
        <v>419</v>
      </c>
      <c r="F4288" s="150" t="s">
        <v>419</v>
      </c>
      <c r="G4288" s="149" t="s">
        <v>400</v>
      </c>
      <c r="H4288" s="150" t="str">
        <f>IF(Proc[[#This Row],[type]]="LFF (MDG-F)",MID(Proc[[#This Row],[Obj]],13,10),"")</f>
        <v/>
      </c>
      <c r="I4288" s="149" t="e">
        <v>#REF!</v>
      </c>
      <c r="J4288" s="150" t="b">
        <f>Proc[[#This Row],[Requested]]=Proc[[#This Row],[CurrentParent]]</f>
        <v>1</v>
      </c>
      <c r="K4288" s="150" t="str">
        <f>IF(Proc[[#This Row],[Author]]="Marcela Urrego",VLOOKUP(LEFT(Proc[[#This Row],[Requested]],1),Table3[#All],2,0),VLOOKUP(Proc[[#This Row],[Author]],Table4[],2,0))</f>
        <v>EL</v>
      </c>
      <c r="L4288" s="150" t="s">
        <v>4894</v>
      </c>
      <c r="M4288" s="152">
        <v>45925</v>
      </c>
      <c r="N4288" s="152"/>
      <c r="O4288" s="152"/>
      <c r="P4288" s="153" t="str">
        <f ca="1">IF(Proc[[#This Row],[DaysAgeing]]&gt;5,"yep","on track")</f>
        <v>yep</v>
      </c>
      <c r="Q4288" s="3">
        <f ca="1">IF(Proc[[#This Row],[DateClosed]]="",ABS(NETWORKDAYS(Proc[[#This Row],[DateOpened]],TODAY()))-1,ABS(NETWORKDAYS(Proc[[#This Row],[DateOpened]],Proc[[#This Row],[DateClosed]]))-1)</f>
        <v>56</v>
      </c>
      <c r="R4288" s="153" t="s">
        <v>780</v>
      </c>
      <c r="S4288" s="150"/>
    </row>
    <row r="4289" spans="1:19" s="149" customFormat="1">
      <c r="A4289" s="149" t="s">
        <v>6427</v>
      </c>
      <c r="B4289" s="150" t="str">
        <f>IFERROR(VLOOKUP(Proc[[#This Row],[App]],Table2[],3,0),"open")</f>
        <v>ok</v>
      </c>
      <c r="C4289" s="149" t="s">
        <v>369</v>
      </c>
      <c r="D4289" s="149" t="s">
        <v>6428</v>
      </c>
      <c r="E4289" s="149" t="s">
        <v>6429</v>
      </c>
      <c r="F4289" s="150" t="s">
        <v>6429</v>
      </c>
      <c r="G4289" s="149" t="s">
        <v>400</v>
      </c>
      <c r="H4289" s="150" t="str">
        <f>IF(Proc[[#This Row],[type]]="LFF (MDG-F)",MID(Proc[[#This Row],[Obj]],13,10),"")</f>
        <v/>
      </c>
      <c r="J4289" s="150" t="b">
        <f>Proc[[#This Row],[Requested]]=Proc[[#This Row],[CurrentParent]]</f>
        <v>1</v>
      </c>
      <c r="K4289" s="150" t="str">
        <f>IF(Proc[[#This Row],[Author]]="Marcela Urrego",VLOOKUP(LEFT(Proc[[#This Row],[Requested]],1),Table3[#All],2,0),VLOOKUP(Proc[[#This Row],[Author]],Table4[],2,0))</f>
        <v>MGF</v>
      </c>
      <c r="L4289" s="150" t="s">
        <v>4894</v>
      </c>
      <c r="M4289" s="153">
        <v>45930</v>
      </c>
      <c r="N4289" s="153"/>
      <c r="O4289" s="153"/>
      <c r="P4289" s="154" t="str">
        <f ca="1">IF(Proc[[#This Row],[DaysAgeing]]&gt;5,"yep","on track")</f>
        <v>yep</v>
      </c>
      <c r="Q4289" s="3">
        <f ca="1">IF(Proc[[#This Row],[DateClosed]]="",ABS(NETWORKDAYS(Proc[[#This Row],[DateOpened]],TODAY()))-1,ABS(NETWORKDAYS(Proc[[#This Row],[DateOpened]],Proc[[#This Row],[DateClosed]]))-1)</f>
        <v>53</v>
      </c>
      <c r="R4289" s="154" t="s">
        <v>515</v>
      </c>
      <c r="S4289" s="150"/>
    </row>
    <row r="4290" spans="1:19" s="149" customFormat="1">
      <c r="A4290" s="149" t="s">
        <v>6430</v>
      </c>
      <c r="B4290" s="150" t="str">
        <f>IFERROR(VLOOKUP(Proc[[#This Row],[App]],Table2[],3,0),"open")</f>
        <v>ok</v>
      </c>
      <c r="C4290" s="149" t="s">
        <v>369</v>
      </c>
      <c r="D4290" s="149" t="s">
        <v>6251</v>
      </c>
      <c r="E4290" s="149" t="s">
        <v>6248</v>
      </c>
      <c r="F4290" s="150" t="s">
        <v>6248</v>
      </c>
      <c r="G4290" s="149" t="s">
        <v>406</v>
      </c>
      <c r="H4290" s="150" t="str">
        <f>IF(Proc[[#This Row],[type]]="LFF (MDG-F)",MID(Proc[[#This Row],[Obj]],13,10),"")</f>
        <v>US10O05003</v>
      </c>
      <c r="J4290" s="150" t="b">
        <f>Proc[[#This Row],[Requested]]=Proc[[#This Row],[CurrentParent]]</f>
        <v>1</v>
      </c>
      <c r="K4290" s="150" t="str">
        <f>IF(Proc[[#This Row],[Author]]="Marcela Urrego",VLOOKUP(LEFT(Proc[[#This Row],[Requested]],1),Table3[#All],2,0),VLOOKUP(Proc[[#This Row],[Author]],Table4[],2,0))</f>
        <v>EL</v>
      </c>
      <c r="L4290" s="150" t="s">
        <v>6435</v>
      </c>
      <c r="M4290" s="153">
        <v>45931</v>
      </c>
      <c r="N4290" s="153"/>
      <c r="O4290" s="153"/>
      <c r="P4290" s="154" t="str">
        <f ca="1">IF(Proc[[#This Row],[DaysAgeing]]&gt;5,"yep","on track")</f>
        <v>yep</v>
      </c>
      <c r="Q4290" s="3">
        <f ca="1">IF(Proc[[#This Row],[DateClosed]]="",ABS(NETWORKDAYS(Proc[[#This Row],[DateOpened]],TODAY()))-1,ABS(NETWORKDAYS(Proc[[#This Row],[DateOpened]],Proc[[#This Row],[DateClosed]]))-1)</f>
        <v>52</v>
      </c>
      <c r="R4290" s="154" t="s">
        <v>780</v>
      </c>
      <c r="S4290" s="150"/>
    </row>
    <row r="4291" spans="1:19" s="149" customFormat="1">
      <c r="A4291" s="149" t="s">
        <v>6430</v>
      </c>
      <c r="B4291" s="150" t="str">
        <f>IFERROR(VLOOKUP(Proc[[#This Row],[App]],Table2[],3,0),"open")</f>
        <v>ok</v>
      </c>
      <c r="C4291" s="149" t="s">
        <v>369</v>
      </c>
      <c r="D4291" s="149" t="s">
        <v>6431</v>
      </c>
      <c r="E4291" s="149" t="s">
        <v>6249</v>
      </c>
      <c r="F4291" s="150" t="s">
        <v>6249</v>
      </c>
      <c r="G4291" s="149" t="s">
        <v>406</v>
      </c>
      <c r="H4291" s="150" t="str">
        <f>IF(Proc[[#This Row],[type]]="LFF (MDG-F)",MID(Proc[[#This Row],[Obj]],13,10),"")</f>
        <v>KR07O05003</v>
      </c>
      <c r="J4291" s="150" t="b">
        <f>Proc[[#This Row],[Requested]]=Proc[[#This Row],[CurrentParent]]</f>
        <v>1</v>
      </c>
      <c r="K4291" s="150" t="str">
        <f>IF(Proc[[#This Row],[Author]]="Marcela Urrego",VLOOKUP(LEFT(Proc[[#This Row],[Requested]],1),Table3[#All],2,0),VLOOKUP(Proc[[#This Row],[Author]],Table4[],2,0))</f>
        <v>EL</v>
      </c>
      <c r="L4291" s="150" t="s">
        <v>6435</v>
      </c>
      <c r="M4291" s="153">
        <v>45931</v>
      </c>
      <c r="N4291" s="153"/>
      <c r="O4291" s="153"/>
      <c r="P4291" s="154" t="str">
        <f ca="1">IF(Proc[[#This Row],[DaysAgeing]]&gt;5,"yep","on track")</f>
        <v>yep</v>
      </c>
      <c r="Q4291" s="3">
        <f ca="1">IF(Proc[[#This Row],[DateClosed]]="",ABS(NETWORKDAYS(Proc[[#This Row],[DateOpened]],TODAY()))-1,ABS(NETWORKDAYS(Proc[[#This Row],[DateOpened]],Proc[[#This Row],[DateClosed]]))-1)</f>
        <v>52</v>
      </c>
      <c r="R4291" s="154" t="s">
        <v>780</v>
      </c>
      <c r="S4291" s="150"/>
    </row>
    <row r="4292" spans="1:19" s="149" customFormat="1">
      <c r="A4292" s="149" t="s">
        <v>6430</v>
      </c>
      <c r="B4292" s="150" t="str">
        <f>IFERROR(VLOOKUP(Proc[[#This Row],[App]],Table2[],3,0),"open")</f>
        <v>ok</v>
      </c>
      <c r="C4292" s="149" t="s">
        <v>369</v>
      </c>
      <c r="D4292" s="149" t="s">
        <v>6432</v>
      </c>
      <c r="E4292" s="149" t="s">
        <v>6249</v>
      </c>
      <c r="F4292" s="150" t="s">
        <v>6249</v>
      </c>
      <c r="G4292" s="149" t="s">
        <v>406</v>
      </c>
      <c r="H4292" s="150" t="str">
        <f>IF(Proc[[#This Row],[type]]="LFF (MDG-F)",MID(Proc[[#This Row],[Obj]],13,10),"")</f>
        <v>CN10O05003</v>
      </c>
      <c r="J4292" s="150" t="b">
        <f>Proc[[#This Row],[Requested]]=Proc[[#This Row],[CurrentParent]]</f>
        <v>1</v>
      </c>
      <c r="K4292" s="150" t="str">
        <f>IF(Proc[[#This Row],[Author]]="Marcela Urrego",VLOOKUP(LEFT(Proc[[#This Row],[Requested]],1),Table3[#All],2,0),VLOOKUP(Proc[[#This Row],[Author]],Table4[],2,0))</f>
        <v>EL</v>
      </c>
      <c r="L4292" s="150" t="s">
        <v>6435</v>
      </c>
      <c r="M4292" s="153">
        <v>45931</v>
      </c>
      <c r="N4292" s="153"/>
      <c r="O4292" s="153"/>
      <c r="P4292" s="154" t="str">
        <f ca="1">IF(Proc[[#This Row],[DaysAgeing]]&gt;5,"yep","on track")</f>
        <v>yep</v>
      </c>
      <c r="Q4292" s="3">
        <f ca="1">IF(Proc[[#This Row],[DateClosed]]="",ABS(NETWORKDAYS(Proc[[#This Row],[DateOpened]],TODAY()))-1,ABS(NETWORKDAYS(Proc[[#This Row],[DateOpened]],Proc[[#This Row],[DateClosed]]))-1)</f>
        <v>52</v>
      </c>
      <c r="R4292" s="154" t="s">
        <v>780</v>
      </c>
      <c r="S4292" s="150"/>
    </row>
    <row r="4293" spans="1:19" s="149" customFormat="1">
      <c r="A4293" s="149" t="s">
        <v>6430</v>
      </c>
      <c r="B4293" s="150" t="str">
        <f>IFERROR(VLOOKUP(Proc[[#This Row],[App]],Table2[],3,0),"open")</f>
        <v>ok</v>
      </c>
      <c r="C4293" s="149" t="s">
        <v>369</v>
      </c>
      <c r="D4293" s="149" t="s">
        <v>6433</v>
      </c>
      <c r="E4293" s="149" t="s">
        <v>6477</v>
      </c>
      <c r="F4293" s="150" t="s">
        <v>6477</v>
      </c>
      <c r="G4293" s="149" t="s">
        <v>400</v>
      </c>
      <c r="H4293" s="150" t="str">
        <f>IF(Proc[[#This Row],[type]]="LFF (MDG-F)",MID(Proc[[#This Row],[Obj]],13,10),"")</f>
        <v/>
      </c>
      <c r="J4293" s="150" t="b">
        <f>Proc[[#This Row],[Requested]]=Proc[[#This Row],[CurrentParent]]</f>
        <v>1</v>
      </c>
      <c r="K4293" s="150" t="str">
        <f>IF(Proc[[#This Row],[Author]]="Marcela Urrego",VLOOKUP(LEFT(Proc[[#This Row],[Requested]],1),Table3[#All],2,0),VLOOKUP(Proc[[#This Row],[Author]],Table4[],2,0))</f>
        <v>EL</v>
      </c>
      <c r="L4293" s="150" t="s">
        <v>6435</v>
      </c>
      <c r="M4293" s="153">
        <v>45931</v>
      </c>
      <c r="N4293" s="153"/>
      <c r="O4293" s="153"/>
      <c r="P4293" s="154" t="str">
        <f ca="1">IF(Proc[[#This Row],[DaysAgeing]]&gt;5,"yep","on track")</f>
        <v>yep</v>
      </c>
      <c r="Q4293" s="3">
        <f ca="1">IF(Proc[[#This Row],[DateClosed]]="",ABS(NETWORKDAYS(Proc[[#This Row],[DateOpened]],TODAY()))-1,ABS(NETWORKDAYS(Proc[[#This Row],[DateOpened]],Proc[[#This Row],[DateClosed]]))-1)</f>
        <v>52</v>
      </c>
      <c r="R4293" s="154" t="s">
        <v>780</v>
      </c>
      <c r="S4293" s="150"/>
    </row>
    <row r="4294" spans="1:19">
      <c r="A4294" t="s">
        <v>6434</v>
      </c>
      <c r="B4294" s="150" t="str">
        <f>IFERROR(VLOOKUP(Proc[[#This Row],[App]],Table2[],3,0),"open")</f>
        <v>ok</v>
      </c>
      <c r="C4294" s="149" t="s">
        <v>369</v>
      </c>
      <c r="D4294" t="s">
        <v>6360</v>
      </c>
      <c r="E4294" t="s">
        <v>6403</v>
      </c>
      <c r="F4294" s="150" t="s">
        <v>6403</v>
      </c>
      <c r="G4294" t="s">
        <v>406</v>
      </c>
      <c r="H4294" s="150" t="str">
        <f>IF(Proc[[#This Row],[type]]="LFF (MDG-F)",MID(Proc[[#This Row],[Obj]],13,10),"")</f>
        <v>BE50C00921</v>
      </c>
      <c r="J4294" s="150" t="b">
        <f>Proc[[#This Row],[Requested]]=Proc[[#This Row],[CurrentParent]]</f>
        <v>1</v>
      </c>
      <c r="K4294" s="150" t="str">
        <f>IF(Proc[[#This Row],[Author]]="Marcela Urrego",VLOOKUP(LEFT(Proc[[#This Row],[Requested]],1),Table3[#All],2,0),VLOOKUP(Proc[[#This Row],[Author]],Table4[],2,0))</f>
        <v>HC</v>
      </c>
      <c r="L4294" s="150" t="s">
        <v>6435</v>
      </c>
      <c r="M4294" s="153">
        <v>45931</v>
      </c>
      <c r="N4294" s="153"/>
      <c r="O4294" s="153"/>
      <c r="P4294" s="154" t="str">
        <f ca="1">IF(Proc[[#This Row],[DaysAgeing]]&gt;5,"yep","on track")</f>
        <v>yep</v>
      </c>
      <c r="Q4294" s="3">
        <f ca="1">IF(Proc[[#This Row],[DateClosed]]="",ABS(NETWORKDAYS(Proc[[#This Row],[DateOpened]],TODAY()))-1,ABS(NETWORKDAYS(Proc[[#This Row],[DateOpened]],Proc[[#This Row],[DateClosed]]))-1)</f>
        <v>52</v>
      </c>
      <c r="R4294" s="154" t="s">
        <v>410</v>
      </c>
      <c r="S4294" s="150"/>
    </row>
    <row r="4295" spans="1:19">
      <c r="A4295" t="s">
        <v>6434</v>
      </c>
      <c r="B4295" s="150" t="str">
        <f>IFERROR(VLOOKUP(Proc[[#This Row],[App]],Table2[],3,0),"open")</f>
        <v>ok</v>
      </c>
      <c r="C4295" s="149" t="s">
        <v>369</v>
      </c>
      <c r="D4295" t="s">
        <v>6372</v>
      </c>
      <c r="E4295" t="s">
        <v>6403</v>
      </c>
      <c r="F4295" s="150" t="s">
        <v>6403</v>
      </c>
      <c r="G4295" t="s">
        <v>406</v>
      </c>
      <c r="H4295" s="150" t="str">
        <f>IF(Proc[[#This Row],[type]]="LFF (MDG-F)",MID(Proc[[#This Row],[Obj]],13,10),"")</f>
        <v>DE50C00011</v>
      </c>
      <c r="J4295" s="150" t="b">
        <f>Proc[[#This Row],[Requested]]=Proc[[#This Row],[CurrentParent]]</f>
        <v>1</v>
      </c>
      <c r="K4295" s="150" t="str">
        <f>IF(Proc[[#This Row],[Author]]="Marcela Urrego",VLOOKUP(LEFT(Proc[[#This Row],[Requested]],1),Table3[#All],2,0),VLOOKUP(Proc[[#This Row],[Author]],Table4[],2,0))</f>
        <v>HC</v>
      </c>
      <c r="L4295" s="150" t="s">
        <v>6435</v>
      </c>
      <c r="M4295" s="153">
        <v>45931</v>
      </c>
      <c r="N4295" s="153"/>
      <c r="O4295" s="153"/>
      <c r="P4295" s="154" t="str">
        <f ca="1">IF(Proc[[#This Row],[DaysAgeing]]&gt;5,"yep","on track")</f>
        <v>yep</v>
      </c>
      <c r="Q4295" s="3">
        <f ca="1">IF(Proc[[#This Row],[DateClosed]]="",ABS(NETWORKDAYS(Proc[[#This Row],[DateOpened]],TODAY()))-1,ABS(NETWORKDAYS(Proc[[#This Row],[DateOpened]],Proc[[#This Row],[DateClosed]]))-1)</f>
        <v>52</v>
      </c>
      <c r="R4295" s="154" t="s">
        <v>410</v>
      </c>
      <c r="S4295" s="150"/>
    </row>
    <row r="4296" spans="1:19">
      <c r="A4296" t="s">
        <v>6436</v>
      </c>
      <c r="B4296" s="150" t="str">
        <f>IFERROR(VLOOKUP(Proc[[#This Row],[App]],Table2[],3,0),"open")</f>
        <v>ok</v>
      </c>
      <c r="C4296" s="149" t="s">
        <v>369</v>
      </c>
      <c r="D4296" t="s">
        <v>6244</v>
      </c>
      <c r="E4296" t="s">
        <v>1458</v>
      </c>
      <c r="F4296" s="150" t="s">
        <v>1458</v>
      </c>
      <c r="G4296" s="149" t="s">
        <v>400</v>
      </c>
      <c r="H4296" s="150" t="str">
        <f>IF(Proc[[#This Row],[type]]="LFF (MDG-F)",MID(Proc[[#This Row],[Obj]],13,10),"")</f>
        <v/>
      </c>
      <c r="J4296" s="150" t="b">
        <f>Proc[[#This Row],[Requested]]=Proc[[#This Row],[CurrentParent]]</f>
        <v>1</v>
      </c>
      <c r="K4296" s="150" t="str">
        <f>IF(Proc[[#This Row],[Author]]="Marcela Urrego",VLOOKUP(LEFT(Proc[[#This Row],[Requested]],1),Table3[#All],2,0),VLOOKUP(Proc[[#This Row],[Author]],Table4[],2,0))</f>
        <v>MGF</v>
      </c>
      <c r="L4296" s="150" t="s">
        <v>6435</v>
      </c>
      <c r="M4296" s="154">
        <v>45933</v>
      </c>
      <c r="N4296" s="155"/>
      <c r="O4296" s="155"/>
      <c r="P4296" s="154" t="str">
        <f ca="1">IF(Proc[[#This Row],[DaysAgeing]]&gt;5,"yep","on track")</f>
        <v>yep</v>
      </c>
      <c r="Q4296" s="3">
        <f ca="1">IF(Proc[[#This Row],[DateClosed]]="",ABS(NETWORKDAYS(Proc[[#This Row],[DateOpened]],TODAY()))-1,ABS(NETWORKDAYS(Proc[[#This Row],[DateOpened]],Proc[[#This Row],[DateClosed]]))-1)</f>
        <v>50</v>
      </c>
      <c r="R4296" s="154" t="s">
        <v>1459</v>
      </c>
      <c r="S4296" s="150"/>
    </row>
    <row r="4297" spans="1:19">
      <c r="A4297" s="149" t="s">
        <v>6436</v>
      </c>
      <c r="B4297" s="150" t="str">
        <f>IFERROR(VLOOKUP(Proc[[#This Row],[App]],Table2[],3,0),"open")</f>
        <v>ok</v>
      </c>
      <c r="C4297" s="149" t="s">
        <v>369</v>
      </c>
      <c r="D4297" t="s">
        <v>2330</v>
      </c>
      <c r="E4297" t="s">
        <v>424</v>
      </c>
      <c r="F4297" s="150" t="s">
        <v>424</v>
      </c>
      <c r="G4297" s="149" t="s">
        <v>400</v>
      </c>
      <c r="H4297" s="150" t="str">
        <f>IF(Proc[[#This Row],[type]]="LFF (MDG-F)",MID(Proc[[#This Row],[Obj]],13,10),"")</f>
        <v/>
      </c>
      <c r="J4297" s="150" t="b">
        <f>Proc[[#This Row],[Requested]]=Proc[[#This Row],[CurrentParent]]</f>
        <v>1</v>
      </c>
      <c r="K4297" s="150" t="str">
        <f>IF(Proc[[#This Row],[Author]]="Marcela Urrego",VLOOKUP(LEFT(Proc[[#This Row],[Requested]],1),Table3[#All],2,0),VLOOKUP(Proc[[#This Row],[Author]],Table4[],2,0))</f>
        <v>MGF</v>
      </c>
      <c r="L4297" s="150" t="s">
        <v>6435</v>
      </c>
      <c r="M4297" s="154">
        <v>45933</v>
      </c>
      <c r="N4297" s="155"/>
      <c r="O4297" s="155"/>
      <c r="P4297" s="154" t="str">
        <f ca="1">IF(Proc[[#This Row],[DaysAgeing]]&gt;5,"yep","on track")</f>
        <v>yep</v>
      </c>
      <c r="Q4297" s="3">
        <f ca="1">IF(Proc[[#This Row],[DateClosed]]="",ABS(NETWORKDAYS(Proc[[#This Row],[DateOpened]],TODAY()))-1,ABS(NETWORKDAYS(Proc[[#This Row],[DateOpened]],Proc[[#This Row],[DateClosed]]))-1)</f>
        <v>50</v>
      </c>
      <c r="R4297" s="154" t="s">
        <v>1459</v>
      </c>
      <c r="S4297" s="150"/>
    </row>
    <row r="4298" spans="1:19">
      <c r="A4298" s="149" t="s">
        <v>6436</v>
      </c>
      <c r="B4298" s="150" t="str">
        <f>IFERROR(VLOOKUP(Proc[[#This Row],[App]],Table2[],3,0),"open")</f>
        <v>ok</v>
      </c>
      <c r="C4298" s="149" t="s">
        <v>369</v>
      </c>
      <c r="D4298" t="s">
        <v>4407</v>
      </c>
      <c r="E4298" t="s">
        <v>4411</v>
      </c>
      <c r="F4298" s="150" t="s">
        <v>4411</v>
      </c>
      <c r="G4298" s="149" t="s">
        <v>400</v>
      </c>
      <c r="H4298" s="150" t="str">
        <f>IF(Proc[[#This Row],[type]]="LFF (MDG-F)",MID(Proc[[#This Row],[Obj]],13,10),"")</f>
        <v/>
      </c>
      <c r="J4298" s="150" t="b">
        <f>Proc[[#This Row],[Requested]]=Proc[[#This Row],[CurrentParent]]</f>
        <v>1</v>
      </c>
      <c r="K4298" s="150" t="str">
        <f>IF(Proc[[#This Row],[Author]]="Marcela Urrego",VLOOKUP(LEFT(Proc[[#This Row],[Requested]],1),Table3[#All],2,0),VLOOKUP(Proc[[#This Row],[Author]],Table4[],2,0))</f>
        <v>MGF</v>
      </c>
      <c r="L4298" s="150" t="s">
        <v>6435</v>
      </c>
      <c r="M4298" s="154">
        <v>45933</v>
      </c>
      <c r="N4298" s="155"/>
      <c r="O4298" s="155"/>
      <c r="P4298" s="154" t="str">
        <f ca="1">IF(Proc[[#This Row],[DaysAgeing]]&gt;5,"yep","on track")</f>
        <v>yep</v>
      </c>
      <c r="Q4298" s="3">
        <f ca="1">IF(Proc[[#This Row],[DateClosed]]="",ABS(NETWORKDAYS(Proc[[#This Row],[DateOpened]],TODAY()))-1,ABS(NETWORKDAYS(Proc[[#This Row],[DateOpened]],Proc[[#This Row],[DateClosed]]))-1)</f>
        <v>50</v>
      </c>
      <c r="R4298" s="154" t="s">
        <v>1459</v>
      </c>
      <c r="S4298" s="150"/>
    </row>
    <row r="4299" spans="1:19">
      <c r="A4299" s="149" t="s">
        <v>6436</v>
      </c>
      <c r="B4299" s="150" t="str">
        <f>IFERROR(VLOOKUP(Proc[[#This Row],[App]],Table2[],3,0),"open")</f>
        <v>ok</v>
      </c>
      <c r="C4299" s="149" t="s">
        <v>369</v>
      </c>
      <c r="D4299" t="s">
        <v>6437</v>
      </c>
      <c r="E4299" t="s">
        <v>424</v>
      </c>
      <c r="F4299" s="150" t="s">
        <v>424</v>
      </c>
      <c r="G4299" s="149" t="s">
        <v>400</v>
      </c>
      <c r="H4299" s="150" t="str">
        <f>IF(Proc[[#This Row],[type]]="LFF (MDG-F)",MID(Proc[[#This Row],[Obj]],13,10),"")</f>
        <v/>
      </c>
      <c r="J4299" s="150" t="b">
        <f>Proc[[#This Row],[Requested]]=Proc[[#This Row],[CurrentParent]]</f>
        <v>1</v>
      </c>
      <c r="K4299" s="150" t="str">
        <f>IF(Proc[[#This Row],[Author]]="Marcela Urrego",VLOOKUP(LEFT(Proc[[#This Row],[Requested]],1),Table3[#All],2,0),VLOOKUP(Proc[[#This Row],[Author]],Table4[],2,0))</f>
        <v>MGF</v>
      </c>
      <c r="L4299" s="150" t="s">
        <v>6435</v>
      </c>
      <c r="M4299" s="154">
        <v>45933</v>
      </c>
      <c r="N4299" s="155"/>
      <c r="O4299" s="155"/>
      <c r="P4299" s="154" t="str">
        <f ca="1">IF(Proc[[#This Row],[DaysAgeing]]&gt;5,"yep","on track")</f>
        <v>yep</v>
      </c>
      <c r="Q4299" s="3">
        <f ca="1">IF(Proc[[#This Row],[DateClosed]]="",ABS(NETWORKDAYS(Proc[[#This Row],[DateOpened]],TODAY()))-1,ABS(NETWORKDAYS(Proc[[#This Row],[DateOpened]],Proc[[#This Row],[DateClosed]]))-1)</f>
        <v>50</v>
      </c>
      <c r="R4299" s="154" t="s">
        <v>1459</v>
      </c>
      <c r="S4299" s="150"/>
    </row>
    <row r="4300" spans="1:19">
      <c r="A4300" s="149" t="s">
        <v>6436</v>
      </c>
      <c r="B4300" s="150" t="str">
        <f>IFERROR(VLOOKUP(Proc[[#This Row],[App]],Table2[],3,0),"open")</f>
        <v>ok</v>
      </c>
      <c r="C4300" s="149" t="s">
        <v>369</v>
      </c>
      <c r="D4300" t="s">
        <v>5441</v>
      </c>
      <c r="E4300" t="s">
        <v>6445</v>
      </c>
      <c r="F4300" s="150" t="s">
        <v>6445</v>
      </c>
      <c r="G4300" s="149" t="s">
        <v>400</v>
      </c>
      <c r="H4300" s="150" t="str">
        <f>IF(Proc[[#This Row],[type]]="LFF (MDG-F)",MID(Proc[[#This Row],[Obj]],13,10),"")</f>
        <v/>
      </c>
      <c r="J4300" s="150" t="b">
        <f>Proc[[#This Row],[Requested]]=Proc[[#This Row],[CurrentParent]]</f>
        <v>1</v>
      </c>
      <c r="K4300" s="150" t="str">
        <f>IF(Proc[[#This Row],[Author]]="Marcela Urrego",VLOOKUP(LEFT(Proc[[#This Row],[Requested]],1),Table3[#All],2,0),VLOOKUP(Proc[[#This Row],[Author]],Table4[],2,0))</f>
        <v>MGF</v>
      </c>
      <c r="L4300" s="150" t="s">
        <v>6435</v>
      </c>
      <c r="M4300" s="154">
        <v>45933</v>
      </c>
      <c r="N4300" s="155"/>
      <c r="O4300" s="155"/>
      <c r="P4300" s="154" t="str">
        <f ca="1">IF(Proc[[#This Row],[DaysAgeing]]&gt;5,"yep","on track")</f>
        <v>yep</v>
      </c>
      <c r="Q4300" s="3">
        <f ca="1">IF(Proc[[#This Row],[DateClosed]]="",ABS(NETWORKDAYS(Proc[[#This Row],[DateOpened]],TODAY()))-1,ABS(NETWORKDAYS(Proc[[#This Row],[DateOpened]],Proc[[#This Row],[DateClosed]]))-1)</f>
        <v>50</v>
      </c>
      <c r="R4300" s="154" t="s">
        <v>1459</v>
      </c>
      <c r="S4300" s="150"/>
    </row>
    <row r="4301" spans="1:19">
      <c r="A4301" s="149" t="s">
        <v>6436</v>
      </c>
      <c r="B4301" s="150" t="str">
        <f>IFERROR(VLOOKUP(Proc[[#This Row],[App]],Table2[],3,0),"open")</f>
        <v>ok</v>
      </c>
      <c r="C4301" s="149" t="s">
        <v>369</v>
      </c>
      <c r="D4301" t="s">
        <v>5439</v>
      </c>
      <c r="E4301" t="s">
        <v>6445</v>
      </c>
      <c r="F4301" s="150" t="s">
        <v>6445</v>
      </c>
      <c r="G4301" s="149" t="s">
        <v>400</v>
      </c>
      <c r="H4301" s="150" t="str">
        <f>IF(Proc[[#This Row],[type]]="LFF (MDG-F)",MID(Proc[[#This Row],[Obj]],13,10),"")</f>
        <v/>
      </c>
      <c r="J4301" s="150" t="b">
        <f>Proc[[#This Row],[Requested]]=Proc[[#This Row],[CurrentParent]]</f>
        <v>1</v>
      </c>
      <c r="K4301" s="150" t="str">
        <f>IF(Proc[[#This Row],[Author]]="Marcela Urrego",VLOOKUP(LEFT(Proc[[#This Row],[Requested]],1),Table3[#All],2,0),VLOOKUP(Proc[[#This Row],[Author]],Table4[],2,0))</f>
        <v>MGF</v>
      </c>
      <c r="L4301" s="150" t="s">
        <v>6435</v>
      </c>
      <c r="M4301" s="154">
        <v>45933</v>
      </c>
      <c r="N4301" s="155"/>
      <c r="O4301" s="155"/>
      <c r="P4301" s="154" t="str">
        <f ca="1">IF(Proc[[#This Row],[DaysAgeing]]&gt;5,"yep","on track")</f>
        <v>yep</v>
      </c>
      <c r="Q4301" s="3">
        <f ca="1">IF(Proc[[#This Row],[DateClosed]]="",ABS(NETWORKDAYS(Proc[[#This Row],[DateOpened]],TODAY()))-1,ABS(NETWORKDAYS(Proc[[#This Row],[DateOpened]],Proc[[#This Row],[DateClosed]]))-1)</f>
        <v>50</v>
      </c>
      <c r="R4301" s="154" t="s">
        <v>1459</v>
      </c>
      <c r="S4301" s="150"/>
    </row>
    <row r="4302" spans="1:19">
      <c r="A4302" s="149" t="s">
        <v>6436</v>
      </c>
      <c r="B4302" s="150" t="str">
        <f>IFERROR(VLOOKUP(Proc[[#This Row],[App]],Table2[],3,0),"open")</f>
        <v>ok</v>
      </c>
      <c r="C4302" s="149" t="s">
        <v>369</v>
      </c>
      <c r="D4302" t="s">
        <v>5304</v>
      </c>
      <c r="E4302" t="s">
        <v>6446</v>
      </c>
      <c r="F4302" s="150" t="s">
        <v>6446</v>
      </c>
      <c r="G4302" s="149" t="s">
        <v>400</v>
      </c>
      <c r="H4302" s="150" t="str">
        <f>IF(Proc[[#This Row],[type]]="LFF (MDG-F)",MID(Proc[[#This Row],[Obj]],13,10),"")</f>
        <v/>
      </c>
      <c r="J4302" s="150" t="b">
        <f>Proc[[#This Row],[Requested]]=Proc[[#This Row],[CurrentParent]]</f>
        <v>1</v>
      </c>
      <c r="K4302" s="150" t="str">
        <f>IF(Proc[[#This Row],[Author]]="Marcela Urrego",VLOOKUP(LEFT(Proc[[#This Row],[Requested]],1),Table3[#All],2,0),VLOOKUP(Proc[[#This Row],[Author]],Table4[],2,0))</f>
        <v>MGF</v>
      </c>
      <c r="L4302" s="150" t="s">
        <v>6435</v>
      </c>
      <c r="M4302" s="154">
        <v>45933</v>
      </c>
      <c r="N4302" s="155"/>
      <c r="O4302" s="155"/>
      <c r="P4302" s="154" t="str">
        <f ca="1">IF(Proc[[#This Row],[DaysAgeing]]&gt;5,"yep","on track")</f>
        <v>yep</v>
      </c>
      <c r="Q4302" s="3">
        <f ca="1">IF(Proc[[#This Row],[DateClosed]]="",ABS(NETWORKDAYS(Proc[[#This Row],[DateOpened]],TODAY()))-1,ABS(NETWORKDAYS(Proc[[#This Row],[DateOpened]],Proc[[#This Row],[DateClosed]]))-1)</f>
        <v>50</v>
      </c>
      <c r="R4302" s="154" t="s">
        <v>1459</v>
      </c>
      <c r="S4302" s="150"/>
    </row>
    <row r="4303" spans="1:19">
      <c r="A4303" s="149" t="s">
        <v>6436</v>
      </c>
      <c r="B4303" s="150" t="str">
        <f>IFERROR(VLOOKUP(Proc[[#This Row],[App]],Table2[],3,0),"open")</f>
        <v>ok</v>
      </c>
      <c r="C4303" s="149" t="s">
        <v>369</v>
      </c>
      <c r="D4303" t="s">
        <v>5440</v>
      </c>
      <c r="E4303" t="s">
        <v>6447</v>
      </c>
      <c r="F4303" s="150" t="s">
        <v>6447</v>
      </c>
      <c r="G4303" s="149" t="s">
        <v>400</v>
      </c>
      <c r="H4303" s="150" t="str">
        <f>IF(Proc[[#This Row],[type]]="LFF (MDG-F)",MID(Proc[[#This Row],[Obj]],13,10),"")</f>
        <v/>
      </c>
      <c r="J4303" s="150" t="b">
        <f>Proc[[#This Row],[Requested]]=Proc[[#This Row],[CurrentParent]]</f>
        <v>1</v>
      </c>
      <c r="K4303" s="150" t="str">
        <f>IF(Proc[[#This Row],[Author]]="Marcela Urrego",VLOOKUP(LEFT(Proc[[#This Row],[Requested]],1),Table3[#All],2,0),VLOOKUP(Proc[[#This Row],[Author]],Table4[],2,0))</f>
        <v>MGF</v>
      </c>
      <c r="L4303" s="150" t="s">
        <v>6435</v>
      </c>
      <c r="M4303" s="154">
        <v>45933</v>
      </c>
      <c r="N4303" s="155"/>
      <c r="O4303" s="155"/>
      <c r="P4303" s="154" t="str">
        <f ca="1">IF(Proc[[#This Row],[DaysAgeing]]&gt;5,"yep","on track")</f>
        <v>yep</v>
      </c>
      <c r="Q4303" s="3">
        <f ca="1">IF(Proc[[#This Row],[DateClosed]]="",ABS(NETWORKDAYS(Proc[[#This Row],[DateOpened]],TODAY()))-1,ABS(NETWORKDAYS(Proc[[#This Row],[DateOpened]],Proc[[#This Row],[DateClosed]]))-1)</f>
        <v>50</v>
      </c>
      <c r="R4303" s="154" t="s">
        <v>1459</v>
      </c>
      <c r="S4303" s="150"/>
    </row>
    <row r="4304" spans="1:19">
      <c r="A4304" s="149" t="s">
        <v>6436</v>
      </c>
      <c r="B4304" s="150" t="str">
        <f>IFERROR(VLOOKUP(Proc[[#This Row],[App]],Table2[],3,0),"open")</f>
        <v>ok</v>
      </c>
      <c r="C4304" s="149" t="s">
        <v>377</v>
      </c>
      <c r="D4304" t="s">
        <v>2319</v>
      </c>
      <c r="E4304" t="s">
        <v>430</v>
      </c>
      <c r="F4304" s="150" t="s">
        <v>5569</v>
      </c>
      <c r="G4304" t="s">
        <v>406</v>
      </c>
      <c r="H4304" s="150" t="str">
        <f>IF(Proc[[#This Row],[type]]="LFF (MDG-F)",MID(Proc[[#This Row],[Obj]],13,10),"")</f>
        <v>DE65GIT032</v>
      </c>
      <c r="I4304" s="149" t="s">
        <v>4832</v>
      </c>
      <c r="J4304" s="150" t="b">
        <f>Proc[[#This Row],[Requested]]=Proc[[#This Row],[CurrentParent]]</f>
        <v>0</v>
      </c>
      <c r="K4304" s="150" t="str">
        <f>IF(Proc[[#This Row],[Author]]="Marcela Urrego",VLOOKUP(LEFT(Proc[[#This Row],[Requested]],1),Table3[#All],2,0),VLOOKUP(Proc[[#This Row],[Author]],Table4[],2,0))</f>
        <v>MGF</v>
      </c>
      <c r="L4304" s="150" t="s">
        <v>6435</v>
      </c>
      <c r="M4304" s="154">
        <v>45933</v>
      </c>
      <c r="N4304" s="155"/>
      <c r="O4304" s="155"/>
      <c r="P4304" s="154" t="str">
        <f ca="1">IF(Proc[[#This Row],[DaysAgeing]]&gt;5,"yep","on track")</f>
        <v>yep</v>
      </c>
      <c r="Q4304" s="3">
        <f ca="1">IF(Proc[[#This Row],[DateClosed]]="",ABS(NETWORKDAYS(Proc[[#This Row],[DateOpened]],TODAY()))-1,ABS(NETWORKDAYS(Proc[[#This Row],[DateOpened]],Proc[[#This Row],[DateClosed]]))-1)</f>
        <v>50</v>
      </c>
      <c r="R4304" s="154" t="s">
        <v>1459</v>
      </c>
      <c r="S4304" s="150"/>
    </row>
    <row r="4305" spans="1:19">
      <c r="A4305" s="149" t="s">
        <v>6436</v>
      </c>
      <c r="B4305" s="150" t="str">
        <f>IFERROR(VLOOKUP(Proc[[#This Row],[App]],Table2[],3,0),"open")</f>
        <v>ok</v>
      </c>
      <c r="C4305" s="149" t="s">
        <v>369</v>
      </c>
      <c r="D4305" t="s">
        <v>6438</v>
      </c>
      <c r="E4305" t="s">
        <v>6158</v>
      </c>
      <c r="F4305" s="150" t="s">
        <v>6158</v>
      </c>
      <c r="G4305" s="149" t="s">
        <v>406</v>
      </c>
      <c r="H4305" s="150" t="str">
        <f>IF(Proc[[#This Row],[type]]="LFF (MDG-F)",MID(Proc[[#This Row],[Obj]],13,10),"")</f>
        <v>DE10695300</v>
      </c>
      <c r="J4305" s="150" t="b">
        <f>Proc[[#This Row],[Requested]]=Proc[[#This Row],[CurrentParent]]</f>
        <v>1</v>
      </c>
      <c r="K4305" s="150" t="str">
        <f>IF(Proc[[#This Row],[Author]]="Marcela Urrego",VLOOKUP(LEFT(Proc[[#This Row],[Requested]],1),Table3[#All],2,0),VLOOKUP(Proc[[#This Row],[Author]],Table4[],2,0))</f>
        <v>MGF</v>
      </c>
      <c r="L4305" s="150" t="s">
        <v>6435</v>
      </c>
      <c r="M4305" s="154">
        <v>45933</v>
      </c>
      <c r="N4305" s="155"/>
      <c r="O4305" s="155"/>
      <c r="P4305" s="154" t="str">
        <f ca="1">IF(Proc[[#This Row],[DaysAgeing]]&gt;5,"yep","on track")</f>
        <v>yep</v>
      </c>
      <c r="Q4305" s="3">
        <f ca="1">IF(Proc[[#This Row],[DateClosed]]="",ABS(NETWORKDAYS(Proc[[#This Row],[DateOpened]],TODAY()))-1,ABS(NETWORKDAYS(Proc[[#This Row],[DateOpened]],Proc[[#This Row],[DateClosed]]))-1)</f>
        <v>50</v>
      </c>
      <c r="R4305" s="154" t="s">
        <v>1459</v>
      </c>
      <c r="S4305" s="150"/>
    </row>
    <row r="4306" spans="1:19">
      <c r="A4306" s="149" t="s">
        <v>6436</v>
      </c>
      <c r="B4306" s="150" t="str">
        <f>IFERROR(VLOOKUP(Proc[[#This Row],[App]],Table2[],3,0),"open")</f>
        <v>ok</v>
      </c>
      <c r="C4306" s="149" t="s">
        <v>369</v>
      </c>
      <c r="D4306" t="s">
        <v>5438</v>
      </c>
      <c r="E4306" t="s">
        <v>6447</v>
      </c>
      <c r="F4306" s="150" t="s">
        <v>6447</v>
      </c>
      <c r="G4306" s="149" t="s">
        <v>406</v>
      </c>
      <c r="H4306" s="150" t="str">
        <f>IF(Proc[[#This Row],[type]]="LFF (MDG-F)",MID(Proc[[#This Row],[Obj]],13,10),"")</f>
        <v>DE10GMS070</v>
      </c>
      <c r="J4306" s="150" t="b">
        <f>Proc[[#This Row],[Requested]]=Proc[[#This Row],[CurrentParent]]</f>
        <v>1</v>
      </c>
      <c r="K4306" s="150" t="str">
        <f>IF(Proc[[#This Row],[Author]]="Marcela Urrego",VLOOKUP(LEFT(Proc[[#This Row],[Requested]],1),Table3[#All],2,0),VLOOKUP(Proc[[#This Row],[Author]],Table4[],2,0))</f>
        <v>MGF</v>
      </c>
      <c r="L4306" s="150" t="s">
        <v>6435</v>
      </c>
      <c r="M4306" s="154">
        <v>45933</v>
      </c>
      <c r="N4306" s="155"/>
      <c r="O4306" s="155"/>
      <c r="P4306" s="154" t="str">
        <f ca="1">IF(Proc[[#This Row],[DaysAgeing]]&gt;5,"yep","on track")</f>
        <v>yep</v>
      </c>
      <c r="Q4306" s="3">
        <f ca="1">IF(Proc[[#This Row],[DateClosed]]="",ABS(NETWORKDAYS(Proc[[#This Row],[DateOpened]],TODAY()))-1,ABS(NETWORKDAYS(Proc[[#This Row],[DateOpened]],Proc[[#This Row],[DateClosed]]))-1)</f>
        <v>50</v>
      </c>
      <c r="R4306" s="154" t="s">
        <v>1459</v>
      </c>
      <c r="S4306" s="150"/>
    </row>
    <row r="4307" spans="1:19">
      <c r="A4307" s="149" t="s">
        <v>6436</v>
      </c>
      <c r="B4307" s="150" t="str">
        <f>IFERROR(VLOOKUP(Proc[[#This Row],[App]],Table2[],3,0),"open")</f>
        <v>ok</v>
      </c>
      <c r="C4307" s="149" t="s">
        <v>369</v>
      </c>
      <c r="D4307" t="s">
        <v>5436</v>
      </c>
      <c r="E4307" t="s">
        <v>6445</v>
      </c>
      <c r="F4307" s="150" t="s">
        <v>6445</v>
      </c>
      <c r="G4307" s="149" t="s">
        <v>406</v>
      </c>
      <c r="H4307" s="150" t="str">
        <f>IF(Proc[[#This Row],[type]]="LFF (MDG-F)",MID(Proc[[#This Row],[Obj]],13,10),"")</f>
        <v>DE10669638</v>
      </c>
      <c r="J4307" s="150" t="b">
        <f>Proc[[#This Row],[Requested]]=Proc[[#This Row],[CurrentParent]]</f>
        <v>1</v>
      </c>
      <c r="K4307" s="150" t="str">
        <f>IF(Proc[[#This Row],[Author]]="Marcela Urrego",VLOOKUP(LEFT(Proc[[#This Row],[Requested]],1),Table3[#All],2,0),VLOOKUP(Proc[[#This Row],[Author]],Table4[],2,0))</f>
        <v>MGF</v>
      </c>
      <c r="L4307" s="150" t="s">
        <v>6435</v>
      </c>
      <c r="M4307" s="154">
        <v>45933</v>
      </c>
      <c r="N4307" s="155"/>
      <c r="O4307" s="155"/>
      <c r="P4307" s="154" t="str">
        <f ca="1">IF(Proc[[#This Row],[DaysAgeing]]&gt;5,"yep","on track")</f>
        <v>yep</v>
      </c>
      <c r="Q4307" s="3">
        <f ca="1">IF(Proc[[#This Row],[DateClosed]]="",ABS(NETWORKDAYS(Proc[[#This Row],[DateOpened]],TODAY()))-1,ABS(NETWORKDAYS(Proc[[#This Row],[DateOpened]],Proc[[#This Row],[DateClosed]]))-1)</f>
        <v>50</v>
      </c>
      <c r="R4307" s="154" t="s">
        <v>1459</v>
      </c>
      <c r="S4307" s="150"/>
    </row>
    <row r="4308" spans="1:19">
      <c r="A4308" s="149" t="s">
        <v>6436</v>
      </c>
      <c r="B4308" s="150" t="str">
        <f>IFERROR(VLOOKUP(Proc[[#This Row],[App]],Table2[],3,0),"open")</f>
        <v>ok</v>
      </c>
      <c r="C4308" s="149" t="s">
        <v>369</v>
      </c>
      <c r="D4308" t="s">
        <v>6439</v>
      </c>
      <c r="E4308" t="s">
        <v>6448</v>
      </c>
      <c r="F4308" s="150" t="s">
        <v>6448</v>
      </c>
      <c r="G4308" s="149" t="s">
        <v>406</v>
      </c>
      <c r="H4308" s="150" t="str">
        <f>IF(Proc[[#This Row],[type]]="LFF (MDG-F)",MID(Proc[[#This Row],[Obj]],13,10),"")</f>
        <v>1937OF0002</v>
      </c>
      <c r="J4308" s="150" t="b">
        <f>Proc[[#This Row],[Requested]]=Proc[[#This Row],[CurrentParent]]</f>
        <v>1</v>
      </c>
      <c r="K4308" s="150" t="str">
        <f>IF(Proc[[#This Row],[Author]]="Marcela Urrego",VLOOKUP(LEFT(Proc[[#This Row],[Requested]],1),Table3[#All],2,0),VLOOKUP(Proc[[#This Row],[Author]],Table4[],2,0))</f>
        <v>MGF</v>
      </c>
      <c r="L4308" s="150" t="s">
        <v>6435</v>
      </c>
      <c r="M4308" s="154">
        <v>45933</v>
      </c>
      <c r="N4308" s="155"/>
      <c r="O4308" s="155"/>
      <c r="P4308" s="154" t="str">
        <f ca="1">IF(Proc[[#This Row],[DaysAgeing]]&gt;5,"yep","on track")</f>
        <v>yep</v>
      </c>
      <c r="Q4308" s="3">
        <f ca="1">IF(Proc[[#This Row],[DateClosed]]="",ABS(NETWORKDAYS(Proc[[#This Row],[DateOpened]],TODAY()))-1,ABS(NETWORKDAYS(Proc[[#This Row],[DateOpened]],Proc[[#This Row],[DateClosed]]))-1)</f>
        <v>50</v>
      </c>
      <c r="R4308" s="154" t="s">
        <v>1459</v>
      </c>
      <c r="S4308" s="150"/>
    </row>
    <row r="4309" spans="1:19">
      <c r="A4309" s="149" t="s">
        <v>6436</v>
      </c>
      <c r="B4309" s="150" t="str">
        <f>IFERROR(VLOOKUP(Proc[[#This Row],[App]],Table2[],3,0),"open")</f>
        <v>ok</v>
      </c>
      <c r="C4309" s="149" t="s">
        <v>369</v>
      </c>
      <c r="D4309" t="s">
        <v>6440</v>
      </c>
      <c r="E4309" t="s">
        <v>661</v>
      </c>
      <c r="F4309" s="150" t="s">
        <v>661</v>
      </c>
      <c r="G4309" s="149" t="s">
        <v>400</v>
      </c>
      <c r="H4309" s="150" t="str">
        <f>IF(Proc[[#This Row],[type]]="LFF (MDG-F)",MID(Proc[[#This Row],[Obj]],13,10),"")</f>
        <v/>
      </c>
      <c r="J4309" s="150" t="b">
        <f>Proc[[#This Row],[Requested]]=Proc[[#This Row],[CurrentParent]]</f>
        <v>1</v>
      </c>
      <c r="K4309" s="150" t="str">
        <f>IF(Proc[[#This Row],[Author]]="Marcela Urrego",VLOOKUP(LEFT(Proc[[#This Row],[Requested]],1),Table3[#All],2,0),VLOOKUP(Proc[[#This Row],[Author]],Table4[],2,0))</f>
        <v>MGF</v>
      </c>
      <c r="L4309" s="150" t="s">
        <v>6435</v>
      </c>
      <c r="M4309" s="154">
        <v>45933</v>
      </c>
      <c r="N4309" s="155"/>
      <c r="O4309" s="155"/>
      <c r="P4309" s="154" t="str">
        <f ca="1">IF(Proc[[#This Row],[DaysAgeing]]&gt;5,"yep","on track")</f>
        <v>yep</v>
      </c>
      <c r="Q4309" s="3">
        <f ca="1">IF(Proc[[#This Row],[DateClosed]]="",ABS(NETWORKDAYS(Proc[[#This Row],[DateOpened]],TODAY()))-1,ABS(NETWORKDAYS(Proc[[#This Row],[DateOpened]],Proc[[#This Row],[DateClosed]]))-1)</f>
        <v>50</v>
      </c>
      <c r="R4309" s="154" t="s">
        <v>1459</v>
      </c>
      <c r="S4309" s="150"/>
    </row>
    <row r="4310" spans="1:19">
      <c r="A4310" s="149" t="s">
        <v>6436</v>
      </c>
      <c r="B4310" s="150" t="str">
        <f>IFERROR(VLOOKUP(Proc[[#This Row],[App]],Table2[],3,0),"open")</f>
        <v>ok</v>
      </c>
      <c r="C4310" s="149" t="s">
        <v>369</v>
      </c>
      <c r="D4310" t="s">
        <v>5443</v>
      </c>
      <c r="E4310" t="s">
        <v>6449</v>
      </c>
      <c r="F4310" s="150" t="s">
        <v>6449</v>
      </c>
      <c r="G4310" s="149" t="s">
        <v>406</v>
      </c>
      <c r="H4310" s="150" t="str">
        <f>IF(Proc[[#This Row],[type]]="LFF (MDG-F)",MID(Proc[[#This Row],[Obj]],13,10),"")</f>
        <v>2123GMS080</v>
      </c>
      <c r="J4310" s="150" t="b">
        <f>Proc[[#This Row],[Requested]]=Proc[[#This Row],[CurrentParent]]</f>
        <v>1</v>
      </c>
      <c r="K4310" s="150" t="str">
        <f>IF(Proc[[#This Row],[Author]]="Marcela Urrego",VLOOKUP(LEFT(Proc[[#This Row],[Requested]],1),Table3[#All],2,0),VLOOKUP(Proc[[#This Row],[Author]],Table4[],2,0))</f>
        <v>MGF</v>
      </c>
      <c r="L4310" s="150" t="s">
        <v>6435</v>
      </c>
      <c r="M4310" s="154">
        <v>45933</v>
      </c>
      <c r="N4310" s="155"/>
      <c r="O4310" s="155"/>
      <c r="P4310" s="154" t="str">
        <f ca="1">IF(Proc[[#This Row],[DaysAgeing]]&gt;5,"yep","on track")</f>
        <v>yep</v>
      </c>
      <c r="Q4310" s="3">
        <f ca="1">IF(Proc[[#This Row],[DateClosed]]="",ABS(NETWORKDAYS(Proc[[#This Row],[DateOpened]],TODAY()))-1,ABS(NETWORKDAYS(Proc[[#This Row],[DateOpened]],Proc[[#This Row],[DateClosed]]))-1)</f>
        <v>50</v>
      </c>
      <c r="R4310" s="154" t="s">
        <v>1459</v>
      </c>
      <c r="S4310" s="150"/>
    </row>
    <row r="4311" spans="1:19">
      <c r="A4311" s="149" t="s">
        <v>6436</v>
      </c>
      <c r="B4311" s="150" t="str">
        <f>IFERROR(VLOOKUP(Proc[[#This Row],[App]],Table2[],3,0),"open")</f>
        <v>ok</v>
      </c>
      <c r="C4311" s="149" t="s">
        <v>369</v>
      </c>
      <c r="D4311" t="s">
        <v>5442</v>
      </c>
      <c r="E4311" t="s">
        <v>6445</v>
      </c>
      <c r="F4311" s="150" t="s">
        <v>6445</v>
      </c>
      <c r="G4311" s="149" t="s">
        <v>406</v>
      </c>
      <c r="H4311" s="150" t="str">
        <f>IF(Proc[[#This Row],[type]]="LFF (MDG-F)",MID(Proc[[#This Row],[Obj]],13,10),"")</f>
        <v>2123GMS050</v>
      </c>
      <c r="J4311" s="150" t="b">
        <f>Proc[[#This Row],[Requested]]=Proc[[#This Row],[CurrentParent]]</f>
        <v>1</v>
      </c>
      <c r="K4311" s="150" t="str">
        <f>IF(Proc[[#This Row],[Author]]="Marcela Urrego",VLOOKUP(LEFT(Proc[[#This Row],[Requested]],1),Table3[#All],2,0),VLOOKUP(Proc[[#This Row],[Author]],Table4[],2,0))</f>
        <v>MGF</v>
      </c>
      <c r="L4311" s="150" t="s">
        <v>6435</v>
      </c>
      <c r="M4311" s="154">
        <v>45933</v>
      </c>
      <c r="N4311" s="155"/>
      <c r="O4311" s="155"/>
      <c r="P4311" s="154" t="str">
        <f ca="1">IF(Proc[[#This Row],[DaysAgeing]]&gt;5,"yep","on track")</f>
        <v>yep</v>
      </c>
      <c r="Q4311" s="3">
        <f ca="1">IF(Proc[[#This Row],[DateClosed]]="",ABS(NETWORKDAYS(Proc[[#This Row],[DateOpened]],TODAY()))-1,ABS(NETWORKDAYS(Proc[[#This Row],[DateOpened]],Proc[[#This Row],[DateClosed]]))-1)</f>
        <v>50</v>
      </c>
      <c r="R4311" s="154" t="s">
        <v>1459</v>
      </c>
      <c r="S4311" s="150"/>
    </row>
    <row r="4312" spans="1:19">
      <c r="A4312" s="149" t="s">
        <v>6436</v>
      </c>
      <c r="B4312" s="150" t="str">
        <f>IFERROR(VLOOKUP(Proc[[#This Row],[App]],Table2[],3,0),"open")</f>
        <v>ok</v>
      </c>
      <c r="C4312" s="149" t="s">
        <v>369</v>
      </c>
      <c r="D4312" t="s">
        <v>5434</v>
      </c>
      <c r="E4312" t="s">
        <v>6450</v>
      </c>
      <c r="F4312" s="150" t="s">
        <v>6450</v>
      </c>
      <c r="G4312" s="149" t="s">
        <v>400</v>
      </c>
      <c r="H4312" s="150" t="str">
        <f>IF(Proc[[#This Row],[type]]="LFF (MDG-F)",MID(Proc[[#This Row],[Obj]],13,10),"")</f>
        <v/>
      </c>
      <c r="J4312" s="150" t="b">
        <f>Proc[[#This Row],[Requested]]=Proc[[#This Row],[CurrentParent]]</f>
        <v>1</v>
      </c>
      <c r="K4312" s="150" t="str">
        <f>IF(Proc[[#This Row],[Author]]="Marcela Urrego",VLOOKUP(LEFT(Proc[[#This Row],[Requested]],1),Table3[#All],2,0),VLOOKUP(Proc[[#This Row],[Author]],Table4[],2,0))</f>
        <v>MGF</v>
      </c>
      <c r="L4312" s="150" t="s">
        <v>6435</v>
      </c>
      <c r="M4312" s="154">
        <v>45933</v>
      </c>
      <c r="N4312" s="155"/>
      <c r="O4312" s="155"/>
      <c r="P4312" s="154" t="str">
        <f ca="1">IF(Proc[[#This Row],[DaysAgeing]]&gt;5,"yep","on track")</f>
        <v>yep</v>
      </c>
      <c r="Q4312" s="3">
        <f ca="1">IF(Proc[[#This Row],[DateClosed]]="",ABS(NETWORKDAYS(Proc[[#This Row],[DateOpened]],TODAY()))-1,ABS(NETWORKDAYS(Proc[[#This Row],[DateOpened]],Proc[[#This Row],[DateClosed]]))-1)</f>
        <v>50</v>
      </c>
      <c r="R4312" s="154" t="s">
        <v>1459</v>
      </c>
      <c r="S4312" s="150"/>
    </row>
    <row r="4313" spans="1:19">
      <c r="A4313" s="149" t="s">
        <v>6436</v>
      </c>
      <c r="B4313" s="150" t="str">
        <f>IFERROR(VLOOKUP(Proc[[#This Row],[App]],Table2[],3,0),"open")</f>
        <v>ok</v>
      </c>
      <c r="C4313" s="149" t="s">
        <v>369</v>
      </c>
      <c r="D4313" t="s">
        <v>6441</v>
      </c>
      <c r="E4313" t="s">
        <v>4410</v>
      </c>
      <c r="F4313" s="150" t="s">
        <v>4410</v>
      </c>
      <c r="G4313" s="149" t="s">
        <v>406</v>
      </c>
      <c r="H4313" s="150" t="str">
        <f>IF(Proc[[#This Row],[type]]="LFF (MDG-F)",MID(Proc[[#This Row],[Obj]],13,10),"")</f>
        <v>US10GIT050</v>
      </c>
      <c r="J4313" s="150" t="b">
        <f>Proc[[#This Row],[Requested]]=Proc[[#This Row],[CurrentParent]]</f>
        <v>1</v>
      </c>
      <c r="K4313" s="150" t="str">
        <f>IF(Proc[[#This Row],[Author]]="Marcela Urrego",VLOOKUP(LEFT(Proc[[#This Row],[Requested]],1),Table3[#All],2,0),VLOOKUP(Proc[[#This Row],[Author]],Table4[],2,0))</f>
        <v>MGF</v>
      </c>
      <c r="L4313" s="150" t="s">
        <v>6435</v>
      </c>
      <c r="M4313" s="154">
        <v>45933</v>
      </c>
      <c r="N4313" s="155"/>
      <c r="O4313" s="155"/>
      <c r="P4313" s="154" t="str">
        <f ca="1">IF(Proc[[#This Row],[DaysAgeing]]&gt;5,"yep","on track")</f>
        <v>yep</v>
      </c>
      <c r="Q4313" s="3">
        <f ca="1">IF(Proc[[#This Row],[DateClosed]]="",ABS(NETWORKDAYS(Proc[[#This Row],[DateOpened]],TODAY()))-1,ABS(NETWORKDAYS(Proc[[#This Row],[DateOpened]],Proc[[#This Row],[DateClosed]]))-1)</f>
        <v>50</v>
      </c>
      <c r="R4313" s="154" t="s">
        <v>1459</v>
      </c>
      <c r="S4313" s="150"/>
    </row>
    <row r="4314" spans="1:19">
      <c r="A4314" s="149" t="s">
        <v>6436</v>
      </c>
      <c r="B4314" s="150" t="str">
        <f>IFERROR(VLOOKUP(Proc[[#This Row],[App]],Table2[],3,0),"open")</f>
        <v>ok</v>
      </c>
      <c r="C4314" s="149" t="s">
        <v>369</v>
      </c>
      <c r="D4314" t="s">
        <v>6442</v>
      </c>
      <c r="E4314" t="s">
        <v>6448</v>
      </c>
      <c r="F4314" s="150" t="s">
        <v>6448</v>
      </c>
      <c r="G4314" s="149" t="s">
        <v>400</v>
      </c>
      <c r="H4314" s="150" t="str">
        <f>IF(Proc[[#This Row],[type]]="LFF (MDG-F)",MID(Proc[[#This Row],[Obj]],13,10),"")</f>
        <v/>
      </c>
      <c r="J4314" s="150" t="b">
        <f>Proc[[#This Row],[Requested]]=Proc[[#This Row],[CurrentParent]]</f>
        <v>1</v>
      </c>
      <c r="K4314" s="150" t="str">
        <f>IF(Proc[[#This Row],[Author]]="Marcela Urrego",VLOOKUP(LEFT(Proc[[#This Row],[Requested]],1),Table3[#All],2,0),VLOOKUP(Proc[[#This Row],[Author]],Table4[],2,0))</f>
        <v>MGF</v>
      </c>
      <c r="L4314" s="150" t="s">
        <v>6435</v>
      </c>
      <c r="M4314" s="154">
        <v>45933</v>
      </c>
      <c r="N4314" s="155"/>
      <c r="O4314" s="155"/>
      <c r="P4314" s="154" t="str">
        <f ca="1">IF(Proc[[#This Row],[DaysAgeing]]&gt;5,"yep","on track")</f>
        <v>yep</v>
      </c>
      <c r="Q4314" s="3">
        <f ca="1">IF(Proc[[#This Row],[DateClosed]]="",ABS(NETWORKDAYS(Proc[[#This Row],[DateOpened]],TODAY()))-1,ABS(NETWORKDAYS(Proc[[#This Row],[DateOpened]],Proc[[#This Row],[DateClosed]]))-1)</f>
        <v>50</v>
      </c>
      <c r="R4314" s="154" t="s">
        <v>1459</v>
      </c>
      <c r="S4314" s="150"/>
    </row>
    <row r="4315" spans="1:19">
      <c r="A4315" s="149" t="s">
        <v>6436</v>
      </c>
      <c r="B4315" s="150" t="str">
        <f>IFERROR(VLOOKUP(Proc[[#This Row],[App]],Table2[],3,0),"open")</f>
        <v>ok</v>
      </c>
      <c r="C4315" s="149" t="s">
        <v>369</v>
      </c>
      <c r="D4315" t="s">
        <v>6443</v>
      </c>
      <c r="E4315" t="s">
        <v>6448</v>
      </c>
      <c r="F4315" s="150" t="s">
        <v>6448</v>
      </c>
      <c r="G4315" s="149" t="s">
        <v>400</v>
      </c>
      <c r="H4315" s="150" t="str">
        <f>IF(Proc[[#This Row],[type]]="LFF (MDG-F)",MID(Proc[[#This Row],[Obj]],13,10),"")</f>
        <v/>
      </c>
      <c r="J4315" s="150" t="b">
        <f>Proc[[#This Row],[Requested]]=Proc[[#This Row],[CurrentParent]]</f>
        <v>1</v>
      </c>
      <c r="K4315" s="150" t="str">
        <f>IF(Proc[[#This Row],[Author]]="Marcela Urrego",VLOOKUP(LEFT(Proc[[#This Row],[Requested]],1),Table3[#All],2,0),VLOOKUP(Proc[[#This Row],[Author]],Table4[],2,0))</f>
        <v>MGF</v>
      </c>
      <c r="L4315" s="150" t="s">
        <v>6435</v>
      </c>
      <c r="M4315" s="154">
        <v>45933</v>
      </c>
      <c r="N4315" s="155"/>
      <c r="O4315" s="155"/>
      <c r="P4315" s="154" t="str">
        <f ca="1">IF(Proc[[#This Row],[DaysAgeing]]&gt;5,"yep","on track")</f>
        <v>yep</v>
      </c>
      <c r="Q4315" s="3">
        <f ca="1">IF(Proc[[#This Row],[DateClosed]]="",ABS(NETWORKDAYS(Proc[[#This Row],[DateOpened]],TODAY()))-1,ABS(NETWORKDAYS(Proc[[#This Row],[DateOpened]],Proc[[#This Row],[DateClosed]]))-1)</f>
        <v>50</v>
      </c>
      <c r="R4315" s="154" t="s">
        <v>1459</v>
      </c>
      <c r="S4315" s="150"/>
    </row>
    <row r="4316" spans="1:19">
      <c r="A4316" s="149" t="s">
        <v>6436</v>
      </c>
      <c r="B4316" s="150" t="str">
        <f>IFERROR(VLOOKUP(Proc[[#This Row],[App]],Table2[],3,0),"open")</f>
        <v>ok</v>
      </c>
      <c r="C4316" s="149" t="s">
        <v>369</v>
      </c>
      <c r="D4316" t="s">
        <v>6444</v>
      </c>
      <c r="E4316" t="s">
        <v>6448</v>
      </c>
      <c r="F4316" s="150" t="s">
        <v>6448</v>
      </c>
      <c r="G4316" t="s">
        <v>400</v>
      </c>
      <c r="H4316" s="150" t="str">
        <f>IF(Proc[[#This Row],[type]]="LFF (MDG-F)",MID(Proc[[#This Row],[Obj]],13,10),"")</f>
        <v/>
      </c>
      <c r="J4316" s="150" t="b">
        <f>Proc[[#This Row],[Requested]]=Proc[[#This Row],[CurrentParent]]</f>
        <v>1</v>
      </c>
      <c r="K4316" s="150" t="str">
        <f>IF(Proc[[#This Row],[Author]]="Marcela Urrego",VLOOKUP(LEFT(Proc[[#This Row],[Requested]],1),Table3[#All],2,0),VLOOKUP(Proc[[#This Row],[Author]],Table4[],2,0))</f>
        <v>MGF</v>
      </c>
      <c r="L4316" s="150" t="s">
        <v>6435</v>
      </c>
      <c r="M4316" s="154">
        <v>45933</v>
      </c>
      <c r="N4316" s="155"/>
      <c r="O4316" s="155"/>
      <c r="P4316" s="154" t="str">
        <f ca="1">IF(Proc[[#This Row],[DaysAgeing]]&gt;5,"yep","on track")</f>
        <v>yep</v>
      </c>
      <c r="Q4316" s="3">
        <f ca="1">IF(Proc[[#This Row],[DateClosed]]="",ABS(NETWORKDAYS(Proc[[#This Row],[DateOpened]],TODAY()))-1,ABS(NETWORKDAYS(Proc[[#This Row],[DateOpened]],Proc[[#This Row],[DateClosed]]))-1)</f>
        <v>50</v>
      </c>
      <c r="R4316" s="154" t="s">
        <v>1459</v>
      </c>
      <c r="S4316" s="150"/>
    </row>
    <row r="4317" spans="1:19">
      <c r="A4317" t="s">
        <v>6451</v>
      </c>
      <c r="B4317" s="150" t="str">
        <f>IFERROR(VLOOKUP(Proc[[#This Row],[App]],Table2[],3,0),"open")</f>
        <v>ok</v>
      </c>
      <c r="C4317" s="149" t="s">
        <v>369</v>
      </c>
      <c r="D4317" t="s">
        <v>6452</v>
      </c>
      <c r="E4317" t="s">
        <v>6468</v>
      </c>
      <c r="F4317" s="150" t="s">
        <v>6468</v>
      </c>
      <c r="G4317" s="149" t="s">
        <v>400</v>
      </c>
      <c r="H4317" s="150" t="str">
        <f>IF(Proc[[#This Row],[type]]="LFF (MDG-F)",MID(Proc[[#This Row],[Obj]],13,10),"")</f>
        <v/>
      </c>
      <c r="J4317" s="150" t="b">
        <f>Proc[[#This Row],[Requested]]=Proc[[#This Row],[CurrentParent]]</f>
        <v>1</v>
      </c>
      <c r="K4317" s="150" t="str">
        <f>IF(Proc[[#This Row],[Author]]="Marcela Urrego",VLOOKUP(LEFT(Proc[[#This Row],[Requested]],1),Table3[#All],2,0),VLOOKUP(Proc[[#This Row],[Author]],Table4[],2,0))</f>
        <v>LS</v>
      </c>
      <c r="L4317" s="150" t="s">
        <v>6435</v>
      </c>
      <c r="M4317" s="154">
        <v>45933</v>
      </c>
      <c r="N4317" s="155"/>
      <c r="O4317" s="155"/>
      <c r="P4317" s="154" t="str">
        <f ca="1">IF(Proc[[#This Row],[DaysAgeing]]&gt;5,"yep","on track")</f>
        <v>yep</v>
      </c>
      <c r="Q4317" s="3">
        <f ca="1">IF(Proc[[#This Row],[DateClosed]]="",ABS(NETWORKDAYS(Proc[[#This Row],[DateOpened]],TODAY()))-1,ABS(NETWORKDAYS(Proc[[#This Row],[DateOpened]],Proc[[#This Row],[DateClosed]]))-1)</f>
        <v>50</v>
      </c>
      <c r="R4317" s="154" t="s">
        <v>489</v>
      </c>
      <c r="S4317" s="150"/>
    </row>
    <row r="4318" spans="1:19">
      <c r="A4318" s="149" t="s">
        <v>6451</v>
      </c>
      <c r="B4318" s="150" t="str">
        <f>IFERROR(VLOOKUP(Proc[[#This Row],[App]],Table2[],3,0),"open")</f>
        <v>ok</v>
      </c>
      <c r="C4318" s="149" t="s">
        <v>369</v>
      </c>
      <c r="D4318" t="s">
        <v>6453</v>
      </c>
      <c r="E4318" t="s">
        <v>6469</v>
      </c>
      <c r="F4318" s="150" t="s">
        <v>6469</v>
      </c>
      <c r="G4318" s="149" t="s">
        <v>400</v>
      </c>
      <c r="H4318" s="150" t="str">
        <f>IF(Proc[[#This Row],[type]]="LFF (MDG-F)",MID(Proc[[#This Row],[Obj]],13,10),"")</f>
        <v/>
      </c>
      <c r="J4318" s="150" t="b">
        <f>Proc[[#This Row],[Requested]]=Proc[[#This Row],[CurrentParent]]</f>
        <v>1</v>
      </c>
      <c r="K4318" s="150" t="str">
        <f>IF(Proc[[#This Row],[Author]]="Marcela Urrego",VLOOKUP(LEFT(Proc[[#This Row],[Requested]],1),Table3[#All],2,0),VLOOKUP(Proc[[#This Row],[Author]],Table4[],2,0))</f>
        <v>LS</v>
      </c>
      <c r="L4318" s="150" t="s">
        <v>6435</v>
      </c>
      <c r="M4318" s="154">
        <v>45933</v>
      </c>
      <c r="N4318" s="155"/>
      <c r="O4318" s="155"/>
      <c r="P4318" s="154" t="str">
        <f ca="1">IF(Proc[[#This Row],[DaysAgeing]]&gt;5,"yep","on track")</f>
        <v>yep</v>
      </c>
      <c r="Q4318" s="3">
        <f ca="1">IF(Proc[[#This Row],[DateClosed]]="",ABS(NETWORKDAYS(Proc[[#This Row],[DateOpened]],TODAY()))-1,ABS(NETWORKDAYS(Proc[[#This Row],[DateOpened]],Proc[[#This Row],[DateClosed]]))-1)</f>
        <v>50</v>
      </c>
      <c r="R4318" s="154" t="s">
        <v>489</v>
      </c>
      <c r="S4318" s="150"/>
    </row>
    <row r="4319" spans="1:19">
      <c r="A4319" s="149" t="s">
        <v>6451</v>
      </c>
      <c r="B4319" s="150" t="str">
        <f>IFERROR(VLOOKUP(Proc[[#This Row],[App]],Table2[],3,0),"open")</f>
        <v>ok</v>
      </c>
      <c r="C4319" s="149" t="s">
        <v>369</v>
      </c>
      <c r="D4319" t="s">
        <v>6454</v>
      </c>
      <c r="E4319" t="s">
        <v>6470</v>
      </c>
      <c r="F4319" s="150" t="s">
        <v>6470</v>
      </c>
      <c r="G4319" s="149" t="s">
        <v>406</v>
      </c>
      <c r="H4319" s="150" t="str">
        <f>IF(Proc[[#This Row],[type]]="LFF (MDG-F)",MID(Proc[[#This Row],[Obj]],13,10),"")</f>
        <v>2034L81000</v>
      </c>
      <c r="J4319" s="150" t="b">
        <f>Proc[[#This Row],[Requested]]=Proc[[#This Row],[CurrentParent]]</f>
        <v>1</v>
      </c>
      <c r="K4319" s="150" t="str">
        <f>IF(Proc[[#This Row],[Author]]="Marcela Urrego",VLOOKUP(LEFT(Proc[[#This Row],[Requested]],1),Table3[#All],2,0),VLOOKUP(Proc[[#This Row],[Author]],Table4[],2,0))</f>
        <v>LS</v>
      </c>
      <c r="L4319" s="150" t="s">
        <v>6435</v>
      </c>
      <c r="M4319" s="154">
        <v>45933</v>
      </c>
      <c r="N4319" s="155"/>
      <c r="O4319" s="155"/>
      <c r="P4319" s="154" t="str">
        <f ca="1">IF(Proc[[#This Row],[DaysAgeing]]&gt;5,"yep","on track")</f>
        <v>yep</v>
      </c>
      <c r="Q4319" s="3">
        <f ca="1">IF(Proc[[#This Row],[DateClosed]]="",ABS(NETWORKDAYS(Proc[[#This Row],[DateOpened]],TODAY()))-1,ABS(NETWORKDAYS(Proc[[#This Row],[DateOpened]],Proc[[#This Row],[DateClosed]]))-1)</f>
        <v>50</v>
      </c>
      <c r="R4319" s="154" t="s">
        <v>489</v>
      </c>
      <c r="S4319" s="150"/>
    </row>
    <row r="4320" spans="1:19">
      <c r="A4320" s="149" t="s">
        <v>6451</v>
      </c>
      <c r="B4320" s="150" t="str">
        <f>IFERROR(VLOOKUP(Proc[[#This Row],[App]],Table2[],3,0),"open")</f>
        <v>ok</v>
      </c>
      <c r="C4320" s="149" t="s">
        <v>369</v>
      </c>
      <c r="D4320" t="s">
        <v>6455</v>
      </c>
      <c r="E4320" t="s">
        <v>6468</v>
      </c>
      <c r="F4320" s="150" t="s">
        <v>6468</v>
      </c>
      <c r="G4320" s="149" t="s">
        <v>400</v>
      </c>
      <c r="H4320" s="150" t="str">
        <f>IF(Proc[[#This Row],[type]]="LFF (MDG-F)",MID(Proc[[#This Row],[Obj]],13,10),"")</f>
        <v/>
      </c>
      <c r="J4320" s="150" t="b">
        <f>Proc[[#This Row],[Requested]]=Proc[[#This Row],[CurrentParent]]</f>
        <v>1</v>
      </c>
      <c r="K4320" s="150" t="str">
        <f>IF(Proc[[#This Row],[Author]]="Marcela Urrego",VLOOKUP(LEFT(Proc[[#This Row],[Requested]],1),Table3[#All],2,0),VLOOKUP(Proc[[#This Row],[Author]],Table4[],2,0))</f>
        <v>LS</v>
      </c>
      <c r="L4320" s="150" t="s">
        <v>6435</v>
      </c>
      <c r="M4320" s="154">
        <v>45933</v>
      </c>
      <c r="N4320" s="155"/>
      <c r="O4320" s="155"/>
      <c r="P4320" s="154" t="str">
        <f ca="1">IF(Proc[[#This Row],[DaysAgeing]]&gt;5,"yep","on track")</f>
        <v>yep</v>
      </c>
      <c r="Q4320" s="3">
        <f ca="1">IF(Proc[[#This Row],[DateClosed]]="",ABS(NETWORKDAYS(Proc[[#This Row],[DateOpened]],TODAY()))-1,ABS(NETWORKDAYS(Proc[[#This Row],[DateOpened]],Proc[[#This Row],[DateClosed]]))-1)</f>
        <v>50</v>
      </c>
      <c r="R4320" s="154" t="s">
        <v>489</v>
      </c>
      <c r="S4320" s="150"/>
    </row>
    <row r="4321" spans="1:19">
      <c r="A4321" s="149" t="s">
        <v>6451</v>
      </c>
      <c r="B4321" s="150" t="str">
        <f>IFERROR(VLOOKUP(Proc[[#This Row],[App]],Table2[],3,0),"open")</f>
        <v>ok</v>
      </c>
      <c r="C4321" s="149" t="s">
        <v>369</v>
      </c>
      <c r="D4321" t="s">
        <v>3569</v>
      </c>
      <c r="E4321" t="s">
        <v>6471</v>
      </c>
      <c r="F4321" s="150" t="s">
        <v>6471</v>
      </c>
      <c r="G4321" s="149" t="s">
        <v>406</v>
      </c>
      <c r="H4321" s="150" t="str">
        <f>IF(Proc[[#This Row],[type]]="LFF (MDG-F)",MID(Proc[[#This Row],[Obj]],13,10),"")</f>
        <v>2102TMCZ91</v>
      </c>
      <c r="J4321" s="150" t="b">
        <f>Proc[[#This Row],[Requested]]=Proc[[#This Row],[CurrentParent]]</f>
        <v>1</v>
      </c>
      <c r="K4321" s="150" t="str">
        <f>IF(Proc[[#This Row],[Author]]="Marcela Urrego",VLOOKUP(LEFT(Proc[[#This Row],[Requested]],1),Table3[#All],2,0),VLOOKUP(Proc[[#This Row],[Author]],Table4[],2,0))</f>
        <v>LS</v>
      </c>
      <c r="L4321" s="150" t="s">
        <v>6435</v>
      </c>
      <c r="M4321" s="154">
        <v>45933</v>
      </c>
      <c r="N4321" s="155"/>
      <c r="O4321" s="155"/>
      <c r="P4321" s="154" t="str">
        <f ca="1">IF(Proc[[#This Row],[DaysAgeing]]&gt;5,"yep","on track")</f>
        <v>yep</v>
      </c>
      <c r="Q4321" s="3">
        <f ca="1">IF(Proc[[#This Row],[DateClosed]]="",ABS(NETWORKDAYS(Proc[[#This Row],[DateOpened]],TODAY()))-1,ABS(NETWORKDAYS(Proc[[#This Row],[DateOpened]],Proc[[#This Row],[DateClosed]]))-1)</f>
        <v>50</v>
      </c>
      <c r="R4321" s="154" t="s">
        <v>489</v>
      </c>
      <c r="S4321" s="150"/>
    </row>
    <row r="4322" spans="1:19">
      <c r="A4322" s="149" t="s">
        <v>6451</v>
      </c>
      <c r="B4322" s="150" t="str">
        <f>IFERROR(VLOOKUP(Proc[[#This Row],[App]],Table2[],3,0),"open")</f>
        <v>ok</v>
      </c>
      <c r="C4322" s="149" t="s">
        <v>369</v>
      </c>
      <c r="D4322" t="s">
        <v>6456</v>
      </c>
      <c r="E4322" t="s">
        <v>6472</v>
      </c>
      <c r="F4322" s="150" t="s">
        <v>6472</v>
      </c>
      <c r="G4322" s="149" t="s">
        <v>400</v>
      </c>
      <c r="H4322" s="150" t="str">
        <f>IF(Proc[[#This Row],[type]]="LFF (MDG-F)",MID(Proc[[#This Row],[Obj]],13,10),"")</f>
        <v/>
      </c>
      <c r="J4322" s="150" t="b">
        <f>Proc[[#This Row],[Requested]]=Proc[[#This Row],[CurrentParent]]</f>
        <v>1</v>
      </c>
      <c r="K4322" s="150" t="str">
        <f>IF(Proc[[#This Row],[Author]]="Marcela Urrego",VLOOKUP(LEFT(Proc[[#This Row],[Requested]],1),Table3[#All],2,0),VLOOKUP(Proc[[#This Row],[Author]],Table4[],2,0))</f>
        <v>LS</v>
      </c>
      <c r="L4322" s="150" t="s">
        <v>6435</v>
      </c>
      <c r="M4322" s="154">
        <v>45933</v>
      </c>
      <c r="N4322" s="155"/>
      <c r="O4322" s="155"/>
      <c r="P4322" s="154" t="str">
        <f ca="1">IF(Proc[[#This Row],[DaysAgeing]]&gt;5,"yep","on track")</f>
        <v>yep</v>
      </c>
      <c r="Q4322" s="3">
        <f ca="1">IF(Proc[[#This Row],[DateClosed]]="",ABS(NETWORKDAYS(Proc[[#This Row],[DateOpened]],TODAY()))-1,ABS(NETWORKDAYS(Proc[[#This Row],[DateOpened]],Proc[[#This Row],[DateClosed]]))-1)</f>
        <v>50</v>
      </c>
      <c r="R4322" s="154" t="s">
        <v>489</v>
      </c>
      <c r="S4322" s="150"/>
    </row>
    <row r="4323" spans="1:19">
      <c r="A4323" s="149" t="s">
        <v>6451</v>
      </c>
      <c r="B4323" s="150" t="str">
        <f>IFERROR(VLOOKUP(Proc[[#This Row],[App]],Table2[],3,0),"open")</f>
        <v>ok</v>
      </c>
      <c r="C4323" s="149" t="s">
        <v>369</v>
      </c>
      <c r="D4323" t="s">
        <v>6457</v>
      </c>
      <c r="E4323" t="s">
        <v>6472</v>
      </c>
      <c r="F4323" s="150" t="s">
        <v>6472</v>
      </c>
      <c r="G4323" s="149" t="s">
        <v>400</v>
      </c>
      <c r="H4323" s="150" t="str">
        <f>IF(Proc[[#This Row],[type]]="LFF (MDG-F)",MID(Proc[[#This Row],[Obj]],13,10),"")</f>
        <v/>
      </c>
      <c r="J4323" s="150" t="b">
        <f>Proc[[#This Row],[Requested]]=Proc[[#This Row],[CurrentParent]]</f>
        <v>1</v>
      </c>
      <c r="K4323" s="150" t="str">
        <f>IF(Proc[[#This Row],[Author]]="Marcela Urrego",VLOOKUP(LEFT(Proc[[#This Row],[Requested]],1),Table3[#All],2,0),VLOOKUP(Proc[[#This Row],[Author]],Table4[],2,0))</f>
        <v>LS</v>
      </c>
      <c r="L4323" s="150" t="s">
        <v>6435</v>
      </c>
      <c r="M4323" s="154">
        <v>45933</v>
      </c>
      <c r="N4323" s="155"/>
      <c r="O4323" s="155"/>
      <c r="P4323" s="154" t="str">
        <f ca="1">IF(Proc[[#This Row],[DaysAgeing]]&gt;5,"yep","on track")</f>
        <v>yep</v>
      </c>
      <c r="Q4323" s="3">
        <f ca="1">IF(Proc[[#This Row],[DateClosed]]="",ABS(NETWORKDAYS(Proc[[#This Row],[DateOpened]],TODAY()))-1,ABS(NETWORKDAYS(Proc[[#This Row],[DateOpened]],Proc[[#This Row],[DateClosed]]))-1)</f>
        <v>50</v>
      </c>
      <c r="R4323" s="154" t="s">
        <v>489</v>
      </c>
      <c r="S4323" s="150"/>
    </row>
    <row r="4324" spans="1:19">
      <c r="A4324" s="149" t="s">
        <v>6451</v>
      </c>
      <c r="B4324" s="150" t="str">
        <f>IFERROR(VLOOKUP(Proc[[#This Row],[App]],Table2[],3,0),"open")</f>
        <v>ok</v>
      </c>
      <c r="C4324" s="149" t="s">
        <v>369</v>
      </c>
      <c r="D4324" t="s">
        <v>6458</v>
      </c>
      <c r="E4324" t="s">
        <v>6472</v>
      </c>
      <c r="F4324" s="150" t="s">
        <v>6472</v>
      </c>
      <c r="G4324" s="149" t="s">
        <v>400</v>
      </c>
      <c r="H4324" s="150" t="str">
        <f>IF(Proc[[#This Row],[type]]="LFF (MDG-F)",MID(Proc[[#This Row],[Obj]],13,10),"")</f>
        <v/>
      </c>
      <c r="J4324" s="150" t="b">
        <f>Proc[[#This Row],[Requested]]=Proc[[#This Row],[CurrentParent]]</f>
        <v>1</v>
      </c>
      <c r="K4324" s="150" t="str">
        <f>IF(Proc[[#This Row],[Author]]="Marcela Urrego",VLOOKUP(LEFT(Proc[[#This Row],[Requested]],1),Table3[#All],2,0),VLOOKUP(Proc[[#This Row],[Author]],Table4[],2,0))</f>
        <v>LS</v>
      </c>
      <c r="L4324" s="150" t="s">
        <v>6435</v>
      </c>
      <c r="M4324" s="154">
        <v>45933</v>
      </c>
      <c r="N4324" s="155"/>
      <c r="O4324" s="155"/>
      <c r="P4324" s="154" t="str">
        <f ca="1">IF(Proc[[#This Row],[DaysAgeing]]&gt;5,"yep","on track")</f>
        <v>yep</v>
      </c>
      <c r="Q4324" s="3">
        <f ca="1">IF(Proc[[#This Row],[DateClosed]]="",ABS(NETWORKDAYS(Proc[[#This Row],[DateOpened]],TODAY()))-1,ABS(NETWORKDAYS(Proc[[#This Row],[DateOpened]],Proc[[#This Row],[DateClosed]]))-1)</f>
        <v>50</v>
      </c>
      <c r="R4324" s="154" t="s">
        <v>489</v>
      </c>
      <c r="S4324" s="150"/>
    </row>
    <row r="4325" spans="1:19">
      <c r="A4325" s="149" t="s">
        <v>6451</v>
      </c>
      <c r="B4325" s="150" t="str">
        <f>IFERROR(VLOOKUP(Proc[[#This Row],[App]],Table2[],3,0),"open")</f>
        <v>ok</v>
      </c>
      <c r="C4325" s="149" t="s">
        <v>369</v>
      </c>
      <c r="D4325" t="s">
        <v>6459</v>
      </c>
      <c r="E4325" t="s">
        <v>6472</v>
      </c>
      <c r="F4325" s="150" t="s">
        <v>6472</v>
      </c>
      <c r="G4325" s="149" t="s">
        <v>400</v>
      </c>
      <c r="H4325" s="150" t="str">
        <f>IF(Proc[[#This Row],[type]]="LFF (MDG-F)",MID(Proc[[#This Row],[Obj]],13,10),"")</f>
        <v/>
      </c>
      <c r="J4325" s="150" t="b">
        <f>Proc[[#This Row],[Requested]]=Proc[[#This Row],[CurrentParent]]</f>
        <v>1</v>
      </c>
      <c r="K4325" s="150" t="str">
        <f>IF(Proc[[#This Row],[Author]]="Marcela Urrego",VLOOKUP(LEFT(Proc[[#This Row],[Requested]],1),Table3[#All],2,0),VLOOKUP(Proc[[#This Row],[Author]],Table4[],2,0))</f>
        <v>LS</v>
      </c>
      <c r="L4325" s="150" t="s">
        <v>6435</v>
      </c>
      <c r="M4325" s="154">
        <v>45933</v>
      </c>
      <c r="N4325" s="155"/>
      <c r="O4325" s="155"/>
      <c r="P4325" s="154" t="str">
        <f ca="1">IF(Proc[[#This Row],[DaysAgeing]]&gt;5,"yep","on track")</f>
        <v>yep</v>
      </c>
      <c r="Q4325" s="3">
        <f ca="1">IF(Proc[[#This Row],[DateClosed]]="",ABS(NETWORKDAYS(Proc[[#This Row],[DateOpened]],TODAY()))-1,ABS(NETWORKDAYS(Proc[[#This Row],[DateOpened]],Proc[[#This Row],[DateClosed]]))-1)</f>
        <v>50</v>
      </c>
      <c r="R4325" s="154" t="s">
        <v>489</v>
      </c>
      <c r="S4325" s="150"/>
    </row>
    <row r="4326" spans="1:19">
      <c r="A4326" s="149" t="s">
        <v>6451</v>
      </c>
      <c r="B4326" s="150" t="str">
        <f>IFERROR(VLOOKUP(Proc[[#This Row],[App]],Table2[],3,0),"open")</f>
        <v>ok</v>
      </c>
      <c r="C4326" s="149" t="s">
        <v>369</v>
      </c>
      <c r="D4326" t="s">
        <v>6460</v>
      </c>
      <c r="E4326" t="s">
        <v>6472</v>
      </c>
      <c r="F4326" s="150" t="s">
        <v>6472</v>
      </c>
      <c r="G4326" s="149" t="s">
        <v>406</v>
      </c>
      <c r="H4326" s="150" t="str">
        <f>IF(Proc[[#This Row],[type]]="LFF (MDG-F)",MID(Proc[[#This Row],[Obj]],13,10),"")</f>
        <v>DE10B04453</v>
      </c>
      <c r="J4326" s="150" t="b">
        <f>Proc[[#This Row],[Requested]]=Proc[[#This Row],[CurrentParent]]</f>
        <v>1</v>
      </c>
      <c r="K4326" s="150" t="str">
        <f>IF(Proc[[#This Row],[Author]]="Marcela Urrego",VLOOKUP(LEFT(Proc[[#This Row],[Requested]],1),Table3[#All],2,0),VLOOKUP(Proc[[#This Row],[Author]],Table4[],2,0))</f>
        <v>LS</v>
      </c>
      <c r="L4326" s="150" t="s">
        <v>6435</v>
      </c>
      <c r="M4326" s="154">
        <v>45933</v>
      </c>
      <c r="N4326" s="155"/>
      <c r="O4326" s="155"/>
      <c r="P4326" s="154" t="str">
        <f ca="1">IF(Proc[[#This Row],[DaysAgeing]]&gt;5,"yep","on track")</f>
        <v>yep</v>
      </c>
      <c r="Q4326" s="3">
        <f ca="1">IF(Proc[[#This Row],[DateClosed]]="",ABS(NETWORKDAYS(Proc[[#This Row],[DateOpened]],TODAY()))-1,ABS(NETWORKDAYS(Proc[[#This Row],[DateOpened]],Proc[[#This Row],[DateClosed]]))-1)</f>
        <v>50</v>
      </c>
      <c r="R4326" s="154" t="s">
        <v>489</v>
      </c>
      <c r="S4326" s="150"/>
    </row>
    <row r="4327" spans="1:19">
      <c r="A4327" s="149" t="s">
        <v>6451</v>
      </c>
      <c r="B4327" s="150" t="str">
        <f>IFERROR(VLOOKUP(Proc[[#This Row],[App]],Table2[],3,0),"open")</f>
        <v>ok</v>
      </c>
      <c r="C4327" s="149" t="s">
        <v>369</v>
      </c>
      <c r="D4327" t="s">
        <v>6461</v>
      </c>
      <c r="E4327" t="s">
        <v>6472</v>
      </c>
      <c r="F4327" s="150" t="s">
        <v>6472</v>
      </c>
      <c r="G4327" s="149" t="s">
        <v>406</v>
      </c>
      <c r="H4327" s="150" t="str">
        <f>IF(Proc[[#This Row],[type]]="LFF (MDG-F)",MID(Proc[[#This Row],[Obj]],13,10),"")</f>
        <v>DE10B14453</v>
      </c>
      <c r="J4327" s="150" t="b">
        <f>Proc[[#This Row],[Requested]]=Proc[[#This Row],[CurrentParent]]</f>
        <v>1</v>
      </c>
      <c r="K4327" s="150" t="str">
        <f>IF(Proc[[#This Row],[Author]]="Marcela Urrego",VLOOKUP(LEFT(Proc[[#This Row],[Requested]],1),Table3[#All],2,0),VLOOKUP(Proc[[#This Row],[Author]],Table4[],2,0))</f>
        <v>LS</v>
      </c>
      <c r="L4327" s="150" t="s">
        <v>6435</v>
      </c>
      <c r="M4327" s="154">
        <v>45933</v>
      </c>
      <c r="N4327" s="155"/>
      <c r="O4327" s="155"/>
      <c r="P4327" s="154" t="str">
        <f ca="1">IF(Proc[[#This Row],[DaysAgeing]]&gt;5,"yep","on track")</f>
        <v>yep</v>
      </c>
      <c r="Q4327" s="3">
        <f ca="1">IF(Proc[[#This Row],[DateClosed]]="",ABS(NETWORKDAYS(Proc[[#This Row],[DateOpened]],TODAY()))-1,ABS(NETWORKDAYS(Proc[[#This Row],[DateOpened]],Proc[[#This Row],[DateClosed]]))-1)</f>
        <v>50</v>
      </c>
      <c r="R4327" s="154" t="s">
        <v>489</v>
      </c>
      <c r="S4327" s="150"/>
    </row>
    <row r="4328" spans="1:19">
      <c r="A4328" s="149" t="s">
        <v>6451</v>
      </c>
      <c r="B4328" s="150" t="str">
        <f>IFERROR(VLOOKUP(Proc[[#This Row],[App]],Table2[],3,0),"open")</f>
        <v>ok</v>
      </c>
      <c r="C4328" s="149" t="s">
        <v>369</v>
      </c>
      <c r="D4328" t="s">
        <v>6462</v>
      </c>
      <c r="E4328" t="s">
        <v>6472</v>
      </c>
      <c r="F4328" s="150" t="s">
        <v>6472</v>
      </c>
      <c r="G4328" s="149" t="s">
        <v>400</v>
      </c>
      <c r="H4328" s="150" t="str">
        <f>IF(Proc[[#This Row],[type]]="LFF (MDG-F)",MID(Proc[[#This Row],[Obj]],13,10),"")</f>
        <v/>
      </c>
      <c r="J4328" s="150" t="b">
        <f>Proc[[#This Row],[Requested]]=Proc[[#This Row],[CurrentParent]]</f>
        <v>1</v>
      </c>
      <c r="K4328" s="150" t="str">
        <f>IF(Proc[[#This Row],[Author]]="Marcela Urrego",VLOOKUP(LEFT(Proc[[#This Row],[Requested]],1),Table3[#All],2,0),VLOOKUP(Proc[[#This Row],[Author]],Table4[],2,0))</f>
        <v>LS</v>
      </c>
      <c r="L4328" s="150" t="s">
        <v>6435</v>
      </c>
      <c r="M4328" s="154">
        <v>45933</v>
      </c>
      <c r="N4328" s="155"/>
      <c r="O4328" s="155"/>
      <c r="P4328" s="154" t="str">
        <f ca="1">IF(Proc[[#This Row],[DaysAgeing]]&gt;5,"yep","on track")</f>
        <v>yep</v>
      </c>
      <c r="Q4328" s="3">
        <f ca="1">IF(Proc[[#This Row],[DateClosed]]="",ABS(NETWORKDAYS(Proc[[#This Row],[DateOpened]],TODAY()))-1,ABS(NETWORKDAYS(Proc[[#This Row],[DateOpened]],Proc[[#This Row],[DateClosed]]))-1)</f>
        <v>50</v>
      </c>
      <c r="R4328" s="154" t="s">
        <v>489</v>
      </c>
      <c r="S4328" s="150"/>
    </row>
    <row r="4329" spans="1:19">
      <c r="A4329" s="149" t="s">
        <v>6451</v>
      </c>
      <c r="B4329" s="150" t="str">
        <f>IFERROR(VLOOKUP(Proc[[#This Row],[App]],Table2[],3,0),"open")</f>
        <v>ok</v>
      </c>
      <c r="C4329" s="149" t="s">
        <v>369</v>
      </c>
      <c r="D4329" t="s">
        <v>6463</v>
      </c>
      <c r="E4329" t="s">
        <v>6472</v>
      </c>
      <c r="F4329" s="150" t="s">
        <v>6472</v>
      </c>
      <c r="G4329" s="149" t="s">
        <v>400</v>
      </c>
      <c r="H4329" s="150" t="str">
        <f>IF(Proc[[#This Row],[type]]="LFF (MDG-F)",MID(Proc[[#This Row],[Obj]],13,10),"")</f>
        <v/>
      </c>
      <c r="J4329" s="150" t="b">
        <f>Proc[[#This Row],[Requested]]=Proc[[#This Row],[CurrentParent]]</f>
        <v>1</v>
      </c>
      <c r="K4329" s="150" t="str">
        <f>IF(Proc[[#This Row],[Author]]="Marcela Urrego",VLOOKUP(LEFT(Proc[[#This Row],[Requested]],1),Table3[#All],2,0),VLOOKUP(Proc[[#This Row],[Author]],Table4[],2,0))</f>
        <v>LS</v>
      </c>
      <c r="L4329" s="150" t="s">
        <v>6435</v>
      </c>
      <c r="M4329" s="154">
        <v>45933</v>
      </c>
      <c r="N4329" s="155"/>
      <c r="O4329" s="155"/>
      <c r="P4329" s="154" t="str">
        <f ca="1">IF(Proc[[#This Row],[DaysAgeing]]&gt;5,"yep","on track")</f>
        <v>yep</v>
      </c>
      <c r="Q4329" s="3">
        <f ca="1">IF(Proc[[#This Row],[DateClosed]]="",ABS(NETWORKDAYS(Proc[[#This Row],[DateOpened]],TODAY()))-1,ABS(NETWORKDAYS(Proc[[#This Row],[DateOpened]],Proc[[#This Row],[DateClosed]]))-1)</f>
        <v>50</v>
      </c>
      <c r="R4329" s="154" t="s">
        <v>489</v>
      </c>
      <c r="S4329" s="150"/>
    </row>
    <row r="4330" spans="1:19">
      <c r="A4330" s="149" t="s">
        <v>6451</v>
      </c>
      <c r="B4330" s="150" t="str">
        <f>IFERROR(VLOOKUP(Proc[[#This Row],[App]],Table2[],3,0),"open")</f>
        <v>ok</v>
      </c>
      <c r="C4330" s="149" t="s">
        <v>369</v>
      </c>
      <c r="D4330" t="s">
        <v>6458</v>
      </c>
      <c r="E4330" t="s">
        <v>6472</v>
      </c>
      <c r="F4330" s="150" t="s">
        <v>6472</v>
      </c>
      <c r="G4330" s="149" t="s">
        <v>400</v>
      </c>
      <c r="H4330" s="150" t="str">
        <f>IF(Proc[[#This Row],[type]]="LFF (MDG-F)",MID(Proc[[#This Row],[Obj]],13,10),"")</f>
        <v/>
      </c>
      <c r="J4330" s="150" t="b">
        <f>Proc[[#This Row],[Requested]]=Proc[[#This Row],[CurrentParent]]</f>
        <v>1</v>
      </c>
      <c r="K4330" s="150" t="str">
        <f>IF(Proc[[#This Row],[Author]]="Marcela Urrego",VLOOKUP(LEFT(Proc[[#This Row],[Requested]],1),Table3[#All],2,0),VLOOKUP(Proc[[#This Row],[Author]],Table4[],2,0))</f>
        <v>LS</v>
      </c>
      <c r="L4330" s="150" t="s">
        <v>6435</v>
      </c>
      <c r="M4330" s="154">
        <v>45933</v>
      </c>
      <c r="N4330" s="155"/>
      <c r="O4330" s="155"/>
      <c r="P4330" s="154" t="str">
        <f ca="1">IF(Proc[[#This Row],[DaysAgeing]]&gt;5,"yep","on track")</f>
        <v>yep</v>
      </c>
      <c r="Q4330" s="3">
        <f ca="1">IF(Proc[[#This Row],[DateClosed]]="",ABS(NETWORKDAYS(Proc[[#This Row],[DateOpened]],TODAY()))-1,ABS(NETWORKDAYS(Proc[[#This Row],[DateOpened]],Proc[[#This Row],[DateClosed]]))-1)</f>
        <v>50</v>
      </c>
      <c r="R4330" s="154" t="s">
        <v>489</v>
      </c>
      <c r="S4330" s="150"/>
    </row>
    <row r="4331" spans="1:19">
      <c r="A4331" s="149" t="s">
        <v>6451</v>
      </c>
      <c r="B4331" s="150" t="str">
        <f>IFERROR(VLOOKUP(Proc[[#This Row],[App]],Table2[],3,0),"open")</f>
        <v>ok</v>
      </c>
      <c r="C4331" s="149" t="s">
        <v>369</v>
      </c>
      <c r="D4331" t="s">
        <v>3574</v>
      </c>
      <c r="E4331" t="s">
        <v>6472</v>
      </c>
      <c r="F4331" s="150" t="s">
        <v>6472</v>
      </c>
      <c r="G4331" s="149" t="s">
        <v>400</v>
      </c>
      <c r="H4331" s="150" t="str">
        <f>IF(Proc[[#This Row],[type]]="LFF (MDG-F)",MID(Proc[[#This Row],[Obj]],13,10),"")</f>
        <v/>
      </c>
      <c r="J4331" s="150" t="b">
        <f>Proc[[#This Row],[Requested]]=Proc[[#This Row],[CurrentParent]]</f>
        <v>1</v>
      </c>
      <c r="K4331" s="150" t="str">
        <f>IF(Proc[[#This Row],[Author]]="Marcela Urrego",VLOOKUP(LEFT(Proc[[#This Row],[Requested]],1),Table3[#All],2,0),VLOOKUP(Proc[[#This Row],[Author]],Table4[],2,0))</f>
        <v>LS</v>
      </c>
      <c r="L4331" s="150" t="s">
        <v>6435</v>
      </c>
      <c r="M4331" s="154">
        <v>45933</v>
      </c>
      <c r="N4331" s="155"/>
      <c r="O4331" s="155"/>
      <c r="P4331" s="154" t="str">
        <f ca="1">IF(Proc[[#This Row],[DaysAgeing]]&gt;5,"yep","on track")</f>
        <v>yep</v>
      </c>
      <c r="Q4331" s="3">
        <f ca="1">IF(Proc[[#This Row],[DateClosed]]="",ABS(NETWORKDAYS(Proc[[#This Row],[DateOpened]],TODAY()))-1,ABS(NETWORKDAYS(Proc[[#This Row],[DateOpened]],Proc[[#This Row],[DateClosed]]))-1)</f>
        <v>50</v>
      </c>
      <c r="R4331" s="154" t="s">
        <v>489</v>
      </c>
      <c r="S4331" s="150"/>
    </row>
    <row r="4332" spans="1:19">
      <c r="A4332" s="149" t="s">
        <v>6451</v>
      </c>
      <c r="B4332" s="150" t="str">
        <f>IFERROR(VLOOKUP(Proc[[#This Row],[App]],Table2[],3,0),"open")</f>
        <v>ok</v>
      </c>
      <c r="C4332" s="149" t="s">
        <v>369</v>
      </c>
      <c r="D4332" t="s">
        <v>3572</v>
      </c>
      <c r="E4332" t="s">
        <v>6472</v>
      </c>
      <c r="F4332" s="150" t="s">
        <v>6472</v>
      </c>
      <c r="G4332" s="149" t="s">
        <v>400</v>
      </c>
      <c r="H4332" s="150" t="str">
        <f>IF(Proc[[#This Row],[type]]="LFF (MDG-F)",MID(Proc[[#This Row],[Obj]],13,10),"")</f>
        <v/>
      </c>
      <c r="J4332" s="150" t="b">
        <f>Proc[[#This Row],[Requested]]=Proc[[#This Row],[CurrentParent]]</f>
        <v>1</v>
      </c>
      <c r="K4332" s="150" t="str">
        <f>IF(Proc[[#This Row],[Author]]="Marcela Urrego",VLOOKUP(LEFT(Proc[[#This Row],[Requested]],1),Table3[#All],2,0),VLOOKUP(Proc[[#This Row],[Author]],Table4[],2,0))</f>
        <v>LS</v>
      </c>
      <c r="L4332" s="150" t="s">
        <v>6435</v>
      </c>
      <c r="M4332" s="154">
        <v>45933</v>
      </c>
      <c r="N4332" s="155"/>
      <c r="O4332" s="155"/>
      <c r="P4332" s="154" t="str">
        <f ca="1">IF(Proc[[#This Row],[DaysAgeing]]&gt;5,"yep","on track")</f>
        <v>yep</v>
      </c>
      <c r="Q4332" s="3">
        <f ca="1">IF(Proc[[#This Row],[DateClosed]]="",ABS(NETWORKDAYS(Proc[[#This Row],[DateOpened]],TODAY()))-1,ABS(NETWORKDAYS(Proc[[#This Row],[DateOpened]],Proc[[#This Row],[DateClosed]]))-1)</f>
        <v>50</v>
      </c>
      <c r="R4332" s="154" t="s">
        <v>489</v>
      </c>
      <c r="S4332" s="150"/>
    </row>
    <row r="4333" spans="1:19">
      <c r="A4333" s="149" t="s">
        <v>6451</v>
      </c>
      <c r="B4333" s="150" t="str">
        <f>IFERROR(VLOOKUP(Proc[[#This Row],[App]],Table2[],3,0),"open")</f>
        <v>ok</v>
      </c>
      <c r="C4333" s="149" t="s">
        <v>369</v>
      </c>
      <c r="D4333" t="s">
        <v>6464</v>
      </c>
      <c r="E4333" t="s">
        <v>6473</v>
      </c>
      <c r="F4333" s="150" t="s">
        <v>6473</v>
      </c>
      <c r="G4333" s="149" t="s">
        <v>400</v>
      </c>
      <c r="H4333" s="150" t="str">
        <f>IF(Proc[[#This Row],[type]]="LFF (MDG-F)",MID(Proc[[#This Row],[Obj]],13,10),"")</f>
        <v/>
      </c>
      <c r="J4333" s="150" t="b">
        <f>Proc[[#This Row],[Requested]]=Proc[[#This Row],[CurrentParent]]</f>
        <v>1</v>
      </c>
      <c r="K4333" s="150" t="str">
        <f>IF(Proc[[#This Row],[Author]]="Marcela Urrego",VLOOKUP(LEFT(Proc[[#This Row],[Requested]],1),Table3[#All],2,0),VLOOKUP(Proc[[#This Row],[Author]],Table4[],2,0))</f>
        <v>LS</v>
      </c>
      <c r="L4333" s="150" t="s">
        <v>6435</v>
      </c>
      <c r="M4333" s="154">
        <v>45933</v>
      </c>
      <c r="N4333" s="155"/>
      <c r="O4333" s="155"/>
      <c r="P4333" s="154" t="str">
        <f ca="1">IF(Proc[[#This Row],[DaysAgeing]]&gt;5,"yep","on track")</f>
        <v>yep</v>
      </c>
      <c r="Q4333" s="3">
        <f ca="1">IF(Proc[[#This Row],[DateClosed]]="",ABS(NETWORKDAYS(Proc[[#This Row],[DateOpened]],TODAY()))-1,ABS(NETWORKDAYS(Proc[[#This Row],[DateOpened]],Proc[[#This Row],[DateClosed]]))-1)</f>
        <v>50</v>
      </c>
      <c r="R4333" s="154" t="s">
        <v>489</v>
      </c>
      <c r="S4333" s="150"/>
    </row>
    <row r="4334" spans="1:19">
      <c r="A4334" s="149" t="s">
        <v>6451</v>
      </c>
      <c r="B4334" s="150" t="str">
        <f>IFERROR(VLOOKUP(Proc[[#This Row],[App]],Table2[],3,0),"open")</f>
        <v>ok</v>
      </c>
      <c r="C4334" s="149" t="s">
        <v>369</v>
      </c>
      <c r="D4334" t="s">
        <v>6465</v>
      </c>
      <c r="E4334" t="s">
        <v>6473</v>
      </c>
      <c r="F4334" s="150" t="s">
        <v>6473</v>
      </c>
      <c r="G4334" s="149" t="s">
        <v>400</v>
      </c>
      <c r="H4334" s="150" t="str">
        <f>IF(Proc[[#This Row],[type]]="LFF (MDG-F)",MID(Proc[[#This Row],[Obj]],13,10),"")</f>
        <v/>
      </c>
      <c r="J4334" s="150" t="b">
        <f>Proc[[#This Row],[Requested]]=Proc[[#This Row],[CurrentParent]]</f>
        <v>1</v>
      </c>
      <c r="K4334" s="150" t="str">
        <f>IF(Proc[[#This Row],[Author]]="Marcela Urrego",VLOOKUP(LEFT(Proc[[#This Row],[Requested]],1),Table3[#All],2,0),VLOOKUP(Proc[[#This Row],[Author]],Table4[],2,0))</f>
        <v>LS</v>
      </c>
      <c r="L4334" s="150" t="s">
        <v>6435</v>
      </c>
      <c r="M4334" s="154">
        <v>45933</v>
      </c>
      <c r="N4334" s="155"/>
      <c r="O4334" s="155"/>
      <c r="P4334" s="154" t="str">
        <f ca="1">IF(Proc[[#This Row],[DaysAgeing]]&gt;5,"yep","on track")</f>
        <v>yep</v>
      </c>
      <c r="Q4334" s="3">
        <f ca="1">IF(Proc[[#This Row],[DateClosed]]="",ABS(NETWORKDAYS(Proc[[#This Row],[DateOpened]],TODAY()))-1,ABS(NETWORKDAYS(Proc[[#This Row],[DateOpened]],Proc[[#This Row],[DateClosed]]))-1)</f>
        <v>50</v>
      </c>
      <c r="R4334" s="154" t="s">
        <v>489</v>
      </c>
      <c r="S4334" s="150"/>
    </row>
    <row r="4335" spans="1:19">
      <c r="A4335" s="149" t="s">
        <v>6451</v>
      </c>
      <c r="B4335" s="150" t="str">
        <f>IFERROR(VLOOKUP(Proc[[#This Row],[App]],Table2[],3,0),"open")</f>
        <v>ok</v>
      </c>
      <c r="C4335" s="149" t="s">
        <v>369</v>
      </c>
      <c r="D4335" t="s">
        <v>6466</v>
      </c>
      <c r="E4335" t="s">
        <v>6473</v>
      </c>
      <c r="F4335" s="150" t="s">
        <v>6473</v>
      </c>
      <c r="G4335" s="149" t="s">
        <v>400</v>
      </c>
      <c r="H4335" s="150" t="str">
        <f>IF(Proc[[#This Row],[type]]="LFF (MDG-F)",MID(Proc[[#This Row],[Obj]],13,10),"")</f>
        <v/>
      </c>
      <c r="J4335" s="150" t="b">
        <f>Proc[[#This Row],[Requested]]=Proc[[#This Row],[CurrentParent]]</f>
        <v>1</v>
      </c>
      <c r="K4335" s="150" t="str">
        <f>IF(Proc[[#This Row],[Author]]="Marcela Urrego",VLOOKUP(LEFT(Proc[[#This Row],[Requested]],1),Table3[#All],2,0),VLOOKUP(Proc[[#This Row],[Author]],Table4[],2,0))</f>
        <v>LS</v>
      </c>
      <c r="L4335" s="150" t="s">
        <v>6435</v>
      </c>
      <c r="M4335" s="154">
        <v>45933</v>
      </c>
      <c r="N4335" s="155"/>
      <c r="O4335" s="155"/>
      <c r="P4335" s="154" t="str">
        <f ca="1">IF(Proc[[#This Row],[DaysAgeing]]&gt;5,"yep","on track")</f>
        <v>yep</v>
      </c>
      <c r="Q4335" s="3">
        <f ca="1">IF(Proc[[#This Row],[DateClosed]]="",ABS(NETWORKDAYS(Proc[[#This Row],[DateOpened]],TODAY()))-1,ABS(NETWORKDAYS(Proc[[#This Row],[DateOpened]],Proc[[#This Row],[DateClosed]]))-1)</f>
        <v>50</v>
      </c>
      <c r="R4335" s="154" t="s">
        <v>489</v>
      </c>
      <c r="S4335" s="150"/>
    </row>
    <row r="4336" spans="1:19">
      <c r="A4336" s="149" t="s">
        <v>6451</v>
      </c>
      <c r="B4336" s="150" t="str">
        <f>IFERROR(VLOOKUP(Proc[[#This Row],[App]],Table2[],3,0),"open")</f>
        <v>ok</v>
      </c>
      <c r="C4336" s="149" t="s">
        <v>369</v>
      </c>
      <c r="D4336" t="s">
        <v>6467</v>
      </c>
      <c r="E4336" t="s">
        <v>6473</v>
      </c>
      <c r="F4336" s="150" t="s">
        <v>6473</v>
      </c>
      <c r="G4336" s="149" t="s">
        <v>406</v>
      </c>
      <c r="H4336" s="150" t="str">
        <f>IF(Proc[[#This Row],[type]]="LFF (MDG-F)",MID(Proc[[#This Row],[Obj]],13,10),"")</f>
        <v>2102TMCZ90</v>
      </c>
      <c r="J4336" s="150" t="b">
        <f>Proc[[#This Row],[Requested]]=Proc[[#This Row],[CurrentParent]]</f>
        <v>1</v>
      </c>
      <c r="K4336" s="150" t="str">
        <f>IF(Proc[[#This Row],[Author]]="Marcela Urrego",VLOOKUP(LEFT(Proc[[#This Row],[Requested]],1),Table3[#All],2,0),VLOOKUP(Proc[[#This Row],[Author]],Table4[],2,0))</f>
        <v>LS</v>
      </c>
      <c r="L4336" s="150" t="s">
        <v>6435</v>
      </c>
      <c r="M4336" s="154">
        <v>45933</v>
      </c>
      <c r="N4336" s="155"/>
      <c r="O4336" s="155"/>
      <c r="P4336" s="154" t="str">
        <f ca="1">IF(Proc[[#This Row],[DaysAgeing]]&gt;5,"yep","on track")</f>
        <v>yep</v>
      </c>
      <c r="Q4336" s="3">
        <f ca="1">IF(Proc[[#This Row],[DateClosed]]="",ABS(NETWORKDAYS(Proc[[#This Row],[DateOpened]],TODAY()))-1,ABS(NETWORKDAYS(Proc[[#This Row],[DateOpened]],Proc[[#This Row],[DateClosed]]))-1)</f>
        <v>50</v>
      </c>
      <c r="R4336" s="154" t="s">
        <v>489</v>
      </c>
      <c r="S4336" s="150"/>
    </row>
    <row r="4337" spans="1:19">
      <c r="A4337" s="149" t="s">
        <v>6451</v>
      </c>
      <c r="B4337" s="150" t="str">
        <f>IFERROR(VLOOKUP(Proc[[#This Row],[App]],Table2[],3,0),"open")</f>
        <v>ok</v>
      </c>
      <c r="C4337" s="149" t="s">
        <v>369</v>
      </c>
      <c r="D4337" t="s">
        <v>3571</v>
      </c>
      <c r="E4337" t="s">
        <v>6473</v>
      </c>
      <c r="F4337" s="150" t="s">
        <v>6473</v>
      </c>
      <c r="G4337" s="149" t="s">
        <v>400</v>
      </c>
      <c r="H4337" s="150" t="str">
        <f>IF(Proc[[#This Row],[type]]="LFF (MDG-F)",MID(Proc[[#This Row],[Obj]],13,10),"")</f>
        <v/>
      </c>
      <c r="J4337" s="150" t="b">
        <f>Proc[[#This Row],[Requested]]=Proc[[#This Row],[CurrentParent]]</f>
        <v>1</v>
      </c>
      <c r="K4337" s="150" t="str">
        <f>IF(Proc[[#This Row],[Author]]="Marcela Urrego",VLOOKUP(LEFT(Proc[[#This Row],[Requested]],1),Table3[#All],2,0),VLOOKUP(Proc[[#This Row],[Author]],Table4[],2,0))</f>
        <v>LS</v>
      </c>
      <c r="L4337" s="150" t="s">
        <v>6435</v>
      </c>
      <c r="M4337" s="154">
        <v>45933</v>
      </c>
      <c r="N4337" s="155"/>
      <c r="O4337" s="155"/>
      <c r="P4337" s="154" t="str">
        <f ca="1">IF(Proc[[#This Row],[DaysAgeing]]&gt;5,"yep","on track")</f>
        <v>yep</v>
      </c>
      <c r="Q4337" s="3">
        <f ca="1">IF(Proc[[#This Row],[DateClosed]]="",ABS(NETWORKDAYS(Proc[[#This Row],[DateOpened]],TODAY()))-1,ABS(NETWORKDAYS(Proc[[#This Row],[DateOpened]],Proc[[#This Row],[DateClosed]]))-1)</f>
        <v>50</v>
      </c>
      <c r="R4337" s="154" t="s">
        <v>489</v>
      </c>
      <c r="S4337" s="150"/>
    </row>
    <row r="4338" spans="1:19">
      <c r="A4338" s="149" t="s">
        <v>6451</v>
      </c>
      <c r="B4338" s="150" t="str">
        <f>IFERROR(VLOOKUP(Proc[[#This Row],[App]],Table2[],3,0),"open")</f>
        <v>ok</v>
      </c>
      <c r="C4338" s="149" t="s">
        <v>369</v>
      </c>
      <c r="D4338" t="s">
        <v>3573</v>
      </c>
      <c r="E4338" t="s">
        <v>6471</v>
      </c>
      <c r="F4338" s="150" t="s">
        <v>6471</v>
      </c>
      <c r="G4338" s="149" t="s">
        <v>400</v>
      </c>
      <c r="H4338" s="150" t="str">
        <f>IF(Proc[[#This Row],[type]]="LFF (MDG-F)",MID(Proc[[#This Row],[Obj]],13,10),"")</f>
        <v/>
      </c>
      <c r="J4338" s="150" t="b">
        <f>Proc[[#This Row],[Requested]]=Proc[[#This Row],[CurrentParent]]</f>
        <v>1</v>
      </c>
      <c r="K4338" s="150" t="str">
        <f>IF(Proc[[#This Row],[Author]]="Marcela Urrego",VLOOKUP(LEFT(Proc[[#This Row],[Requested]],1),Table3[#All],2,0),VLOOKUP(Proc[[#This Row],[Author]],Table4[],2,0))</f>
        <v>LS</v>
      </c>
      <c r="L4338" s="150" t="s">
        <v>6435</v>
      </c>
      <c r="M4338" s="154">
        <v>45933</v>
      </c>
      <c r="N4338" s="155"/>
      <c r="O4338" s="155"/>
      <c r="P4338" s="154" t="str">
        <f ca="1">IF(Proc[[#This Row],[DaysAgeing]]&gt;5,"yep","on track")</f>
        <v>yep</v>
      </c>
      <c r="Q4338" s="3">
        <f ca="1">IF(Proc[[#This Row],[DateClosed]]="",ABS(NETWORKDAYS(Proc[[#This Row],[DateOpened]],TODAY()))-1,ABS(NETWORKDAYS(Proc[[#This Row],[DateOpened]],Proc[[#This Row],[DateClosed]]))-1)</f>
        <v>50</v>
      </c>
      <c r="R4338" s="154" t="s">
        <v>489</v>
      </c>
      <c r="S4338" s="150"/>
    </row>
    <row r="4339" spans="1:19">
      <c r="A4339" t="s">
        <v>6474</v>
      </c>
      <c r="B4339" s="150" t="str">
        <f>IFERROR(VLOOKUP(Proc[[#This Row],[App]],Table2[],3,0),"open")</f>
        <v>ok</v>
      </c>
      <c r="C4339" s="149" t="s">
        <v>369</v>
      </c>
      <c r="D4339" t="s">
        <v>6478</v>
      </c>
      <c r="E4339" t="s">
        <v>6476</v>
      </c>
      <c r="F4339" s="150" t="s">
        <v>6476</v>
      </c>
      <c r="G4339" s="149" t="s">
        <v>400</v>
      </c>
      <c r="H4339" s="150" t="str">
        <f>IF(Proc[[#This Row],[type]]="LFF (MDG-F)",MID(Proc[[#This Row],[Obj]],13,10),"")</f>
        <v/>
      </c>
      <c r="J4339" s="150" t="b">
        <f>Proc[[#This Row],[Requested]]=Proc[[#This Row],[CurrentParent]]</f>
        <v>1</v>
      </c>
      <c r="K4339" s="150" t="str">
        <f>IF(Proc[[#This Row],[Author]]="Marcela Urrego",VLOOKUP(LEFT(Proc[[#This Row],[Requested]],1),Table3[#All],2,0),VLOOKUP(Proc[[#This Row],[Author]],Table4[],2,0))</f>
        <v>LS</v>
      </c>
      <c r="L4339" s="150" t="s">
        <v>6435</v>
      </c>
      <c r="M4339" s="154">
        <v>45933</v>
      </c>
      <c r="N4339" s="155"/>
      <c r="O4339" s="155"/>
      <c r="P4339" s="154" t="str">
        <f ca="1">IF(Proc[[#This Row],[DaysAgeing]]&gt;5,"yep","on track")</f>
        <v>yep</v>
      </c>
      <c r="Q4339" s="3">
        <f ca="1">IF(Proc[[#This Row],[DateClosed]]="",ABS(NETWORKDAYS(Proc[[#This Row],[DateOpened]],TODAY()))-1,ABS(NETWORKDAYS(Proc[[#This Row],[DateOpened]],Proc[[#This Row],[DateClosed]]))-1)</f>
        <v>50</v>
      </c>
      <c r="R4339" s="154" t="s">
        <v>489</v>
      </c>
      <c r="S4339" s="150"/>
    </row>
    <row r="4340" spans="1:19">
      <c r="A4340" s="149" t="s">
        <v>6474</v>
      </c>
      <c r="B4340" s="150" t="str">
        <f>IFERROR(VLOOKUP(Proc[[#This Row],[App]],Table2[],3,0),"open")</f>
        <v>ok</v>
      </c>
      <c r="C4340" s="149" t="s">
        <v>369</v>
      </c>
      <c r="D4340" t="s">
        <v>6475</v>
      </c>
      <c r="E4340" t="s">
        <v>6472</v>
      </c>
      <c r="F4340" s="150" t="s">
        <v>6472</v>
      </c>
      <c r="G4340" t="s">
        <v>406</v>
      </c>
      <c r="H4340" s="150" t="str">
        <f>IF(Proc[[#This Row],[type]]="LFF (MDG-F)",MID(Proc[[#This Row],[Obj]],13,10),"")</f>
        <v>1937TMCZ95</v>
      </c>
      <c r="J4340" s="150" t="b">
        <f>Proc[[#This Row],[Requested]]=Proc[[#This Row],[CurrentParent]]</f>
        <v>1</v>
      </c>
      <c r="K4340" s="150" t="str">
        <f>IF(Proc[[#This Row],[Author]]="Marcela Urrego",VLOOKUP(LEFT(Proc[[#This Row],[Requested]],1),Table3[#All],2,0),VLOOKUP(Proc[[#This Row],[Author]],Table4[],2,0))</f>
        <v>LS</v>
      </c>
      <c r="L4340" s="150" t="s">
        <v>6435</v>
      </c>
      <c r="M4340" s="154">
        <v>45933</v>
      </c>
      <c r="N4340" s="155"/>
      <c r="O4340" s="155"/>
      <c r="P4340" s="154" t="str">
        <f ca="1">IF(Proc[[#This Row],[DaysAgeing]]&gt;5,"yep","on track")</f>
        <v>yep</v>
      </c>
      <c r="Q4340" s="3">
        <f ca="1">IF(Proc[[#This Row],[DateClosed]]="",ABS(NETWORKDAYS(Proc[[#This Row],[DateOpened]],TODAY()))-1,ABS(NETWORKDAYS(Proc[[#This Row],[DateOpened]],Proc[[#This Row],[DateClosed]]))-1)</f>
        <v>50</v>
      </c>
      <c r="R4340" s="154" t="s">
        <v>489</v>
      </c>
      <c r="S4340" s="150"/>
    </row>
    <row r="4341" spans="1:19">
      <c r="A4341" t="s">
        <v>6479</v>
      </c>
      <c r="B4341" s="150" t="str">
        <f>IFERROR(VLOOKUP(Proc[[#This Row],[App]],Table2[],3,0),"open")</f>
        <v>ok</v>
      </c>
      <c r="C4341" s="149" t="s">
        <v>369</v>
      </c>
      <c r="D4341" t="s">
        <v>6502</v>
      </c>
      <c r="E4341" t="s">
        <v>424</v>
      </c>
      <c r="F4341" s="150" t="s">
        <v>424</v>
      </c>
      <c r="G4341" t="s">
        <v>400</v>
      </c>
      <c r="H4341" s="150" t="str">
        <f>IF(Proc[[#This Row],[type]]="LFF (MDG-F)",MID(Proc[[#This Row],[Obj]],13,10),"")</f>
        <v/>
      </c>
      <c r="J4341" s="150" t="b">
        <f>Proc[[#This Row],[Requested]]=Proc[[#This Row],[CurrentParent]]</f>
        <v>1</v>
      </c>
      <c r="K4341" s="150" t="str">
        <f>IF(Proc[[#This Row],[Author]]="Marcela Urrego",VLOOKUP(LEFT(Proc[[#This Row],[Requested]],1),Table3[#All],2,0),VLOOKUP(Proc[[#This Row],[Author]],Table4[],2,0))</f>
        <v>MGF</v>
      </c>
      <c r="L4341" s="150" t="s">
        <v>6435</v>
      </c>
      <c r="M4341" s="155">
        <v>45933</v>
      </c>
      <c r="N4341" s="155"/>
      <c r="O4341" s="155"/>
      <c r="P4341" s="156" t="str">
        <f ca="1">IF(Proc[[#This Row],[DaysAgeing]]&gt;5,"yep","on track")</f>
        <v>yep</v>
      </c>
      <c r="Q4341" s="3">
        <f ca="1">IF(Proc[[#This Row],[DateClosed]]="",ABS(NETWORKDAYS(Proc[[#This Row],[DateOpened]],TODAY()))-1,ABS(NETWORKDAYS(Proc[[#This Row],[DateOpened]],Proc[[#This Row],[DateClosed]]))-1)</f>
        <v>50</v>
      </c>
      <c r="R4341" s="156" t="s">
        <v>1459</v>
      </c>
      <c r="S4341" s="150"/>
    </row>
    <row r="4342" spans="1:19">
      <c r="A4342" t="s">
        <v>6479</v>
      </c>
      <c r="B4342" s="150" t="str">
        <f>IFERROR(VLOOKUP(Proc[[#This Row],[App]],Table2[],3,0),"open")</f>
        <v>ok</v>
      </c>
      <c r="C4342" s="149" t="s">
        <v>369</v>
      </c>
      <c r="D4342" t="s">
        <v>6503</v>
      </c>
      <c r="E4342" t="s">
        <v>425</v>
      </c>
      <c r="F4342" s="150" t="s">
        <v>425</v>
      </c>
      <c r="G4342" t="s">
        <v>400</v>
      </c>
      <c r="H4342" s="150" t="str">
        <f>IF(Proc[[#This Row],[type]]="LFF (MDG-F)",MID(Proc[[#This Row],[Obj]],13,10),"")</f>
        <v/>
      </c>
      <c r="J4342" s="150" t="b">
        <f>Proc[[#This Row],[Requested]]=Proc[[#This Row],[CurrentParent]]</f>
        <v>1</v>
      </c>
      <c r="K4342" s="150" t="str">
        <f>IF(Proc[[#This Row],[Author]]="Marcela Urrego",VLOOKUP(LEFT(Proc[[#This Row],[Requested]],1),Table3[#All],2,0),VLOOKUP(Proc[[#This Row],[Author]],Table4[],2,0))</f>
        <v>MGF</v>
      </c>
      <c r="L4342" s="150" t="s">
        <v>6435</v>
      </c>
      <c r="M4342" s="155">
        <v>45933</v>
      </c>
      <c r="N4342" s="155"/>
      <c r="O4342" s="155"/>
      <c r="P4342" s="156" t="str">
        <f ca="1">IF(Proc[[#This Row],[DaysAgeing]]&gt;5,"yep","on track")</f>
        <v>yep</v>
      </c>
      <c r="Q4342" s="3">
        <f ca="1">IF(Proc[[#This Row],[DateClosed]]="",ABS(NETWORKDAYS(Proc[[#This Row],[DateOpened]],TODAY()))-1,ABS(NETWORKDAYS(Proc[[#This Row],[DateOpened]],Proc[[#This Row],[DateClosed]]))-1)</f>
        <v>50</v>
      </c>
      <c r="R4342" s="156" t="s">
        <v>1459</v>
      </c>
      <c r="S4342" s="150"/>
    </row>
    <row r="4343" spans="1:19">
      <c r="A4343" t="s">
        <v>6481</v>
      </c>
      <c r="B4343" s="150" t="str">
        <f>IFERROR(VLOOKUP(Proc[[#This Row],[App]],Table2[],3,0),"open")</f>
        <v>ok</v>
      </c>
      <c r="C4343" s="149" t="s">
        <v>369</v>
      </c>
      <c r="D4343" t="s">
        <v>6506</v>
      </c>
      <c r="E4343" t="s">
        <v>4764</v>
      </c>
      <c r="F4343" s="150" t="s">
        <v>4764</v>
      </c>
      <c r="G4343" t="s">
        <v>406</v>
      </c>
      <c r="H4343" s="150" t="str">
        <f>IF(Proc[[#This Row],[type]]="LFF (MDG-F)",MID(Proc[[#This Row],[Obj]],13,10),"")</f>
        <v>AE50R0GR12</v>
      </c>
      <c r="J4343" s="150" t="b">
        <f>Proc[[#This Row],[Requested]]=Proc[[#This Row],[CurrentParent]]</f>
        <v>1</v>
      </c>
      <c r="K4343" s="150" t="str">
        <f>IF(Proc[[#This Row],[Author]]="Marcela Urrego",VLOOKUP(LEFT(Proc[[#This Row],[Requested]],1),Table3[#All],2,0),VLOOKUP(Proc[[#This Row],[Author]],Table4[],2,0))</f>
        <v>HC</v>
      </c>
      <c r="L4343" s="150" t="s">
        <v>6435</v>
      </c>
      <c r="M4343" s="155">
        <v>45937</v>
      </c>
      <c r="N4343" s="155"/>
      <c r="O4343" s="155"/>
      <c r="P4343" s="156" t="str">
        <f ca="1">IF(Proc[[#This Row],[DaysAgeing]]&gt;5,"yep","on track")</f>
        <v>yep</v>
      </c>
      <c r="Q4343" s="3">
        <f ca="1">IF(Proc[[#This Row],[DateClosed]]="",ABS(NETWORKDAYS(Proc[[#This Row],[DateOpened]],TODAY()))-1,ABS(NETWORKDAYS(Proc[[#This Row],[DateOpened]],Proc[[#This Row],[DateClosed]]))-1)</f>
        <v>48</v>
      </c>
      <c r="R4343" s="156" t="s">
        <v>410</v>
      </c>
      <c r="S4343" s="150"/>
    </row>
    <row r="4344" spans="1:19">
      <c r="A4344" s="149" t="s">
        <v>6481</v>
      </c>
      <c r="B4344" s="150" t="str">
        <f>IFERROR(VLOOKUP(Proc[[#This Row],[App]],Table2[],3,0),"open")</f>
        <v>ok</v>
      </c>
      <c r="C4344" s="149" t="s">
        <v>369</v>
      </c>
      <c r="D4344" t="s">
        <v>6480</v>
      </c>
      <c r="E4344" t="s">
        <v>4764</v>
      </c>
      <c r="F4344" s="150" t="s">
        <v>4764</v>
      </c>
      <c r="G4344" t="s">
        <v>400</v>
      </c>
      <c r="H4344" s="150" t="str">
        <f>IF(Proc[[#This Row],[type]]="LFF (MDG-F)",MID(Proc[[#This Row],[Obj]],13,10),"")</f>
        <v/>
      </c>
      <c r="J4344" s="150" t="b">
        <f>Proc[[#This Row],[Requested]]=Proc[[#This Row],[CurrentParent]]</f>
        <v>1</v>
      </c>
      <c r="K4344" s="150" t="str">
        <f>IF(Proc[[#This Row],[Author]]="Marcela Urrego",VLOOKUP(LEFT(Proc[[#This Row],[Requested]],1),Table3[#All],2,0),VLOOKUP(Proc[[#This Row],[Author]],Table4[],2,0))</f>
        <v>HC</v>
      </c>
      <c r="L4344" s="150" t="s">
        <v>6435</v>
      </c>
      <c r="M4344" s="155">
        <v>45937</v>
      </c>
      <c r="N4344" s="155"/>
      <c r="O4344" s="155"/>
      <c r="P4344" s="156" t="str">
        <f ca="1">IF(Proc[[#This Row],[DaysAgeing]]&gt;5,"yep","on track")</f>
        <v>yep</v>
      </c>
      <c r="Q4344" s="3">
        <f ca="1">IF(Proc[[#This Row],[DateClosed]]="",ABS(NETWORKDAYS(Proc[[#This Row],[DateOpened]],TODAY()))-1,ABS(NETWORKDAYS(Proc[[#This Row],[DateOpened]],Proc[[#This Row],[DateClosed]]))-1)</f>
        <v>48</v>
      </c>
      <c r="R4344" s="156" t="s">
        <v>410</v>
      </c>
      <c r="S4344" s="150"/>
    </row>
    <row r="4345" spans="1:19">
      <c r="A4345" t="s">
        <v>6484</v>
      </c>
      <c r="B4345" s="150" t="str">
        <f>IFERROR(VLOOKUP(Proc[[#This Row],[App]],Table2[],3,0),"open")</f>
        <v>ok</v>
      </c>
      <c r="C4345" s="149" t="s">
        <v>369</v>
      </c>
      <c r="D4345" t="s">
        <v>6482</v>
      </c>
      <c r="E4345" t="s">
        <v>6473</v>
      </c>
      <c r="F4345" s="150" t="s">
        <v>6473</v>
      </c>
      <c r="G4345" t="s">
        <v>400</v>
      </c>
      <c r="H4345" s="150" t="str">
        <f>IF(Proc[[#This Row],[type]]="LFF (MDG-F)",MID(Proc[[#This Row],[Obj]],13,10),"")</f>
        <v/>
      </c>
      <c r="J4345" s="150" t="b">
        <f>Proc[[#This Row],[Requested]]=Proc[[#This Row],[CurrentParent]]</f>
        <v>1</v>
      </c>
      <c r="K4345" s="150" t="str">
        <f>IF(Proc[[#This Row],[Author]]="Marcela Urrego",VLOOKUP(LEFT(Proc[[#This Row],[Requested]],1),Table3[#All],2,0),VLOOKUP(Proc[[#This Row],[Author]],Table4[],2,0))</f>
        <v>LS</v>
      </c>
      <c r="L4345" s="150" t="s">
        <v>6435</v>
      </c>
      <c r="M4345" s="155">
        <v>45937</v>
      </c>
      <c r="N4345" s="155"/>
      <c r="O4345" s="155"/>
      <c r="P4345" s="156" t="str">
        <f ca="1">IF(Proc[[#This Row],[DaysAgeing]]&gt;5,"yep","on track")</f>
        <v>yep</v>
      </c>
      <c r="Q4345" s="3">
        <f ca="1">IF(Proc[[#This Row],[DateClosed]]="",ABS(NETWORKDAYS(Proc[[#This Row],[DateOpened]],TODAY()))-1,ABS(NETWORKDAYS(Proc[[#This Row],[DateOpened]],Proc[[#This Row],[DateClosed]]))-1)</f>
        <v>48</v>
      </c>
      <c r="R4345" s="156" t="s">
        <v>489</v>
      </c>
      <c r="S4345" s="150"/>
    </row>
    <row r="4346" spans="1:19">
      <c r="A4346" t="s">
        <v>6484</v>
      </c>
      <c r="B4346" s="150" t="str">
        <f>IFERROR(VLOOKUP(Proc[[#This Row],[App]],Table2[],3,0),"open")</f>
        <v>ok</v>
      </c>
      <c r="C4346" s="149" t="s">
        <v>369</v>
      </c>
      <c r="D4346" t="s">
        <v>6483</v>
      </c>
      <c r="E4346" t="s">
        <v>6473</v>
      </c>
      <c r="F4346" s="150" t="s">
        <v>6473</v>
      </c>
      <c r="G4346" t="s">
        <v>400</v>
      </c>
      <c r="H4346" s="150" t="str">
        <f>IF(Proc[[#This Row],[type]]="LFF (MDG-F)",MID(Proc[[#This Row],[Obj]],13,10),"")</f>
        <v/>
      </c>
      <c r="J4346" s="150" t="b">
        <f>Proc[[#This Row],[Requested]]=Proc[[#This Row],[CurrentParent]]</f>
        <v>1</v>
      </c>
      <c r="K4346" s="150" t="str">
        <f>IF(Proc[[#This Row],[Author]]="Marcela Urrego",VLOOKUP(LEFT(Proc[[#This Row],[Requested]],1),Table3[#All],2,0),VLOOKUP(Proc[[#This Row],[Author]],Table4[],2,0))</f>
        <v>LS</v>
      </c>
      <c r="L4346" s="150" t="s">
        <v>6435</v>
      </c>
      <c r="M4346" s="155">
        <v>45937</v>
      </c>
      <c r="N4346" s="155"/>
      <c r="O4346" s="155"/>
      <c r="P4346" s="156" t="str">
        <f ca="1">IF(Proc[[#This Row],[DaysAgeing]]&gt;5,"yep","on track")</f>
        <v>yep</v>
      </c>
      <c r="Q4346" s="3">
        <f ca="1">IF(Proc[[#This Row],[DateClosed]]="",ABS(NETWORKDAYS(Proc[[#This Row],[DateOpened]],TODAY()))-1,ABS(NETWORKDAYS(Proc[[#This Row],[DateOpened]],Proc[[#This Row],[DateClosed]]))-1)</f>
        <v>48</v>
      </c>
      <c r="R4346" s="156" t="s">
        <v>489</v>
      </c>
      <c r="S4346" s="150"/>
    </row>
    <row r="4347" spans="1:19">
      <c r="A4347" t="s">
        <v>6485</v>
      </c>
      <c r="B4347" s="150" t="str">
        <f>IFERROR(VLOOKUP(Proc[[#This Row],[App]],Table2[],3,0),"open")</f>
        <v>ok</v>
      </c>
      <c r="C4347" s="149" t="s">
        <v>369</v>
      </c>
      <c r="D4347" t="s">
        <v>6486</v>
      </c>
      <c r="E4347" t="s">
        <v>6476</v>
      </c>
      <c r="F4347" s="150" t="s">
        <v>6476</v>
      </c>
      <c r="G4347" t="s">
        <v>400</v>
      </c>
      <c r="H4347" s="150" t="str">
        <f>IF(Proc[[#This Row],[type]]="LFF (MDG-F)",MID(Proc[[#This Row],[Obj]],13,10),"")</f>
        <v/>
      </c>
      <c r="J4347" s="150" t="b">
        <f>Proc[[#This Row],[Requested]]=Proc[[#This Row],[CurrentParent]]</f>
        <v>1</v>
      </c>
      <c r="K4347" s="150" t="str">
        <f>IF(Proc[[#This Row],[Author]]="Marcela Urrego",VLOOKUP(LEFT(Proc[[#This Row],[Requested]],1),Table3[#All],2,0),VLOOKUP(Proc[[#This Row],[Author]],Table4[],2,0))</f>
        <v>LS</v>
      </c>
      <c r="L4347" s="150" t="s">
        <v>6435</v>
      </c>
      <c r="M4347" s="155">
        <v>45937</v>
      </c>
      <c r="N4347" s="155"/>
      <c r="O4347" s="155"/>
      <c r="P4347" s="156" t="str">
        <f ca="1">IF(Proc[[#This Row],[DaysAgeing]]&gt;5,"yep","on track")</f>
        <v>yep</v>
      </c>
      <c r="Q4347" s="3">
        <f ca="1">IF(Proc[[#This Row],[DateClosed]]="",ABS(NETWORKDAYS(Proc[[#This Row],[DateOpened]],TODAY()))-1,ABS(NETWORKDAYS(Proc[[#This Row],[DateOpened]],Proc[[#This Row],[DateClosed]]))-1)</f>
        <v>48</v>
      </c>
      <c r="R4347" s="156" t="s">
        <v>489</v>
      </c>
      <c r="S4347" s="150"/>
    </row>
    <row r="4348" spans="1:19">
      <c r="A4348" t="s">
        <v>6485</v>
      </c>
      <c r="B4348" s="150" t="str">
        <f>IFERROR(VLOOKUP(Proc[[#This Row],[App]],Table2[],3,0),"open")</f>
        <v>ok</v>
      </c>
      <c r="C4348" s="149" t="s">
        <v>369</v>
      </c>
      <c r="D4348" t="s">
        <v>6487</v>
      </c>
      <c r="E4348" t="s">
        <v>2367</v>
      </c>
      <c r="F4348" s="150" t="s">
        <v>2367</v>
      </c>
      <c r="G4348" t="s">
        <v>400</v>
      </c>
      <c r="H4348" s="150" t="str">
        <f>IF(Proc[[#This Row],[type]]="LFF (MDG-F)",MID(Proc[[#This Row],[Obj]],13,10),"")</f>
        <v/>
      </c>
      <c r="J4348" s="150" t="b">
        <f>Proc[[#This Row],[Requested]]=Proc[[#This Row],[CurrentParent]]</f>
        <v>1</v>
      </c>
      <c r="K4348" s="150" t="str">
        <f>IF(Proc[[#This Row],[Author]]="Marcela Urrego",VLOOKUP(LEFT(Proc[[#This Row],[Requested]],1),Table3[#All],2,0),VLOOKUP(Proc[[#This Row],[Author]],Table4[],2,0))</f>
        <v>LS</v>
      </c>
      <c r="L4348" s="150" t="s">
        <v>6435</v>
      </c>
      <c r="M4348" s="155">
        <v>45937</v>
      </c>
      <c r="N4348" s="155"/>
      <c r="O4348" s="155"/>
      <c r="P4348" s="156" t="str">
        <f ca="1">IF(Proc[[#This Row],[DaysAgeing]]&gt;5,"yep","on track")</f>
        <v>yep</v>
      </c>
      <c r="Q4348" s="3">
        <f ca="1">IF(Proc[[#This Row],[DateClosed]]="",ABS(NETWORKDAYS(Proc[[#This Row],[DateOpened]],TODAY()))-1,ABS(NETWORKDAYS(Proc[[#This Row],[DateOpened]],Proc[[#This Row],[DateClosed]]))-1)</f>
        <v>48</v>
      </c>
      <c r="R4348" s="156" t="s">
        <v>489</v>
      </c>
      <c r="S4348" s="150"/>
    </row>
    <row r="4349" spans="1:19">
      <c r="A4349" s="149" t="s">
        <v>6485</v>
      </c>
      <c r="B4349" s="150" t="str">
        <f>IFERROR(VLOOKUP(Proc[[#This Row],[App]],Table2[],3,0),"open")</f>
        <v>ok</v>
      </c>
      <c r="C4349" s="149" t="s">
        <v>369</v>
      </c>
      <c r="D4349" t="s">
        <v>6488</v>
      </c>
      <c r="E4349" t="s">
        <v>2367</v>
      </c>
      <c r="F4349" s="150" t="s">
        <v>2367</v>
      </c>
      <c r="G4349" s="149" t="s">
        <v>400</v>
      </c>
      <c r="H4349" s="150" t="str">
        <f>IF(Proc[[#This Row],[type]]="LFF (MDG-F)",MID(Proc[[#This Row],[Obj]],13,10),"")</f>
        <v/>
      </c>
      <c r="J4349" s="150" t="b">
        <f>Proc[[#This Row],[Requested]]=Proc[[#This Row],[CurrentParent]]</f>
        <v>1</v>
      </c>
      <c r="K4349" s="150" t="str">
        <f>IF(Proc[[#This Row],[Author]]="Marcela Urrego",VLOOKUP(LEFT(Proc[[#This Row],[Requested]],1),Table3[#All],2,0),VLOOKUP(Proc[[#This Row],[Author]],Table4[],2,0))</f>
        <v>LS</v>
      </c>
      <c r="L4349" s="150" t="s">
        <v>6435</v>
      </c>
      <c r="M4349" s="155">
        <v>45937</v>
      </c>
      <c r="N4349" s="155"/>
      <c r="O4349" s="155"/>
      <c r="P4349" s="156" t="str">
        <f ca="1">IF(Proc[[#This Row],[DaysAgeing]]&gt;5,"yep","on track")</f>
        <v>yep</v>
      </c>
      <c r="Q4349" s="3">
        <f ca="1">IF(Proc[[#This Row],[DateClosed]]="",ABS(NETWORKDAYS(Proc[[#This Row],[DateOpened]],TODAY()))-1,ABS(NETWORKDAYS(Proc[[#This Row],[DateOpened]],Proc[[#This Row],[DateClosed]]))-1)</f>
        <v>48</v>
      </c>
      <c r="R4349" s="156" t="s">
        <v>489</v>
      </c>
      <c r="S4349" s="150"/>
    </row>
    <row r="4350" spans="1:19">
      <c r="A4350" s="149" t="s">
        <v>6485</v>
      </c>
      <c r="B4350" s="150" t="str">
        <f>IFERROR(VLOOKUP(Proc[[#This Row],[App]],Table2[],3,0),"open")</f>
        <v>ok</v>
      </c>
      <c r="C4350" s="149" t="s">
        <v>369</v>
      </c>
      <c r="D4350" t="s">
        <v>6489</v>
      </c>
      <c r="E4350" t="s">
        <v>2367</v>
      </c>
      <c r="F4350" s="150" t="s">
        <v>2367</v>
      </c>
      <c r="G4350" s="149" t="s">
        <v>400</v>
      </c>
      <c r="H4350" s="150" t="str">
        <f>IF(Proc[[#This Row],[type]]="LFF (MDG-F)",MID(Proc[[#This Row],[Obj]],13,10),"")</f>
        <v/>
      </c>
      <c r="J4350" s="150" t="b">
        <f>Proc[[#This Row],[Requested]]=Proc[[#This Row],[CurrentParent]]</f>
        <v>1</v>
      </c>
      <c r="K4350" s="150" t="str">
        <f>IF(Proc[[#This Row],[Author]]="Marcela Urrego",VLOOKUP(LEFT(Proc[[#This Row],[Requested]],1),Table3[#All],2,0),VLOOKUP(Proc[[#This Row],[Author]],Table4[],2,0))</f>
        <v>LS</v>
      </c>
      <c r="L4350" s="150" t="s">
        <v>6435</v>
      </c>
      <c r="M4350" s="155">
        <v>45937</v>
      </c>
      <c r="N4350" s="155"/>
      <c r="O4350" s="155"/>
      <c r="P4350" s="156" t="str">
        <f ca="1">IF(Proc[[#This Row],[DaysAgeing]]&gt;5,"yep","on track")</f>
        <v>yep</v>
      </c>
      <c r="Q4350" s="3">
        <f ca="1">IF(Proc[[#This Row],[DateClosed]]="",ABS(NETWORKDAYS(Proc[[#This Row],[DateOpened]],TODAY()))-1,ABS(NETWORKDAYS(Proc[[#This Row],[DateOpened]],Proc[[#This Row],[DateClosed]]))-1)</f>
        <v>48</v>
      </c>
      <c r="R4350" s="156" t="s">
        <v>489</v>
      </c>
      <c r="S4350" s="150"/>
    </row>
    <row r="4351" spans="1:19">
      <c r="A4351" s="149" t="s">
        <v>6485</v>
      </c>
      <c r="B4351" s="150" t="str">
        <f>IFERROR(VLOOKUP(Proc[[#This Row],[App]],Table2[],3,0),"open")</f>
        <v>ok</v>
      </c>
      <c r="C4351" s="149" t="s">
        <v>369</v>
      </c>
      <c r="D4351" t="s">
        <v>6490</v>
      </c>
      <c r="E4351" t="s">
        <v>2367</v>
      </c>
      <c r="F4351" s="150" t="s">
        <v>2367</v>
      </c>
      <c r="G4351" s="149" t="s">
        <v>400</v>
      </c>
      <c r="H4351" s="150" t="str">
        <f>IF(Proc[[#This Row],[type]]="LFF (MDG-F)",MID(Proc[[#This Row],[Obj]],13,10),"")</f>
        <v/>
      </c>
      <c r="J4351" s="150" t="b">
        <f>Proc[[#This Row],[Requested]]=Proc[[#This Row],[CurrentParent]]</f>
        <v>1</v>
      </c>
      <c r="K4351" s="150" t="str">
        <f>IF(Proc[[#This Row],[Author]]="Marcela Urrego",VLOOKUP(LEFT(Proc[[#This Row],[Requested]],1),Table3[#All],2,0),VLOOKUP(Proc[[#This Row],[Author]],Table4[],2,0))</f>
        <v>LS</v>
      </c>
      <c r="L4351" s="150" t="s">
        <v>6435</v>
      </c>
      <c r="M4351" s="155">
        <v>45937</v>
      </c>
      <c r="N4351" s="155"/>
      <c r="O4351" s="155"/>
      <c r="P4351" s="156" t="str">
        <f ca="1">IF(Proc[[#This Row],[DaysAgeing]]&gt;5,"yep","on track")</f>
        <v>yep</v>
      </c>
      <c r="Q4351" s="3">
        <f ca="1">IF(Proc[[#This Row],[DateClosed]]="",ABS(NETWORKDAYS(Proc[[#This Row],[DateOpened]],TODAY()))-1,ABS(NETWORKDAYS(Proc[[#This Row],[DateOpened]],Proc[[#This Row],[DateClosed]]))-1)</f>
        <v>48</v>
      </c>
      <c r="R4351" s="156" t="s">
        <v>489</v>
      </c>
      <c r="S4351" s="150"/>
    </row>
    <row r="4352" spans="1:19">
      <c r="A4352" s="149" t="s">
        <v>6485</v>
      </c>
      <c r="B4352" s="150" t="str">
        <f>IFERROR(VLOOKUP(Proc[[#This Row],[App]],Table2[],3,0),"open")</f>
        <v>ok</v>
      </c>
      <c r="C4352" s="149" t="s">
        <v>369</v>
      </c>
      <c r="D4352" t="s">
        <v>6491</v>
      </c>
      <c r="E4352" t="s">
        <v>6498</v>
      </c>
      <c r="F4352" s="150" t="s">
        <v>6498</v>
      </c>
      <c r="G4352" s="149" t="s">
        <v>400</v>
      </c>
      <c r="H4352" s="150" t="str">
        <f>IF(Proc[[#This Row],[type]]="LFF (MDG-F)",MID(Proc[[#This Row],[Obj]],13,10),"")</f>
        <v/>
      </c>
      <c r="J4352" s="150" t="b">
        <f>Proc[[#This Row],[Requested]]=Proc[[#This Row],[CurrentParent]]</f>
        <v>1</v>
      </c>
      <c r="K4352" s="150" t="str">
        <f>IF(Proc[[#This Row],[Author]]="Marcela Urrego",VLOOKUP(LEFT(Proc[[#This Row],[Requested]],1),Table3[#All],2,0),VLOOKUP(Proc[[#This Row],[Author]],Table4[],2,0))</f>
        <v>LS</v>
      </c>
      <c r="L4352" s="150" t="s">
        <v>6435</v>
      </c>
      <c r="M4352" s="155">
        <v>45937</v>
      </c>
      <c r="N4352" s="155"/>
      <c r="O4352" s="155"/>
      <c r="P4352" s="156" t="str">
        <f ca="1">IF(Proc[[#This Row],[DaysAgeing]]&gt;5,"yep","on track")</f>
        <v>yep</v>
      </c>
      <c r="Q4352" s="3">
        <f ca="1">IF(Proc[[#This Row],[DateClosed]]="",ABS(NETWORKDAYS(Proc[[#This Row],[DateOpened]],TODAY()))-1,ABS(NETWORKDAYS(Proc[[#This Row],[DateOpened]],Proc[[#This Row],[DateClosed]]))-1)</f>
        <v>48</v>
      </c>
      <c r="R4352" s="156" t="s">
        <v>489</v>
      </c>
      <c r="S4352" s="150"/>
    </row>
    <row r="4353" spans="1:19">
      <c r="A4353" s="149" t="s">
        <v>6485</v>
      </c>
      <c r="B4353" s="150" t="str">
        <f>IFERROR(VLOOKUP(Proc[[#This Row],[App]],Table2[],3,0),"open")</f>
        <v>ok</v>
      </c>
      <c r="C4353" s="149" t="s">
        <v>369</v>
      </c>
      <c r="D4353" t="s">
        <v>6492</v>
      </c>
      <c r="E4353" t="s">
        <v>2200</v>
      </c>
      <c r="F4353" s="150" t="s">
        <v>2200</v>
      </c>
      <c r="G4353" s="149" t="s">
        <v>400</v>
      </c>
      <c r="H4353" s="150" t="str">
        <f>IF(Proc[[#This Row],[type]]="LFF (MDG-F)",MID(Proc[[#This Row],[Obj]],13,10),"")</f>
        <v/>
      </c>
      <c r="J4353" s="150" t="b">
        <f>Proc[[#This Row],[Requested]]=Proc[[#This Row],[CurrentParent]]</f>
        <v>1</v>
      </c>
      <c r="K4353" s="150" t="str">
        <f>IF(Proc[[#This Row],[Author]]="Marcela Urrego",VLOOKUP(LEFT(Proc[[#This Row],[Requested]],1),Table3[#All],2,0),VLOOKUP(Proc[[#This Row],[Author]],Table4[],2,0))</f>
        <v>LS</v>
      </c>
      <c r="L4353" s="150" t="s">
        <v>6435</v>
      </c>
      <c r="M4353" s="155">
        <v>45937</v>
      </c>
      <c r="N4353" s="155"/>
      <c r="O4353" s="155"/>
      <c r="P4353" s="156" t="str">
        <f ca="1">IF(Proc[[#This Row],[DaysAgeing]]&gt;5,"yep","on track")</f>
        <v>yep</v>
      </c>
      <c r="Q4353" s="3">
        <f ca="1">IF(Proc[[#This Row],[DateClosed]]="",ABS(NETWORKDAYS(Proc[[#This Row],[DateOpened]],TODAY()))-1,ABS(NETWORKDAYS(Proc[[#This Row],[DateOpened]],Proc[[#This Row],[DateClosed]]))-1)</f>
        <v>48</v>
      </c>
      <c r="R4353" s="156" t="s">
        <v>489</v>
      </c>
      <c r="S4353" s="150"/>
    </row>
    <row r="4354" spans="1:19">
      <c r="A4354" s="149" t="s">
        <v>6485</v>
      </c>
      <c r="B4354" s="150" t="str">
        <f>IFERROR(VLOOKUP(Proc[[#This Row],[App]],Table2[],3,0),"open")</f>
        <v>ok</v>
      </c>
      <c r="C4354" s="149" t="s">
        <v>369</v>
      </c>
      <c r="D4354" t="s">
        <v>6493</v>
      </c>
      <c r="E4354" t="s">
        <v>6499</v>
      </c>
      <c r="F4354" s="150" t="s">
        <v>6499</v>
      </c>
      <c r="G4354" s="149" t="s">
        <v>400</v>
      </c>
      <c r="H4354" s="150" t="str">
        <f>IF(Proc[[#This Row],[type]]="LFF (MDG-F)",MID(Proc[[#This Row],[Obj]],13,10),"")</f>
        <v/>
      </c>
      <c r="J4354" s="150" t="b">
        <f>Proc[[#This Row],[Requested]]=Proc[[#This Row],[CurrentParent]]</f>
        <v>1</v>
      </c>
      <c r="K4354" s="150" t="str">
        <f>IF(Proc[[#This Row],[Author]]="Marcela Urrego",VLOOKUP(LEFT(Proc[[#This Row],[Requested]],1),Table3[#All],2,0),VLOOKUP(Proc[[#This Row],[Author]],Table4[],2,0))</f>
        <v>LS</v>
      </c>
      <c r="L4354" s="150" t="s">
        <v>6435</v>
      </c>
      <c r="M4354" s="155">
        <v>45937</v>
      </c>
      <c r="N4354" s="155"/>
      <c r="O4354" s="155"/>
      <c r="P4354" s="156" t="str">
        <f ca="1">IF(Proc[[#This Row],[DaysAgeing]]&gt;5,"yep","on track")</f>
        <v>yep</v>
      </c>
      <c r="Q4354" s="3">
        <f ca="1">IF(Proc[[#This Row],[DateClosed]]="",ABS(NETWORKDAYS(Proc[[#This Row],[DateOpened]],TODAY()))-1,ABS(NETWORKDAYS(Proc[[#This Row],[DateOpened]],Proc[[#This Row],[DateClosed]]))-1)</f>
        <v>48</v>
      </c>
      <c r="R4354" s="156" t="s">
        <v>489</v>
      </c>
      <c r="S4354" s="150"/>
    </row>
    <row r="4355" spans="1:19">
      <c r="A4355" s="149" t="s">
        <v>6485</v>
      </c>
      <c r="B4355" s="150" t="str">
        <f>IFERROR(VLOOKUP(Proc[[#This Row],[App]],Table2[],3,0),"open")</f>
        <v>ok</v>
      </c>
      <c r="C4355" s="149" t="s">
        <v>369</v>
      </c>
      <c r="D4355" t="s">
        <v>6494</v>
      </c>
      <c r="E4355" t="s">
        <v>3615</v>
      </c>
      <c r="F4355" s="150" t="s">
        <v>3615</v>
      </c>
      <c r="G4355" s="149" t="s">
        <v>400</v>
      </c>
      <c r="H4355" s="150" t="str">
        <f>IF(Proc[[#This Row],[type]]="LFF (MDG-F)",MID(Proc[[#This Row],[Obj]],13,10),"")</f>
        <v/>
      </c>
      <c r="J4355" s="150" t="b">
        <f>Proc[[#This Row],[Requested]]=Proc[[#This Row],[CurrentParent]]</f>
        <v>1</v>
      </c>
      <c r="K4355" s="150" t="str">
        <f>IF(Proc[[#This Row],[Author]]="Marcela Urrego",VLOOKUP(LEFT(Proc[[#This Row],[Requested]],1),Table3[#All],2,0),VLOOKUP(Proc[[#This Row],[Author]],Table4[],2,0))</f>
        <v>LS</v>
      </c>
      <c r="L4355" s="150" t="s">
        <v>6435</v>
      </c>
      <c r="M4355" s="155">
        <v>45937</v>
      </c>
      <c r="N4355" s="155"/>
      <c r="O4355" s="155"/>
      <c r="P4355" s="156" t="str">
        <f ca="1">IF(Proc[[#This Row],[DaysAgeing]]&gt;5,"yep","on track")</f>
        <v>yep</v>
      </c>
      <c r="Q4355" s="3">
        <f ca="1">IF(Proc[[#This Row],[DateClosed]]="",ABS(NETWORKDAYS(Proc[[#This Row],[DateOpened]],TODAY()))-1,ABS(NETWORKDAYS(Proc[[#This Row],[DateOpened]],Proc[[#This Row],[DateClosed]]))-1)</f>
        <v>48</v>
      </c>
      <c r="R4355" s="156" t="s">
        <v>489</v>
      </c>
      <c r="S4355" s="150"/>
    </row>
    <row r="4356" spans="1:19">
      <c r="A4356" s="149" t="s">
        <v>6485</v>
      </c>
      <c r="B4356" s="150" t="str">
        <f>IFERROR(VLOOKUP(Proc[[#This Row],[App]],Table2[],3,0),"open")</f>
        <v>ok</v>
      </c>
      <c r="C4356" s="149" t="s">
        <v>369</v>
      </c>
      <c r="D4356" t="s">
        <v>6495</v>
      </c>
      <c r="E4356" t="s">
        <v>4890</v>
      </c>
      <c r="F4356" s="150" t="s">
        <v>4890</v>
      </c>
      <c r="G4356" s="149" t="s">
        <v>400</v>
      </c>
      <c r="H4356" s="150" t="str">
        <f>IF(Proc[[#This Row],[type]]="LFF (MDG-F)",MID(Proc[[#This Row],[Obj]],13,10),"")</f>
        <v/>
      </c>
      <c r="J4356" s="150" t="b">
        <f>Proc[[#This Row],[Requested]]=Proc[[#This Row],[CurrentParent]]</f>
        <v>1</v>
      </c>
      <c r="K4356" s="150" t="str">
        <f>IF(Proc[[#This Row],[Author]]="Marcela Urrego",VLOOKUP(LEFT(Proc[[#This Row],[Requested]],1),Table3[#All],2,0),VLOOKUP(Proc[[#This Row],[Author]],Table4[],2,0))</f>
        <v>LS</v>
      </c>
      <c r="L4356" s="150" t="s">
        <v>6435</v>
      </c>
      <c r="M4356" s="155">
        <v>45937</v>
      </c>
      <c r="N4356" s="155"/>
      <c r="O4356" s="155"/>
      <c r="P4356" s="156" t="str">
        <f ca="1">IF(Proc[[#This Row],[DaysAgeing]]&gt;5,"yep","on track")</f>
        <v>yep</v>
      </c>
      <c r="Q4356" s="3">
        <f ca="1">IF(Proc[[#This Row],[DateClosed]]="",ABS(NETWORKDAYS(Proc[[#This Row],[DateOpened]],TODAY()))-1,ABS(NETWORKDAYS(Proc[[#This Row],[DateOpened]],Proc[[#This Row],[DateClosed]]))-1)</f>
        <v>48</v>
      </c>
      <c r="R4356" s="156" t="s">
        <v>489</v>
      </c>
      <c r="S4356" s="150"/>
    </row>
    <row r="4357" spans="1:19">
      <c r="A4357" s="149" t="s">
        <v>6485</v>
      </c>
      <c r="B4357" s="150" t="str">
        <f>IFERROR(VLOOKUP(Proc[[#This Row],[App]],Table2[],3,0),"open")</f>
        <v>ok</v>
      </c>
      <c r="C4357" s="149" t="s">
        <v>369</v>
      </c>
      <c r="D4357" t="s">
        <v>6496</v>
      </c>
      <c r="E4357" t="s">
        <v>6500</v>
      </c>
      <c r="F4357" s="150" t="s">
        <v>6500</v>
      </c>
      <c r="G4357" s="149" t="s">
        <v>400</v>
      </c>
      <c r="H4357" s="150" t="str">
        <f>IF(Proc[[#This Row],[type]]="LFF (MDG-F)",MID(Proc[[#This Row],[Obj]],13,10),"")</f>
        <v/>
      </c>
      <c r="J4357" s="150" t="b">
        <f>Proc[[#This Row],[Requested]]=Proc[[#This Row],[CurrentParent]]</f>
        <v>1</v>
      </c>
      <c r="K4357" s="150" t="str">
        <f>IF(Proc[[#This Row],[Author]]="Marcela Urrego",VLOOKUP(LEFT(Proc[[#This Row],[Requested]],1),Table3[#All],2,0),VLOOKUP(Proc[[#This Row],[Author]],Table4[],2,0))</f>
        <v>LS</v>
      </c>
      <c r="L4357" s="150" t="s">
        <v>6435</v>
      </c>
      <c r="M4357" s="155">
        <v>45937</v>
      </c>
      <c r="N4357" s="155"/>
      <c r="O4357" s="155"/>
      <c r="P4357" s="156" t="str">
        <f ca="1">IF(Proc[[#This Row],[DaysAgeing]]&gt;5,"yep","on track")</f>
        <v>yep</v>
      </c>
      <c r="Q4357" s="3">
        <f ca="1">IF(Proc[[#This Row],[DateClosed]]="",ABS(NETWORKDAYS(Proc[[#This Row],[DateOpened]],TODAY()))-1,ABS(NETWORKDAYS(Proc[[#This Row],[DateOpened]],Proc[[#This Row],[DateClosed]]))-1)</f>
        <v>48</v>
      </c>
      <c r="R4357" s="157" t="s">
        <v>489</v>
      </c>
      <c r="S4357" s="150"/>
    </row>
    <row r="4358" spans="1:19">
      <c r="A4358" s="149" t="s">
        <v>6485</v>
      </c>
      <c r="B4358" s="150" t="str">
        <f>IFERROR(VLOOKUP(Proc[[#This Row],[App]],Table2[],3,0),"open")</f>
        <v>ok</v>
      </c>
      <c r="C4358" s="149" t="s">
        <v>369</v>
      </c>
      <c r="D4358" t="s">
        <v>6497</v>
      </c>
      <c r="E4358" t="s">
        <v>2178</v>
      </c>
      <c r="F4358" s="150" t="s">
        <v>2178</v>
      </c>
      <c r="G4358" s="149" t="s">
        <v>400</v>
      </c>
      <c r="H4358" s="150" t="str">
        <f>IF(Proc[[#This Row],[type]]="LFF (MDG-F)",MID(Proc[[#This Row],[Obj]],13,10),"")</f>
        <v/>
      </c>
      <c r="J4358" s="150" t="b">
        <f>Proc[[#This Row],[Requested]]=Proc[[#This Row],[CurrentParent]]</f>
        <v>1</v>
      </c>
      <c r="K4358" s="150" t="str">
        <f>IF(Proc[[#This Row],[Author]]="Marcela Urrego",VLOOKUP(LEFT(Proc[[#This Row],[Requested]],1),Table3[#All],2,0),VLOOKUP(Proc[[#This Row],[Author]],Table4[],2,0))</f>
        <v>LS</v>
      </c>
      <c r="L4358" s="150" t="s">
        <v>6435</v>
      </c>
      <c r="M4358" s="155">
        <v>45937</v>
      </c>
      <c r="N4358" s="155"/>
      <c r="O4358" s="155"/>
      <c r="P4358" s="156" t="str">
        <f ca="1">IF(Proc[[#This Row],[DaysAgeing]]&gt;5,"yep","on track")</f>
        <v>yep</v>
      </c>
      <c r="Q4358" s="3">
        <f ca="1">IF(Proc[[#This Row],[DateClosed]]="",ABS(NETWORKDAYS(Proc[[#This Row],[DateOpened]],TODAY()))-1,ABS(NETWORKDAYS(Proc[[#This Row],[DateOpened]],Proc[[#This Row],[DateClosed]]))-1)</f>
        <v>48</v>
      </c>
      <c r="R4358" s="157" t="s">
        <v>489</v>
      </c>
      <c r="S4358" s="150"/>
    </row>
    <row r="4359" spans="1:19">
      <c r="A4359" s="149" t="s">
        <v>6344</v>
      </c>
      <c r="B4359" s="150" t="str">
        <f>IFERROR(VLOOKUP(Proc[[#This Row],[App]],Table2[],3,0),"open")</f>
        <v>ok</v>
      </c>
      <c r="C4359" t="s">
        <v>369</v>
      </c>
      <c r="D4359" s="149" t="s">
        <v>6333</v>
      </c>
      <c r="E4359" s="149" t="s">
        <v>6501</v>
      </c>
      <c r="F4359" s="149" t="s">
        <v>6501</v>
      </c>
      <c r="G4359" s="149" t="s">
        <v>406</v>
      </c>
      <c r="H4359" s="150" t="str">
        <f>IF(Proc[[#This Row],[type]]="LFF (MDG-F)",MID(Proc[[#This Row],[Obj]],13,10),"")</f>
        <v>DE10Z01000</v>
      </c>
      <c r="J4359" s="150" t="b">
        <f>Proc[[#This Row],[Requested]]=Proc[[#This Row],[CurrentParent]]</f>
        <v>1</v>
      </c>
      <c r="K4359" s="150" t="str">
        <f>IF(Proc[[#This Row],[Author]]="Marcela Urrego",VLOOKUP(LEFT(Proc[[#This Row],[Requested]],1),Table3[#All],2,0),VLOOKUP(Proc[[#This Row],[Author]],Table4[],2,0))</f>
        <v>EL</v>
      </c>
      <c r="L4359" s="150" t="s">
        <v>4894</v>
      </c>
      <c r="M4359" s="156">
        <v>45937</v>
      </c>
      <c r="N4359" s="157"/>
      <c r="O4359" s="157"/>
      <c r="P4359" s="156" t="str">
        <f ca="1">IF(Proc[[#This Row],[DaysAgeing]]&gt;5,"yep","on track")</f>
        <v>yep</v>
      </c>
      <c r="Q4359" s="3">
        <f ca="1">IF(Proc[[#This Row],[DateClosed]]="",ABS(NETWORKDAYS(Proc[[#This Row],[DateOpened]],TODAY()))-1,ABS(NETWORKDAYS(Proc[[#This Row],[DateOpened]],Proc[[#This Row],[DateClosed]]))-1)</f>
        <v>48</v>
      </c>
      <c r="R4359" s="156" t="s">
        <v>780</v>
      </c>
      <c r="S4359" s="150"/>
    </row>
    <row r="4360" spans="1:19">
      <c r="A4360" s="149" t="s">
        <v>6344</v>
      </c>
      <c r="B4360" s="150" t="str">
        <f>IFERROR(VLOOKUP(Proc[[#This Row],[App]],Table2[],3,0),"open")</f>
        <v>ok</v>
      </c>
      <c r="C4360" s="149" t="s">
        <v>369</v>
      </c>
      <c r="D4360" s="149" t="s">
        <v>6334</v>
      </c>
      <c r="E4360" s="149" t="s">
        <v>6501</v>
      </c>
      <c r="F4360" s="149" t="s">
        <v>6501</v>
      </c>
      <c r="G4360" s="149" t="s">
        <v>406</v>
      </c>
      <c r="H4360" s="150" t="str">
        <f>IF(Proc[[#This Row],[type]]="LFF (MDG-F)",MID(Proc[[#This Row],[Obj]],13,10),"")</f>
        <v>CN90Z01000</v>
      </c>
      <c r="J4360" s="150" t="b">
        <f>Proc[[#This Row],[Requested]]=Proc[[#This Row],[CurrentParent]]</f>
        <v>1</v>
      </c>
      <c r="K4360" s="150" t="str">
        <f>IF(Proc[[#This Row],[Author]]="Marcela Urrego",VLOOKUP(LEFT(Proc[[#This Row],[Requested]],1),Table3[#All],2,0),VLOOKUP(Proc[[#This Row],[Author]],Table4[],2,0))</f>
        <v>EL</v>
      </c>
      <c r="L4360" s="150" t="s">
        <v>4894</v>
      </c>
      <c r="M4360" s="156">
        <v>45937</v>
      </c>
      <c r="N4360" s="157"/>
      <c r="O4360" s="157"/>
      <c r="P4360" s="156" t="str">
        <f ca="1">IF(Proc[[#This Row],[DaysAgeing]]&gt;5,"yep","on track")</f>
        <v>yep</v>
      </c>
      <c r="Q4360" s="3">
        <f ca="1">IF(Proc[[#This Row],[DateClosed]]="",ABS(NETWORKDAYS(Proc[[#This Row],[DateOpened]],TODAY()))-1,ABS(NETWORKDAYS(Proc[[#This Row],[DateOpened]],Proc[[#This Row],[DateClosed]]))-1)</f>
        <v>48</v>
      </c>
      <c r="R4360" s="156" t="s">
        <v>780</v>
      </c>
      <c r="S4360" s="150"/>
    </row>
    <row r="4361" spans="1:19">
      <c r="A4361" s="149" t="s">
        <v>6344</v>
      </c>
      <c r="B4361" s="150" t="str">
        <f>IFERROR(VLOOKUP(Proc[[#This Row],[App]],Table2[],3,0),"open")</f>
        <v>ok</v>
      </c>
      <c r="C4361" s="149" t="s">
        <v>369</v>
      </c>
      <c r="D4361" s="149" t="s">
        <v>6335</v>
      </c>
      <c r="E4361" s="149" t="s">
        <v>6501</v>
      </c>
      <c r="F4361" s="149" t="s">
        <v>6501</v>
      </c>
      <c r="G4361" s="149" t="s">
        <v>406</v>
      </c>
      <c r="H4361" s="150" t="str">
        <f>IF(Proc[[#This Row],[type]]="LFF (MDG-F)",MID(Proc[[#This Row],[Obj]],13,10),"")</f>
        <v>ES50Z01000</v>
      </c>
      <c r="J4361" s="150" t="b">
        <f>Proc[[#This Row],[Requested]]=Proc[[#This Row],[CurrentParent]]</f>
        <v>1</v>
      </c>
      <c r="K4361" s="150" t="str">
        <f>IF(Proc[[#This Row],[Author]]="Marcela Urrego",VLOOKUP(LEFT(Proc[[#This Row],[Requested]],1),Table3[#All],2,0),VLOOKUP(Proc[[#This Row],[Author]],Table4[],2,0))</f>
        <v>EL</v>
      </c>
      <c r="L4361" s="150" t="s">
        <v>4894</v>
      </c>
      <c r="M4361" s="156">
        <v>45937</v>
      </c>
      <c r="N4361" s="157"/>
      <c r="O4361" s="157"/>
      <c r="P4361" s="156" t="str">
        <f ca="1">IF(Proc[[#This Row],[DaysAgeing]]&gt;5,"yep","on track")</f>
        <v>yep</v>
      </c>
      <c r="Q4361" s="3">
        <f ca="1">IF(Proc[[#This Row],[DateClosed]]="",ABS(NETWORKDAYS(Proc[[#This Row],[DateOpened]],TODAY()))-1,ABS(NETWORKDAYS(Proc[[#This Row],[DateOpened]],Proc[[#This Row],[DateClosed]]))-1)</f>
        <v>48</v>
      </c>
      <c r="R4361" s="156" t="s">
        <v>780</v>
      </c>
      <c r="S4361" s="150"/>
    </row>
    <row r="4362" spans="1:19">
      <c r="A4362" s="149" t="s">
        <v>6344</v>
      </c>
      <c r="B4362" s="150" t="str">
        <f>IFERROR(VLOOKUP(Proc[[#This Row],[App]],Table2[],3,0),"open")</f>
        <v>ok</v>
      </c>
      <c r="C4362" s="149" t="s">
        <v>369</v>
      </c>
      <c r="D4362" s="149" t="s">
        <v>6336</v>
      </c>
      <c r="E4362" s="149" t="s">
        <v>6501</v>
      </c>
      <c r="F4362" s="149" t="s">
        <v>6501</v>
      </c>
      <c r="G4362" s="149" t="s">
        <v>406</v>
      </c>
      <c r="H4362" s="150" t="str">
        <f>IF(Proc[[#This Row],[type]]="LFF (MDG-F)",MID(Proc[[#This Row],[Obj]],13,10),"")</f>
        <v>CN03Z01000</v>
      </c>
      <c r="J4362" s="150" t="b">
        <f>Proc[[#This Row],[Requested]]=Proc[[#This Row],[CurrentParent]]</f>
        <v>1</v>
      </c>
      <c r="K4362" s="150" t="str">
        <f>IF(Proc[[#This Row],[Author]]="Marcela Urrego",VLOOKUP(LEFT(Proc[[#This Row],[Requested]],1),Table3[#All],2,0),VLOOKUP(Proc[[#This Row],[Author]],Table4[],2,0))</f>
        <v>EL</v>
      </c>
      <c r="L4362" s="150" t="s">
        <v>4894</v>
      </c>
      <c r="M4362" s="156">
        <v>45937</v>
      </c>
      <c r="N4362" s="157"/>
      <c r="O4362" s="157"/>
      <c r="P4362" s="156" t="str">
        <f ca="1">IF(Proc[[#This Row],[DaysAgeing]]&gt;5,"yep","on track")</f>
        <v>yep</v>
      </c>
      <c r="Q4362" s="3">
        <f ca="1">IF(Proc[[#This Row],[DateClosed]]="",ABS(NETWORKDAYS(Proc[[#This Row],[DateOpened]],TODAY()))-1,ABS(NETWORKDAYS(Proc[[#This Row],[DateOpened]],Proc[[#This Row],[DateClosed]]))-1)</f>
        <v>48</v>
      </c>
      <c r="R4362" s="156" t="s">
        <v>780</v>
      </c>
      <c r="S4362" s="150"/>
    </row>
    <row r="4363" spans="1:19">
      <c r="A4363" s="149" t="s">
        <v>6344</v>
      </c>
      <c r="B4363" s="150" t="str">
        <f>IFERROR(VLOOKUP(Proc[[#This Row],[App]],Table2[],3,0),"open")</f>
        <v>ok</v>
      </c>
      <c r="C4363" s="149" t="s">
        <v>369</v>
      </c>
      <c r="D4363" s="149" t="s">
        <v>6337</v>
      </c>
      <c r="E4363" s="149" t="s">
        <v>6501</v>
      </c>
      <c r="F4363" s="149" t="s">
        <v>6501</v>
      </c>
      <c r="G4363" s="149" t="s">
        <v>406</v>
      </c>
      <c r="H4363" s="150" t="str">
        <f>IF(Proc[[#This Row],[type]]="LFF (MDG-F)",MID(Proc[[#This Row],[Obj]],13,10),"")</f>
        <v>IN01Z01000</v>
      </c>
      <c r="J4363" s="150" t="b">
        <f>Proc[[#This Row],[Requested]]=Proc[[#This Row],[CurrentParent]]</f>
        <v>1</v>
      </c>
      <c r="K4363" s="150" t="str">
        <f>IF(Proc[[#This Row],[Author]]="Marcela Urrego",VLOOKUP(LEFT(Proc[[#This Row],[Requested]],1),Table3[#All],2,0),VLOOKUP(Proc[[#This Row],[Author]],Table4[],2,0))</f>
        <v>EL</v>
      </c>
      <c r="L4363" s="150" t="s">
        <v>4894</v>
      </c>
      <c r="M4363" s="156">
        <v>45937</v>
      </c>
      <c r="N4363" s="157"/>
      <c r="O4363" s="157"/>
      <c r="P4363" s="156" t="str">
        <f ca="1">IF(Proc[[#This Row],[DaysAgeing]]&gt;5,"yep","on track")</f>
        <v>yep</v>
      </c>
      <c r="Q4363" s="3">
        <f ca="1">IF(Proc[[#This Row],[DateClosed]]="",ABS(NETWORKDAYS(Proc[[#This Row],[DateOpened]],TODAY()))-1,ABS(NETWORKDAYS(Proc[[#This Row],[DateOpened]],Proc[[#This Row],[DateClosed]]))-1)</f>
        <v>48</v>
      </c>
      <c r="R4363" s="156" t="s">
        <v>780</v>
      </c>
      <c r="S4363" s="150"/>
    </row>
    <row r="4364" spans="1:19">
      <c r="A4364" s="149" t="s">
        <v>6344</v>
      </c>
      <c r="B4364" s="150" t="str">
        <f>IFERROR(VLOOKUP(Proc[[#This Row],[App]],Table2[],3,0),"open")</f>
        <v>ok</v>
      </c>
      <c r="C4364" s="149" t="s">
        <v>369</v>
      </c>
      <c r="D4364" s="149" t="s">
        <v>6338</v>
      </c>
      <c r="E4364" s="149" t="s">
        <v>6501</v>
      </c>
      <c r="F4364" s="149" t="s">
        <v>6501</v>
      </c>
      <c r="G4364" s="149" t="s">
        <v>406</v>
      </c>
      <c r="H4364" s="150" t="str">
        <f>IF(Proc[[#This Row],[type]]="LFF (MDG-F)",MID(Proc[[#This Row],[Obj]],13,10),"")</f>
        <v>SG09Z01000</v>
      </c>
      <c r="J4364" s="150" t="b">
        <f>Proc[[#This Row],[Requested]]=Proc[[#This Row],[CurrentParent]]</f>
        <v>1</v>
      </c>
      <c r="K4364" s="150" t="str">
        <f>IF(Proc[[#This Row],[Author]]="Marcela Urrego",VLOOKUP(LEFT(Proc[[#This Row],[Requested]],1),Table3[#All],2,0),VLOOKUP(Proc[[#This Row],[Author]],Table4[],2,0))</f>
        <v>EL</v>
      </c>
      <c r="L4364" s="150" t="s">
        <v>4894</v>
      </c>
      <c r="M4364" s="156">
        <v>45937</v>
      </c>
      <c r="N4364" s="157"/>
      <c r="O4364" s="157"/>
      <c r="P4364" s="156" t="str">
        <f ca="1">IF(Proc[[#This Row],[DaysAgeing]]&gt;5,"yep","on track")</f>
        <v>yep</v>
      </c>
      <c r="Q4364" s="3">
        <f ca="1">IF(Proc[[#This Row],[DateClosed]]="",ABS(NETWORKDAYS(Proc[[#This Row],[DateOpened]],TODAY()))-1,ABS(NETWORKDAYS(Proc[[#This Row],[DateOpened]],Proc[[#This Row],[DateClosed]]))-1)</f>
        <v>48</v>
      </c>
      <c r="R4364" s="156" t="s">
        <v>780</v>
      </c>
      <c r="S4364" s="150"/>
    </row>
    <row r="4365" spans="1:19">
      <c r="A4365" s="149" t="s">
        <v>6344</v>
      </c>
      <c r="B4365" s="150" t="str">
        <f>IFERROR(VLOOKUP(Proc[[#This Row],[App]],Table2[],3,0),"open")</f>
        <v>ok</v>
      </c>
      <c r="C4365" s="149" t="s">
        <v>369</v>
      </c>
      <c r="D4365" s="149" t="s">
        <v>6350</v>
      </c>
      <c r="E4365" s="149" t="s">
        <v>6501</v>
      </c>
      <c r="F4365" s="149" t="s">
        <v>6501</v>
      </c>
      <c r="G4365" s="149" t="s">
        <v>400</v>
      </c>
      <c r="H4365" s="150" t="str">
        <f>IF(Proc[[#This Row],[type]]="LFF (MDG-F)",MID(Proc[[#This Row],[Obj]],13,10),"")</f>
        <v/>
      </c>
      <c r="J4365" s="150" t="b">
        <f>Proc[[#This Row],[Requested]]=Proc[[#This Row],[CurrentParent]]</f>
        <v>1</v>
      </c>
      <c r="K4365" s="150" t="str">
        <f>IF(Proc[[#This Row],[Author]]="Marcela Urrego",VLOOKUP(LEFT(Proc[[#This Row],[Requested]],1),Table3[#All],2,0),VLOOKUP(Proc[[#This Row],[Author]],Table4[],2,0))</f>
        <v>EL</v>
      </c>
      <c r="L4365" s="150" t="s">
        <v>4894</v>
      </c>
      <c r="M4365" s="156">
        <v>45937</v>
      </c>
      <c r="N4365" s="157"/>
      <c r="O4365" s="157"/>
      <c r="P4365" s="156" t="str">
        <f ca="1">IF(Proc[[#This Row],[DaysAgeing]]&gt;5,"yep","on track")</f>
        <v>yep</v>
      </c>
      <c r="Q4365" s="3">
        <f ca="1">IF(Proc[[#This Row],[DateClosed]]="",ABS(NETWORKDAYS(Proc[[#This Row],[DateOpened]],TODAY()))-1,ABS(NETWORKDAYS(Proc[[#This Row],[DateOpened]],Proc[[#This Row],[DateClosed]]))-1)</f>
        <v>48</v>
      </c>
      <c r="R4365" s="156" t="s">
        <v>780</v>
      </c>
      <c r="S4365" s="150"/>
    </row>
    <row r="4366" spans="1:19">
      <c r="A4366" s="149" t="s">
        <v>6344</v>
      </c>
      <c r="B4366" s="150" t="str">
        <f>IFERROR(VLOOKUP(Proc[[#This Row],[App]],Table2[],3,0),"open")</f>
        <v>ok</v>
      </c>
      <c r="C4366" s="149" t="s">
        <v>369</v>
      </c>
      <c r="D4366" s="149" t="s">
        <v>6339</v>
      </c>
      <c r="E4366" s="149" t="s">
        <v>6501</v>
      </c>
      <c r="F4366" s="149" t="s">
        <v>6501</v>
      </c>
      <c r="G4366" s="149" t="s">
        <v>406</v>
      </c>
      <c r="H4366" s="150" t="str">
        <f>IF(Proc[[#This Row],[type]]="LFF (MDG-F)",MID(Proc[[#This Row],[Obj]],13,10),"")</f>
        <v>CN01Z01000</v>
      </c>
      <c r="J4366" s="150" t="b">
        <f>Proc[[#This Row],[Requested]]=Proc[[#This Row],[CurrentParent]]</f>
        <v>1</v>
      </c>
      <c r="K4366" s="150" t="str">
        <f>IF(Proc[[#This Row],[Author]]="Marcela Urrego",VLOOKUP(LEFT(Proc[[#This Row],[Requested]],1),Table3[#All],2,0),VLOOKUP(Proc[[#This Row],[Author]],Table4[],2,0))</f>
        <v>EL</v>
      </c>
      <c r="L4366" s="150" t="s">
        <v>4894</v>
      </c>
      <c r="M4366" s="156">
        <v>45937</v>
      </c>
      <c r="N4366" s="157"/>
      <c r="O4366" s="157"/>
      <c r="P4366" s="156" t="str">
        <f ca="1">IF(Proc[[#This Row],[DaysAgeing]]&gt;5,"yep","on track")</f>
        <v>yep</v>
      </c>
      <c r="Q4366" s="3">
        <f ca="1">IF(Proc[[#This Row],[DateClosed]]="",ABS(NETWORKDAYS(Proc[[#This Row],[DateOpened]],TODAY()))-1,ABS(NETWORKDAYS(Proc[[#This Row],[DateOpened]],Proc[[#This Row],[DateClosed]]))-1)</f>
        <v>48</v>
      </c>
      <c r="R4366" s="156" t="s">
        <v>780</v>
      </c>
      <c r="S4366" s="150"/>
    </row>
    <row r="4367" spans="1:19">
      <c r="A4367" s="149" t="s">
        <v>6344</v>
      </c>
      <c r="B4367" s="150" t="str">
        <f>IFERROR(VLOOKUP(Proc[[#This Row],[App]],Table2[],3,0),"open")</f>
        <v>ok</v>
      </c>
      <c r="C4367" s="149" t="s">
        <v>369</v>
      </c>
      <c r="D4367" s="149" t="s">
        <v>6340</v>
      </c>
      <c r="E4367" s="149" t="s">
        <v>6501</v>
      </c>
      <c r="F4367" s="149" t="s">
        <v>6501</v>
      </c>
      <c r="G4367" s="149" t="s">
        <v>406</v>
      </c>
      <c r="H4367" s="150" t="str">
        <f>IF(Proc[[#This Row],[type]]="LFF (MDG-F)",MID(Proc[[#This Row],[Obj]],13,10),"")</f>
        <v>DE04Z01000</v>
      </c>
      <c r="J4367" s="150" t="b">
        <f>Proc[[#This Row],[Requested]]=Proc[[#This Row],[CurrentParent]]</f>
        <v>1</v>
      </c>
      <c r="K4367" s="150" t="str">
        <f>IF(Proc[[#This Row],[Author]]="Marcela Urrego",VLOOKUP(LEFT(Proc[[#This Row],[Requested]],1),Table3[#All],2,0),VLOOKUP(Proc[[#This Row],[Author]],Table4[],2,0))</f>
        <v>EL</v>
      </c>
      <c r="L4367" s="150" t="s">
        <v>4894</v>
      </c>
      <c r="M4367" s="156">
        <v>45937</v>
      </c>
      <c r="N4367" s="157"/>
      <c r="O4367" s="157"/>
      <c r="P4367" s="156" t="str">
        <f ca="1">IF(Proc[[#This Row],[DaysAgeing]]&gt;5,"yep","on track")</f>
        <v>yep</v>
      </c>
      <c r="Q4367" s="3">
        <f ca="1">IF(Proc[[#This Row],[DateClosed]]="",ABS(NETWORKDAYS(Proc[[#This Row],[DateOpened]],TODAY()))-1,ABS(NETWORKDAYS(Proc[[#This Row],[DateOpened]],Proc[[#This Row],[DateClosed]]))-1)</f>
        <v>48</v>
      </c>
      <c r="R4367" s="156" t="s">
        <v>780</v>
      </c>
      <c r="S4367" s="150"/>
    </row>
    <row r="4368" spans="1:19">
      <c r="A4368" s="149" t="s">
        <v>6344</v>
      </c>
      <c r="B4368" s="150" t="str">
        <f>IFERROR(VLOOKUP(Proc[[#This Row],[App]],Table2[],3,0),"open")</f>
        <v>ok</v>
      </c>
      <c r="C4368" s="149" t="s">
        <v>369</v>
      </c>
      <c r="D4368" s="149" t="s">
        <v>6341</v>
      </c>
      <c r="E4368" s="149" t="s">
        <v>6501</v>
      </c>
      <c r="F4368" s="149" t="s">
        <v>6501</v>
      </c>
      <c r="G4368" s="149" t="s">
        <v>406</v>
      </c>
      <c r="H4368" s="150" t="str">
        <f>IF(Proc[[#This Row],[type]]="LFF (MDG-F)",MID(Proc[[#This Row],[Obj]],13,10),"")</f>
        <v>KR03Z01000</v>
      </c>
      <c r="J4368" s="150" t="b">
        <f>Proc[[#This Row],[Requested]]=Proc[[#This Row],[CurrentParent]]</f>
        <v>1</v>
      </c>
      <c r="K4368" s="150" t="str">
        <f>IF(Proc[[#This Row],[Author]]="Marcela Urrego",VLOOKUP(LEFT(Proc[[#This Row],[Requested]],1),Table3[#All],2,0),VLOOKUP(Proc[[#This Row],[Author]],Table4[],2,0))</f>
        <v>EL</v>
      </c>
      <c r="L4368" s="150" t="s">
        <v>4894</v>
      </c>
      <c r="M4368" s="156">
        <v>45937</v>
      </c>
      <c r="N4368" s="157"/>
      <c r="O4368" s="157"/>
      <c r="P4368" s="156" t="str">
        <f ca="1">IF(Proc[[#This Row],[DaysAgeing]]&gt;5,"yep","on track")</f>
        <v>yep</v>
      </c>
      <c r="Q4368" s="3">
        <f ca="1">IF(Proc[[#This Row],[DateClosed]]="",ABS(NETWORKDAYS(Proc[[#This Row],[DateOpened]],TODAY()))-1,ABS(NETWORKDAYS(Proc[[#This Row],[DateOpened]],Proc[[#This Row],[DateClosed]]))-1)</f>
        <v>48</v>
      </c>
      <c r="R4368" s="156" t="s">
        <v>780</v>
      </c>
      <c r="S4368" s="150"/>
    </row>
    <row r="4369" spans="1:19">
      <c r="A4369" s="149" t="s">
        <v>6344</v>
      </c>
      <c r="B4369" s="150" t="str">
        <f>IFERROR(VLOOKUP(Proc[[#This Row],[App]],Table2[],3,0),"open")</f>
        <v>ok</v>
      </c>
      <c r="C4369" s="149" t="s">
        <v>369</v>
      </c>
      <c r="D4369" s="149" t="s">
        <v>6342</v>
      </c>
      <c r="E4369" s="149" t="s">
        <v>6501</v>
      </c>
      <c r="F4369" s="149" t="s">
        <v>6501</v>
      </c>
      <c r="G4369" s="149" t="s">
        <v>406</v>
      </c>
      <c r="H4369" s="150" t="str">
        <f>IF(Proc[[#This Row],[type]]="LFF (MDG-F)",MID(Proc[[#This Row],[Obj]],13,10),"")</f>
        <v>US01Z01000</v>
      </c>
      <c r="J4369" s="150" t="b">
        <f>Proc[[#This Row],[Requested]]=Proc[[#This Row],[CurrentParent]]</f>
        <v>1</v>
      </c>
      <c r="K4369" s="150" t="str">
        <f>IF(Proc[[#This Row],[Author]]="Marcela Urrego",VLOOKUP(LEFT(Proc[[#This Row],[Requested]],1),Table3[#All],2,0),VLOOKUP(Proc[[#This Row],[Author]],Table4[],2,0))</f>
        <v>EL</v>
      </c>
      <c r="L4369" s="150" t="s">
        <v>4894</v>
      </c>
      <c r="M4369" s="156">
        <v>45937</v>
      </c>
      <c r="N4369" s="157"/>
      <c r="O4369" s="157"/>
      <c r="P4369" s="156" t="str">
        <f ca="1">IF(Proc[[#This Row],[DaysAgeing]]&gt;5,"yep","on track")</f>
        <v>yep</v>
      </c>
      <c r="Q4369" s="3">
        <f ca="1">IF(Proc[[#This Row],[DateClosed]]="",ABS(NETWORKDAYS(Proc[[#This Row],[DateOpened]],TODAY()))-1,ABS(NETWORKDAYS(Proc[[#This Row],[DateOpened]],Proc[[#This Row],[DateClosed]]))-1)</f>
        <v>48</v>
      </c>
      <c r="R4369" s="156" t="s">
        <v>780</v>
      </c>
      <c r="S4369" s="150"/>
    </row>
    <row r="4370" spans="1:19">
      <c r="A4370" s="149" t="s">
        <v>6344</v>
      </c>
      <c r="B4370" s="150" t="str">
        <f>IFERROR(VLOOKUP(Proc[[#This Row],[App]],Table2[],3,0),"open")</f>
        <v>ok</v>
      </c>
      <c r="C4370" s="149" t="s">
        <v>369</v>
      </c>
      <c r="D4370" s="149" t="s">
        <v>6343</v>
      </c>
      <c r="E4370" s="149" t="s">
        <v>6501</v>
      </c>
      <c r="F4370" s="149" t="s">
        <v>6501</v>
      </c>
      <c r="G4370" s="149" t="s">
        <v>406</v>
      </c>
      <c r="H4370" s="150" t="str">
        <f>IF(Proc[[#This Row],[type]]="LFF (MDG-F)",MID(Proc[[#This Row],[Obj]],13,10),"")</f>
        <v>TW02Z01000</v>
      </c>
      <c r="J4370" s="150" t="b">
        <f>Proc[[#This Row],[Requested]]=Proc[[#This Row],[CurrentParent]]</f>
        <v>1</v>
      </c>
      <c r="K4370" s="150" t="str">
        <f>IF(Proc[[#This Row],[Author]]="Marcela Urrego",VLOOKUP(LEFT(Proc[[#This Row],[Requested]],1),Table3[#All],2,0),VLOOKUP(Proc[[#This Row],[Author]],Table4[],2,0))</f>
        <v>EL</v>
      </c>
      <c r="L4370" s="150" t="s">
        <v>4894</v>
      </c>
      <c r="M4370" s="156">
        <v>45937</v>
      </c>
      <c r="N4370" s="157"/>
      <c r="O4370" s="157"/>
      <c r="P4370" s="156" t="str">
        <f ca="1">IF(Proc[[#This Row],[DaysAgeing]]&gt;5,"yep","on track")</f>
        <v>yep</v>
      </c>
      <c r="Q4370" s="3">
        <f ca="1">IF(Proc[[#This Row],[DateClosed]]="",ABS(NETWORKDAYS(Proc[[#This Row],[DateOpened]],TODAY()))-1,ABS(NETWORKDAYS(Proc[[#This Row],[DateOpened]],Proc[[#This Row],[DateClosed]]))-1)</f>
        <v>48</v>
      </c>
      <c r="R4370" s="156" t="s">
        <v>780</v>
      </c>
      <c r="S4370" s="150"/>
    </row>
    <row r="4371" spans="1:19" s="149" customFormat="1">
      <c r="A4371" s="149" t="s">
        <v>6504</v>
      </c>
      <c r="B4371" s="150" t="str">
        <f>IFERROR(VLOOKUP(Proc[[#This Row],[App]],Table2[],3,0),"open")</f>
        <v>ok</v>
      </c>
      <c r="C4371" s="149" t="s">
        <v>369</v>
      </c>
      <c r="D4371" s="149" t="s">
        <v>5780</v>
      </c>
      <c r="E4371" s="149" t="s">
        <v>6505</v>
      </c>
      <c r="F4371" s="150" t="s">
        <v>6505</v>
      </c>
      <c r="G4371" s="149" t="s">
        <v>400</v>
      </c>
      <c r="H4371" s="150" t="str">
        <f>IF(Proc[[#This Row],[type]]="LFF (MDG-F)",MID(Proc[[#This Row],[Obj]],13,10),"")</f>
        <v/>
      </c>
      <c r="J4371" s="150" t="b">
        <f>Proc[[#This Row],[Requested]]=Proc[[#This Row],[CurrentParent]]</f>
        <v>1</v>
      </c>
      <c r="K4371" s="150" t="str">
        <f>IF(Proc[[#This Row],[Author]]="Marcela Urrego",VLOOKUP(LEFT(Proc[[#This Row],[Requested]],1),Table3[#All],2,0),VLOOKUP(Proc[[#This Row],[Author]],Table4[],2,0))</f>
        <v>LS</v>
      </c>
      <c r="L4371" s="150" t="s">
        <v>6435</v>
      </c>
      <c r="M4371" s="157">
        <v>45939</v>
      </c>
      <c r="N4371" s="157"/>
      <c r="O4371" s="157"/>
      <c r="P4371" s="158" t="str">
        <f ca="1">IF(Proc[[#This Row],[DaysAgeing]]&gt;5,"yep","on track")</f>
        <v>yep</v>
      </c>
      <c r="Q4371" s="3">
        <f ca="1">IF(Proc[[#This Row],[DateClosed]]="",ABS(NETWORKDAYS(Proc[[#This Row],[DateOpened]],TODAY()))-1,ABS(NETWORKDAYS(Proc[[#This Row],[DateOpened]],Proc[[#This Row],[DateClosed]]))-1)</f>
        <v>46</v>
      </c>
      <c r="R4371" s="157" t="s">
        <v>489</v>
      </c>
      <c r="S4371" s="150"/>
    </row>
    <row r="4372" spans="1:19" s="149" customFormat="1">
      <c r="A4372" s="149" t="s">
        <v>6504</v>
      </c>
      <c r="B4372" s="150" t="str">
        <f>IFERROR(VLOOKUP(Proc[[#This Row],[App]],Table2[],3,0),"open")</f>
        <v>ok</v>
      </c>
      <c r="C4372" s="149" t="s">
        <v>369</v>
      </c>
      <c r="D4372" s="149" t="s">
        <v>5781</v>
      </c>
      <c r="E4372" s="149" t="s">
        <v>6505</v>
      </c>
      <c r="F4372" s="150" t="s">
        <v>6505</v>
      </c>
      <c r="G4372" s="149" t="s">
        <v>400</v>
      </c>
      <c r="H4372" s="150" t="str">
        <f>IF(Proc[[#This Row],[type]]="LFF (MDG-F)",MID(Proc[[#This Row],[Obj]],13,10),"")</f>
        <v/>
      </c>
      <c r="J4372" s="150" t="b">
        <f>Proc[[#This Row],[Requested]]=Proc[[#This Row],[CurrentParent]]</f>
        <v>1</v>
      </c>
      <c r="K4372" s="150" t="str">
        <f>IF(Proc[[#This Row],[Author]]="Marcela Urrego",VLOOKUP(LEFT(Proc[[#This Row],[Requested]],1),Table3[#All],2,0),VLOOKUP(Proc[[#This Row],[Author]],Table4[],2,0))</f>
        <v>LS</v>
      </c>
      <c r="L4372" s="150" t="s">
        <v>6435</v>
      </c>
      <c r="M4372" s="157">
        <v>45939</v>
      </c>
      <c r="N4372" s="157"/>
      <c r="O4372" s="157"/>
      <c r="P4372" s="158" t="str">
        <f ca="1">IF(Proc[[#This Row],[DaysAgeing]]&gt;5,"yep","on track")</f>
        <v>yep</v>
      </c>
      <c r="Q4372" s="3">
        <f ca="1">IF(Proc[[#This Row],[DateClosed]]="",ABS(NETWORKDAYS(Proc[[#This Row],[DateOpened]],TODAY()))-1,ABS(NETWORKDAYS(Proc[[#This Row],[DateOpened]],Proc[[#This Row],[DateClosed]]))-1)</f>
        <v>46</v>
      </c>
      <c r="R4372" s="157" t="s">
        <v>489</v>
      </c>
      <c r="S4372" s="150"/>
    </row>
    <row r="4373" spans="1:19" s="149" customFormat="1">
      <c r="A4373" s="149" t="s">
        <v>6504</v>
      </c>
      <c r="B4373" s="150" t="str">
        <f>IFERROR(VLOOKUP(Proc[[#This Row],[App]],Table2[],3,0),"open")</f>
        <v>ok</v>
      </c>
      <c r="C4373" s="149" t="s">
        <v>369</v>
      </c>
      <c r="D4373" s="149" t="s">
        <v>5782</v>
      </c>
      <c r="E4373" s="149" t="s">
        <v>6505</v>
      </c>
      <c r="F4373" s="150" t="s">
        <v>6505</v>
      </c>
      <c r="G4373" s="149" t="s">
        <v>400</v>
      </c>
      <c r="H4373" s="150" t="str">
        <f>IF(Proc[[#This Row],[type]]="LFF (MDG-F)",MID(Proc[[#This Row],[Obj]],13,10),"")</f>
        <v/>
      </c>
      <c r="J4373" s="150" t="b">
        <f>Proc[[#This Row],[Requested]]=Proc[[#This Row],[CurrentParent]]</f>
        <v>1</v>
      </c>
      <c r="K4373" s="150" t="str">
        <f>IF(Proc[[#This Row],[Author]]="Marcela Urrego",VLOOKUP(LEFT(Proc[[#This Row],[Requested]],1),Table3[#All],2,0),VLOOKUP(Proc[[#This Row],[Author]],Table4[],2,0))</f>
        <v>LS</v>
      </c>
      <c r="L4373" s="150" t="s">
        <v>6435</v>
      </c>
      <c r="M4373" s="157">
        <v>45939</v>
      </c>
      <c r="N4373" s="157"/>
      <c r="O4373" s="157"/>
      <c r="P4373" s="158" t="str">
        <f ca="1">IF(Proc[[#This Row],[DaysAgeing]]&gt;5,"yep","on track")</f>
        <v>yep</v>
      </c>
      <c r="Q4373" s="3">
        <f ca="1">IF(Proc[[#This Row],[DateClosed]]="",ABS(NETWORKDAYS(Proc[[#This Row],[DateOpened]],TODAY()))-1,ABS(NETWORKDAYS(Proc[[#This Row],[DateOpened]],Proc[[#This Row],[DateClosed]]))-1)</f>
        <v>46</v>
      </c>
      <c r="R4373" s="157" t="s">
        <v>489</v>
      </c>
      <c r="S4373" s="150"/>
    </row>
    <row r="4374" spans="1:19" s="149" customFormat="1">
      <c r="A4374" s="149" t="s">
        <v>6504</v>
      </c>
      <c r="B4374" s="150" t="str">
        <f>IFERROR(VLOOKUP(Proc[[#This Row],[App]],Table2[],3,0),"open")</f>
        <v>ok</v>
      </c>
      <c r="C4374" s="149" t="s">
        <v>369</v>
      </c>
      <c r="D4374" s="149" t="s">
        <v>5783</v>
      </c>
      <c r="E4374" s="149" t="s">
        <v>6505</v>
      </c>
      <c r="F4374" s="150" t="s">
        <v>6505</v>
      </c>
      <c r="G4374" s="149" t="s">
        <v>400</v>
      </c>
      <c r="H4374" s="150" t="str">
        <f>IF(Proc[[#This Row],[type]]="LFF (MDG-F)",MID(Proc[[#This Row],[Obj]],13,10),"")</f>
        <v/>
      </c>
      <c r="J4374" s="150" t="b">
        <f>Proc[[#This Row],[Requested]]=Proc[[#This Row],[CurrentParent]]</f>
        <v>1</v>
      </c>
      <c r="K4374" s="150" t="str">
        <f>IF(Proc[[#This Row],[Author]]="Marcela Urrego",VLOOKUP(LEFT(Proc[[#This Row],[Requested]],1),Table3[#All],2,0),VLOOKUP(Proc[[#This Row],[Author]],Table4[],2,0))</f>
        <v>LS</v>
      </c>
      <c r="L4374" s="150" t="s">
        <v>6435</v>
      </c>
      <c r="M4374" s="157">
        <v>45939</v>
      </c>
      <c r="N4374" s="157"/>
      <c r="O4374" s="157"/>
      <c r="P4374" s="158" t="str">
        <f ca="1">IF(Proc[[#This Row],[DaysAgeing]]&gt;5,"yep","on track")</f>
        <v>yep</v>
      </c>
      <c r="Q4374" s="3">
        <f ca="1">IF(Proc[[#This Row],[DateClosed]]="",ABS(NETWORKDAYS(Proc[[#This Row],[DateOpened]],TODAY()))-1,ABS(NETWORKDAYS(Proc[[#This Row],[DateOpened]],Proc[[#This Row],[DateClosed]]))-1)</f>
        <v>46</v>
      </c>
      <c r="R4374" s="157" t="s">
        <v>489</v>
      </c>
      <c r="S4374" s="150"/>
    </row>
    <row r="4375" spans="1:19">
      <c r="A4375" t="s">
        <v>6509</v>
      </c>
      <c r="B4375" s="150" t="str">
        <f>IFERROR(VLOOKUP(Proc[[#This Row],[App]],Table2[],3,0),"open")</f>
        <v>ok</v>
      </c>
      <c r="C4375" t="s">
        <v>369</v>
      </c>
      <c r="D4375" t="s">
        <v>6507</v>
      </c>
      <c r="E4375" t="s">
        <v>6508</v>
      </c>
      <c r="F4375" s="150" t="s">
        <v>6508</v>
      </c>
      <c r="G4375" t="s">
        <v>400</v>
      </c>
      <c r="H4375" s="150" t="str">
        <f>IF(Proc[[#This Row],[type]]="LFF (MDG-F)",MID(Proc[[#This Row],[Obj]],13,10),"")</f>
        <v/>
      </c>
      <c r="J4375" s="150" t="b">
        <f>Proc[[#This Row],[Requested]]=Proc[[#This Row],[CurrentParent]]</f>
        <v>1</v>
      </c>
      <c r="K4375" s="150" t="str">
        <f>IF(Proc[[#This Row],[Author]]="Marcela Urrego",VLOOKUP(LEFT(Proc[[#This Row],[Requested]],1),Table3[#All],2,0),VLOOKUP(Proc[[#This Row],[Author]],Table4[],2,0))</f>
        <v>LS</v>
      </c>
      <c r="L4375" s="150" t="s">
        <v>6435</v>
      </c>
      <c r="M4375" s="158">
        <v>45946</v>
      </c>
      <c r="N4375" s="158"/>
      <c r="O4375" s="158"/>
      <c r="P4375" s="159" t="str">
        <f ca="1">IF(Proc[[#This Row],[DaysAgeing]]&gt;5,"yep","on track")</f>
        <v>yep</v>
      </c>
      <c r="Q4375" s="3">
        <f ca="1">IF(Proc[[#This Row],[DateClosed]]="",ABS(NETWORKDAYS(Proc[[#This Row],[DateOpened]],TODAY()))-1,ABS(NETWORKDAYS(Proc[[#This Row],[DateOpened]],Proc[[#This Row],[DateClosed]]))-1)</f>
        <v>41</v>
      </c>
      <c r="R4375" s="158" t="s">
        <v>489</v>
      </c>
      <c r="S4375" s="150"/>
    </row>
    <row r="4376" spans="1:19">
      <c r="A4376" t="s">
        <v>6513</v>
      </c>
      <c r="B4376" s="150" t="str">
        <f>IFERROR(VLOOKUP(Proc[[#This Row],[App]],Table2[],3,0),"open")</f>
        <v>ok</v>
      </c>
      <c r="C4376" s="149" t="s">
        <v>369</v>
      </c>
      <c r="D4376" t="s">
        <v>6510</v>
      </c>
      <c r="E4376" t="s">
        <v>4914</v>
      </c>
      <c r="F4376" s="150" t="s">
        <v>4914</v>
      </c>
      <c r="G4376" t="s">
        <v>406</v>
      </c>
      <c r="H4376" s="150" t="str">
        <f>IF(Proc[[#This Row],[type]]="LFF (MDG-F)",MID(Proc[[#This Row],[Obj]],13,10),"")</f>
        <v>FI50R00004</v>
      </c>
      <c r="J4376" s="150" t="b">
        <f>Proc[[#This Row],[Requested]]=Proc[[#This Row],[CurrentParent]]</f>
        <v>1</v>
      </c>
      <c r="K4376" s="150" t="str">
        <f>IF(Proc[[#This Row],[Author]]="Marcela Urrego",VLOOKUP(LEFT(Proc[[#This Row],[Requested]],1),Table3[#All],2,0),VLOOKUP(Proc[[#This Row],[Author]],Table4[],2,0))</f>
        <v>HC</v>
      </c>
      <c r="L4376" s="150" t="s">
        <v>6435</v>
      </c>
      <c r="M4376" s="158">
        <v>45946</v>
      </c>
      <c r="N4376" s="158"/>
      <c r="O4376" s="158"/>
      <c r="P4376" s="159" t="str">
        <f ca="1">IF(Proc[[#This Row],[DaysAgeing]]&gt;5,"yep","on track")</f>
        <v>yep</v>
      </c>
      <c r="Q4376" s="3">
        <f ca="1">IF(Proc[[#This Row],[DateClosed]]="",ABS(NETWORKDAYS(Proc[[#This Row],[DateOpened]],TODAY()))-1,ABS(NETWORKDAYS(Proc[[#This Row],[DateOpened]],Proc[[#This Row],[DateClosed]]))-1)</f>
        <v>41</v>
      </c>
      <c r="R4376" s="159" t="s">
        <v>415</v>
      </c>
      <c r="S4376" s="150"/>
    </row>
    <row r="4377" spans="1:19">
      <c r="A4377" t="s">
        <v>6513</v>
      </c>
      <c r="B4377" s="150" t="str">
        <f>IFERROR(VLOOKUP(Proc[[#This Row],[App]],Table2[],3,0),"open")</f>
        <v>ok</v>
      </c>
      <c r="C4377" s="149" t="s">
        <v>369</v>
      </c>
      <c r="D4377" t="s">
        <v>6511</v>
      </c>
      <c r="E4377" t="s">
        <v>6512</v>
      </c>
      <c r="F4377" s="150" t="s">
        <v>6512</v>
      </c>
      <c r="G4377" t="s">
        <v>406</v>
      </c>
      <c r="H4377" s="150" t="str">
        <f>IF(Proc[[#This Row],[type]]="LFF (MDG-F)",MID(Proc[[#This Row],[Obj]],13,10),"")</f>
        <v>FI50R00009</v>
      </c>
      <c r="J4377" s="150" t="b">
        <f>Proc[[#This Row],[Requested]]=Proc[[#This Row],[CurrentParent]]</f>
        <v>1</v>
      </c>
      <c r="K4377" s="150" t="str">
        <f>IF(Proc[[#This Row],[Author]]="Marcela Urrego",VLOOKUP(LEFT(Proc[[#This Row],[Requested]],1),Table3[#All],2,0),VLOOKUP(Proc[[#This Row],[Author]],Table4[],2,0))</f>
        <v>HC</v>
      </c>
      <c r="L4377" s="150" t="s">
        <v>6435</v>
      </c>
      <c r="M4377" s="158">
        <v>45946</v>
      </c>
      <c r="N4377" s="158"/>
      <c r="O4377" s="158"/>
      <c r="P4377" s="159" t="str">
        <f ca="1">IF(Proc[[#This Row],[DaysAgeing]]&gt;5,"yep","on track")</f>
        <v>yep</v>
      </c>
      <c r="Q4377" s="3">
        <f ca="1">IF(Proc[[#This Row],[DateClosed]]="",ABS(NETWORKDAYS(Proc[[#This Row],[DateOpened]],TODAY()))-1,ABS(NETWORKDAYS(Proc[[#This Row],[DateOpened]],Proc[[#This Row],[DateClosed]]))-1)</f>
        <v>41</v>
      </c>
      <c r="R4377" s="159" t="s">
        <v>415</v>
      </c>
      <c r="S4377" s="150"/>
    </row>
    <row r="4378" spans="1:19">
      <c r="A4378" t="s">
        <v>6514</v>
      </c>
      <c r="B4378" s="150" t="str">
        <f>IFERROR(VLOOKUP(Proc[[#This Row],[App]],Table2[],3,0),"open")</f>
        <v>ok</v>
      </c>
      <c r="C4378" s="149" t="s">
        <v>369</v>
      </c>
      <c r="D4378" t="s">
        <v>6515</v>
      </c>
      <c r="E4378" t="s">
        <v>6531</v>
      </c>
      <c r="F4378" s="150" t="s">
        <v>6531</v>
      </c>
      <c r="G4378" t="s">
        <v>400</v>
      </c>
      <c r="H4378" s="150" t="str">
        <f>IF(Proc[[#This Row],[type]]="LFF (MDG-F)",MID(Proc[[#This Row],[Obj]],13,10),"")</f>
        <v/>
      </c>
      <c r="J4378" s="150" t="b">
        <f>Proc[[#This Row],[Requested]]=Proc[[#This Row],[CurrentParent]]</f>
        <v>1</v>
      </c>
      <c r="K4378" s="150" t="str">
        <f>IF(Proc[[#This Row],[Author]]="Marcela Urrego",VLOOKUP(LEFT(Proc[[#This Row],[Requested]],1),Table3[#All],2,0),VLOOKUP(Proc[[#This Row],[Author]],Table4[],2,0))</f>
        <v>MGF</v>
      </c>
      <c r="L4378" s="150" t="s">
        <v>6435</v>
      </c>
      <c r="M4378" s="158">
        <v>45946</v>
      </c>
      <c r="N4378" s="158"/>
      <c r="O4378" s="158"/>
      <c r="P4378" s="159" t="str">
        <f ca="1">IF(Proc[[#This Row],[DaysAgeing]]&gt;5,"yep","on track")</f>
        <v>yep</v>
      </c>
      <c r="Q4378" s="3">
        <f ca="1">IF(Proc[[#This Row],[DateClosed]]="",ABS(NETWORKDAYS(Proc[[#This Row],[DateOpened]],TODAY()))-1,ABS(NETWORKDAYS(Proc[[#This Row],[DateOpened]],Proc[[#This Row],[DateClosed]]))-1)</f>
        <v>41</v>
      </c>
      <c r="R4378" s="159" t="s">
        <v>856</v>
      </c>
      <c r="S4378" s="150"/>
    </row>
    <row r="4379" spans="1:19">
      <c r="A4379" t="s">
        <v>6516</v>
      </c>
      <c r="B4379" s="150" t="str">
        <f>IFERROR(VLOOKUP(Proc[[#This Row],[App]],Table2[],3,0),"open")</f>
        <v>ok</v>
      </c>
      <c r="C4379" s="149" t="s">
        <v>369</v>
      </c>
      <c r="D4379" t="s">
        <v>6517</v>
      </c>
      <c r="E4379" t="s">
        <v>6531</v>
      </c>
      <c r="F4379" s="150" t="s">
        <v>6531</v>
      </c>
      <c r="G4379" t="s">
        <v>400</v>
      </c>
      <c r="H4379" s="150" t="str">
        <f>IF(Proc[[#This Row],[type]]="LFF (MDG-F)",MID(Proc[[#This Row],[Obj]],13,10),"")</f>
        <v/>
      </c>
      <c r="J4379" s="150" t="b">
        <f>Proc[[#This Row],[Requested]]=Proc[[#This Row],[CurrentParent]]</f>
        <v>1</v>
      </c>
      <c r="K4379" s="150" t="str">
        <f>IF(Proc[[#This Row],[Author]]="Marcela Urrego",VLOOKUP(LEFT(Proc[[#This Row],[Requested]],1),Table3[#All],2,0),VLOOKUP(Proc[[#This Row],[Author]],Table4[],2,0))</f>
        <v>MGF</v>
      </c>
      <c r="L4379" s="150" t="s">
        <v>6435</v>
      </c>
      <c r="M4379" s="158">
        <v>45946</v>
      </c>
      <c r="N4379" s="158"/>
      <c r="O4379" s="158"/>
      <c r="P4379" s="159" t="str">
        <f ca="1">IF(Proc[[#This Row],[DaysAgeing]]&gt;5,"yep","on track")</f>
        <v>yep</v>
      </c>
      <c r="Q4379" s="3">
        <f ca="1">IF(Proc[[#This Row],[DateClosed]]="",ABS(NETWORKDAYS(Proc[[#This Row],[DateOpened]],TODAY()))-1,ABS(NETWORKDAYS(Proc[[#This Row],[DateOpened]],Proc[[#This Row],[DateClosed]]))-1)</f>
        <v>41</v>
      </c>
      <c r="R4379" s="159" t="s">
        <v>856</v>
      </c>
      <c r="S4379" s="150"/>
    </row>
    <row r="4380" spans="1:19">
      <c r="A4380" t="s">
        <v>6530</v>
      </c>
      <c r="B4380" s="150" t="str">
        <f>IFERROR(VLOOKUP(Proc[[#This Row],[App]],Table2[],3,0),"open")</f>
        <v>ok</v>
      </c>
      <c r="C4380" s="149" t="s">
        <v>369</v>
      </c>
      <c r="D4380" t="s">
        <v>6518</v>
      </c>
      <c r="E4380" t="s">
        <v>418</v>
      </c>
      <c r="F4380" s="150" t="s">
        <v>418</v>
      </c>
      <c r="G4380" t="s">
        <v>400</v>
      </c>
      <c r="H4380" s="150" t="str">
        <f>IF(Proc[[#This Row],[type]]="LFF (MDG-F)",MID(Proc[[#This Row],[Obj]],13,10),"")</f>
        <v/>
      </c>
      <c r="J4380" s="150" t="b">
        <f>Proc[[#This Row],[Requested]]=Proc[[#This Row],[CurrentParent]]</f>
        <v>1</v>
      </c>
      <c r="K4380" s="150" t="str">
        <f>IF(Proc[[#This Row],[Author]]="Marcela Urrego",VLOOKUP(LEFT(Proc[[#This Row],[Requested]],1),Table3[#All],2,0),VLOOKUP(Proc[[#This Row],[Author]],Table4[],2,0))</f>
        <v>EL</v>
      </c>
      <c r="L4380" s="150" t="s">
        <v>6435</v>
      </c>
      <c r="M4380" s="159">
        <v>45947</v>
      </c>
      <c r="N4380" s="160"/>
      <c r="O4380" s="160"/>
      <c r="P4380" s="159" t="str">
        <f ca="1">IF(Proc[[#This Row],[DaysAgeing]]&gt;5,"yep","on track")</f>
        <v>yep</v>
      </c>
      <c r="Q4380" s="3">
        <f ca="1">IF(Proc[[#This Row],[DateClosed]]="",ABS(NETWORKDAYS(Proc[[#This Row],[DateOpened]],TODAY()))-1,ABS(NETWORKDAYS(Proc[[#This Row],[DateOpened]],Proc[[#This Row],[DateClosed]]))-1)</f>
        <v>40</v>
      </c>
      <c r="R4380" s="159" t="s">
        <v>5709</v>
      </c>
      <c r="S4380" s="150"/>
    </row>
    <row r="4381" spans="1:19">
      <c r="A4381" s="149" t="s">
        <v>6530</v>
      </c>
      <c r="B4381" s="150" t="str">
        <f>IFERROR(VLOOKUP(Proc[[#This Row],[App]],Table2[],3,0),"open")</f>
        <v>ok</v>
      </c>
      <c r="C4381" s="149" t="s">
        <v>369</v>
      </c>
      <c r="D4381" t="s">
        <v>6519</v>
      </c>
      <c r="E4381" s="149" t="s">
        <v>418</v>
      </c>
      <c r="F4381" s="150" t="s">
        <v>418</v>
      </c>
      <c r="G4381" s="149" t="s">
        <v>400</v>
      </c>
      <c r="H4381" s="150" t="str">
        <f>IF(Proc[[#This Row],[type]]="LFF (MDG-F)",MID(Proc[[#This Row],[Obj]],13,10),"")</f>
        <v/>
      </c>
      <c r="J4381" s="150" t="b">
        <f>Proc[[#This Row],[Requested]]=Proc[[#This Row],[CurrentParent]]</f>
        <v>1</v>
      </c>
      <c r="K4381" s="150" t="str">
        <f>IF(Proc[[#This Row],[Author]]="Marcela Urrego",VLOOKUP(LEFT(Proc[[#This Row],[Requested]],1),Table3[#All],2,0),VLOOKUP(Proc[[#This Row],[Author]],Table4[],2,0))</f>
        <v>EL</v>
      </c>
      <c r="L4381" s="150" t="s">
        <v>6435</v>
      </c>
      <c r="M4381" s="159">
        <v>45947</v>
      </c>
      <c r="N4381" s="160"/>
      <c r="O4381" s="160"/>
      <c r="P4381" s="159" t="str">
        <f ca="1">IF(Proc[[#This Row],[DaysAgeing]]&gt;5,"yep","on track")</f>
        <v>yep</v>
      </c>
      <c r="Q4381" s="3">
        <f ca="1">IF(Proc[[#This Row],[DateClosed]]="",ABS(NETWORKDAYS(Proc[[#This Row],[DateOpened]],TODAY()))-1,ABS(NETWORKDAYS(Proc[[#This Row],[DateOpened]],Proc[[#This Row],[DateClosed]]))-1)</f>
        <v>40</v>
      </c>
      <c r="R4381" s="159" t="s">
        <v>5709</v>
      </c>
      <c r="S4381" s="150"/>
    </row>
    <row r="4382" spans="1:19">
      <c r="A4382" s="149" t="s">
        <v>6530</v>
      </c>
      <c r="B4382" s="150" t="str">
        <f>IFERROR(VLOOKUP(Proc[[#This Row],[App]],Table2[],3,0),"open")</f>
        <v>ok</v>
      </c>
      <c r="C4382" s="149" t="s">
        <v>369</v>
      </c>
      <c r="D4382" t="s">
        <v>6520</v>
      </c>
      <c r="E4382" t="s">
        <v>419</v>
      </c>
      <c r="F4382" s="150" t="s">
        <v>419</v>
      </c>
      <c r="G4382" s="149" t="s">
        <v>400</v>
      </c>
      <c r="H4382" s="150" t="str">
        <f>IF(Proc[[#This Row],[type]]="LFF (MDG-F)",MID(Proc[[#This Row],[Obj]],13,10),"")</f>
        <v/>
      </c>
      <c r="J4382" s="150" t="b">
        <f>Proc[[#This Row],[Requested]]=Proc[[#This Row],[CurrentParent]]</f>
        <v>1</v>
      </c>
      <c r="K4382" s="150" t="str">
        <f>IF(Proc[[#This Row],[Author]]="Marcela Urrego",VLOOKUP(LEFT(Proc[[#This Row],[Requested]],1),Table3[#All],2,0),VLOOKUP(Proc[[#This Row],[Author]],Table4[],2,0))</f>
        <v>EL</v>
      </c>
      <c r="L4382" s="150" t="s">
        <v>6435</v>
      </c>
      <c r="M4382" s="159">
        <v>45947</v>
      </c>
      <c r="N4382" s="160"/>
      <c r="O4382" s="160"/>
      <c r="P4382" s="159" t="str">
        <f ca="1">IF(Proc[[#This Row],[DaysAgeing]]&gt;5,"yep","on track")</f>
        <v>yep</v>
      </c>
      <c r="Q4382" s="3">
        <f ca="1">IF(Proc[[#This Row],[DateClosed]]="",ABS(NETWORKDAYS(Proc[[#This Row],[DateOpened]],TODAY()))-1,ABS(NETWORKDAYS(Proc[[#This Row],[DateOpened]],Proc[[#This Row],[DateClosed]]))-1)</f>
        <v>40</v>
      </c>
      <c r="R4382" s="159" t="s">
        <v>5709</v>
      </c>
      <c r="S4382" s="150"/>
    </row>
    <row r="4383" spans="1:19">
      <c r="A4383" s="149" t="s">
        <v>6530</v>
      </c>
      <c r="B4383" s="150" t="str">
        <f>IFERROR(VLOOKUP(Proc[[#This Row],[App]],Table2[],3,0),"open")</f>
        <v>ok</v>
      </c>
      <c r="C4383" s="149" t="s">
        <v>369</v>
      </c>
      <c r="D4383" t="s">
        <v>6521</v>
      </c>
      <c r="E4383" s="149" t="s">
        <v>419</v>
      </c>
      <c r="F4383" s="150" t="s">
        <v>419</v>
      </c>
      <c r="G4383" s="149" t="s">
        <v>400</v>
      </c>
      <c r="H4383" s="150" t="str">
        <f>IF(Proc[[#This Row],[type]]="LFF (MDG-F)",MID(Proc[[#This Row],[Obj]],13,10),"")</f>
        <v/>
      </c>
      <c r="J4383" s="150" t="b">
        <f>Proc[[#This Row],[Requested]]=Proc[[#This Row],[CurrentParent]]</f>
        <v>1</v>
      </c>
      <c r="K4383" s="150" t="str">
        <f>IF(Proc[[#This Row],[Author]]="Marcela Urrego",VLOOKUP(LEFT(Proc[[#This Row],[Requested]],1),Table3[#All],2,0),VLOOKUP(Proc[[#This Row],[Author]],Table4[],2,0))</f>
        <v>EL</v>
      </c>
      <c r="L4383" s="150" t="s">
        <v>6435</v>
      </c>
      <c r="M4383" s="159">
        <v>45947</v>
      </c>
      <c r="N4383" s="160"/>
      <c r="O4383" s="160"/>
      <c r="P4383" s="159" t="str">
        <f ca="1">IF(Proc[[#This Row],[DaysAgeing]]&gt;5,"yep","on track")</f>
        <v>yep</v>
      </c>
      <c r="Q4383" s="3">
        <f ca="1">IF(Proc[[#This Row],[DateClosed]]="",ABS(NETWORKDAYS(Proc[[#This Row],[DateOpened]],TODAY()))-1,ABS(NETWORKDAYS(Proc[[#This Row],[DateOpened]],Proc[[#This Row],[DateClosed]]))-1)</f>
        <v>40</v>
      </c>
      <c r="R4383" s="159" t="s">
        <v>5709</v>
      </c>
      <c r="S4383" s="150"/>
    </row>
    <row r="4384" spans="1:19">
      <c r="A4384" s="149" t="s">
        <v>6530</v>
      </c>
      <c r="B4384" s="150" t="str">
        <f>IFERROR(VLOOKUP(Proc[[#This Row],[App]],Table2[],3,0),"open")</f>
        <v>ok</v>
      </c>
      <c r="C4384" s="149" t="s">
        <v>369</v>
      </c>
      <c r="D4384" t="s">
        <v>6522</v>
      </c>
      <c r="E4384" s="149" t="s">
        <v>419</v>
      </c>
      <c r="F4384" s="150" t="s">
        <v>419</v>
      </c>
      <c r="G4384" s="149" t="s">
        <v>400</v>
      </c>
      <c r="H4384" s="150" t="str">
        <f>IF(Proc[[#This Row],[type]]="LFF (MDG-F)",MID(Proc[[#This Row],[Obj]],13,10),"")</f>
        <v/>
      </c>
      <c r="J4384" s="150" t="b">
        <f>Proc[[#This Row],[Requested]]=Proc[[#This Row],[CurrentParent]]</f>
        <v>1</v>
      </c>
      <c r="K4384" s="150" t="str">
        <f>IF(Proc[[#This Row],[Author]]="Marcela Urrego",VLOOKUP(LEFT(Proc[[#This Row],[Requested]],1),Table3[#All],2,0),VLOOKUP(Proc[[#This Row],[Author]],Table4[],2,0))</f>
        <v>EL</v>
      </c>
      <c r="L4384" s="150" t="s">
        <v>6435</v>
      </c>
      <c r="M4384" s="159">
        <v>45947</v>
      </c>
      <c r="N4384" s="160"/>
      <c r="O4384" s="160"/>
      <c r="P4384" s="159" t="str">
        <f ca="1">IF(Proc[[#This Row],[DaysAgeing]]&gt;5,"yep","on track")</f>
        <v>yep</v>
      </c>
      <c r="Q4384" s="3">
        <f ca="1">IF(Proc[[#This Row],[DateClosed]]="",ABS(NETWORKDAYS(Proc[[#This Row],[DateOpened]],TODAY()))-1,ABS(NETWORKDAYS(Proc[[#This Row],[DateOpened]],Proc[[#This Row],[DateClosed]]))-1)</f>
        <v>40</v>
      </c>
      <c r="R4384" s="159" t="s">
        <v>5709</v>
      </c>
      <c r="S4384" s="150"/>
    </row>
    <row r="4385" spans="1:19">
      <c r="A4385" s="149" t="s">
        <v>6530</v>
      </c>
      <c r="B4385" s="150" t="str">
        <f>IFERROR(VLOOKUP(Proc[[#This Row],[App]],Table2[],3,0),"open")</f>
        <v>ok</v>
      </c>
      <c r="C4385" s="149" t="s">
        <v>369</v>
      </c>
      <c r="D4385" t="s">
        <v>6523</v>
      </c>
      <c r="E4385" t="s">
        <v>2430</v>
      </c>
      <c r="F4385" s="150" t="s">
        <v>2430</v>
      </c>
      <c r="G4385" s="149" t="s">
        <v>400</v>
      </c>
      <c r="H4385" s="150" t="str">
        <f>IF(Proc[[#This Row],[type]]="LFF (MDG-F)",MID(Proc[[#This Row],[Obj]],13,10),"")</f>
        <v/>
      </c>
      <c r="J4385" s="150" t="b">
        <f>Proc[[#This Row],[Requested]]=Proc[[#This Row],[CurrentParent]]</f>
        <v>1</v>
      </c>
      <c r="K4385" s="150" t="str">
        <f>IF(Proc[[#This Row],[Author]]="Marcela Urrego",VLOOKUP(LEFT(Proc[[#This Row],[Requested]],1),Table3[#All],2,0),VLOOKUP(Proc[[#This Row],[Author]],Table4[],2,0))</f>
        <v>EL</v>
      </c>
      <c r="L4385" s="150" t="s">
        <v>6435</v>
      </c>
      <c r="M4385" s="159">
        <v>45947</v>
      </c>
      <c r="N4385" s="160"/>
      <c r="O4385" s="160"/>
      <c r="P4385" s="159" t="str">
        <f ca="1">IF(Proc[[#This Row],[DaysAgeing]]&gt;5,"yep","on track")</f>
        <v>yep</v>
      </c>
      <c r="Q4385" s="3">
        <f ca="1">IF(Proc[[#This Row],[DateClosed]]="",ABS(NETWORKDAYS(Proc[[#This Row],[DateOpened]],TODAY()))-1,ABS(NETWORKDAYS(Proc[[#This Row],[DateOpened]],Proc[[#This Row],[DateClosed]]))-1)</f>
        <v>40</v>
      </c>
      <c r="R4385" s="159" t="s">
        <v>5709</v>
      </c>
      <c r="S4385" s="150"/>
    </row>
    <row r="4386" spans="1:19">
      <c r="A4386" s="149" t="s">
        <v>6530</v>
      </c>
      <c r="B4386" s="150" t="str">
        <f>IFERROR(VLOOKUP(Proc[[#This Row],[App]],Table2[],3,0),"open")</f>
        <v>ok</v>
      </c>
      <c r="C4386" s="149" t="s">
        <v>369</v>
      </c>
      <c r="D4386" t="s">
        <v>6524</v>
      </c>
      <c r="E4386" s="149" t="s">
        <v>2430</v>
      </c>
      <c r="F4386" s="150" t="s">
        <v>2430</v>
      </c>
      <c r="G4386" s="149" t="s">
        <v>400</v>
      </c>
      <c r="H4386" s="150" t="str">
        <f>IF(Proc[[#This Row],[type]]="LFF (MDG-F)",MID(Proc[[#This Row],[Obj]],13,10),"")</f>
        <v/>
      </c>
      <c r="J4386" s="150" t="b">
        <f>Proc[[#This Row],[Requested]]=Proc[[#This Row],[CurrentParent]]</f>
        <v>1</v>
      </c>
      <c r="K4386" s="150" t="str">
        <f>IF(Proc[[#This Row],[Author]]="Marcela Urrego",VLOOKUP(LEFT(Proc[[#This Row],[Requested]],1),Table3[#All],2,0),VLOOKUP(Proc[[#This Row],[Author]],Table4[],2,0))</f>
        <v>EL</v>
      </c>
      <c r="L4386" s="150" t="s">
        <v>6435</v>
      </c>
      <c r="M4386" s="159">
        <v>45947</v>
      </c>
      <c r="N4386" s="160"/>
      <c r="O4386" s="160"/>
      <c r="P4386" s="159" t="str">
        <f ca="1">IF(Proc[[#This Row],[DaysAgeing]]&gt;5,"yep","on track")</f>
        <v>yep</v>
      </c>
      <c r="Q4386" s="3">
        <f ca="1">IF(Proc[[#This Row],[DateClosed]]="",ABS(NETWORKDAYS(Proc[[#This Row],[DateOpened]],TODAY()))-1,ABS(NETWORKDAYS(Proc[[#This Row],[DateOpened]],Proc[[#This Row],[DateClosed]]))-1)</f>
        <v>40</v>
      </c>
      <c r="R4386" s="159" t="s">
        <v>5709</v>
      </c>
      <c r="S4386" s="150"/>
    </row>
    <row r="4387" spans="1:19">
      <c r="A4387" s="149" t="s">
        <v>6530</v>
      </c>
      <c r="B4387" s="150" t="str">
        <f>IFERROR(VLOOKUP(Proc[[#This Row],[App]],Table2[],3,0),"open")</f>
        <v>ok</v>
      </c>
      <c r="C4387" s="149" t="s">
        <v>369</v>
      </c>
      <c r="D4387" t="s">
        <v>6525</v>
      </c>
      <c r="E4387" s="149" t="s">
        <v>2430</v>
      </c>
      <c r="F4387" s="150" t="s">
        <v>2430</v>
      </c>
      <c r="G4387" s="149" t="s">
        <v>400</v>
      </c>
      <c r="H4387" s="150" t="str">
        <f>IF(Proc[[#This Row],[type]]="LFF (MDG-F)",MID(Proc[[#This Row],[Obj]],13,10),"")</f>
        <v/>
      </c>
      <c r="J4387" s="150" t="b">
        <f>Proc[[#This Row],[Requested]]=Proc[[#This Row],[CurrentParent]]</f>
        <v>1</v>
      </c>
      <c r="K4387" s="150" t="str">
        <f>IF(Proc[[#This Row],[Author]]="Marcela Urrego",VLOOKUP(LEFT(Proc[[#This Row],[Requested]],1),Table3[#All],2,0),VLOOKUP(Proc[[#This Row],[Author]],Table4[],2,0))</f>
        <v>EL</v>
      </c>
      <c r="L4387" s="150" t="s">
        <v>6435</v>
      </c>
      <c r="M4387" s="159">
        <v>45947</v>
      </c>
      <c r="N4387" s="160"/>
      <c r="O4387" s="160"/>
      <c r="P4387" s="159" t="str">
        <f ca="1">IF(Proc[[#This Row],[DaysAgeing]]&gt;5,"yep","on track")</f>
        <v>yep</v>
      </c>
      <c r="Q4387" s="3">
        <f ca="1">IF(Proc[[#This Row],[DateClosed]]="",ABS(NETWORKDAYS(Proc[[#This Row],[DateOpened]],TODAY()))-1,ABS(NETWORKDAYS(Proc[[#This Row],[DateOpened]],Proc[[#This Row],[DateClosed]]))-1)</f>
        <v>40</v>
      </c>
      <c r="R4387" s="159" t="s">
        <v>5709</v>
      </c>
      <c r="S4387" s="150"/>
    </row>
    <row r="4388" spans="1:19">
      <c r="A4388" s="149" t="s">
        <v>6530</v>
      </c>
      <c r="B4388" s="150" t="str">
        <f>IFERROR(VLOOKUP(Proc[[#This Row],[App]],Table2[],3,0),"open")</f>
        <v>ok</v>
      </c>
      <c r="C4388" s="149" t="s">
        <v>369</v>
      </c>
      <c r="D4388" t="s">
        <v>6526</v>
      </c>
      <c r="E4388" s="149" t="s">
        <v>2430</v>
      </c>
      <c r="F4388" s="150" t="s">
        <v>2430</v>
      </c>
      <c r="G4388" s="149" t="s">
        <v>400</v>
      </c>
      <c r="H4388" s="150" t="str">
        <f>IF(Proc[[#This Row],[type]]="LFF (MDG-F)",MID(Proc[[#This Row],[Obj]],13,10),"")</f>
        <v/>
      </c>
      <c r="J4388" s="150" t="b">
        <f>Proc[[#This Row],[Requested]]=Proc[[#This Row],[CurrentParent]]</f>
        <v>1</v>
      </c>
      <c r="K4388" s="150" t="str">
        <f>IF(Proc[[#This Row],[Author]]="Marcela Urrego",VLOOKUP(LEFT(Proc[[#This Row],[Requested]],1),Table3[#All],2,0),VLOOKUP(Proc[[#This Row],[Author]],Table4[],2,0))</f>
        <v>EL</v>
      </c>
      <c r="L4388" s="150" t="s">
        <v>6435</v>
      </c>
      <c r="M4388" s="159">
        <v>45947</v>
      </c>
      <c r="N4388" s="160"/>
      <c r="O4388" s="160"/>
      <c r="P4388" s="159" t="str">
        <f ca="1">IF(Proc[[#This Row],[DaysAgeing]]&gt;5,"yep","on track")</f>
        <v>yep</v>
      </c>
      <c r="Q4388" s="3">
        <f ca="1">IF(Proc[[#This Row],[DateClosed]]="",ABS(NETWORKDAYS(Proc[[#This Row],[DateOpened]],TODAY()))-1,ABS(NETWORKDAYS(Proc[[#This Row],[DateOpened]],Proc[[#This Row],[DateClosed]]))-1)</f>
        <v>40</v>
      </c>
      <c r="R4388" s="159" t="s">
        <v>5709</v>
      </c>
      <c r="S4388" s="150"/>
    </row>
    <row r="4389" spans="1:19">
      <c r="A4389" s="149" t="s">
        <v>6530</v>
      </c>
      <c r="B4389" s="150" t="str">
        <f>IFERROR(VLOOKUP(Proc[[#This Row],[App]],Table2[],3,0),"open")</f>
        <v>ok</v>
      </c>
      <c r="C4389" s="149" t="s">
        <v>369</v>
      </c>
      <c r="D4389" t="s">
        <v>6527</v>
      </c>
      <c r="E4389" s="149" t="s">
        <v>419</v>
      </c>
      <c r="F4389" s="150" t="s">
        <v>419</v>
      </c>
      <c r="G4389" s="149" t="s">
        <v>400</v>
      </c>
      <c r="H4389" s="150" t="str">
        <f>IF(Proc[[#This Row],[type]]="LFF (MDG-F)",MID(Proc[[#This Row],[Obj]],13,10),"")</f>
        <v/>
      </c>
      <c r="J4389" s="150" t="b">
        <f>Proc[[#This Row],[Requested]]=Proc[[#This Row],[CurrentParent]]</f>
        <v>1</v>
      </c>
      <c r="K4389" s="150" t="str">
        <f>IF(Proc[[#This Row],[Author]]="Marcela Urrego",VLOOKUP(LEFT(Proc[[#This Row],[Requested]],1),Table3[#All],2,0),VLOOKUP(Proc[[#This Row],[Author]],Table4[],2,0))</f>
        <v>EL</v>
      </c>
      <c r="L4389" s="150" t="s">
        <v>6435</v>
      </c>
      <c r="M4389" s="159">
        <v>45947</v>
      </c>
      <c r="N4389" s="160"/>
      <c r="O4389" s="160"/>
      <c r="P4389" s="159" t="str">
        <f ca="1">IF(Proc[[#This Row],[DaysAgeing]]&gt;5,"yep","on track")</f>
        <v>yep</v>
      </c>
      <c r="Q4389" s="3">
        <f ca="1">IF(Proc[[#This Row],[DateClosed]]="",ABS(NETWORKDAYS(Proc[[#This Row],[DateOpened]],TODAY()))-1,ABS(NETWORKDAYS(Proc[[#This Row],[DateOpened]],Proc[[#This Row],[DateClosed]]))-1)</f>
        <v>40</v>
      </c>
      <c r="R4389" s="159" t="s">
        <v>5709</v>
      </c>
      <c r="S4389" s="150"/>
    </row>
    <row r="4390" spans="1:19">
      <c r="A4390" s="149" t="s">
        <v>6530</v>
      </c>
      <c r="B4390" s="150" t="str">
        <f>IFERROR(VLOOKUP(Proc[[#This Row],[App]],Table2[],3,0),"open")</f>
        <v>ok</v>
      </c>
      <c r="C4390" s="149" t="s">
        <v>369</v>
      </c>
      <c r="D4390" t="s">
        <v>6528</v>
      </c>
      <c r="E4390" s="149" t="s">
        <v>2430</v>
      </c>
      <c r="F4390" s="150" t="s">
        <v>2430</v>
      </c>
      <c r="G4390" s="149" t="s">
        <v>400</v>
      </c>
      <c r="H4390" s="150" t="str">
        <f>IF(Proc[[#This Row],[type]]="LFF (MDG-F)",MID(Proc[[#This Row],[Obj]],13,10),"")</f>
        <v/>
      </c>
      <c r="J4390" s="150" t="b">
        <f>Proc[[#This Row],[Requested]]=Proc[[#This Row],[CurrentParent]]</f>
        <v>1</v>
      </c>
      <c r="K4390" s="150" t="str">
        <f>IF(Proc[[#This Row],[Author]]="Marcela Urrego",VLOOKUP(LEFT(Proc[[#This Row],[Requested]],1),Table3[#All],2,0),VLOOKUP(Proc[[#This Row],[Author]],Table4[],2,0))</f>
        <v>EL</v>
      </c>
      <c r="L4390" s="150" t="s">
        <v>6435</v>
      </c>
      <c r="M4390" s="159">
        <v>45947</v>
      </c>
      <c r="N4390" s="160"/>
      <c r="O4390" s="160"/>
      <c r="P4390" s="159" t="str">
        <f ca="1">IF(Proc[[#This Row],[DaysAgeing]]&gt;5,"yep","on track")</f>
        <v>yep</v>
      </c>
      <c r="Q4390" s="3">
        <f ca="1">IF(Proc[[#This Row],[DateClosed]]="",ABS(NETWORKDAYS(Proc[[#This Row],[DateOpened]],TODAY()))-1,ABS(NETWORKDAYS(Proc[[#This Row],[DateOpened]],Proc[[#This Row],[DateClosed]]))-1)</f>
        <v>40</v>
      </c>
      <c r="R4390" s="159" t="s">
        <v>5709</v>
      </c>
      <c r="S4390" s="150"/>
    </row>
    <row r="4391" spans="1:19">
      <c r="A4391" s="149" t="s">
        <v>6530</v>
      </c>
      <c r="B4391" s="150" t="str">
        <f>IFERROR(VLOOKUP(Proc[[#This Row],[App]],Table2[],3,0),"open")</f>
        <v>ok</v>
      </c>
      <c r="C4391" s="149" t="s">
        <v>369</v>
      </c>
      <c r="D4391" t="s">
        <v>6529</v>
      </c>
      <c r="E4391" s="149" t="s">
        <v>2430</v>
      </c>
      <c r="F4391" s="150" t="s">
        <v>2430</v>
      </c>
      <c r="G4391" s="149" t="s">
        <v>400</v>
      </c>
      <c r="H4391" s="150" t="str">
        <f>IF(Proc[[#This Row],[type]]="LFF (MDG-F)",MID(Proc[[#This Row],[Obj]],13,10),"")</f>
        <v/>
      </c>
      <c r="J4391" s="150" t="b">
        <f>Proc[[#This Row],[Requested]]=Proc[[#This Row],[CurrentParent]]</f>
        <v>1</v>
      </c>
      <c r="K4391" s="150" t="str">
        <f>IF(Proc[[#This Row],[Author]]="Marcela Urrego",VLOOKUP(LEFT(Proc[[#This Row],[Requested]],1),Table3[#All],2,0),VLOOKUP(Proc[[#This Row],[Author]],Table4[],2,0))</f>
        <v>EL</v>
      </c>
      <c r="L4391" s="150" t="s">
        <v>6435</v>
      </c>
      <c r="M4391" s="159">
        <v>45947</v>
      </c>
      <c r="N4391" s="160"/>
      <c r="O4391" s="160"/>
      <c r="P4391" s="159" t="str">
        <f ca="1">IF(Proc[[#This Row],[DaysAgeing]]&gt;5,"yep","on track")</f>
        <v>yep</v>
      </c>
      <c r="Q4391" s="3">
        <f ca="1">IF(Proc[[#This Row],[DateClosed]]="",ABS(NETWORKDAYS(Proc[[#This Row],[DateOpened]],TODAY()))-1,ABS(NETWORKDAYS(Proc[[#This Row],[DateOpened]],Proc[[#This Row],[DateClosed]]))-1)</f>
        <v>40</v>
      </c>
      <c r="R4391" s="159" t="s">
        <v>5709</v>
      </c>
      <c r="S4391" s="150"/>
    </row>
    <row r="4392" spans="1:19">
      <c r="A4392" t="s">
        <v>6533</v>
      </c>
      <c r="B4392" s="150" t="str">
        <f>IFERROR(VLOOKUP(Proc[[#This Row],[App]],Table2[],3,0),"open")</f>
        <v>ok</v>
      </c>
      <c r="C4392" t="s">
        <v>369</v>
      </c>
      <c r="D4392" t="s">
        <v>6534</v>
      </c>
      <c r="E4392" t="s">
        <v>6538</v>
      </c>
      <c r="F4392" s="150" t="s">
        <v>6538</v>
      </c>
      <c r="G4392" s="149" t="s">
        <v>406</v>
      </c>
      <c r="H4392" s="150" t="str">
        <f>IF(Proc[[#This Row],[type]]="LFF (MDG-F)",MID(Proc[[#This Row],[Obj]],13,10),"")</f>
        <v>2053R00001</v>
      </c>
      <c r="J4392" s="150" t="b">
        <f>Proc[[#This Row],[Requested]]=Proc[[#This Row],[CurrentParent]]</f>
        <v>1</v>
      </c>
      <c r="K4392" s="150" t="str">
        <f>IF(Proc[[#This Row],[Author]]="Marcela Urrego",VLOOKUP(LEFT(Proc[[#This Row],[Requested]],1),Table3[#All],2,0),VLOOKUP(Proc[[#This Row],[Author]],Table4[],2,0))</f>
        <v>LS</v>
      </c>
      <c r="L4392" s="150" t="s">
        <v>6435</v>
      </c>
      <c r="M4392" s="159">
        <v>45952</v>
      </c>
      <c r="N4392" s="160"/>
      <c r="O4392" s="160"/>
      <c r="P4392" s="159" t="str">
        <f ca="1">IF(Proc[[#This Row],[DaysAgeing]]&gt;5,"yep","on track")</f>
        <v>yep</v>
      </c>
      <c r="Q4392" s="3">
        <f ca="1">IF(Proc[[#This Row],[DateClosed]]="",ABS(NETWORKDAYS(Proc[[#This Row],[DateOpened]],TODAY()))-1,ABS(NETWORKDAYS(Proc[[#This Row],[DateOpened]],Proc[[#This Row],[DateClosed]]))-1)</f>
        <v>37</v>
      </c>
      <c r="R4392" s="159" t="s">
        <v>489</v>
      </c>
      <c r="S4392" s="150"/>
    </row>
    <row r="4393" spans="1:19">
      <c r="A4393" s="149" t="s">
        <v>6533</v>
      </c>
      <c r="B4393" s="150" t="str">
        <f>IFERROR(VLOOKUP(Proc[[#This Row],[App]],Table2[],3,0),"open")</f>
        <v>ok</v>
      </c>
      <c r="C4393" s="149" t="s">
        <v>369</v>
      </c>
      <c r="D4393" t="s">
        <v>6535</v>
      </c>
      <c r="E4393" t="s">
        <v>6538</v>
      </c>
      <c r="F4393" s="150" t="s">
        <v>6538</v>
      </c>
      <c r="G4393" s="149" t="s">
        <v>406</v>
      </c>
      <c r="H4393" s="150" t="str">
        <f>IF(Proc[[#This Row],[type]]="LFF (MDG-F)",MID(Proc[[#This Row],[Obj]],13,10),"")</f>
        <v>2123R00004</v>
      </c>
      <c r="J4393" s="150" t="b">
        <f>Proc[[#This Row],[Requested]]=Proc[[#This Row],[CurrentParent]]</f>
        <v>1</v>
      </c>
      <c r="K4393" s="150" t="str">
        <f>IF(Proc[[#This Row],[Author]]="Marcela Urrego",VLOOKUP(LEFT(Proc[[#This Row],[Requested]],1),Table3[#All],2,0),VLOOKUP(Proc[[#This Row],[Author]],Table4[],2,0))</f>
        <v>LS</v>
      </c>
      <c r="L4393" s="150" t="s">
        <v>6435</v>
      </c>
      <c r="M4393" s="159">
        <v>45952</v>
      </c>
      <c r="N4393" s="160"/>
      <c r="O4393" s="160"/>
      <c r="P4393" s="159" t="str">
        <f ca="1">IF(Proc[[#This Row],[DaysAgeing]]&gt;5,"yep","on track")</f>
        <v>yep</v>
      </c>
      <c r="Q4393" s="3">
        <f ca="1">IF(Proc[[#This Row],[DateClosed]]="",ABS(NETWORKDAYS(Proc[[#This Row],[DateOpened]],TODAY()))-1,ABS(NETWORKDAYS(Proc[[#This Row],[DateOpened]],Proc[[#This Row],[DateClosed]]))-1)</f>
        <v>37</v>
      </c>
      <c r="R4393" s="159" t="s">
        <v>489</v>
      </c>
      <c r="S4393" s="150"/>
    </row>
    <row r="4394" spans="1:19">
      <c r="A4394" s="149" t="s">
        <v>6533</v>
      </c>
      <c r="B4394" s="150" t="str">
        <f>IFERROR(VLOOKUP(Proc[[#This Row],[App]],Table2[],3,0),"open")</f>
        <v>ok</v>
      </c>
      <c r="C4394" s="149" t="s">
        <v>369</v>
      </c>
      <c r="D4394" t="s">
        <v>6536</v>
      </c>
      <c r="E4394" t="s">
        <v>6538</v>
      </c>
      <c r="F4394" s="150" t="s">
        <v>6538</v>
      </c>
      <c r="G4394" t="s">
        <v>400</v>
      </c>
      <c r="H4394" s="150" t="str">
        <f>IF(Proc[[#This Row],[type]]="LFF (MDG-F)",MID(Proc[[#This Row],[Obj]],13,10),"")</f>
        <v/>
      </c>
      <c r="J4394" s="150" t="b">
        <f>Proc[[#This Row],[Requested]]=Proc[[#This Row],[CurrentParent]]</f>
        <v>1</v>
      </c>
      <c r="K4394" s="150" t="str">
        <f>IF(Proc[[#This Row],[Author]]="Marcela Urrego",VLOOKUP(LEFT(Proc[[#This Row],[Requested]],1),Table3[#All],2,0),VLOOKUP(Proc[[#This Row],[Author]],Table4[],2,0))</f>
        <v>LS</v>
      </c>
      <c r="L4394" s="150" t="s">
        <v>6435</v>
      </c>
      <c r="M4394" s="159">
        <v>45952</v>
      </c>
      <c r="N4394" s="160"/>
      <c r="O4394" s="160"/>
      <c r="P4394" s="159" t="str">
        <f ca="1">IF(Proc[[#This Row],[DaysAgeing]]&gt;5,"yep","on track")</f>
        <v>yep</v>
      </c>
      <c r="Q4394" s="3">
        <f ca="1">IF(Proc[[#This Row],[DateClosed]]="",ABS(NETWORKDAYS(Proc[[#This Row],[DateOpened]],TODAY()))-1,ABS(NETWORKDAYS(Proc[[#This Row],[DateOpened]],Proc[[#This Row],[DateClosed]]))-1)</f>
        <v>37</v>
      </c>
      <c r="R4394" s="159" t="s">
        <v>489</v>
      </c>
      <c r="S4394" s="150"/>
    </row>
    <row r="4395" spans="1:19">
      <c r="A4395" s="149" t="s">
        <v>6533</v>
      </c>
      <c r="B4395" s="150" t="str">
        <f>IFERROR(VLOOKUP(Proc[[#This Row],[App]],Table2[],3,0),"open")</f>
        <v>ok</v>
      </c>
      <c r="C4395" s="149" t="s">
        <v>369</v>
      </c>
      <c r="D4395" t="s">
        <v>6537</v>
      </c>
      <c r="E4395" t="s">
        <v>6538</v>
      </c>
      <c r="F4395" s="150" t="s">
        <v>6538</v>
      </c>
      <c r="G4395" s="149" t="s">
        <v>400</v>
      </c>
      <c r="H4395" s="150" t="str">
        <f>IF(Proc[[#This Row],[type]]="LFF (MDG-F)",MID(Proc[[#This Row],[Obj]],13,10),"")</f>
        <v/>
      </c>
      <c r="J4395" s="150" t="b">
        <f>Proc[[#This Row],[Requested]]=Proc[[#This Row],[CurrentParent]]</f>
        <v>1</v>
      </c>
      <c r="K4395" s="150" t="str">
        <f>IF(Proc[[#This Row],[Author]]="Marcela Urrego",VLOOKUP(LEFT(Proc[[#This Row],[Requested]],1),Table3[#All],2,0),VLOOKUP(Proc[[#This Row],[Author]],Table4[],2,0))</f>
        <v>LS</v>
      </c>
      <c r="L4395" s="150" t="s">
        <v>6435</v>
      </c>
      <c r="M4395" s="159">
        <v>45952</v>
      </c>
      <c r="N4395" s="160"/>
      <c r="O4395" s="160"/>
      <c r="P4395" s="159" t="str">
        <f ca="1">IF(Proc[[#This Row],[DaysAgeing]]&gt;5,"yep","on track")</f>
        <v>yep</v>
      </c>
      <c r="Q4395" s="3">
        <f ca="1">IF(Proc[[#This Row],[DateClosed]]="",ABS(NETWORKDAYS(Proc[[#This Row],[DateOpened]],TODAY()))-1,ABS(NETWORKDAYS(Proc[[#This Row],[DateOpened]],Proc[[#This Row],[DateClosed]]))-1)</f>
        <v>37</v>
      </c>
      <c r="R4395" s="159" t="s">
        <v>489</v>
      </c>
      <c r="S4395" s="150"/>
    </row>
    <row r="4396" spans="1:19">
      <c r="A4396" t="s">
        <v>6539</v>
      </c>
      <c r="B4396" s="150" t="str">
        <f>IFERROR(VLOOKUP(Proc[[#This Row],[App]],Table2[],3,0),"open")</f>
        <v>ok</v>
      </c>
      <c r="C4396" s="149" t="s">
        <v>369</v>
      </c>
      <c r="D4396" t="s">
        <v>6540</v>
      </c>
      <c r="E4396" t="s">
        <v>6500</v>
      </c>
      <c r="F4396" s="150" t="s">
        <v>6500</v>
      </c>
      <c r="G4396" s="149" t="s">
        <v>400</v>
      </c>
      <c r="H4396" s="150" t="str">
        <f>IF(Proc[[#This Row],[type]]="LFF (MDG-F)",MID(Proc[[#This Row],[Obj]],13,10),"")</f>
        <v/>
      </c>
      <c r="J4396" s="150" t="b">
        <f>Proc[[#This Row],[Requested]]=Proc[[#This Row],[CurrentParent]]</f>
        <v>1</v>
      </c>
      <c r="K4396" s="150" t="str">
        <f>IF(Proc[[#This Row],[Author]]="Marcela Urrego",VLOOKUP(LEFT(Proc[[#This Row],[Requested]],1),Table3[#All],2,0),VLOOKUP(Proc[[#This Row],[Author]],Table4[],2,0))</f>
        <v>LS</v>
      </c>
      <c r="L4396" s="150" t="s">
        <v>6435</v>
      </c>
      <c r="M4396" s="159">
        <v>45952</v>
      </c>
      <c r="N4396" s="160"/>
      <c r="O4396" s="160"/>
      <c r="P4396" s="159" t="str">
        <f ca="1">IF(Proc[[#This Row],[DaysAgeing]]&gt;5,"yep","on track")</f>
        <v>yep</v>
      </c>
      <c r="Q4396" s="3">
        <f ca="1">IF(Proc[[#This Row],[DateClosed]]="",ABS(NETWORKDAYS(Proc[[#This Row],[DateOpened]],TODAY()))-1,ABS(NETWORKDAYS(Proc[[#This Row],[DateOpened]],Proc[[#This Row],[DateClosed]]))-1)</f>
        <v>37</v>
      </c>
      <c r="R4396" s="159" t="s">
        <v>489</v>
      </c>
      <c r="S4396" s="150"/>
    </row>
    <row r="4397" spans="1:19">
      <c r="A4397" s="149" t="s">
        <v>6539</v>
      </c>
      <c r="B4397" s="150" t="str">
        <f>IFERROR(VLOOKUP(Proc[[#This Row],[App]],Table2[],3,0),"open")</f>
        <v>ok</v>
      </c>
      <c r="C4397" s="149" t="s">
        <v>369</v>
      </c>
      <c r="D4397" t="s">
        <v>6507</v>
      </c>
      <c r="E4397" t="s">
        <v>6508</v>
      </c>
      <c r="F4397" s="150" t="s">
        <v>6508</v>
      </c>
      <c r="G4397" s="149" t="s">
        <v>400</v>
      </c>
      <c r="H4397" s="150" t="str">
        <f>IF(Proc[[#This Row],[type]]="LFF (MDG-F)",MID(Proc[[#This Row],[Obj]],13,10),"")</f>
        <v/>
      </c>
      <c r="J4397" s="150" t="b">
        <f>Proc[[#This Row],[Requested]]=Proc[[#This Row],[CurrentParent]]</f>
        <v>1</v>
      </c>
      <c r="K4397" s="150" t="str">
        <f>IF(Proc[[#This Row],[Author]]="Marcela Urrego",VLOOKUP(LEFT(Proc[[#This Row],[Requested]],1),Table3[#All],2,0),VLOOKUP(Proc[[#This Row],[Author]],Table4[],2,0))</f>
        <v>LS</v>
      </c>
      <c r="L4397" s="150" t="s">
        <v>6435</v>
      </c>
      <c r="M4397" s="159">
        <v>45952</v>
      </c>
      <c r="N4397" s="160"/>
      <c r="O4397" s="160"/>
      <c r="P4397" s="159" t="str">
        <f ca="1">IF(Proc[[#This Row],[DaysAgeing]]&gt;5,"yep","on track")</f>
        <v>yep</v>
      </c>
      <c r="Q4397" s="3">
        <f ca="1">IF(Proc[[#This Row],[DateClosed]]="",ABS(NETWORKDAYS(Proc[[#This Row],[DateOpened]],TODAY()))-1,ABS(NETWORKDAYS(Proc[[#This Row],[DateOpened]],Proc[[#This Row],[DateClosed]]))-1)</f>
        <v>37</v>
      </c>
      <c r="R4397" s="159" t="s">
        <v>489</v>
      </c>
      <c r="S4397" s="150"/>
    </row>
    <row r="4398" spans="1:19">
      <c r="A4398" t="s">
        <v>6541</v>
      </c>
      <c r="B4398" s="150" t="str">
        <f>IFERROR(VLOOKUP(Proc[[#This Row],[App]],Table2[],3,0),"open")</f>
        <v>ok</v>
      </c>
      <c r="C4398" s="149" t="s">
        <v>369</v>
      </c>
      <c r="D4398" t="s">
        <v>6543</v>
      </c>
      <c r="E4398" t="s">
        <v>6542</v>
      </c>
      <c r="F4398" s="150" t="s">
        <v>6542</v>
      </c>
      <c r="G4398" t="s">
        <v>406</v>
      </c>
      <c r="H4398" s="150" t="str">
        <f>IF(Proc[[#This Row],[type]]="LFF (MDG-F)",MID(Proc[[#This Row],[Obj]],13,10),"")</f>
        <v>DE01TAWA03</v>
      </c>
      <c r="J4398" s="150" t="b">
        <f>Proc[[#This Row],[Requested]]=Proc[[#This Row],[CurrentParent]]</f>
        <v>1</v>
      </c>
      <c r="K4398" s="150" t="str">
        <f>IF(Proc[[#This Row],[Author]]="Marcela Urrego",VLOOKUP(LEFT(Proc[[#This Row],[Requested]],1),Table3[#All],2,0),VLOOKUP(Proc[[#This Row],[Author]],Table4[],2,0))</f>
        <v>EL</v>
      </c>
      <c r="L4398" s="150" t="s">
        <v>6435</v>
      </c>
      <c r="M4398" s="159">
        <v>45952</v>
      </c>
      <c r="N4398" s="160"/>
      <c r="O4398" s="160"/>
      <c r="P4398" s="159" t="str">
        <f ca="1">IF(Proc[[#This Row],[DaysAgeing]]&gt;5,"yep","on track")</f>
        <v>yep</v>
      </c>
      <c r="Q4398" s="3">
        <f ca="1">IF(Proc[[#This Row],[DateClosed]]="",ABS(NETWORKDAYS(Proc[[#This Row],[DateOpened]],TODAY()))-1,ABS(NETWORKDAYS(Proc[[#This Row],[DateOpened]],Proc[[#This Row],[DateClosed]]))-1)</f>
        <v>37</v>
      </c>
      <c r="R4398" s="159" t="s">
        <v>6563</v>
      </c>
      <c r="S4398" s="150"/>
    </row>
    <row r="4399" spans="1:19">
      <c r="A4399" s="149" t="s">
        <v>6541</v>
      </c>
      <c r="B4399" s="150" t="str">
        <f>IFERROR(VLOOKUP(Proc[[#This Row],[App]],Table2[],3,0),"open")</f>
        <v>ok</v>
      </c>
      <c r="C4399" s="149" t="s">
        <v>369</v>
      </c>
      <c r="D4399" t="s">
        <v>6544</v>
      </c>
      <c r="E4399" t="s">
        <v>6542</v>
      </c>
      <c r="F4399" s="150" t="s">
        <v>6542</v>
      </c>
      <c r="G4399" s="149" t="s">
        <v>406</v>
      </c>
      <c r="H4399" s="150" t="str">
        <f>IF(Proc[[#This Row],[type]]="LFF (MDG-F)",MID(Proc[[#This Row],[Obj]],13,10),"")</f>
        <v>DE01TAWA04</v>
      </c>
      <c r="J4399" s="150" t="b">
        <f>Proc[[#This Row],[Requested]]=Proc[[#This Row],[CurrentParent]]</f>
        <v>1</v>
      </c>
      <c r="K4399" s="150" t="str">
        <f>IF(Proc[[#This Row],[Author]]="Marcela Urrego",VLOOKUP(LEFT(Proc[[#This Row],[Requested]],1),Table3[#All],2,0),VLOOKUP(Proc[[#This Row],[Author]],Table4[],2,0))</f>
        <v>EL</v>
      </c>
      <c r="L4399" s="150" t="s">
        <v>6435</v>
      </c>
      <c r="M4399" s="159">
        <v>45952</v>
      </c>
      <c r="N4399" s="160"/>
      <c r="O4399" s="160"/>
      <c r="P4399" s="159" t="str">
        <f ca="1">IF(Proc[[#This Row],[DaysAgeing]]&gt;5,"yep","on track")</f>
        <v>yep</v>
      </c>
      <c r="Q4399" s="3">
        <f ca="1">IF(Proc[[#This Row],[DateClosed]]="",ABS(NETWORKDAYS(Proc[[#This Row],[DateOpened]],TODAY()))-1,ABS(NETWORKDAYS(Proc[[#This Row],[DateOpened]],Proc[[#This Row],[DateClosed]]))-1)</f>
        <v>37</v>
      </c>
      <c r="R4399" s="159" t="s">
        <v>6563</v>
      </c>
      <c r="S4399" s="150"/>
    </row>
    <row r="4400" spans="1:19">
      <c r="A4400" s="149" t="s">
        <v>6541</v>
      </c>
      <c r="B4400" s="150" t="str">
        <f>IFERROR(VLOOKUP(Proc[[#This Row],[App]],Table2[],3,0),"open")</f>
        <v>ok</v>
      </c>
      <c r="C4400" s="149" t="s">
        <v>369</v>
      </c>
      <c r="D4400" t="s">
        <v>6545</v>
      </c>
      <c r="E4400" t="s">
        <v>6542</v>
      </c>
      <c r="F4400" s="150" t="s">
        <v>6542</v>
      </c>
      <c r="G4400" s="149" t="s">
        <v>406</v>
      </c>
      <c r="H4400" s="150" t="str">
        <f>IF(Proc[[#This Row],[type]]="LFF (MDG-F)",MID(Proc[[#This Row],[Obj]],13,10),"")</f>
        <v>DE01TAWA10</v>
      </c>
      <c r="J4400" s="150" t="b">
        <f>Proc[[#This Row],[Requested]]=Proc[[#This Row],[CurrentParent]]</f>
        <v>1</v>
      </c>
      <c r="K4400" s="150" t="str">
        <f>IF(Proc[[#This Row],[Author]]="Marcela Urrego",VLOOKUP(LEFT(Proc[[#This Row],[Requested]],1),Table3[#All],2,0),VLOOKUP(Proc[[#This Row],[Author]],Table4[],2,0))</f>
        <v>EL</v>
      </c>
      <c r="L4400" s="150" t="s">
        <v>6435</v>
      </c>
      <c r="M4400" s="159">
        <v>45952</v>
      </c>
      <c r="N4400" s="160"/>
      <c r="O4400" s="160"/>
      <c r="P4400" s="159" t="str">
        <f ca="1">IF(Proc[[#This Row],[DaysAgeing]]&gt;5,"yep","on track")</f>
        <v>yep</v>
      </c>
      <c r="Q4400" s="3">
        <f ca="1">IF(Proc[[#This Row],[DateClosed]]="",ABS(NETWORKDAYS(Proc[[#This Row],[DateOpened]],TODAY()))-1,ABS(NETWORKDAYS(Proc[[#This Row],[DateOpened]],Proc[[#This Row],[DateClosed]]))-1)</f>
        <v>37</v>
      </c>
      <c r="R4400" s="159" t="s">
        <v>6563</v>
      </c>
      <c r="S4400" s="150"/>
    </row>
    <row r="4401" spans="1:19">
      <c r="A4401" s="149" t="s">
        <v>6541</v>
      </c>
      <c r="B4401" s="150" t="str">
        <f>IFERROR(VLOOKUP(Proc[[#This Row],[App]],Table2[],3,0),"open")</f>
        <v>ok</v>
      </c>
      <c r="C4401" s="149" t="s">
        <v>369</v>
      </c>
      <c r="D4401" t="s">
        <v>6546</v>
      </c>
      <c r="E4401" t="s">
        <v>6542</v>
      </c>
      <c r="F4401" s="150" t="s">
        <v>6542</v>
      </c>
      <c r="G4401" s="149" t="s">
        <v>406</v>
      </c>
      <c r="H4401" s="150" t="str">
        <f>IF(Proc[[#This Row],[type]]="LFF (MDG-F)",MID(Proc[[#This Row],[Obj]],13,10),"")</f>
        <v>DE01TAWA20</v>
      </c>
      <c r="J4401" s="150" t="b">
        <f>Proc[[#This Row],[Requested]]=Proc[[#This Row],[CurrentParent]]</f>
        <v>1</v>
      </c>
      <c r="K4401" s="150" t="str">
        <f>IF(Proc[[#This Row],[Author]]="Marcela Urrego",VLOOKUP(LEFT(Proc[[#This Row],[Requested]],1),Table3[#All],2,0),VLOOKUP(Proc[[#This Row],[Author]],Table4[],2,0))</f>
        <v>EL</v>
      </c>
      <c r="L4401" s="150" t="s">
        <v>6435</v>
      </c>
      <c r="M4401" s="159">
        <v>45952</v>
      </c>
      <c r="N4401" s="160"/>
      <c r="O4401" s="160"/>
      <c r="P4401" s="159" t="str">
        <f ca="1">IF(Proc[[#This Row],[DaysAgeing]]&gt;5,"yep","on track")</f>
        <v>yep</v>
      </c>
      <c r="Q4401" s="3">
        <f ca="1">IF(Proc[[#This Row],[DateClosed]]="",ABS(NETWORKDAYS(Proc[[#This Row],[DateOpened]],TODAY()))-1,ABS(NETWORKDAYS(Proc[[#This Row],[DateOpened]],Proc[[#This Row],[DateClosed]]))-1)</f>
        <v>37</v>
      </c>
      <c r="R4401" s="159" t="s">
        <v>6563</v>
      </c>
      <c r="S4401" s="150"/>
    </row>
    <row r="4402" spans="1:19">
      <c r="A4402" s="149" t="s">
        <v>6541</v>
      </c>
      <c r="B4402" s="150" t="str">
        <f>IFERROR(VLOOKUP(Proc[[#This Row],[App]],Table2[],3,0),"open")</f>
        <v>ok</v>
      </c>
      <c r="C4402" s="149" t="s">
        <v>369</v>
      </c>
      <c r="D4402" t="s">
        <v>6547</v>
      </c>
      <c r="E4402" t="s">
        <v>6542</v>
      </c>
      <c r="F4402" s="150" t="s">
        <v>6542</v>
      </c>
      <c r="G4402" s="149" t="s">
        <v>406</v>
      </c>
      <c r="H4402" s="150" t="str">
        <f>IF(Proc[[#This Row],[type]]="LFF (MDG-F)",MID(Proc[[#This Row],[Obj]],13,10),"")</f>
        <v>DE01TAWA31</v>
      </c>
      <c r="J4402" s="150" t="b">
        <f>Proc[[#This Row],[Requested]]=Proc[[#This Row],[CurrentParent]]</f>
        <v>1</v>
      </c>
      <c r="K4402" s="150" t="str">
        <f>IF(Proc[[#This Row],[Author]]="Marcela Urrego",VLOOKUP(LEFT(Proc[[#This Row],[Requested]],1),Table3[#All],2,0),VLOOKUP(Proc[[#This Row],[Author]],Table4[],2,0))</f>
        <v>EL</v>
      </c>
      <c r="L4402" s="150" t="s">
        <v>6435</v>
      </c>
      <c r="M4402" s="159">
        <v>45952</v>
      </c>
      <c r="N4402" s="160"/>
      <c r="O4402" s="160"/>
      <c r="P4402" s="159" t="str">
        <f ca="1">IF(Proc[[#This Row],[DaysAgeing]]&gt;5,"yep","on track")</f>
        <v>yep</v>
      </c>
      <c r="Q4402" s="3">
        <f ca="1">IF(Proc[[#This Row],[DateClosed]]="",ABS(NETWORKDAYS(Proc[[#This Row],[DateOpened]],TODAY()))-1,ABS(NETWORKDAYS(Proc[[#This Row],[DateOpened]],Proc[[#This Row],[DateClosed]]))-1)</f>
        <v>37</v>
      </c>
      <c r="R4402" s="159" t="s">
        <v>6563</v>
      </c>
      <c r="S4402" s="150"/>
    </row>
    <row r="4403" spans="1:19">
      <c r="A4403" s="149" t="s">
        <v>6541</v>
      </c>
      <c r="B4403" s="150" t="str">
        <f>IFERROR(VLOOKUP(Proc[[#This Row],[App]],Table2[],3,0),"open")</f>
        <v>ok</v>
      </c>
      <c r="C4403" s="149" t="s">
        <v>369</v>
      </c>
      <c r="D4403" t="s">
        <v>6548</v>
      </c>
      <c r="E4403" t="s">
        <v>6542</v>
      </c>
      <c r="F4403" s="150" t="s">
        <v>6542</v>
      </c>
      <c r="G4403" s="149" t="s">
        <v>406</v>
      </c>
      <c r="H4403" s="150" t="str">
        <f>IF(Proc[[#This Row],[type]]="LFF (MDG-F)",MID(Proc[[#This Row],[Obj]],13,10),"")</f>
        <v>DE01TAWA32</v>
      </c>
      <c r="J4403" s="150" t="b">
        <f>Proc[[#This Row],[Requested]]=Proc[[#This Row],[CurrentParent]]</f>
        <v>1</v>
      </c>
      <c r="K4403" s="150" t="str">
        <f>IF(Proc[[#This Row],[Author]]="Marcela Urrego",VLOOKUP(LEFT(Proc[[#This Row],[Requested]],1),Table3[#All],2,0),VLOOKUP(Proc[[#This Row],[Author]],Table4[],2,0))</f>
        <v>EL</v>
      </c>
      <c r="L4403" s="150" t="s">
        <v>6435</v>
      </c>
      <c r="M4403" s="159">
        <v>45952</v>
      </c>
      <c r="N4403" s="160"/>
      <c r="O4403" s="160"/>
      <c r="P4403" s="159" t="str">
        <f ca="1">IF(Proc[[#This Row],[DaysAgeing]]&gt;5,"yep","on track")</f>
        <v>yep</v>
      </c>
      <c r="Q4403" s="3">
        <f ca="1">IF(Proc[[#This Row],[DateClosed]]="",ABS(NETWORKDAYS(Proc[[#This Row],[DateOpened]],TODAY()))-1,ABS(NETWORKDAYS(Proc[[#This Row],[DateOpened]],Proc[[#This Row],[DateClosed]]))-1)</f>
        <v>37</v>
      </c>
      <c r="R4403" s="159" t="s">
        <v>6563</v>
      </c>
      <c r="S4403" s="150"/>
    </row>
    <row r="4404" spans="1:19">
      <c r="A4404" s="149" t="s">
        <v>6541</v>
      </c>
      <c r="B4404" s="150" t="str">
        <f>IFERROR(VLOOKUP(Proc[[#This Row],[App]],Table2[],3,0),"open")</f>
        <v>ok</v>
      </c>
      <c r="C4404" s="149" t="s">
        <v>369</v>
      </c>
      <c r="D4404" t="s">
        <v>6549</v>
      </c>
      <c r="E4404" t="s">
        <v>6542</v>
      </c>
      <c r="F4404" s="150" t="s">
        <v>6542</v>
      </c>
      <c r="G4404" s="149" t="s">
        <v>406</v>
      </c>
      <c r="H4404" s="150" t="str">
        <f>IF(Proc[[#This Row],[type]]="LFF (MDG-F)",MID(Proc[[#This Row],[Obj]],13,10),"")</f>
        <v>DE01TAWA40</v>
      </c>
      <c r="J4404" s="150" t="b">
        <f>Proc[[#This Row],[Requested]]=Proc[[#This Row],[CurrentParent]]</f>
        <v>1</v>
      </c>
      <c r="K4404" s="150" t="str">
        <f>IF(Proc[[#This Row],[Author]]="Marcela Urrego",VLOOKUP(LEFT(Proc[[#This Row],[Requested]],1),Table3[#All],2,0),VLOOKUP(Proc[[#This Row],[Author]],Table4[],2,0))</f>
        <v>EL</v>
      </c>
      <c r="L4404" s="150" t="s">
        <v>6435</v>
      </c>
      <c r="M4404" s="159">
        <v>45952</v>
      </c>
      <c r="N4404" s="160"/>
      <c r="O4404" s="160"/>
      <c r="P4404" s="159" t="str">
        <f ca="1">IF(Proc[[#This Row],[DaysAgeing]]&gt;5,"yep","on track")</f>
        <v>yep</v>
      </c>
      <c r="Q4404" s="3">
        <f ca="1">IF(Proc[[#This Row],[DateClosed]]="",ABS(NETWORKDAYS(Proc[[#This Row],[DateOpened]],TODAY()))-1,ABS(NETWORKDAYS(Proc[[#This Row],[DateOpened]],Proc[[#This Row],[DateClosed]]))-1)</f>
        <v>37</v>
      </c>
      <c r="R4404" s="159" t="s">
        <v>6563</v>
      </c>
      <c r="S4404" s="150"/>
    </row>
    <row r="4405" spans="1:19">
      <c r="A4405" s="149" t="s">
        <v>6541</v>
      </c>
      <c r="B4405" s="150" t="str">
        <f>IFERROR(VLOOKUP(Proc[[#This Row],[App]],Table2[],3,0),"open")</f>
        <v>ok</v>
      </c>
      <c r="C4405" s="149" t="s">
        <v>369</v>
      </c>
      <c r="D4405" t="s">
        <v>6550</v>
      </c>
      <c r="E4405" t="s">
        <v>6542</v>
      </c>
      <c r="F4405" s="150" t="s">
        <v>6542</v>
      </c>
      <c r="G4405" s="149" t="s">
        <v>406</v>
      </c>
      <c r="H4405" s="150" t="str">
        <f>IF(Proc[[#This Row],[type]]="LFF (MDG-F)",MID(Proc[[#This Row],[Obj]],13,10),"")</f>
        <v>DE01TAWA50</v>
      </c>
      <c r="J4405" s="150" t="b">
        <f>Proc[[#This Row],[Requested]]=Proc[[#This Row],[CurrentParent]]</f>
        <v>1</v>
      </c>
      <c r="K4405" s="150" t="str">
        <f>IF(Proc[[#This Row],[Author]]="Marcela Urrego",VLOOKUP(LEFT(Proc[[#This Row],[Requested]],1),Table3[#All],2,0),VLOOKUP(Proc[[#This Row],[Author]],Table4[],2,0))</f>
        <v>EL</v>
      </c>
      <c r="L4405" s="150" t="s">
        <v>6435</v>
      </c>
      <c r="M4405" s="159">
        <v>45952</v>
      </c>
      <c r="N4405" s="160"/>
      <c r="O4405" s="160"/>
      <c r="P4405" s="159" t="str">
        <f ca="1">IF(Proc[[#This Row],[DaysAgeing]]&gt;5,"yep","on track")</f>
        <v>yep</v>
      </c>
      <c r="Q4405" s="3">
        <f ca="1">IF(Proc[[#This Row],[DateClosed]]="",ABS(NETWORKDAYS(Proc[[#This Row],[DateOpened]],TODAY()))-1,ABS(NETWORKDAYS(Proc[[#This Row],[DateOpened]],Proc[[#This Row],[DateClosed]]))-1)</f>
        <v>37</v>
      </c>
      <c r="R4405" s="159" t="s">
        <v>6563</v>
      </c>
      <c r="S4405" s="150"/>
    </row>
    <row r="4406" spans="1:19">
      <c r="A4406" s="149" t="s">
        <v>6541</v>
      </c>
      <c r="B4406" s="150" t="str">
        <f>IFERROR(VLOOKUP(Proc[[#This Row],[App]],Table2[],3,0),"open")</f>
        <v>ok</v>
      </c>
      <c r="C4406" s="149" t="s">
        <v>369</v>
      </c>
      <c r="D4406" t="s">
        <v>6551</v>
      </c>
      <c r="E4406" t="s">
        <v>6542</v>
      </c>
      <c r="F4406" s="150" t="s">
        <v>6542</v>
      </c>
      <c r="G4406" s="149" t="s">
        <v>406</v>
      </c>
      <c r="H4406" s="150" t="str">
        <f>IF(Proc[[#This Row],[type]]="LFF (MDG-F)",MID(Proc[[#This Row],[Obj]],13,10),"")</f>
        <v>DE01TAWA53</v>
      </c>
      <c r="J4406" s="150" t="b">
        <f>Proc[[#This Row],[Requested]]=Proc[[#This Row],[CurrentParent]]</f>
        <v>1</v>
      </c>
      <c r="K4406" s="150" t="str">
        <f>IF(Proc[[#This Row],[Author]]="Marcela Urrego",VLOOKUP(LEFT(Proc[[#This Row],[Requested]],1),Table3[#All],2,0),VLOOKUP(Proc[[#This Row],[Author]],Table4[],2,0))</f>
        <v>EL</v>
      </c>
      <c r="L4406" s="150" t="s">
        <v>6435</v>
      </c>
      <c r="M4406" s="159">
        <v>45952</v>
      </c>
      <c r="N4406" s="160"/>
      <c r="O4406" s="160"/>
      <c r="P4406" s="159" t="str">
        <f ca="1">IF(Proc[[#This Row],[DaysAgeing]]&gt;5,"yep","on track")</f>
        <v>yep</v>
      </c>
      <c r="Q4406" s="3">
        <f ca="1">IF(Proc[[#This Row],[DateClosed]]="",ABS(NETWORKDAYS(Proc[[#This Row],[DateOpened]],TODAY()))-1,ABS(NETWORKDAYS(Proc[[#This Row],[DateOpened]],Proc[[#This Row],[DateClosed]]))-1)</f>
        <v>37</v>
      </c>
      <c r="R4406" s="159" t="s">
        <v>6563</v>
      </c>
      <c r="S4406" s="150"/>
    </row>
    <row r="4407" spans="1:19">
      <c r="A4407" s="149" t="s">
        <v>6541</v>
      </c>
      <c r="B4407" s="150" t="str">
        <f>IFERROR(VLOOKUP(Proc[[#This Row],[App]],Table2[],3,0),"open")</f>
        <v>ok</v>
      </c>
      <c r="C4407" s="149" t="s">
        <v>369</v>
      </c>
      <c r="D4407" t="s">
        <v>6552</v>
      </c>
      <c r="E4407" t="s">
        <v>6542</v>
      </c>
      <c r="F4407" s="150" t="s">
        <v>6542</v>
      </c>
      <c r="G4407" s="149" t="s">
        <v>406</v>
      </c>
      <c r="H4407" s="150" t="str">
        <f>IF(Proc[[#This Row],[type]]="LFF (MDG-F)",MID(Proc[[#This Row],[Obj]],13,10),"")</f>
        <v>DE01TAWA61</v>
      </c>
      <c r="J4407" s="150" t="b">
        <f>Proc[[#This Row],[Requested]]=Proc[[#This Row],[CurrentParent]]</f>
        <v>1</v>
      </c>
      <c r="K4407" s="150" t="str">
        <f>IF(Proc[[#This Row],[Author]]="Marcela Urrego",VLOOKUP(LEFT(Proc[[#This Row],[Requested]],1),Table3[#All],2,0),VLOOKUP(Proc[[#This Row],[Author]],Table4[],2,0))</f>
        <v>EL</v>
      </c>
      <c r="L4407" s="150" t="s">
        <v>6435</v>
      </c>
      <c r="M4407" s="159">
        <v>45952</v>
      </c>
      <c r="N4407" s="160"/>
      <c r="O4407" s="160"/>
      <c r="P4407" s="159" t="str">
        <f ca="1">IF(Proc[[#This Row],[DaysAgeing]]&gt;5,"yep","on track")</f>
        <v>yep</v>
      </c>
      <c r="Q4407" s="3">
        <f ca="1">IF(Proc[[#This Row],[DateClosed]]="",ABS(NETWORKDAYS(Proc[[#This Row],[DateOpened]],TODAY()))-1,ABS(NETWORKDAYS(Proc[[#This Row],[DateOpened]],Proc[[#This Row],[DateClosed]]))-1)</f>
        <v>37</v>
      </c>
      <c r="R4407" s="159" t="s">
        <v>6563</v>
      </c>
      <c r="S4407" s="150"/>
    </row>
    <row r="4408" spans="1:19">
      <c r="A4408" s="149" t="s">
        <v>6541</v>
      </c>
      <c r="B4408" s="150" t="str">
        <f>IFERROR(VLOOKUP(Proc[[#This Row],[App]],Table2[],3,0),"open")</f>
        <v>ok</v>
      </c>
      <c r="C4408" s="149" t="s">
        <v>369</v>
      </c>
      <c r="D4408" t="s">
        <v>6553</v>
      </c>
      <c r="E4408" t="s">
        <v>6542</v>
      </c>
      <c r="F4408" s="150" t="s">
        <v>6542</v>
      </c>
      <c r="G4408" s="149" t="s">
        <v>406</v>
      </c>
      <c r="H4408" s="150" t="str">
        <f>IF(Proc[[#This Row],[type]]="LFF (MDG-F)",MID(Proc[[#This Row],[Obj]],13,10),"")</f>
        <v>DE01TAWA62</v>
      </c>
      <c r="J4408" s="150" t="b">
        <f>Proc[[#This Row],[Requested]]=Proc[[#This Row],[CurrentParent]]</f>
        <v>1</v>
      </c>
      <c r="K4408" s="150" t="str">
        <f>IF(Proc[[#This Row],[Author]]="Marcela Urrego",VLOOKUP(LEFT(Proc[[#This Row],[Requested]],1),Table3[#All],2,0),VLOOKUP(Proc[[#This Row],[Author]],Table4[],2,0))</f>
        <v>EL</v>
      </c>
      <c r="L4408" s="150" t="s">
        <v>6435</v>
      </c>
      <c r="M4408" s="159">
        <v>45952</v>
      </c>
      <c r="N4408" s="160"/>
      <c r="O4408" s="160"/>
      <c r="P4408" s="159" t="str">
        <f ca="1">IF(Proc[[#This Row],[DaysAgeing]]&gt;5,"yep","on track")</f>
        <v>yep</v>
      </c>
      <c r="Q4408" s="3">
        <f ca="1">IF(Proc[[#This Row],[DateClosed]]="",ABS(NETWORKDAYS(Proc[[#This Row],[DateOpened]],TODAY()))-1,ABS(NETWORKDAYS(Proc[[#This Row],[DateOpened]],Proc[[#This Row],[DateClosed]]))-1)</f>
        <v>37</v>
      </c>
      <c r="R4408" s="159" t="s">
        <v>6563</v>
      </c>
      <c r="S4408" s="150"/>
    </row>
    <row r="4409" spans="1:19">
      <c r="A4409" s="149" t="s">
        <v>6541</v>
      </c>
      <c r="B4409" s="150" t="str">
        <f>IFERROR(VLOOKUP(Proc[[#This Row],[App]],Table2[],3,0),"open")</f>
        <v>ok</v>
      </c>
      <c r="C4409" s="149" t="s">
        <v>369</v>
      </c>
      <c r="D4409" t="s">
        <v>6554</v>
      </c>
      <c r="E4409" t="s">
        <v>6542</v>
      </c>
      <c r="F4409" s="150" t="s">
        <v>6542</v>
      </c>
      <c r="G4409" s="149" t="s">
        <v>406</v>
      </c>
      <c r="H4409" s="150" t="str">
        <f>IF(Proc[[#This Row],[type]]="LFF (MDG-F)",MID(Proc[[#This Row],[Obj]],13,10),"")</f>
        <v>DE01TAWA63</v>
      </c>
      <c r="J4409" s="150" t="b">
        <f>Proc[[#This Row],[Requested]]=Proc[[#This Row],[CurrentParent]]</f>
        <v>1</v>
      </c>
      <c r="K4409" s="150" t="str">
        <f>IF(Proc[[#This Row],[Author]]="Marcela Urrego",VLOOKUP(LEFT(Proc[[#This Row],[Requested]],1),Table3[#All],2,0),VLOOKUP(Proc[[#This Row],[Author]],Table4[],2,0))</f>
        <v>EL</v>
      </c>
      <c r="L4409" s="150" t="s">
        <v>6435</v>
      </c>
      <c r="M4409" s="159">
        <v>45952</v>
      </c>
      <c r="N4409" s="160"/>
      <c r="O4409" s="160"/>
      <c r="P4409" s="159" t="str">
        <f ca="1">IF(Proc[[#This Row],[DaysAgeing]]&gt;5,"yep","on track")</f>
        <v>yep</v>
      </c>
      <c r="Q4409" s="3">
        <f ca="1">IF(Proc[[#This Row],[DateClosed]]="",ABS(NETWORKDAYS(Proc[[#This Row],[DateOpened]],TODAY()))-1,ABS(NETWORKDAYS(Proc[[#This Row],[DateOpened]],Proc[[#This Row],[DateClosed]]))-1)</f>
        <v>37</v>
      </c>
      <c r="R4409" s="159" t="s">
        <v>6563</v>
      </c>
      <c r="S4409" s="150"/>
    </row>
    <row r="4410" spans="1:19">
      <c r="A4410" s="149" t="s">
        <v>6541</v>
      </c>
      <c r="B4410" s="150" t="str">
        <f>IFERROR(VLOOKUP(Proc[[#This Row],[App]],Table2[],3,0),"open")</f>
        <v>ok</v>
      </c>
      <c r="C4410" s="149" t="s">
        <v>369</v>
      </c>
      <c r="D4410" t="s">
        <v>6555</v>
      </c>
      <c r="E4410" t="s">
        <v>6542</v>
      </c>
      <c r="F4410" s="150" t="s">
        <v>6542</v>
      </c>
      <c r="G4410" s="149" t="s">
        <v>406</v>
      </c>
      <c r="H4410" s="150" t="str">
        <f>IF(Proc[[#This Row],[type]]="LFF (MDG-F)",MID(Proc[[#This Row],[Obj]],13,10),"")</f>
        <v>DE01TAWA64</v>
      </c>
      <c r="J4410" s="150" t="b">
        <f>Proc[[#This Row],[Requested]]=Proc[[#This Row],[CurrentParent]]</f>
        <v>1</v>
      </c>
      <c r="K4410" s="150" t="str">
        <f>IF(Proc[[#This Row],[Author]]="Marcela Urrego",VLOOKUP(LEFT(Proc[[#This Row],[Requested]],1),Table3[#All],2,0),VLOOKUP(Proc[[#This Row],[Author]],Table4[],2,0))</f>
        <v>EL</v>
      </c>
      <c r="L4410" s="150" t="s">
        <v>6435</v>
      </c>
      <c r="M4410" s="159">
        <v>45952</v>
      </c>
      <c r="N4410" s="160"/>
      <c r="O4410" s="160"/>
      <c r="P4410" s="159" t="str">
        <f ca="1">IF(Proc[[#This Row],[DaysAgeing]]&gt;5,"yep","on track")</f>
        <v>yep</v>
      </c>
      <c r="Q4410" s="3">
        <f ca="1">IF(Proc[[#This Row],[DateClosed]]="",ABS(NETWORKDAYS(Proc[[#This Row],[DateOpened]],TODAY()))-1,ABS(NETWORKDAYS(Proc[[#This Row],[DateOpened]],Proc[[#This Row],[DateClosed]]))-1)</f>
        <v>37</v>
      </c>
      <c r="R4410" s="159" t="s">
        <v>6563</v>
      </c>
      <c r="S4410" s="150"/>
    </row>
    <row r="4411" spans="1:19">
      <c r="A4411" s="149" t="s">
        <v>6541</v>
      </c>
      <c r="B4411" s="150" t="str">
        <f>IFERROR(VLOOKUP(Proc[[#This Row],[App]],Table2[],3,0),"open")</f>
        <v>ok</v>
      </c>
      <c r="C4411" s="149" t="s">
        <v>369</v>
      </c>
      <c r="D4411" t="s">
        <v>6556</v>
      </c>
      <c r="E4411" t="s">
        <v>6542</v>
      </c>
      <c r="F4411" s="150" t="s">
        <v>6542</v>
      </c>
      <c r="G4411" s="149" t="s">
        <v>406</v>
      </c>
      <c r="H4411" s="150" t="str">
        <f>IF(Proc[[#This Row],[type]]="LFF (MDG-F)",MID(Proc[[#This Row],[Obj]],13,10),"")</f>
        <v>DE01TAWA70</v>
      </c>
      <c r="J4411" s="150" t="b">
        <f>Proc[[#This Row],[Requested]]=Proc[[#This Row],[CurrentParent]]</f>
        <v>1</v>
      </c>
      <c r="K4411" s="150" t="str">
        <f>IF(Proc[[#This Row],[Author]]="Marcela Urrego",VLOOKUP(LEFT(Proc[[#This Row],[Requested]],1),Table3[#All],2,0),VLOOKUP(Proc[[#This Row],[Author]],Table4[],2,0))</f>
        <v>EL</v>
      </c>
      <c r="L4411" s="150" t="s">
        <v>6435</v>
      </c>
      <c r="M4411" s="159">
        <v>45952</v>
      </c>
      <c r="N4411" s="160"/>
      <c r="O4411" s="160"/>
      <c r="P4411" s="159" t="str">
        <f ca="1">IF(Proc[[#This Row],[DaysAgeing]]&gt;5,"yep","on track")</f>
        <v>yep</v>
      </c>
      <c r="Q4411" s="3">
        <f ca="1">IF(Proc[[#This Row],[DateClosed]]="",ABS(NETWORKDAYS(Proc[[#This Row],[DateOpened]],TODAY()))-1,ABS(NETWORKDAYS(Proc[[#This Row],[DateOpened]],Proc[[#This Row],[DateClosed]]))-1)</f>
        <v>37</v>
      </c>
      <c r="R4411" s="159" t="s">
        <v>6563</v>
      </c>
      <c r="S4411" s="150"/>
    </row>
    <row r="4412" spans="1:19">
      <c r="A4412" s="149" t="s">
        <v>6541</v>
      </c>
      <c r="B4412" s="150" t="str">
        <f>IFERROR(VLOOKUP(Proc[[#This Row],[App]],Table2[],3,0),"open")</f>
        <v>ok</v>
      </c>
      <c r="C4412" s="149" t="s">
        <v>369</v>
      </c>
      <c r="D4412" t="s">
        <v>6557</v>
      </c>
      <c r="E4412" t="s">
        <v>6542</v>
      </c>
      <c r="F4412" s="150" t="s">
        <v>6542</v>
      </c>
      <c r="G4412" s="149" t="s">
        <v>406</v>
      </c>
      <c r="H4412" s="150" t="str">
        <f>IF(Proc[[#This Row],[type]]="LFF (MDG-F)",MID(Proc[[#This Row],[Obj]],13,10),"")</f>
        <v>DE01TAWA73</v>
      </c>
      <c r="J4412" s="150" t="b">
        <f>Proc[[#This Row],[Requested]]=Proc[[#This Row],[CurrentParent]]</f>
        <v>1</v>
      </c>
      <c r="K4412" s="150" t="str">
        <f>IF(Proc[[#This Row],[Author]]="Marcela Urrego",VLOOKUP(LEFT(Proc[[#This Row],[Requested]],1),Table3[#All],2,0),VLOOKUP(Proc[[#This Row],[Author]],Table4[],2,0))</f>
        <v>EL</v>
      </c>
      <c r="L4412" s="150" t="s">
        <v>6435</v>
      </c>
      <c r="M4412" s="159">
        <v>45952</v>
      </c>
      <c r="N4412" s="160"/>
      <c r="O4412" s="160"/>
      <c r="P4412" s="159" t="str">
        <f ca="1">IF(Proc[[#This Row],[DaysAgeing]]&gt;5,"yep","on track")</f>
        <v>yep</v>
      </c>
      <c r="Q4412" s="3">
        <f ca="1">IF(Proc[[#This Row],[DateClosed]]="",ABS(NETWORKDAYS(Proc[[#This Row],[DateOpened]],TODAY()))-1,ABS(NETWORKDAYS(Proc[[#This Row],[DateOpened]],Proc[[#This Row],[DateClosed]]))-1)</f>
        <v>37</v>
      </c>
      <c r="R4412" s="159" t="s">
        <v>6563</v>
      </c>
      <c r="S4412" s="150"/>
    </row>
    <row r="4413" spans="1:19">
      <c r="A4413" s="149" t="s">
        <v>6541</v>
      </c>
      <c r="B4413" s="150" t="str">
        <f>IFERROR(VLOOKUP(Proc[[#This Row],[App]],Table2[],3,0),"open")</f>
        <v>ok</v>
      </c>
      <c r="C4413" s="149" t="s">
        <v>369</v>
      </c>
      <c r="D4413" t="s">
        <v>6558</v>
      </c>
      <c r="E4413" t="s">
        <v>6542</v>
      </c>
      <c r="F4413" s="150" t="s">
        <v>6542</v>
      </c>
      <c r="G4413" s="149" t="s">
        <v>406</v>
      </c>
      <c r="H4413" s="150" t="str">
        <f>IF(Proc[[#This Row],[type]]="LFF (MDG-F)",MID(Proc[[#This Row],[Obj]],13,10),"")</f>
        <v>DE01TAWA74</v>
      </c>
      <c r="J4413" s="150" t="b">
        <f>Proc[[#This Row],[Requested]]=Proc[[#This Row],[CurrentParent]]</f>
        <v>1</v>
      </c>
      <c r="K4413" s="150" t="str">
        <f>IF(Proc[[#This Row],[Author]]="Marcela Urrego",VLOOKUP(LEFT(Proc[[#This Row],[Requested]],1),Table3[#All],2,0),VLOOKUP(Proc[[#This Row],[Author]],Table4[],2,0))</f>
        <v>EL</v>
      </c>
      <c r="L4413" s="150" t="s">
        <v>6435</v>
      </c>
      <c r="M4413" s="159">
        <v>45952</v>
      </c>
      <c r="N4413" s="160"/>
      <c r="O4413" s="160"/>
      <c r="P4413" s="159" t="str">
        <f ca="1">IF(Proc[[#This Row],[DaysAgeing]]&gt;5,"yep","on track")</f>
        <v>yep</v>
      </c>
      <c r="Q4413" s="3">
        <f ca="1">IF(Proc[[#This Row],[DateClosed]]="",ABS(NETWORKDAYS(Proc[[#This Row],[DateOpened]],TODAY()))-1,ABS(NETWORKDAYS(Proc[[#This Row],[DateOpened]],Proc[[#This Row],[DateClosed]]))-1)</f>
        <v>37</v>
      </c>
      <c r="R4413" s="159" t="s">
        <v>6563</v>
      </c>
      <c r="S4413" s="150"/>
    </row>
    <row r="4414" spans="1:19">
      <c r="A4414" s="149" t="s">
        <v>6541</v>
      </c>
      <c r="B4414" s="150" t="str">
        <f>IFERROR(VLOOKUP(Proc[[#This Row],[App]],Table2[],3,0),"open")</f>
        <v>ok</v>
      </c>
      <c r="C4414" s="149" t="s">
        <v>369</v>
      </c>
      <c r="D4414" t="s">
        <v>6559</v>
      </c>
      <c r="E4414" t="s">
        <v>6542</v>
      </c>
      <c r="F4414" s="150" t="s">
        <v>6542</v>
      </c>
      <c r="G4414" s="149" t="s">
        <v>406</v>
      </c>
      <c r="H4414" s="150" t="str">
        <f>IF(Proc[[#This Row],[type]]="LFF (MDG-F)",MID(Proc[[#This Row],[Obj]],13,10),"")</f>
        <v>DE01TAWA80</v>
      </c>
      <c r="J4414" s="150" t="b">
        <f>Proc[[#This Row],[Requested]]=Proc[[#This Row],[CurrentParent]]</f>
        <v>1</v>
      </c>
      <c r="K4414" s="150" t="str">
        <f>IF(Proc[[#This Row],[Author]]="Marcela Urrego",VLOOKUP(LEFT(Proc[[#This Row],[Requested]],1),Table3[#All],2,0),VLOOKUP(Proc[[#This Row],[Author]],Table4[],2,0))</f>
        <v>EL</v>
      </c>
      <c r="L4414" s="150" t="s">
        <v>6435</v>
      </c>
      <c r="M4414" s="159">
        <v>45952</v>
      </c>
      <c r="N4414" s="160"/>
      <c r="O4414" s="160"/>
      <c r="P4414" s="159" t="str">
        <f ca="1">IF(Proc[[#This Row],[DaysAgeing]]&gt;5,"yep","on track")</f>
        <v>yep</v>
      </c>
      <c r="Q4414" s="3">
        <f ca="1">IF(Proc[[#This Row],[DateClosed]]="",ABS(NETWORKDAYS(Proc[[#This Row],[DateOpened]],TODAY()))-1,ABS(NETWORKDAYS(Proc[[#This Row],[DateOpened]],Proc[[#This Row],[DateClosed]]))-1)</f>
        <v>37</v>
      </c>
      <c r="R4414" s="159" t="s">
        <v>6563</v>
      </c>
      <c r="S4414" s="150"/>
    </row>
    <row r="4415" spans="1:19">
      <c r="A4415" s="149" t="s">
        <v>6541</v>
      </c>
      <c r="B4415" s="150" t="str">
        <f>IFERROR(VLOOKUP(Proc[[#This Row],[App]],Table2[],3,0),"open")</f>
        <v>ok</v>
      </c>
      <c r="C4415" s="149" t="s">
        <v>369</v>
      </c>
      <c r="D4415" t="s">
        <v>6560</v>
      </c>
      <c r="E4415" t="s">
        <v>6542</v>
      </c>
      <c r="F4415" s="150" t="s">
        <v>6542</v>
      </c>
      <c r="G4415" s="149" t="s">
        <v>406</v>
      </c>
      <c r="H4415" s="150" t="str">
        <f>IF(Proc[[#This Row],[type]]="LFF (MDG-F)",MID(Proc[[#This Row],[Obj]],13,10),"")</f>
        <v>DE01TAWA84</v>
      </c>
      <c r="J4415" s="150" t="b">
        <f>Proc[[#This Row],[Requested]]=Proc[[#This Row],[CurrentParent]]</f>
        <v>1</v>
      </c>
      <c r="K4415" s="150" t="str">
        <f>IF(Proc[[#This Row],[Author]]="Marcela Urrego",VLOOKUP(LEFT(Proc[[#This Row],[Requested]],1),Table3[#All],2,0),VLOOKUP(Proc[[#This Row],[Author]],Table4[],2,0))</f>
        <v>EL</v>
      </c>
      <c r="L4415" s="150" t="s">
        <v>6435</v>
      </c>
      <c r="M4415" s="159">
        <v>45952</v>
      </c>
      <c r="N4415" s="160"/>
      <c r="O4415" s="160"/>
      <c r="P4415" s="159" t="str">
        <f ca="1">IF(Proc[[#This Row],[DaysAgeing]]&gt;5,"yep","on track")</f>
        <v>yep</v>
      </c>
      <c r="Q4415" s="3">
        <f ca="1">IF(Proc[[#This Row],[DateClosed]]="",ABS(NETWORKDAYS(Proc[[#This Row],[DateOpened]],TODAY()))-1,ABS(NETWORKDAYS(Proc[[#This Row],[DateOpened]],Proc[[#This Row],[DateClosed]]))-1)</f>
        <v>37</v>
      </c>
      <c r="R4415" s="159" t="s">
        <v>6563</v>
      </c>
      <c r="S4415" s="150"/>
    </row>
    <row r="4416" spans="1:19">
      <c r="A4416" s="149" t="s">
        <v>6541</v>
      </c>
      <c r="B4416" s="150" t="str">
        <f>IFERROR(VLOOKUP(Proc[[#This Row],[App]],Table2[],3,0),"open")</f>
        <v>ok</v>
      </c>
      <c r="C4416" s="149" t="s">
        <v>369</v>
      </c>
      <c r="D4416" t="s">
        <v>6561</v>
      </c>
      <c r="E4416" t="s">
        <v>6542</v>
      </c>
      <c r="F4416" s="150" t="s">
        <v>6542</v>
      </c>
      <c r="G4416" s="149" t="s">
        <v>406</v>
      </c>
      <c r="H4416" s="150" t="str">
        <f>IF(Proc[[#This Row],[type]]="LFF (MDG-F)",MID(Proc[[#This Row],[Obj]],13,10),"")</f>
        <v>DE01TAWA90</v>
      </c>
      <c r="J4416" s="150" t="b">
        <f>Proc[[#This Row],[Requested]]=Proc[[#This Row],[CurrentParent]]</f>
        <v>1</v>
      </c>
      <c r="K4416" s="150" t="str">
        <f>IF(Proc[[#This Row],[Author]]="Marcela Urrego",VLOOKUP(LEFT(Proc[[#This Row],[Requested]],1),Table3[#All],2,0),VLOOKUP(Proc[[#This Row],[Author]],Table4[],2,0))</f>
        <v>EL</v>
      </c>
      <c r="L4416" s="150" t="s">
        <v>6435</v>
      </c>
      <c r="M4416" s="159">
        <v>45952</v>
      </c>
      <c r="N4416" s="160"/>
      <c r="O4416" s="160"/>
      <c r="P4416" s="159" t="str">
        <f ca="1">IF(Proc[[#This Row],[DaysAgeing]]&gt;5,"yep","on track")</f>
        <v>yep</v>
      </c>
      <c r="Q4416" s="3">
        <f ca="1">IF(Proc[[#This Row],[DateClosed]]="",ABS(NETWORKDAYS(Proc[[#This Row],[DateOpened]],TODAY()))-1,ABS(NETWORKDAYS(Proc[[#This Row],[DateOpened]],Proc[[#This Row],[DateClosed]]))-1)</f>
        <v>37</v>
      </c>
      <c r="R4416" s="159" t="s">
        <v>6563</v>
      </c>
      <c r="S4416" s="150"/>
    </row>
    <row r="4417" spans="1:19">
      <c r="A4417" s="149" t="s">
        <v>6541</v>
      </c>
      <c r="B4417" s="150" t="str">
        <f>IFERROR(VLOOKUP(Proc[[#This Row],[App]],Table2[],3,0),"open")</f>
        <v>ok</v>
      </c>
      <c r="C4417" s="149" t="s">
        <v>369</v>
      </c>
      <c r="D4417" t="s">
        <v>6562</v>
      </c>
      <c r="E4417" t="s">
        <v>6542</v>
      </c>
      <c r="F4417" s="150" t="s">
        <v>6542</v>
      </c>
      <c r="G4417" s="149" t="s">
        <v>406</v>
      </c>
      <c r="H4417" s="150" t="str">
        <f>IF(Proc[[#This Row],[type]]="LFF (MDG-F)",MID(Proc[[#This Row],[Obj]],13,10),"")</f>
        <v>DE01TAWA93</v>
      </c>
      <c r="J4417" s="150" t="b">
        <f>Proc[[#This Row],[Requested]]=Proc[[#This Row],[CurrentParent]]</f>
        <v>1</v>
      </c>
      <c r="K4417" s="150" t="str">
        <f>IF(Proc[[#This Row],[Author]]="Marcela Urrego",VLOOKUP(LEFT(Proc[[#This Row],[Requested]],1),Table3[#All],2,0),VLOOKUP(Proc[[#This Row],[Author]],Table4[],2,0))</f>
        <v>EL</v>
      </c>
      <c r="L4417" s="150" t="s">
        <v>6435</v>
      </c>
      <c r="M4417" s="159">
        <v>45952</v>
      </c>
      <c r="N4417" s="160"/>
      <c r="O4417" s="160"/>
      <c r="P4417" s="159" t="str">
        <f ca="1">IF(Proc[[#This Row],[DaysAgeing]]&gt;5,"yep","on track")</f>
        <v>yep</v>
      </c>
      <c r="Q4417" s="3">
        <f ca="1">IF(Proc[[#This Row],[DateClosed]]="",ABS(NETWORKDAYS(Proc[[#This Row],[DateOpened]],TODAY()))-1,ABS(NETWORKDAYS(Proc[[#This Row],[DateOpened]],Proc[[#This Row],[DateClosed]]))-1)</f>
        <v>37</v>
      </c>
      <c r="R4417" s="159" t="s">
        <v>6563</v>
      </c>
      <c r="S4417" s="150"/>
    </row>
    <row r="4418" spans="1:19">
      <c r="A4418" t="s">
        <v>6564</v>
      </c>
      <c r="B4418" s="150" t="str">
        <f>IFERROR(VLOOKUP(Proc[[#This Row],[App]],Table2[],3,0),"open")</f>
        <v>ok</v>
      </c>
      <c r="C4418" s="149" t="s">
        <v>369</v>
      </c>
      <c r="D4418" t="s">
        <v>6568</v>
      </c>
      <c r="E4418" t="s">
        <v>6565</v>
      </c>
      <c r="F4418" s="150" t="s">
        <v>6565</v>
      </c>
      <c r="G4418" s="149" t="s">
        <v>400</v>
      </c>
      <c r="H4418" s="150" t="str">
        <f>IF(Proc[[#This Row],[type]]="LFF (MDG-F)",MID(Proc[[#This Row],[Obj]],13,10),"")</f>
        <v/>
      </c>
      <c r="J4418" s="150" t="b">
        <f>Proc[[#This Row],[Requested]]=Proc[[#This Row],[CurrentParent]]</f>
        <v>1</v>
      </c>
      <c r="K4418" s="150" t="str">
        <f>IF(Proc[[#This Row],[Author]]="Marcela Urrego",VLOOKUP(LEFT(Proc[[#This Row],[Requested]],1),Table3[#All],2,0),VLOOKUP(Proc[[#This Row],[Author]],Table4[],2,0))</f>
        <v>HC</v>
      </c>
      <c r="L4418" s="150" t="s">
        <v>6435</v>
      </c>
      <c r="M4418" s="159">
        <v>45952</v>
      </c>
      <c r="N4418" s="160"/>
      <c r="O4418" s="160"/>
      <c r="P4418" s="159" t="str">
        <f ca="1">IF(Proc[[#This Row],[DaysAgeing]]&gt;5,"yep","on track")</f>
        <v>yep</v>
      </c>
      <c r="Q4418" s="3">
        <f ca="1">IF(Proc[[#This Row],[DateClosed]]="",ABS(NETWORKDAYS(Proc[[#This Row],[DateOpened]],TODAY()))-1,ABS(NETWORKDAYS(Proc[[#This Row],[DateOpened]],Proc[[#This Row],[DateClosed]]))-1)</f>
        <v>37</v>
      </c>
      <c r="R4418" s="159" t="s">
        <v>498</v>
      </c>
      <c r="S4418" s="150"/>
    </row>
    <row r="4419" spans="1:19">
      <c r="A4419" s="149" t="s">
        <v>6564</v>
      </c>
      <c r="B4419" s="150" t="str">
        <f>IFERROR(VLOOKUP(Proc[[#This Row],[App]],Table2[],3,0),"open")</f>
        <v>ok</v>
      </c>
      <c r="C4419" s="149" t="s">
        <v>369</v>
      </c>
      <c r="D4419" t="s">
        <v>6569</v>
      </c>
      <c r="E4419" t="s">
        <v>6566</v>
      </c>
      <c r="F4419" s="150" t="s">
        <v>6566</v>
      </c>
      <c r="G4419" s="149" t="s">
        <v>400</v>
      </c>
      <c r="H4419" s="150" t="str">
        <f>IF(Proc[[#This Row],[type]]="LFF (MDG-F)",MID(Proc[[#This Row],[Obj]],13,10),"")</f>
        <v/>
      </c>
      <c r="J4419" s="150" t="b">
        <f>Proc[[#This Row],[Requested]]=Proc[[#This Row],[CurrentParent]]</f>
        <v>1</v>
      </c>
      <c r="K4419" s="150" t="str">
        <f>IF(Proc[[#This Row],[Author]]="Marcela Urrego",VLOOKUP(LEFT(Proc[[#This Row],[Requested]],1),Table3[#All],2,0),VLOOKUP(Proc[[#This Row],[Author]],Table4[],2,0))</f>
        <v>HC</v>
      </c>
      <c r="L4419" s="150" t="s">
        <v>6435</v>
      </c>
      <c r="M4419" s="159">
        <v>45952</v>
      </c>
      <c r="N4419" s="160"/>
      <c r="O4419" s="160"/>
      <c r="P4419" s="159" t="str">
        <f ca="1">IF(Proc[[#This Row],[DaysAgeing]]&gt;5,"yep","on track")</f>
        <v>yep</v>
      </c>
      <c r="Q4419" s="3">
        <f ca="1">IF(Proc[[#This Row],[DateClosed]]="",ABS(NETWORKDAYS(Proc[[#This Row],[DateOpened]],TODAY()))-1,ABS(NETWORKDAYS(Proc[[#This Row],[DateOpened]],Proc[[#This Row],[DateClosed]]))-1)</f>
        <v>37</v>
      </c>
      <c r="R4419" s="159" t="s">
        <v>498</v>
      </c>
      <c r="S4419" s="150"/>
    </row>
    <row r="4420" spans="1:19">
      <c r="A4420" s="149" t="s">
        <v>6564</v>
      </c>
      <c r="B4420" s="150" t="str">
        <f>IFERROR(VLOOKUP(Proc[[#This Row],[App]],Table2[],3,0),"open")</f>
        <v>ok</v>
      </c>
      <c r="C4420" s="149" t="s">
        <v>369</v>
      </c>
      <c r="D4420" t="s">
        <v>6570</v>
      </c>
      <c r="E4420" t="s">
        <v>6567</v>
      </c>
      <c r="F4420" s="150" t="s">
        <v>6567</v>
      </c>
      <c r="G4420" s="149" t="s">
        <v>400</v>
      </c>
      <c r="H4420" s="150" t="str">
        <f>IF(Proc[[#This Row],[type]]="LFF (MDG-F)",MID(Proc[[#This Row],[Obj]],13,10),"")</f>
        <v/>
      </c>
      <c r="J4420" s="150" t="b">
        <f>Proc[[#This Row],[Requested]]=Proc[[#This Row],[CurrentParent]]</f>
        <v>1</v>
      </c>
      <c r="K4420" s="150" t="str">
        <f>IF(Proc[[#This Row],[Author]]="Marcela Urrego",VLOOKUP(LEFT(Proc[[#This Row],[Requested]],1),Table3[#All],2,0),VLOOKUP(Proc[[#This Row],[Author]],Table4[],2,0))</f>
        <v>HC</v>
      </c>
      <c r="L4420" s="150" t="s">
        <v>6435</v>
      </c>
      <c r="M4420" s="159">
        <v>45952</v>
      </c>
      <c r="N4420" s="160"/>
      <c r="O4420" s="160"/>
      <c r="P4420" s="159" t="str">
        <f ca="1">IF(Proc[[#This Row],[DaysAgeing]]&gt;5,"yep","on track")</f>
        <v>yep</v>
      </c>
      <c r="Q4420" s="3">
        <f ca="1">IF(Proc[[#This Row],[DateClosed]]="",ABS(NETWORKDAYS(Proc[[#This Row],[DateOpened]],TODAY()))-1,ABS(NETWORKDAYS(Proc[[#This Row],[DateOpened]],Proc[[#This Row],[DateClosed]]))-1)</f>
        <v>37</v>
      </c>
      <c r="R4420" s="159" t="s">
        <v>498</v>
      </c>
      <c r="S4420" s="150"/>
    </row>
    <row r="4421" spans="1:19">
      <c r="A4421" t="s">
        <v>6572</v>
      </c>
      <c r="B4421" s="150" t="str">
        <f>IFERROR(VLOOKUP(Proc[[#This Row],[App]],Table2[],3,0),"open")</f>
        <v>ok</v>
      </c>
      <c r="C4421" t="s">
        <v>369</v>
      </c>
      <c r="D4421" t="s">
        <v>6571</v>
      </c>
      <c r="E4421" t="s">
        <v>784</v>
      </c>
      <c r="F4421" s="150" t="s">
        <v>784</v>
      </c>
      <c r="G4421" s="149" t="s">
        <v>406</v>
      </c>
      <c r="H4421" s="150" t="str">
        <f>IF(Proc[[#This Row],[type]]="LFF (MDG-F)",MID(Proc[[#This Row],[Obj]],13,10),"")</f>
        <v>JP03L3M303</v>
      </c>
      <c r="J4421" s="150" t="b">
        <f>Proc[[#This Row],[Requested]]=Proc[[#This Row],[CurrentParent]]</f>
        <v>1</v>
      </c>
      <c r="K4421" s="150" t="str">
        <f>IF(Proc[[#This Row],[Author]]="Marcela Urrego",VLOOKUP(LEFT(Proc[[#This Row],[Requested]],1),Table3[#All],2,0),VLOOKUP(Proc[[#This Row],[Author]],Table4[],2,0))</f>
        <v>MGF</v>
      </c>
      <c r="L4421" s="150" t="s">
        <v>6435</v>
      </c>
      <c r="M4421" s="159">
        <v>45953</v>
      </c>
      <c r="N4421" s="160"/>
      <c r="O4421" s="160"/>
      <c r="P4421" s="159" t="str">
        <f ca="1">IF(Proc[[#This Row],[DaysAgeing]]&gt;5,"yep","on track")</f>
        <v>yep</v>
      </c>
      <c r="Q4421" s="3">
        <f ca="1">IF(Proc[[#This Row],[DateClosed]]="",ABS(NETWORKDAYS(Proc[[#This Row],[DateOpened]],TODAY()))-1,ABS(NETWORKDAYS(Proc[[#This Row],[DateOpened]],Proc[[#This Row],[DateClosed]]))-1)</f>
        <v>36</v>
      </c>
      <c r="R4421" s="159" t="s">
        <v>6573</v>
      </c>
      <c r="S4421" s="150"/>
    </row>
    <row r="4422" spans="1:19">
      <c r="A4422" t="s">
        <v>6574</v>
      </c>
      <c r="B4422" s="150" t="str">
        <f>IFERROR(VLOOKUP(Proc[[#This Row],[App]],Table2[],3,0),"open")</f>
        <v>ok</v>
      </c>
      <c r="C4422" t="s">
        <v>369</v>
      </c>
      <c r="D4422" t="s">
        <v>6600</v>
      </c>
      <c r="E4422" t="s">
        <v>4914</v>
      </c>
      <c r="F4422" s="150" t="s">
        <v>4914</v>
      </c>
      <c r="G4422" t="s">
        <v>400</v>
      </c>
      <c r="H4422" s="150" t="str">
        <f>IF(Proc[[#This Row],[type]]="LFF (MDG-F)",MID(Proc[[#This Row],[Obj]],13,10),"")</f>
        <v/>
      </c>
      <c r="J4422" s="150" t="b">
        <f>Proc[[#This Row],[Requested]]=Proc[[#This Row],[CurrentParent]]</f>
        <v>1</v>
      </c>
      <c r="K4422" s="150" t="str">
        <f>IF(Proc[[#This Row],[Author]]="Marcela Urrego",VLOOKUP(LEFT(Proc[[#This Row],[Requested]],1),Table3[#All],2,0),VLOOKUP(Proc[[#This Row],[Author]],Table4[],2,0))</f>
        <v>HC</v>
      </c>
      <c r="L4422" s="150" t="s">
        <v>6435</v>
      </c>
      <c r="M4422" s="160">
        <v>45954</v>
      </c>
      <c r="N4422" s="160"/>
      <c r="O4422" s="160"/>
      <c r="P4422" s="161" t="str">
        <f ca="1">IF(Proc[[#This Row],[DaysAgeing]]&gt;5,"yep","on track")</f>
        <v>yep</v>
      </c>
      <c r="Q4422" s="3">
        <f ca="1">IF(Proc[[#This Row],[DateClosed]]="",ABS(NETWORKDAYS(Proc[[#This Row],[DateOpened]],TODAY()))-1,ABS(NETWORKDAYS(Proc[[#This Row],[DateOpened]],Proc[[#This Row],[DateClosed]]))-1)</f>
        <v>35</v>
      </c>
      <c r="R4422" s="161" t="s">
        <v>764</v>
      </c>
      <c r="S4422" s="150"/>
    </row>
    <row r="4423" spans="1:19">
      <c r="A4423" t="s">
        <v>6599</v>
      </c>
      <c r="B4423" s="150" t="str">
        <f>IFERROR(VLOOKUP(Proc[[#This Row],[App]],Table2[],3,0),"open")</f>
        <v>ok</v>
      </c>
      <c r="C4423" t="s">
        <v>369</v>
      </c>
      <c r="D4423" t="s">
        <v>6575</v>
      </c>
      <c r="E4423" t="s">
        <v>6601</v>
      </c>
      <c r="F4423" s="150" t="s">
        <v>6601</v>
      </c>
      <c r="G4423" t="s">
        <v>406</v>
      </c>
      <c r="H4423" s="150" t="str">
        <f>IF(Proc[[#This Row],[type]]="LFF (MDG-F)",MID(Proc[[#This Row],[Obj]],13,10),"")</f>
        <v>DE01TQWI03</v>
      </c>
      <c r="J4423" s="150" t="b">
        <f>Proc[[#This Row],[Requested]]=Proc[[#This Row],[CurrentParent]]</f>
        <v>1</v>
      </c>
      <c r="K4423" s="150" t="str">
        <f>IF(Proc[[#This Row],[Author]]="Marcela Urrego",VLOOKUP(LEFT(Proc[[#This Row],[Requested]],1),Table3[#All],2,0),VLOOKUP(Proc[[#This Row],[Author]],Table4[],2,0))</f>
        <v>EL</v>
      </c>
      <c r="L4423" s="150" t="s">
        <v>6435</v>
      </c>
      <c r="M4423" s="160">
        <v>45957</v>
      </c>
      <c r="N4423" s="160"/>
      <c r="O4423" s="160"/>
      <c r="P4423" s="161" t="str">
        <f ca="1">IF(Proc[[#This Row],[DaysAgeing]]&gt;5,"yep","on track")</f>
        <v>yep</v>
      </c>
      <c r="Q4423" s="3">
        <f ca="1">IF(Proc[[#This Row],[DateClosed]]="",ABS(NETWORKDAYS(Proc[[#This Row],[DateOpened]],TODAY()))-1,ABS(NETWORKDAYS(Proc[[#This Row],[DateOpened]],Proc[[#This Row],[DateClosed]]))-1)</f>
        <v>34</v>
      </c>
      <c r="R4423" s="161" t="s">
        <v>5709</v>
      </c>
      <c r="S4423" s="150"/>
    </row>
    <row r="4424" spans="1:19">
      <c r="A4424" t="s">
        <v>6599</v>
      </c>
      <c r="B4424" s="150" t="str">
        <f>IFERROR(VLOOKUP(Proc[[#This Row],[App]],Table2[],3,0),"open")</f>
        <v>ok</v>
      </c>
      <c r="C4424" s="149" t="s">
        <v>369</v>
      </c>
      <c r="D4424" t="s">
        <v>6576</v>
      </c>
      <c r="E4424" t="s">
        <v>6601</v>
      </c>
      <c r="F4424" s="150" t="s">
        <v>6601</v>
      </c>
      <c r="G4424" t="s">
        <v>406</v>
      </c>
      <c r="H4424" s="150" t="str">
        <f>IF(Proc[[#This Row],[type]]="LFF (MDG-F)",MID(Proc[[#This Row],[Obj]],13,10),"")</f>
        <v>DE04TQHQ15</v>
      </c>
      <c r="I4424" s="149"/>
      <c r="J4424" s="150" t="b">
        <f>Proc[[#This Row],[Requested]]=Proc[[#This Row],[CurrentParent]]</f>
        <v>1</v>
      </c>
      <c r="K4424" s="150" t="str">
        <f>IF(Proc[[#This Row],[Author]]="Marcela Urrego",VLOOKUP(LEFT(Proc[[#This Row],[Requested]],1),Table3[#All],2,0),VLOOKUP(Proc[[#This Row],[Author]],Table4[],2,0))</f>
        <v>EL</v>
      </c>
      <c r="L4424" s="150" t="s">
        <v>6435</v>
      </c>
      <c r="M4424" s="160">
        <v>45957</v>
      </c>
      <c r="N4424" s="160"/>
      <c r="O4424" s="160"/>
      <c r="P4424" s="161" t="str">
        <f ca="1">IF(Proc[[#This Row],[DaysAgeing]]&gt;5,"yep","on track")</f>
        <v>yep</v>
      </c>
      <c r="Q4424" s="3">
        <f ca="1">IF(Proc[[#This Row],[DateClosed]]="",ABS(NETWORKDAYS(Proc[[#This Row],[DateOpened]],TODAY()))-1,ABS(NETWORKDAYS(Proc[[#This Row],[DateOpened]],Proc[[#This Row],[DateClosed]]))-1)</f>
        <v>34</v>
      </c>
      <c r="R4424" s="161" t="s">
        <v>5709</v>
      </c>
      <c r="S4424" s="150"/>
    </row>
    <row r="4425" spans="1:19">
      <c r="A4425" s="149" t="s">
        <v>6599</v>
      </c>
      <c r="B4425" s="150" t="str">
        <f>IFERROR(VLOOKUP(Proc[[#This Row],[App]],Table2[],3,0),"open")</f>
        <v>ok</v>
      </c>
      <c r="C4425" s="149" t="s">
        <v>369</v>
      </c>
      <c r="D4425" t="s">
        <v>6577</v>
      </c>
      <c r="E4425" t="s">
        <v>6601</v>
      </c>
      <c r="F4425" s="150" t="s">
        <v>6601</v>
      </c>
      <c r="G4425" s="149" t="s">
        <v>406</v>
      </c>
      <c r="H4425" s="150" t="str">
        <f>IF(Proc[[#This Row],[type]]="LFF (MDG-F)",MID(Proc[[#This Row],[Obj]],13,10),"")</f>
        <v>DE04TQHQ16</v>
      </c>
      <c r="I4425" s="149"/>
      <c r="J4425" s="150" t="b">
        <f>Proc[[#This Row],[Requested]]=Proc[[#This Row],[CurrentParent]]</f>
        <v>1</v>
      </c>
      <c r="K4425" s="150" t="str">
        <f>IF(Proc[[#This Row],[Author]]="Marcela Urrego",VLOOKUP(LEFT(Proc[[#This Row],[Requested]],1),Table3[#All],2,0),VLOOKUP(Proc[[#This Row],[Author]],Table4[],2,0))</f>
        <v>EL</v>
      </c>
      <c r="L4425" s="150" t="s">
        <v>6435</v>
      </c>
      <c r="M4425" s="160">
        <v>45957</v>
      </c>
      <c r="N4425" s="160"/>
      <c r="O4425" s="160"/>
      <c r="P4425" s="161" t="str">
        <f ca="1">IF(Proc[[#This Row],[DaysAgeing]]&gt;5,"yep","on track")</f>
        <v>yep</v>
      </c>
      <c r="Q4425" s="3">
        <f ca="1">IF(Proc[[#This Row],[DateClosed]]="",ABS(NETWORKDAYS(Proc[[#This Row],[DateOpened]],TODAY()))-1,ABS(NETWORKDAYS(Proc[[#This Row],[DateOpened]],Proc[[#This Row],[DateClosed]]))-1)</f>
        <v>34</v>
      </c>
      <c r="R4425" s="161" t="s">
        <v>5709</v>
      </c>
      <c r="S4425" s="150"/>
    </row>
    <row r="4426" spans="1:19">
      <c r="A4426" s="149" t="s">
        <v>6599</v>
      </c>
      <c r="B4426" s="150" t="str">
        <f>IFERROR(VLOOKUP(Proc[[#This Row],[App]],Table2[],3,0),"open")</f>
        <v>ok</v>
      </c>
      <c r="C4426" s="149" t="s">
        <v>377</v>
      </c>
      <c r="D4426" t="s">
        <v>6578</v>
      </c>
      <c r="E4426" t="s">
        <v>6601</v>
      </c>
      <c r="F4426" s="150" t="s">
        <v>6275</v>
      </c>
      <c r="G4426" s="149" t="s">
        <v>406</v>
      </c>
      <c r="H4426" s="150" t="str">
        <f>IF(Proc[[#This Row],[type]]="LFF (MDG-F)",MID(Proc[[#This Row],[Obj]],13,10),"")</f>
        <v>DE10TM2000</v>
      </c>
      <c r="I4426" s="149"/>
      <c r="J4426" s="150" t="b">
        <f>Proc[[#This Row],[Requested]]=Proc[[#This Row],[CurrentParent]]</f>
        <v>0</v>
      </c>
      <c r="K4426" s="150" t="str">
        <f>IF(Proc[[#This Row],[Author]]="Marcela Urrego",VLOOKUP(LEFT(Proc[[#This Row],[Requested]],1),Table3[#All],2,0),VLOOKUP(Proc[[#This Row],[Author]],Table4[],2,0))</f>
        <v>EL</v>
      </c>
      <c r="L4426" s="150" t="s">
        <v>6435</v>
      </c>
      <c r="M4426" s="160">
        <v>45957</v>
      </c>
      <c r="N4426" s="160"/>
      <c r="O4426" s="160"/>
      <c r="P4426" s="161" t="str">
        <f ca="1">IF(Proc[[#This Row],[DaysAgeing]]&gt;5,"yep","on track")</f>
        <v>yep</v>
      </c>
      <c r="Q4426" s="3">
        <f ca="1">IF(Proc[[#This Row],[DateClosed]]="",ABS(NETWORKDAYS(Proc[[#This Row],[DateOpened]],TODAY()))-1,ABS(NETWORKDAYS(Proc[[#This Row],[DateOpened]],Proc[[#This Row],[DateClosed]]))-1)</f>
        <v>34</v>
      </c>
      <c r="R4426" s="161" t="s">
        <v>5709</v>
      </c>
      <c r="S4426" s="150"/>
    </row>
    <row r="4427" spans="1:19">
      <c r="A4427" s="149" t="s">
        <v>6599</v>
      </c>
      <c r="B4427" s="150" t="str">
        <f>IFERROR(VLOOKUP(Proc[[#This Row],[App]],Table2[],3,0),"open")</f>
        <v>ok</v>
      </c>
      <c r="C4427" s="149" t="s">
        <v>369</v>
      </c>
      <c r="D4427" t="s">
        <v>6579</v>
      </c>
      <c r="E4427" t="s">
        <v>6601</v>
      </c>
      <c r="F4427" s="150" t="s">
        <v>6601</v>
      </c>
      <c r="G4427" s="149" t="s">
        <v>406</v>
      </c>
      <c r="H4427" s="150" t="str">
        <f>IF(Proc[[#This Row],[type]]="LFF (MDG-F)",MID(Proc[[#This Row],[Obj]],13,10),"")</f>
        <v>IL10TM2000</v>
      </c>
      <c r="I4427" s="149"/>
      <c r="J4427" s="150" t="b">
        <f>Proc[[#This Row],[Requested]]=Proc[[#This Row],[CurrentParent]]</f>
        <v>1</v>
      </c>
      <c r="K4427" s="150" t="str">
        <f>IF(Proc[[#This Row],[Author]]="Marcela Urrego",VLOOKUP(LEFT(Proc[[#This Row],[Requested]],1),Table3[#All],2,0),VLOOKUP(Proc[[#This Row],[Author]],Table4[],2,0))</f>
        <v>EL</v>
      </c>
      <c r="L4427" s="150" t="s">
        <v>6435</v>
      </c>
      <c r="M4427" s="160">
        <v>45957</v>
      </c>
      <c r="N4427" s="160"/>
      <c r="O4427" s="160"/>
      <c r="P4427" s="161" t="str">
        <f ca="1">IF(Proc[[#This Row],[DaysAgeing]]&gt;5,"yep","on track")</f>
        <v>yep</v>
      </c>
      <c r="Q4427" s="3">
        <f ca="1">IF(Proc[[#This Row],[DateClosed]]="",ABS(NETWORKDAYS(Proc[[#This Row],[DateOpened]],TODAY()))-1,ABS(NETWORKDAYS(Proc[[#This Row],[DateOpened]],Proc[[#This Row],[DateClosed]]))-1)</f>
        <v>34</v>
      </c>
      <c r="R4427" s="161" t="s">
        <v>5709</v>
      </c>
      <c r="S4427" s="150"/>
    </row>
    <row r="4428" spans="1:19">
      <c r="A4428" s="149" t="s">
        <v>6599</v>
      </c>
      <c r="B4428" s="150" t="str">
        <f>IFERROR(VLOOKUP(Proc[[#This Row],[App]],Table2[],3,0),"open")</f>
        <v>ok</v>
      </c>
      <c r="C4428" s="149" t="s">
        <v>369</v>
      </c>
      <c r="D4428" t="s">
        <v>6580</v>
      </c>
      <c r="E4428" t="s">
        <v>6601</v>
      </c>
      <c r="F4428" s="150" t="s">
        <v>6601</v>
      </c>
      <c r="G4428" s="149" t="s">
        <v>406</v>
      </c>
      <c r="H4428" s="150" t="str">
        <f>IF(Proc[[#This Row],[type]]="LFF (MDG-F)",MID(Proc[[#This Row],[Obj]],13,10),"")</f>
        <v>IT07TM2000</v>
      </c>
      <c r="I4428" s="149"/>
      <c r="J4428" s="150" t="b">
        <f>Proc[[#This Row],[Requested]]=Proc[[#This Row],[CurrentParent]]</f>
        <v>1</v>
      </c>
      <c r="K4428" s="150" t="str">
        <f>IF(Proc[[#This Row],[Author]]="Marcela Urrego",VLOOKUP(LEFT(Proc[[#This Row],[Requested]],1),Table3[#All],2,0),VLOOKUP(Proc[[#This Row],[Author]],Table4[],2,0))</f>
        <v>EL</v>
      </c>
      <c r="L4428" s="150" t="s">
        <v>6435</v>
      </c>
      <c r="M4428" s="160">
        <v>45957</v>
      </c>
      <c r="N4428" s="160"/>
      <c r="O4428" s="160"/>
      <c r="P4428" s="161" t="str">
        <f ca="1">IF(Proc[[#This Row],[DaysAgeing]]&gt;5,"yep","on track")</f>
        <v>yep</v>
      </c>
      <c r="Q4428" s="3">
        <f ca="1">IF(Proc[[#This Row],[DateClosed]]="",ABS(NETWORKDAYS(Proc[[#This Row],[DateOpened]],TODAY()))-1,ABS(NETWORKDAYS(Proc[[#This Row],[DateOpened]],Proc[[#This Row],[DateClosed]]))-1)</f>
        <v>34</v>
      </c>
      <c r="R4428" s="161" t="s">
        <v>5709</v>
      </c>
      <c r="S4428" s="150"/>
    </row>
    <row r="4429" spans="1:19">
      <c r="A4429" s="149" t="s">
        <v>6599</v>
      </c>
      <c r="B4429" s="150" t="str">
        <f>IFERROR(VLOOKUP(Proc[[#This Row],[App]],Table2[],3,0),"open")</f>
        <v>ok</v>
      </c>
      <c r="C4429" s="149" t="s">
        <v>369</v>
      </c>
      <c r="D4429" t="s">
        <v>6581</v>
      </c>
      <c r="E4429" t="s">
        <v>6601</v>
      </c>
      <c r="F4429" s="150" t="s">
        <v>6601</v>
      </c>
      <c r="G4429" s="149" t="s">
        <v>406</v>
      </c>
      <c r="H4429" s="150" t="str">
        <f>IF(Proc[[#This Row],[type]]="LFF (MDG-F)",MID(Proc[[#This Row],[Obj]],13,10),"")</f>
        <v>NL10TM2000</v>
      </c>
      <c r="I4429" s="149"/>
      <c r="J4429" s="150" t="b">
        <f>Proc[[#This Row],[Requested]]=Proc[[#This Row],[CurrentParent]]</f>
        <v>1</v>
      </c>
      <c r="K4429" s="150" t="str">
        <f>IF(Proc[[#This Row],[Author]]="Marcela Urrego",VLOOKUP(LEFT(Proc[[#This Row],[Requested]],1),Table3[#All],2,0),VLOOKUP(Proc[[#This Row],[Author]],Table4[],2,0))</f>
        <v>EL</v>
      </c>
      <c r="L4429" s="150" t="s">
        <v>6435</v>
      </c>
      <c r="M4429" s="160">
        <v>45957</v>
      </c>
      <c r="N4429" s="160"/>
      <c r="O4429" s="160"/>
      <c r="P4429" s="161" t="str">
        <f ca="1">IF(Proc[[#This Row],[DaysAgeing]]&gt;5,"yep","on track")</f>
        <v>yep</v>
      </c>
      <c r="Q4429" s="3">
        <f ca="1">IF(Proc[[#This Row],[DateClosed]]="",ABS(NETWORKDAYS(Proc[[#This Row],[DateOpened]],TODAY()))-1,ABS(NETWORKDAYS(Proc[[#This Row],[DateOpened]],Proc[[#This Row],[DateClosed]]))-1)</f>
        <v>34</v>
      </c>
      <c r="R4429" s="161" t="s">
        <v>5709</v>
      </c>
      <c r="S4429" s="150"/>
    </row>
    <row r="4430" spans="1:19">
      <c r="A4430" s="149" t="s">
        <v>6599</v>
      </c>
      <c r="B4430" s="150" t="str">
        <f>IFERROR(VLOOKUP(Proc[[#This Row],[App]],Table2[],3,0),"open")</f>
        <v>ok</v>
      </c>
      <c r="C4430" s="149" t="s">
        <v>369</v>
      </c>
      <c r="D4430" t="s">
        <v>6582</v>
      </c>
      <c r="E4430" t="s">
        <v>6601</v>
      </c>
      <c r="F4430" s="150" t="s">
        <v>6601</v>
      </c>
      <c r="G4430" s="149" t="s">
        <v>400</v>
      </c>
      <c r="H4430" s="150" t="str">
        <f>IF(Proc[[#This Row],[type]]="LFF (MDG-F)",MID(Proc[[#This Row],[Obj]],13,10),"")</f>
        <v/>
      </c>
      <c r="I4430" s="149"/>
      <c r="J4430" s="150" t="b">
        <f>Proc[[#This Row],[Requested]]=Proc[[#This Row],[CurrentParent]]</f>
        <v>1</v>
      </c>
      <c r="K4430" s="150" t="str">
        <f>IF(Proc[[#This Row],[Author]]="Marcela Urrego",VLOOKUP(LEFT(Proc[[#This Row],[Requested]],1),Table3[#All],2,0),VLOOKUP(Proc[[#This Row],[Author]],Table4[],2,0))</f>
        <v>EL</v>
      </c>
      <c r="L4430" s="150" t="s">
        <v>6435</v>
      </c>
      <c r="M4430" s="160">
        <v>45957</v>
      </c>
      <c r="N4430" s="160"/>
      <c r="O4430" s="160"/>
      <c r="P4430" s="161" t="str">
        <f ca="1">IF(Proc[[#This Row],[DaysAgeing]]&gt;5,"yep","on track")</f>
        <v>yep</v>
      </c>
      <c r="Q4430" s="3">
        <f ca="1">IF(Proc[[#This Row],[DateClosed]]="",ABS(NETWORKDAYS(Proc[[#This Row],[DateOpened]],TODAY()))-1,ABS(NETWORKDAYS(Proc[[#This Row],[DateOpened]],Proc[[#This Row],[DateClosed]]))-1)</f>
        <v>34</v>
      </c>
      <c r="R4430" s="161" t="s">
        <v>5709</v>
      </c>
      <c r="S4430" s="150"/>
    </row>
    <row r="4431" spans="1:19">
      <c r="A4431" s="149" t="s">
        <v>6599</v>
      </c>
      <c r="B4431" s="150" t="str">
        <f>IFERROR(VLOOKUP(Proc[[#This Row],[App]],Table2[],3,0),"open")</f>
        <v>ok</v>
      </c>
      <c r="C4431" s="149" t="s">
        <v>369</v>
      </c>
      <c r="D4431" t="s">
        <v>6583</v>
      </c>
      <c r="E4431" t="s">
        <v>6601</v>
      </c>
      <c r="F4431" s="150" t="s">
        <v>6601</v>
      </c>
      <c r="G4431" s="149" t="s">
        <v>400</v>
      </c>
      <c r="H4431" s="150" t="str">
        <f>IF(Proc[[#This Row],[type]]="LFF (MDG-F)",MID(Proc[[#This Row],[Obj]],13,10),"")</f>
        <v/>
      </c>
      <c r="I4431" s="149"/>
      <c r="J4431" s="150" t="b">
        <f>Proc[[#This Row],[Requested]]=Proc[[#This Row],[CurrentParent]]</f>
        <v>1</v>
      </c>
      <c r="K4431" s="150" t="str">
        <f>IF(Proc[[#This Row],[Author]]="Marcela Urrego",VLOOKUP(LEFT(Proc[[#This Row],[Requested]],1),Table3[#All],2,0),VLOOKUP(Proc[[#This Row],[Author]],Table4[],2,0))</f>
        <v>EL</v>
      </c>
      <c r="L4431" s="150" t="s">
        <v>6435</v>
      </c>
      <c r="M4431" s="160">
        <v>45957</v>
      </c>
      <c r="N4431" s="160"/>
      <c r="O4431" s="160"/>
      <c r="P4431" s="161" t="str">
        <f ca="1">IF(Proc[[#This Row],[DaysAgeing]]&gt;5,"yep","on track")</f>
        <v>yep</v>
      </c>
      <c r="Q4431" s="3">
        <f ca="1">IF(Proc[[#This Row],[DateClosed]]="",ABS(NETWORKDAYS(Proc[[#This Row],[DateOpened]],TODAY()))-1,ABS(NETWORKDAYS(Proc[[#This Row],[DateOpened]],Proc[[#This Row],[DateClosed]]))-1)</f>
        <v>34</v>
      </c>
      <c r="R4431" s="161" t="s">
        <v>5709</v>
      </c>
      <c r="S4431" s="150"/>
    </row>
    <row r="4432" spans="1:19">
      <c r="A4432" s="149" t="s">
        <v>6599</v>
      </c>
      <c r="B4432" s="150" t="str">
        <f>IFERROR(VLOOKUP(Proc[[#This Row],[App]],Table2[],3,0),"open")</f>
        <v>ok</v>
      </c>
      <c r="C4432" s="149" t="s">
        <v>369</v>
      </c>
      <c r="D4432" t="s">
        <v>6584</v>
      </c>
      <c r="E4432" t="s">
        <v>6601</v>
      </c>
      <c r="F4432" s="150" t="s">
        <v>6601</v>
      </c>
      <c r="G4432" s="149" t="s">
        <v>400</v>
      </c>
      <c r="H4432" s="150" t="str">
        <f>IF(Proc[[#This Row],[type]]="LFF (MDG-F)",MID(Proc[[#This Row],[Obj]],13,10),"")</f>
        <v/>
      </c>
      <c r="I4432" s="149"/>
      <c r="J4432" s="150" t="b">
        <f>Proc[[#This Row],[Requested]]=Proc[[#This Row],[CurrentParent]]</f>
        <v>1</v>
      </c>
      <c r="K4432" s="150" t="str">
        <f>IF(Proc[[#This Row],[Author]]="Marcela Urrego",VLOOKUP(LEFT(Proc[[#This Row],[Requested]],1),Table3[#All],2,0),VLOOKUP(Proc[[#This Row],[Author]],Table4[],2,0))</f>
        <v>EL</v>
      </c>
      <c r="L4432" s="150" t="s">
        <v>6435</v>
      </c>
      <c r="M4432" s="160">
        <v>45957</v>
      </c>
      <c r="N4432" s="160"/>
      <c r="O4432" s="160"/>
      <c r="P4432" s="161" t="str">
        <f ca="1">IF(Proc[[#This Row],[DaysAgeing]]&gt;5,"yep","on track")</f>
        <v>yep</v>
      </c>
      <c r="Q4432" s="3">
        <f ca="1">IF(Proc[[#This Row],[DateClosed]]="",ABS(NETWORKDAYS(Proc[[#This Row],[DateOpened]],TODAY()))-1,ABS(NETWORKDAYS(Proc[[#This Row],[DateOpened]],Proc[[#This Row],[DateClosed]]))-1)</f>
        <v>34</v>
      </c>
      <c r="R4432" s="161" t="s">
        <v>5709</v>
      </c>
      <c r="S4432" s="150"/>
    </row>
    <row r="4433" spans="1:19">
      <c r="A4433" s="149" t="s">
        <v>6599</v>
      </c>
      <c r="B4433" s="150" t="str">
        <f>IFERROR(VLOOKUP(Proc[[#This Row],[App]],Table2[],3,0),"open")</f>
        <v>ok</v>
      </c>
      <c r="C4433" s="149" t="s">
        <v>377</v>
      </c>
      <c r="D4433" t="s">
        <v>6585</v>
      </c>
      <c r="E4433" t="s">
        <v>5770</v>
      </c>
      <c r="F4433" s="150" t="s">
        <v>6275</v>
      </c>
      <c r="G4433" s="149" t="s">
        <v>406</v>
      </c>
      <c r="H4433" s="150" t="str">
        <f>IF(Proc[[#This Row],[type]]="LFF (MDG-F)",MID(Proc[[#This Row],[Obj]],13,10),"")</f>
        <v>DE10TM4000</v>
      </c>
      <c r="I4433" s="149"/>
      <c r="J4433" s="150" t="b">
        <f>Proc[[#This Row],[Requested]]=Proc[[#This Row],[CurrentParent]]</f>
        <v>0</v>
      </c>
      <c r="K4433" s="150" t="str">
        <f>IF(Proc[[#This Row],[Author]]="Marcela Urrego",VLOOKUP(LEFT(Proc[[#This Row],[Requested]],1),Table3[#All],2,0),VLOOKUP(Proc[[#This Row],[Author]],Table4[],2,0))</f>
        <v>EL</v>
      </c>
      <c r="L4433" s="150" t="s">
        <v>6435</v>
      </c>
      <c r="M4433" s="160">
        <v>45957</v>
      </c>
      <c r="N4433" s="160"/>
      <c r="O4433" s="160"/>
      <c r="P4433" s="161" t="str">
        <f ca="1">IF(Proc[[#This Row],[DaysAgeing]]&gt;5,"yep","on track")</f>
        <v>yep</v>
      </c>
      <c r="Q4433" s="3">
        <f ca="1">IF(Proc[[#This Row],[DateClosed]]="",ABS(NETWORKDAYS(Proc[[#This Row],[DateOpened]],TODAY()))-1,ABS(NETWORKDAYS(Proc[[#This Row],[DateOpened]],Proc[[#This Row],[DateClosed]]))-1)</f>
        <v>34</v>
      </c>
      <c r="R4433" s="161" t="s">
        <v>5709</v>
      </c>
      <c r="S4433" s="150"/>
    </row>
    <row r="4434" spans="1:19">
      <c r="A4434" s="149" t="s">
        <v>6599</v>
      </c>
      <c r="B4434" s="150" t="str">
        <f>IFERROR(VLOOKUP(Proc[[#This Row],[App]],Table2[],3,0),"open")</f>
        <v>ok</v>
      </c>
      <c r="C4434" s="149" t="s">
        <v>369</v>
      </c>
      <c r="D4434" t="s">
        <v>6586</v>
      </c>
      <c r="E4434" t="s">
        <v>6602</v>
      </c>
      <c r="F4434" s="150" t="s">
        <v>6602</v>
      </c>
      <c r="G4434" s="149" t="s">
        <v>406</v>
      </c>
      <c r="H4434" s="150" t="str">
        <f>IF(Proc[[#This Row],[type]]="LFF (MDG-F)",MID(Proc[[#This Row],[Obj]],13,10),"")</f>
        <v>DE01TKWI01</v>
      </c>
      <c r="I4434" s="149"/>
      <c r="J4434" s="150" t="b">
        <f>Proc[[#This Row],[Requested]]=Proc[[#This Row],[CurrentParent]]</f>
        <v>1</v>
      </c>
      <c r="K4434" s="150" t="str">
        <f>IF(Proc[[#This Row],[Author]]="Marcela Urrego",VLOOKUP(LEFT(Proc[[#This Row],[Requested]],1),Table3[#All],2,0),VLOOKUP(Proc[[#This Row],[Author]],Table4[],2,0))</f>
        <v>EL</v>
      </c>
      <c r="L4434" s="150" t="s">
        <v>6435</v>
      </c>
      <c r="M4434" s="160">
        <v>45957</v>
      </c>
      <c r="N4434" s="160"/>
      <c r="O4434" s="160"/>
      <c r="P4434" s="161" t="str">
        <f ca="1">IF(Proc[[#This Row],[DaysAgeing]]&gt;5,"yep","on track")</f>
        <v>yep</v>
      </c>
      <c r="Q4434" s="3">
        <f ca="1">IF(Proc[[#This Row],[DateClosed]]="",ABS(NETWORKDAYS(Proc[[#This Row],[DateOpened]],TODAY()))-1,ABS(NETWORKDAYS(Proc[[#This Row],[DateOpened]],Proc[[#This Row],[DateClosed]]))-1)</f>
        <v>34</v>
      </c>
      <c r="R4434" s="161" t="s">
        <v>5709</v>
      </c>
      <c r="S4434" s="150"/>
    </row>
    <row r="4435" spans="1:19">
      <c r="A4435" s="149" t="s">
        <v>6599</v>
      </c>
      <c r="B4435" s="150" t="str">
        <f>IFERROR(VLOOKUP(Proc[[#This Row],[App]],Table2[],3,0),"open")</f>
        <v>ok</v>
      </c>
      <c r="C4435" s="149" t="s">
        <v>369</v>
      </c>
      <c r="D4435" t="s">
        <v>6587</v>
      </c>
      <c r="E4435" t="s">
        <v>6602</v>
      </c>
      <c r="F4435" s="150" t="s">
        <v>6602</v>
      </c>
      <c r="G4435" s="149" t="s">
        <v>406</v>
      </c>
      <c r="H4435" s="150" t="str">
        <f>IF(Proc[[#This Row],[type]]="LFF (MDG-F)",MID(Proc[[#This Row],[Obj]],13,10),"")</f>
        <v>DE01TQWIGH</v>
      </c>
      <c r="I4435" s="149"/>
      <c r="J4435" s="150" t="b">
        <f>Proc[[#This Row],[Requested]]=Proc[[#This Row],[CurrentParent]]</f>
        <v>1</v>
      </c>
      <c r="K4435" s="150" t="str">
        <f>IF(Proc[[#This Row],[Author]]="Marcela Urrego",VLOOKUP(LEFT(Proc[[#This Row],[Requested]],1),Table3[#All],2,0),VLOOKUP(Proc[[#This Row],[Author]],Table4[],2,0))</f>
        <v>EL</v>
      </c>
      <c r="L4435" s="150" t="s">
        <v>6435</v>
      </c>
      <c r="M4435" s="160">
        <v>45957</v>
      </c>
      <c r="N4435" s="160"/>
      <c r="O4435" s="160"/>
      <c r="P4435" s="161" t="str">
        <f ca="1">IF(Proc[[#This Row],[DaysAgeing]]&gt;5,"yep","on track")</f>
        <v>yep</v>
      </c>
      <c r="Q4435" s="3">
        <f ca="1">IF(Proc[[#This Row],[DateClosed]]="",ABS(NETWORKDAYS(Proc[[#This Row],[DateOpened]],TODAY()))-1,ABS(NETWORKDAYS(Proc[[#This Row],[DateOpened]],Proc[[#This Row],[DateClosed]]))-1)</f>
        <v>34</v>
      </c>
      <c r="R4435" s="161" t="s">
        <v>5709</v>
      </c>
      <c r="S4435" s="150"/>
    </row>
    <row r="4436" spans="1:19">
      <c r="A4436" s="149" t="s">
        <v>6599</v>
      </c>
      <c r="B4436" s="150" t="str">
        <f>IFERROR(VLOOKUP(Proc[[#This Row],[App]],Table2[],3,0),"open")</f>
        <v>ok</v>
      </c>
      <c r="C4436" s="149" t="s">
        <v>377</v>
      </c>
      <c r="D4436" t="s">
        <v>6588</v>
      </c>
      <c r="E4436" t="s">
        <v>6602</v>
      </c>
      <c r="F4436" s="150" t="s">
        <v>6275</v>
      </c>
      <c r="G4436" s="149" t="s">
        <v>406</v>
      </c>
      <c r="H4436" s="150" t="str">
        <f>IF(Proc[[#This Row],[type]]="LFF (MDG-F)",MID(Proc[[#This Row],[Obj]],13,10),"")</f>
        <v>DE10DB3600</v>
      </c>
      <c r="I4436" s="149"/>
      <c r="J4436" s="150" t="b">
        <f>Proc[[#This Row],[Requested]]=Proc[[#This Row],[CurrentParent]]</f>
        <v>0</v>
      </c>
      <c r="K4436" s="150" t="str">
        <f>IF(Proc[[#This Row],[Author]]="Marcela Urrego",VLOOKUP(LEFT(Proc[[#This Row],[Requested]],1),Table3[#All],2,0),VLOOKUP(Proc[[#This Row],[Author]],Table4[],2,0))</f>
        <v>EL</v>
      </c>
      <c r="L4436" s="150" t="s">
        <v>6435</v>
      </c>
      <c r="M4436" s="160">
        <v>45957</v>
      </c>
      <c r="N4436" s="160"/>
      <c r="O4436" s="160"/>
      <c r="P4436" s="161" t="str">
        <f ca="1">IF(Proc[[#This Row],[DaysAgeing]]&gt;5,"yep","on track")</f>
        <v>yep</v>
      </c>
      <c r="Q4436" s="3">
        <f ca="1">IF(Proc[[#This Row],[DateClosed]]="",ABS(NETWORKDAYS(Proc[[#This Row],[DateOpened]],TODAY()))-1,ABS(NETWORKDAYS(Proc[[#This Row],[DateOpened]],Proc[[#This Row],[DateClosed]]))-1)</f>
        <v>34</v>
      </c>
      <c r="R4436" s="161" t="s">
        <v>5709</v>
      </c>
      <c r="S4436" s="150"/>
    </row>
    <row r="4437" spans="1:19">
      <c r="A4437" s="149" t="s">
        <v>6599</v>
      </c>
      <c r="B4437" s="150" t="str">
        <f>IFERROR(VLOOKUP(Proc[[#This Row],[App]],Table2[],3,0),"open")</f>
        <v>ok</v>
      </c>
      <c r="C4437" s="149" t="s">
        <v>377</v>
      </c>
      <c r="D4437" t="s">
        <v>6589</v>
      </c>
      <c r="E4437" t="s">
        <v>6602</v>
      </c>
      <c r="F4437" s="150" t="s">
        <v>6275</v>
      </c>
      <c r="G4437" s="149" t="s">
        <v>406</v>
      </c>
      <c r="H4437" s="150" t="str">
        <f>IF(Proc[[#This Row],[type]]="LFF (MDG-F)",MID(Proc[[#This Row],[Obj]],13,10),"")</f>
        <v>DE10TQ1001</v>
      </c>
      <c r="I4437" s="149"/>
      <c r="J4437" s="150" t="b">
        <f>Proc[[#This Row],[Requested]]=Proc[[#This Row],[CurrentParent]]</f>
        <v>0</v>
      </c>
      <c r="K4437" s="150" t="str">
        <f>IF(Proc[[#This Row],[Author]]="Marcela Urrego",VLOOKUP(LEFT(Proc[[#This Row],[Requested]],1),Table3[#All],2,0),VLOOKUP(Proc[[#This Row],[Author]],Table4[],2,0))</f>
        <v>EL</v>
      </c>
      <c r="L4437" s="150" t="s">
        <v>6435</v>
      </c>
      <c r="M4437" s="160">
        <v>45957</v>
      </c>
      <c r="N4437" s="160"/>
      <c r="O4437" s="160"/>
      <c r="P4437" s="161" t="str">
        <f ca="1">IF(Proc[[#This Row],[DaysAgeing]]&gt;5,"yep","on track")</f>
        <v>yep</v>
      </c>
      <c r="Q4437" s="3">
        <f ca="1">IF(Proc[[#This Row],[DateClosed]]="",ABS(NETWORKDAYS(Proc[[#This Row],[DateOpened]],TODAY()))-1,ABS(NETWORKDAYS(Proc[[#This Row],[DateOpened]],Proc[[#This Row],[DateClosed]]))-1)</f>
        <v>34</v>
      </c>
      <c r="R4437" s="161" t="s">
        <v>5709</v>
      </c>
      <c r="S4437" s="150"/>
    </row>
    <row r="4438" spans="1:19">
      <c r="A4438" s="149" t="s">
        <v>6599</v>
      </c>
      <c r="B4438" s="150" t="str">
        <f>IFERROR(VLOOKUP(Proc[[#This Row],[App]],Table2[],3,0),"open")</f>
        <v>ok</v>
      </c>
      <c r="C4438" s="149" t="s">
        <v>377</v>
      </c>
      <c r="D4438" t="s">
        <v>6590</v>
      </c>
      <c r="E4438" t="s">
        <v>6602</v>
      </c>
      <c r="F4438" s="150" t="s">
        <v>6275</v>
      </c>
      <c r="G4438" s="149" t="s">
        <v>406</v>
      </c>
      <c r="H4438" s="150" t="str">
        <f>IF(Proc[[#This Row],[type]]="LFF (MDG-F)",MID(Proc[[#This Row],[Obj]],13,10),"")</f>
        <v>DE10TQ1002</v>
      </c>
      <c r="I4438" s="149"/>
      <c r="J4438" s="150" t="b">
        <f>Proc[[#This Row],[Requested]]=Proc[[#This Row],[CurrentParent]]</f>
        <v>0</v>
      </c>
      <c r="K4438" s="150" t="str">
        <f>IF(Proc[[#This Row],[Author]]="Marcela Urrego",VLOOKUP(LEFT(Proc[[#This Row],[Requested]],1),Table3[#All],2,0),VLOOKUP(Proc[[#This Row],[Author]],Table4[],2,0))</f>
        <v>EL</v>
      </c>
      <c r="L4438" s="150" t="s">
        <v>6435</v>
      </c>
      <c r="M4438" s="160">
        <v>45957</v>
      </c>
      <c r="N4438" s="160"/>
      <c r="O4438" s="160"/>
      <c r="P4438" s="161" t="str">
        <f ca="1">IF(Proc[[#This Row],[DaysAgeing]]&gt;5,"yep","on track")</f>
        <v>yep</v>
      </c>
      <c r="Q4438" s="3">
        <f ca="1">IF(Proc[[#This Row],[DateClosed]]="",ABS(NETWORKDAYS(Proc[[#This Row],[DateOpened]],TODAY()))-1,ABS(NETWORKDAYS(Proc[[#This Row],[DateOpened]],Proc[[#This Row],[DateClosed]]))-1)</f>
        <v>34</v>
      </c>
      <c r="R4438" s="161" t="s">
        <v>5709</v>
      </c>
      <c r="S4438" s="150"/>
    </row>
    <row r="4439" spans="1:19">
      <c r="A4439" s="149" t="s">
        <v>6599</v>
      </c>
      <c r="B4439" s="150" t="str">
        <f>IFERROR(VLOOKUP(Proc[[#This Row],[App]],Table2[],3,0),"open")</f>
        <v>ok</v>
      </c>
      <c r="C4439" s="149" t="s">
        <v>377</v>
      </c>
      <c r="D4439" t="s">
        <v>6591</v>
      </c>
      <c r="E4439" t="s">
        <v>6602</v>
      </c>
      <c r="F4439" s="150" t="s">
        <v>6275</v>
      </c>
      <c r="G4439" s="149" t="s">
        <v>406</v>
      </c>
      <c r="H4439" s="150" t="str">
        <f>IF(Proc[[#This Row],[type]]="LFF (MDG-F)",MID(Proc[[#This Row],[Obj]],13,10),"")</f>
        <v>DE10TQ1003</v>
      </c>
      <c r="I4439" s="149"/>
      <c r="J4439" s="150" t="b">
        <f>Proc[[#This Row],[Requested]]=Proc[[#This Row],[CurrentParent]]</f>
        <v>0</v>
      </c>
      <c r="K4439" s="150" t="str">
        <f>IF(Proc[[#This Row],[Author]]="Marcela Urrego",VLOOKUP(LEFT(Proc[[#This Row],[Requested]],1),Table3[#All],2,0),VLOOKUP(Proc[[#This Row],[Author]],Table4[],2,0))</f>
        <v>EL</v>
      </c>
      <c r="L4439" s="150" t="s">
        <v>6435</v>
      </c>
      <c r="M4439" s="160">
        <v>45957</v>
      </c>
      <c r="N4439" s="160"/>
      <c r="O4439" s="160"/>
      <c r="P4439" s="161" t="str">
        <f ca="1">IF(Proc[[#This Row],[DaysAgeing]]&gt;5,"yep","on track")</f>
        <v>yep</v>
      </c>
      <c r="Q4439" s="3">
        <f ca="1">IF(Proc[[#This Row],[DateClosed]]="",ABS(NETWORKDAYS(Proc[[#This Row],[DateOpened]],TODAY()))-1,ABS(NETWORKDAYS(Proc[[#This Row],[DateOpened]],Proc[[#This Row],[DateClosed]]))-1)</f>
        <v>34</v>
      </c>
      <c r="R4439" s="161" t="s">
        <v>5709</v>
      </c>
      <c r="S4439" s="150"/>
    </row>
    <row r="4440" spans="1:19">
      <c r="A4440" s="149" t="s">
        <v>6599</v>
      </c>
      <c r="B4440" s="150" t="str">
        <f>IFERROR(VLOOKUP(Proc[[#This Row],[App]],Table2[],3,0),"open")</f>
        <v>ok</v>
      </c>
      <c r="C4440" s="149" t="s">
        <v>369</v>
      </c>
      <c r="D4440" t="s">
        <v>6592</v>
      </c>
      <c r="E4440" t="s">
        <v>6602</v>
      </c>
      <c r="F4440" s="150" t="s">
        <v>6602</v>
      </c>
      <c r="G4440" s="149" t="s">
        <v>406</v>
      </c>
      <c r="H4440" s="150" t="str">
        <f>IF(Proc[[#This Row],[type]]="LFF (MDG-F)",MID(Proc[[#This Row],[Obj]],13,10),"")</f>
        <v>GB10TQ1000</v>
      </c>
      <c r="I4440" s="149"/>
      <c r="J4440" s="150" t="b">
        <f>Proc[[#This Row],[Requested]]=Proc[[#This Row],[CurrentParent]]</f>
        <v>1</v>
      </c>
      <c r="K4440" s="150" t="str">
        <f>IF(Proc[[#This Row],[Author]]="Marcela Urrego",VLOOKUP(LEFT(Proc[[#This Row],[Requested]],1),Table3[#All],2,0),VLOOKUP(Proc[[#This Row],[Author]],Table4[],2,0))</f>
        <v>EL</v>
      </c>
      <c r="L4440" s="150" t="s">
        <v>6435</v>
      </c>
      <c r="M4440" s="160">
        <v>45957</v>
      </c>
      <c r="N4440" s="160"/>
      <c r="O4440" s="160"/>
      <c r="P4440" s="161" t="str">
        <f ca="1">IF(Proc[[#This Row],[DaysAgeing]]&gt;5,"yep","on track")</f>
        <v>yep</v>
      </c>
      <c r="Q4440" s="3">
        <f ca="1">IF(Proc[[#This Row],[DateClosed]]="",ABS(NETWORKDAYS(Proc[[#This Row],[DateOpened]],TODAY()))-1,ABS(NETWORKDAYS(Proc[[#This Row],[DateOpened]],Proc[[#This Row],[DateClosed]]))-1)</f>
        <v>34</v>
      </c>
      <c r="R4440" s="161" t="s">
        <v>5709</v>
      </c>
      <c r="S4440" s="150"/>
    </row>
    <row r="4441" spans="1:19">
      <c r="A4441" s="149" t="s">
        <v>6599</v>
      </c>
      <c r="B4441" s="150" t="str">
        <f>IFERROR(VLOOKUP(Proc[[#This Row],[App]],Table2[],3,0),"open")</f>
        <v>ok</v>
      </c>
      <c r="C4441" s="149" t="s">
        <v>369</v>
      </c>
      <c r="D4441" t="s">
        <v>6593</v>
      </c>
      <c r="E4441" t="s">
        <v>6602</v>
      </c>
      <c r="F4441" s="150" t="s">
        <v>6602</v>
      </c>
      <c r="G4441" s="149" t="s">
        <v>406</v>
      </c>
      <c r="H4441" s="150" t="str">
        <f>IF(Proc[[#This Row],[type]]="LFF (MDG-F)",MID(Proc[[#This Row],[Obj]],13,10),"")</f>
        <v>IT07TQ1001</v>
      </c>
      <c r="I4441" s="149"/>
      <c r="J4441" s="150" t="b">
        <f>Proc[[#This Row],[Requested]]=Proc[[#This Row],[CurrentParent]]</f>
        <v>1</v>
      </c>
      <c r="K4441" s="150" t="str">
        <f>IF(Proc[[#This Row],[Author]]="Marcela Urrego",VLOOKUP(LEFT(Proc[[#This Row],[Requested]],1),Table3[#All],2,0),VLOOKUP(Proc[[#This Row],[Author]],Table4[],2,0))</f>
        <v>EL</v>
      </c>
      <c r="L4441" s="150" t="s">
        <v>6435</v>
      </c>
      <c r="M4441" s="160">
        <v>45957</v>
      </c>
      <c r="N4441" s="160"/>
      <c r="O4441" s="160"/>
      <c r="P4441" s="161" t="str">
        <f ca="1">IF(Proc[[#This Row],[DaysAgeing]]&gt;5,"yep","on track")</f>
        <v>yep</v>
      </c>
      <c r="Q4441" s="3">
        <f ca="1">IF(Proc[[#This Row],[DateClosed]]="",ABS(NETWORKDAYS(Proc[[#This Row],[DateOpened]],TODAY()))-1,ABS(NETWORKDAYS(Proc[[#This Row],[DateOpened]],Proc[[#This Row],[DateClosed]]))-1)</f>
        <v>34</v>
      </c>
      <c r="R4441" s="161" t="s">
        <v>5709</v>
      </c>
      <c r="S4441" s="150"/>
    </row>
    <row r="4442" spans="1:19">
      <c r="A4442" s="149" t="s">
        <v>6599</v>
      </c>
      <c r="B4442" s="150" t="str">
        <f>IFERROR(VLOOKUP(Proc[[#This Row],[App]],Table2[],3,0),"open")</f>
        <v>ok</v>
      </c>
      <c r="C4442" s="149" t="s">
        <v>369</v>
      </c>
      <c r="D4442" t="s">
        <v>6594</v>
      </c>
      <c r="E4442" t="s">
        <v>6602</v>
      </c>
      <c r="F4442" s="150" t="s">
        <v>6602</v>
      </c>
      <c r="G4442" s="149" t="s">
        <v>406</v>
      </c>
      <c r="H4442" s="150" t="str">
        <f>IF(Proc[[#This Row],[type]]="LFF (MDG-F)",MID(Proc[[#This Row],[Obj]],13,10),"")</f>
        <v>IT07TQ1002</v>
      </c>
      <c r="I4442" s="149"/>
      <c r="J4442" s="150" t="b">
        <f>Proc[[#This Row],[Requested]]=Proc[[#This Row],[CurrentParent]]</f>
        <v>1</v>
      </c>
      <c r="K4442" s="150" t="str">
        <f>IF(Proc[[#This Row],[Author]]="Marcela Urrego",VLOOKUP(LEFT(Proc[[#This Row],[Requested]],1),Table3[#All],2,0),VLOOKUP(Proc[[#This Row],[Author]],Table4[],2,0))</f>
        <v>EL</v>
      </c>
      <c r="L4442" s="150" t="s">
        <v>6435</v>
      </c>
      <c r="M4442" s="160">
        <v>45957</v>
      </c>
      <c r="N4442" s="160"/>
      <c r="O4442" s="160"/>
      <c r="P4442" s="161" t="str">
        <f ca="1">IF(Proc[[#This Row],[DaysAgeing]]&gt;5,"yep","on track")</f>
        <v>yep</v>
      </c>
      <c r="Q4442" s="3">
        <f ca="1">IF(Proc[[#This Row],[DateClosed]]="",ABS(NETWORKDAYS(Proc[[#This Row],[DateOpened]],TODAY()))-1,ABS(NETWORKDAYS(Proc[[#This Row],[DateOpened]],Proc[[#This Row],[DateClosed]]))-1)</f>
        <v>34</v>
      </c>
      <c r="R4442" s="161" t="s">
        <v>5709</v>
      </c>
      <c r="S4442" s="150"/>
    </row>
    <row r="4443" spans="1:19">
      <c r="A4443" s="149" t="s">
        <v>6599</v>
      </c>
      <c r="B4443" s="150" t="str">
        <f>IFERROR(VLOOKUP(Proc[[#This Row],[App]],Table2[],3,0),"open")</f>
        <v>ok</v>
      </c>
      <c r="C4443" s="149" t="s">
        <v>369</v>
      </c>
      <c r="D4443" t="s">
        <v>6595</v>
      </c>
      <c r="E4443" t="s">
        <v>6602</v>
      </c>
      <c r="F4443" s="150" t="s">
        <v>6602</v>
      </c>
      <c r="G4443" s="149" t="s">
        <v>406</v>
      </c>
      <c r="H4443" s="150" t="str">
        <f>IF(Proc[[#This Row],[type]]="LFF (MDG-F)",MID(Proc[[#This Row],[Obj]],13,10),"")</f>
        <v>NL10TQ1000</v>
      </c>
      <c r="I4443" s="149"/>
      <c r="J4443" s="150" t="b">
        <f>Proc[[#This Row],[Requested]]=Proc[[#This Row],[CurrentParent]]</f>
        <v>1</v>
      </c>
      <c r="K4443" s="150" t="str">
        <f>IF(Proc[[#This Row],[Author]]="Marcela Urrego",VLOOKUP(LEFT(Proc[[#This Row],[Requested]],1),Table3[#All],2,0),VLOOKUP(Proc[[#This Row],[Author]],Table4[],2,0))</f>
        <v>EL</v>
      </c>
      <c r="L4443" s="150" t="s">
        <v>6435</v>
      </c>
      <c r="M4443" s="160">
        <v>45957</v>
      </c>
      <c r="N4443" s="160"/>
      <c r="O4443" s="160"/>
      <c r="P4443" s="161" t="str">
        <f ca="1">IF(Proc[[#This Row],[DaysAgeing]]&gt;5,"yep","on track")</f>
        <v>yep</v>
      </c>
      <c r="Q4443" s="3">
        <f ca="1">IF(Proc[[#This Row],[DateClosed]]="",ABS(NETWORKDAYS(Proc[[#This Row],[DateOpened]],TODAY()))-1,ABS(NETWORKDAYS(Proc[[#This Row],[DateOpened]],Proc[[#This Row],[DateClosed]]))-1)</f>
        <v>34</v>
      </c>
      <c r="R4443" s="161" t="s">
        <v>5709</v>
      </c>
      <c r="S4443" s="150"/>
    </row>
    <row r="4444" spans="1:19">
      <c r="A4444" s="149" t="s">
        <v>6599</v>
      </c>
      <c r="B4444" s="150" t="str">
        <f>IFERROR(VLOOKUP(Proc[[#This Row],[App]],Table2[],3,0),"open")</f>
        <v>ok</v>
      </c>
      <c r="C4444" s="149" t="s">
        <v>369</v>
      </c>
      <c r="D4444" t="s">
        <v>6596</v>
      </c>
      <c r="E4444" t="s">
        <v>6603</v>
      </c>
      <c r="F4444" s="150" t="s">
        <v>6603</v>
      </c>
      <c r="G4444" s="149" t="s">
        <v>406</v>
      </c>
      <c r="H4444" s="150" t="str">
        <f>IF(Proc[[#This Row],[type]]="LFF (MDG-F)",MID(Proc[[#This Row],[Obj]],13,10),"")</f>
        <v>DE04TQHQ19</v>
      </c>
      <c r="I4444" s="149"/>
      <c r="J4444" s="150" t="b">
        <f>Proc[[#This Row],[Requested]]=Proc[[#This Row],[CurrentParent]]</f>
        <v>1</v>
      </c>
      <c r="K4444" s="150" t="str">
        <f>IF(Proc[[#This Row],[Author]]="Marcela Urrego",VLOOKUP(LEFT(Proc[[#This Row],[Requested]],1),Table3[#All],2,0),VLOOKUP(Proc[[#This Row],[Author]],Table4[],2,0))</f>
        <v>EL</v>
      </c>
      <c r="L4444" s="150" t="s">
        <v>6435</v>
      </c>
      <c r="M4444" s="160">
        <v>45957</v>
      </c>
      <c r="N4444" s="160"/>
      <c r="O4444" s="160"/>
      <c r="P4444" s="161" t="str">
        <f ca="1">IF(Proc[[#This Row],[DaysAgeing]]&gt;5,"yep","on track")</f>
        <v>yep</v>
      </c>
      <c r="Q4444" s="3">
        <f ca="1">IF(Proc[[#This Row],[DateClosed]]="",ABS(NETWORKDAYS(Proc[[#This Row],[DateOpened]],TODAY()))-1,ABS(NETWORKDAYS(Proc[[#This Row],[DateOpened]],Proc[[#This Row],[DateClosed]]))-1)</f>
        <v>34</v>
      </c>
      <c r="R4444" s="161" t="s">
        <v>5709</v>
      </c>
      <c r="S4444" s="150"/>
    </row>
    <row r="4445" spans="1:19">
      <c r="A4445" s="149" t="s">
        <v>6599</v>
      </c>
      <c r="B4445" s="150" t="str">
        <f>IFERROR(VLOOKUP(Proc[[#This Row],[App]],Table2[],3,0),"open")</f>
        <v>ok</v>
      </c>
      <c r="C4445" s="149" t="s">
        <v>369</v>
      </c>
      <c r="D4445" t="s">
        <v>6597</v>
      </c>
      <c r="E4445" t="s">
        <v>6603</v>
      </c>
      <c r="F4445" s="150" t="s">
        <v>6603</v>
      </c>
      <c r="G4445" s="149" t="s">
        <v>406</v>
      </c>
      <c r="H4445" s="150" t="str">
        <f>IF(Proc[[#This Row],[type]]="LFF (MDG-F)",MID(Proc[[#This Row],[Obj]],13,10),"")</f>
        <v>DE04TQHQ23</v>
      </c>
      <c r="I4445" s="149"/>
      <c r="J4445" s="150" t="b">
        <f>Proc[[#This Row],[Requested]]=Proc[[#This Row],[CurrentParent]]</f>
        <v>1</v>
      </c>
      <c r="K4445" s="150" t="str">
        <f>IF(Proc[[#This Row],[Author]]="Marcela Urrego",VLOOKUP(LEFT(Proc[[#This Row],[Requested]],1),Table3[#All],2,0),VLOOKUP(Proc[[#This Row],[Author]],Table4[],2,0))</f>
        <v>EL</v>
      </c>
      <c r="L4445" s="150" t="s">
        <v>6435</v>
      </c>
      <c r="M4445" s="160">
        <v>45957</v>
      </c>
      <c r="N4445" s="160"/>
      <c r="O4445" s="160"/>
      <c r="P4445" s="161" t="str">
        <f ca="1">IF(Proc[[#This Row],[DaysAgeing]]&gt;5,"yep","on track")</f>
        <v>yep</v>
      </c>
      <c r="Q4445" s="3">
        <f ca="1">IF(Proc[[#This Row],[DateClosed]]="",ABS(NETWORKDAYS(Proc[[#This Row],[DateOpened]],TODAY()))-1,ABS(NETWORKDAYS(Proc[[#This Row],[DateOpened]],Proc[[#This Row],[DateClosed]]))-1)</f>
        <v>34</v>
      </c>
      <c r="R4445" s="161" t="s">
        <v>5709</v>
      </c>
      <c r="S4445" s="150"/>
    </row>
    <row r="4446" spans="1:19">
      <c r="A4446" s="149" t="s">
        <v>6599</v>
      </c>
      <c r="B4446" s="150" t="str">
        <f>IFERROR(VLOOKUP(Proc[[#This Row],[App]],Table2[],3,0),"open")</f>
        <v>ok</v>
      </c>
      <c r="C4446" s="149" t="s">
        <v>369</v>
      </c>
      <c r="D4446" t="s">
        <v>6598</v>
      </c>
      <c r="E4446" t="s">
        <v>6603</v>
      </c>
      <c r="F4446" s="150" t="s">
        <v>6603</v>
      </c>
      <c r="G4446" s="149" t="s">
        <v>406</v>
      </c>
      <c r="H4446" s="150" t="str">
        <f>IF(Proc[[#This Row],[type]]="LFF (MDG-F)",MID(Proc[[#This Row],[Obj]],13,10),"")</f>
        <v>NL10TM3000</v>
      </c>
      <c r="I4446" s="149"/>
      <c r="J4446" s="150" t="b">
        <f>Proc[[#This Row],[Requested]]=Proc[[#This Row],[CurrentParent]]</f>
        <v>1</v>
      </c>
      <c r="K4446" s="150" t="str">
        <f>IF(Proc[[#This Row],[Author]]="Marcela Urrego",VLOOKUP(LEFT(Proc[[#This Row],[Requested]],1),Table3[#All],2,0),VLOOKUP(Proc[[#This Row],[Author]],Table4[],2,0))</f>
        <v>EL</v>
      </c>
      <c r="L4446" s="150" t="s">
        <v>6435</v>
      </c>
      <c r="M4446" s="160">
        <v>45957</v>
      </c>
      <c r="N4446" s="160"/>
      <c r="O4446" s="160"/>
      <c r="P4446" s="161" t="str">
        <f ca="1">IF(Proc[[#This Row],[DaysAgeing]]&gt;5,"yep","on track")</f>
        <v>yep</v>
      </c>
      <c r="Q4446" s="3">
        <f ca="1">IF(Proc[[#This Row],[DateClosed]]="",ABS(NETWORKDAYS(Proc[[#This Row],[DateOpened]],TODAY()))-1,ABS(NETWORKDAYS(Proc[[#This Row],[DateOpened]],Proc[[#This Row],[DateClosed]]))-1)</f>
        <v>34</v>
      </c>
      <c r="R4446" s="161" t="s">
        <v>5709</v>
      </c>
      <c r="S4446" s="150"/>
    </row>
    <row r="4447" spans="1:19">
      <c r="A4447" t="s">
        <v>6606</v>
      </c>
      <c r="B4447" s="150" t="str">
        <f>IFERROR(VLOOKUP(Proc[[#This Row],[App]],Table2[],3,0),"open")</f>
        <v>ok</v>
      </c>
      <c r="C4447" s="149" t="s">
        <v>369</v>
      </c>
      <c r="D4447" t="s">
        <v>6607</v>
      </c>
      <c r="E4447" t="s">
        <v>2467</v>
      </c>
      <c r="F4447" s="150" t="s">
        <v>2467</v>
      </c>
      <c r="G4447" t="s">
        <v>400</v>
      </c>
      <c r="H4447" s="150" t="str">
        <f>IF(Proc[[#This Row],[type]]="LFF (MDG-F)",MID(Proc[[#This Row],[Obj]],13,10),"")</f>
        <v/>
      </c>
      <c r="I4447" s="149"/>
      <c r="J4447" s="150" t="b">
        <f>Proc[[#This Row],[Requested]]=Proc[[#This Row],[CurrentParent]]</f>
        <v>1</v>
      </c>
      <c r="K4447" s="150" t="str">
        <f>IF(Proc[[#This Row],[Author]]="Marcela Urrego",VLOOKUP(LEFT(Proc[[#This Row],[Requested]],1),Table3[#All],2,0),VLOOKUP(Proc[[#This Row],[Author]],Table4[],2,0))</f>
        <v>EL</v>
      </c>
      <c r="L4447" s="150" t="s">
        <v>6435</v>
      </c>
      <c r="M4447" s="161">
        <v>45957</v>
      </c>
      <c r="N4447" s="162"/>
      <c r="O4447" s="162"/>
      <c r="P4447" s="161" t="str">
        <f ca="1">IF(Proc[[#This Row],[DaysAgeing]]&gt;5,"yep","on track")</f>
        <v>yep</v>
      </c>
      <c r="Q4447" s="3">
        <f ca="1">IF(Proc[[#This Row],[DateClosed]]="",ABS(NETWORKDAYS(Proc[[#This Row],[DateOpened]],TODAY()))-1,ABS(NETWORKDAYS(Proc[[#This Row],[DateOpened]],Proc[[#This Row],[DateClosed]]))-1)</f>
        <v>34</v>
      </c>
      <c r="R4447" s="161" t="s">
        <v>780</v>
      </c>
      <c r="S4447" s="150"/>
    </row>
    <row r="4448" spans="1:19">
      <c r="A4448" t="s">
        <v>6608</v>
      </c>
      <c r="B4448" s="150" t="str">
        <f>IFERROR(VLOOKUP(Proc[[#This Row],[App]],Table2[],3,0),"open")</f>
        <v>ok</v>
      </c>
      <c r="C4448" s="149" t="s">
        <v>369</v>
      </c>
      <c r="D4448" t="s">
        <v>6634</v>
      </c>
      <c r="E4448" t="s">
        <v>6609</v>
      </c>
      <c r="F4448" s="149" t="s">
        <v>6609</v>
      </c>
      <c r="G4448" s="149" t="s">
        <v>400</v>
      </c>
      <c r="H4448" s="150" t="str">
        <f>IF(Proc[[#This Row],[type]]="LFF (MDG-F)",MID(Proc[[#This Row],[Obj]],13,10),"")</f>
        <v/>
      </c>
      <c r="J4448" s="150" t="b">
        <f>Proc[[#This Row],[Requested]]=Proc[[#This Row],[CurrentParent]]</f>
        <v>1</v>
      </c>
      <c r="K4448" s="150" t="str">
        <f>IF(Proc[[#This Row],[Author]]="Marcela Urrego",VLOOKUP(LEFT(Proc[[#This Row],[Requested]],1),Table3[#All],2,0),VLOOKUP(Proc[[#This Row],[Author]],Table4[],2,0))</f>
        <v>MGF</v>
      </c>
      <c r="L4448" s="150" t="s">
        <v>6435</v>
      </c>
      <c r="M4448" s="161">
        <v>45957</v>
      </c>
      <c r="N4448" s="162"/>
      <c r="O4448" s="162"/>
      <c r="P4448" s="161" t="str">
        <f ca="1">IF(Proc[[#This Row],[DaysAgeing]]&gt;5,"yep","on track")</f>
        <v>yep</v>
      </c>
      <c r="Q4448" s="3">
        <f ca="1">IF(Proc[[#This Row],[DateClosed]]="",ABS(NETWORKDAYS(Proc[[#This Row],[DateOpened]],TODAY()))-1,ABS(NETWORKDAYS(Proc[[#This Row],[DateOpened]],Proc[[#This Row],[DateClosed]]))-1)</f>
        <v>34</v>
      </c>
      <c r="R4448" s="161" t="s">
        <v>542</v>
      </c>
      <c r="S4448" s="150"/>
    </row>
    <row r="4449" spans="1:19">
      <c r="A4449" s="149" t="s">
        <v>6608</v>
      </c>
      <c r="B4449" s="150" t="str">
        <f>IFERROR(VLOOKUP(Proc[[#This Row],[App]],Table2[],3,0),"open")</f>
        <v>ok</v>
      </c>
      <c r="C4449" s="149" t="s">
        <v>369</v>
      </c>
      <c r="D4449" t="s">
        <v>6635</v>
      </c>
      <c r="E4449" t="s">
        <v>2417</v>
      </c>
      <c r="F4449" s="150"/>
      <c r="G4449" s="149" t="s">
        <v>400</v>
      </c>
      <c r="H4449" s="150" t="str">
        <f>IF(Proc[[#This Row],[type]]="LFF (MDG-F)",MID(Proc[[#This Row],[Obj]],13,10),"")</f>
        <v/>
      </c>
      <c r="I4449" t="s">
        <v>6638</v>
      </c>
      <c r="J4449" s="150" t="b">
        <f>Proc[[#This Row],[Requested]]=Proc[[#This Row],[CurrentParent]]</f>
        <v>0</v>
      </c>
      <c r="K4449" s="150" t="str">
        <f>IF(Proc[[#This Row],[Author]]="Marcela Urrego",VLOOKUP(LEFT(Proc[[#This Row],[Requested]],1),Table3[#All],2,0),VLOOKUP(Proc[[#This Row],[Author]],Table4[],2,0))</f>
        <v>MGF</v>
      </c>
      <c r="L4449" s="150" t="s">
        <v>6435</v>
      </c>
      <c r="M4449" s="161">
        <v>45957</v>
      </c>
      <c r="N4449" s="162"/>
      <c r="O4449" s="162"/>
      <c r="P4449" s="161" t="str">
        <f ca="1">IF(Proc[[#This Row],[DaysAgeing]]&gt;5,"yep","on track")</f>
        <v>yep</v>
      </c>
      <c r="Q4449" s="3">
        <f ca="1">IF(Proc[[#This Row],[DateClosed]]="",ABS(NETWORKDAYS(Proc[[#This Row],[DateOpened]],TODAY()))-1,ABS(NETWORKDAYS(Proc[[#This Row],[DateOpened]],Proc[[#This Row],[DateClosed]]))-1)</f>
        <v>34</v>
      </c>
      <c r="R4449" s="161" t="s">
        <v>542</v>
      </c>
      <c r="S4449" s="150"/>
    </row>
    <row r="4450" spans="1:19">
      <c r="A4450" t="s">
        <v>6628</v>
      </c>
      <c r="B4450" s="150" t="str">
        <f>IFERROR(VLOOKUP(Proc[[#This Row],[App]],Table2[],3,0),"open")</f>
        <v>ok</v>
      </c>
      <c r="C4450" s="149" t="s">
        <v>369</v>
      </c>
      <c r="D4450" t="s">
        <v>5292</v>
      </c>
      <c r="E4450" t="s">
        <v>6623</v>
      </c>
      <c r="F4450" s="150" t="s">
        <v>6623</v>
      </c>
      <c r="G4450" s="149" t="s">
        <v>400</v>
      </c>
      <c r="H4450" s="150" t="str">
        <f>IF(Proc[[#This Row],[type]]="LFF (MDG-F)",MID(Proc[[#This Row],[Obj]],13,10),"")</f>
        <v/>
      </c>
      <c r="J4450" s="150" t="b">
        <f>Proc[[#This Row],[Requested]]=Proc[[#This Row],[CurrentParent]]</f>
        <v>1</v>
      </c>
      <c r="K4450" s="150" t="str">
        <f>IF(Proc[[#This Row],[Author]]="Marcela Urrego",VLOOKUP(LEFT(Proc[[#This Row],[Requested]],1),Table3[#All],2,0),VLOOKUP(Proc[[#This Row],[Author]],Table4[],2,0))</f>
        <v>MGF</v>
      </c>
      <c r="L4450" s="150" t="s">
        <v>6435</v>
      </c>
      <c r="M4450" s="162">
        <v>45958</v>
      </c>
      <c r="N4450" s="162"/>
      <c r="O4450" s="162"/>
      <c r="P4450" s="163" t="str">
        <f ca="1">IF(Proc[[#This Row],[DaysAgeing]]&gt;5,"yep","on track")</f>
        <v>yep</v>
      </c>
      <c r="Q4450" s="3">
        <f ca="1">IF(Proc[[#This Row],[DateClosed]]="",ABS(NETWORKDAYS(Proc[[#This Row],[DateOpened]],TODAY()))-1,ABS(NETWORKDAYS(Proc[[#This Row],[DateOpened]],Proc[[#This Row],[DateClosed]]))-1)</f>
        <v>33</v>
      </c>
      <c r="R4450" s="163" t="s">
        <v>1459</v>
      </c>
      <c r="S4450" s="150"/>
    </row>
    <row r="4451" spans="1:19">
      <c r="A4451" t="s">
        <v>6628</v>
      </c>
      <c r="B4451" s="150" t="str">
        <f>IFERROR(VLOOKUP(Proc[[#This Row],[App]],Table2[],3,0),"open")</f>
        <v>ok</v>
      </c>
      <c r="C4451" s="149" t="s">
        <v>369</v>
      </c>
      <c r="D4451" t="s">
        <v>5441</v>
      </c>
      <c r="E4451" t="s">
        <v>6624</v>
      </c>
      <c r="F4451" s="150" t="s">
        <v>6624</v>
      </c>
      <c r="G4451" s="149" t="s">
        <v>400</v>
      </c>
      <c r="H4451" s="150" t="str">
        <f>IF(Proc[[#This Row],[type]]="LFF (MDG-F)",MID(Proc[[#This Row],[Obj]],13,10),"")</f>
        <v/>
      </c>
      <c r="J4451" s="150" t="b">
        <f>Proc[[#This Row],[Requested]]=Proc[[#This Row],[CurrentParent]]</f>
        <v>1</v>
      </c>
      <c r="K4451" s="150" t="str">
        <f>IF(Proc[[#This Row],[Author]]="Marcela Urrego",VLOOKUP(LEFT(Proc[[#This Row],[Requested]],1),Table3[#All],2,0),VLOOKUP(Proc[[#This Row],[Author]],Table4[],2,0))</f>
        <v>MGF</v>
      </c>
      <c r="L4451" s="150" t="s">
        <v>6435</v>
      </c>
      <c r="M4451" s="162">
        <v>45958</v>
      </c>
      <c r="N4451" s="162"/>
      <c r="O4451" s="162"/>
      <c r="P4451" s="163" t="str">
        <f ca="1">IF(Proc[[#This Row],[DaysAgeing]]&gt;5,"yep","on track")</f>
        <v>yep</v>
      </c>
      <c r="Q4451" s="3">
        <f ca="1">IF(Proc[[#This Row],[DateClosed]]="",ABS(NETWORKDAYS(Proc[[#This Row],[DateOpened]],TODAY()))-1,ABS(NETWORKDAYS(Proc[[#This Row],[DateOpened]],Proc[[#This Row],[DateClosed]]))-1)</f>
        <v>33</v>
      </c>
      <c r="R4451" s="163" t="s">
        <v>1459</v>
      </c>
      <c r="S4451" s="150"/>
    </row>
    <row r="4452" spans="1:19">
      <c r="A4452" s="149" t="s">
        <v>6628</v>
      </c>
      <c r="B4452" s="150" t="str">
        <f>IFERROR(VLOOKUP(Proc[[#This Row],[App]],Table2[],3,0),"open")</f>
        <v>ok</v>
      </c>
      <c r="C4452" s="149" t="s">
        <v>369</v>
      </c>
      <c r="D4452" t="s">
        <v>5294</v>
      </c>
      <c r="E4452" t="s">
        <v>6623</v>
      </c>
      <c r="F4452" s="150" t="s">
        <v>6623</v>
      </c>
      <c r="G4452" s="149" t="s">
        <v>400</v>
      </c>
      <c r="H4452" s="150" t="str">
        <f>IF(Proc[[#This Row],[type]]="LFF (MDG-F)",MID(Proc[[#This Row],[Obj]],13,10),"")</f>
        <v/>
      </c>
      <c r="J4452" s="150" t="b">
        <f>Proc[[#This Row],[Requested]]=Proc[[#This Row],[CurrentParent]]</f>
        <v>1</v>
      </c>
      <c r="K4452" s="150" t="str">
        <f>IF(Proc[[#This Row],[Author]]="Marcela Urrego",VLOOKUP(LEFT(Proc[[#This Row],[Requested]],1),Table3[#All],2,0),VLOOKUP(Proc[[#This Row],[Author]],Table4[],2,0))</f>
        <v>MGF</v>
      </c>
      <c r="L4452" s="150" t="s">
        <v>6435</v>
      </c>
      <c r="M4452" s="162">
        <v>45958</v>
      </c>
      <c r="N4452" s="162"/>
      <c r="O4452" s="162"/>
      <c r="P4452" s="163" t="str">
        <f ca="1">IF(Proc[[#This Row],[DaysAgeing]]&gt;5,"yep","on track")</f>
        <v>yep</v>
      </c>
      <c r="Q4452" s="3">
        <f ca="1">IF(Proc[[#This Row],[DateClosed]]="",ABS(NETWORKDAYS(Proc[[#This Row],[DateOpened]],TODAY()))-1,ABS(NETWORKDAYS(Proc[[#This Row],[DateOpened]],Proc[[#This Row],[DateClosed]]))-1)</f>
        <v>33</v>
      </c>
      <c r="R4452" s="163" t="s">
        <v>1459</v>
      </c>
      <c r="S4452" s="150"/>
    </row>
    <row r="4453" spans="1:19">
      <c r="A4453" s="149" t="s">
        <v>6628</v>
      </c>
      <c r="B4453" s="150" t="str">
        <f>IFERROR(VLOOKUP(Proc[[#This Row],[App]],Table2[],3,0),"open")</f>
        <v>ok</v>
      </c>
      <c r="C4453" s="149" t="s">
        <v>369</v>
      </c>
      <c r="D4453" t="s">
        <v>5307</v>
      </c>
      <c r="E4453" t="s">
        <v>6623</v>
      </c>
      <c r="F4453" s="150" t="s">
        <v>6623</v>
      </c>
      <c r="G4453" s="149" t="s">
        <v>400</v>
      </c>
      <c r="H4453" s="150" t="str">
        <f>IF(Proc[[#This Row],[type]]="LFF (MDG-F)",MID(Proc[[#This Row],[Obj]],13,10),"")</f>
        <v/>
      </c>
      <c r="J4453" s="150" t="b">
        <f>Proc[[#This Row],[Requested]]=Proc[[#This Row],[CurrentParent]]</f>
        <v>1</v>
      </c>
      <c r="K4453" s="150" t="str">
        <f>IF(Proc[[#This Row],[Author]]="Marcela Urrego",VLOOKUP(LEFT(Proc[[#This Row],[Requested]],1),Table3[#All],2,0),VLOOKUP(Proc[[#This Row],[Author]],Table4[],2,0))</f>
        <v>MGF</v>
      </c>
      <c r="L4453" s="150" t="s">
        <v>6435</v>
      </c>
      <c r="M4453" s="162">
        <v>45958</v>
      </c>
      <c r="N4453" s="162"/>
      <c r="O4453" s="162"/>
      <c r="P4453" s="163" t="str">
        <f ca="1">IF(Proc[[#This Row],[DaysAgeing]]&gt;5,"yep","on track")</f>
        <v>yep</v>
      </c>
      <c r="Q4453" s="3">
        <f ca="1">IF(Proc[[#This Row],[DateClosed]]="",ABS(NETWORKDAYS(Proc[[#This Row],[DateOpened]],TODAY()))-1,ABS(NETWORKDAYS(Proc[[#This Row],[DateOpened]],Proc[[#This Row],[DateClosed]]))-1)</f>
        <v>33</v>
      </c>
      <c r="R4453" s="163" t="s">
        <v>1459</v>
      </c>
      <c r="S4453" s="150"/>
    </row>
    <row r="4454" spans="1:19">
      <c r="A4454" s="149" t="s">
        <v>6628</v>
      </c>
      <c r="B4454" s="150" t="str">
        <f>IFERROR(VLOOKUP(Proc[[#This Row],[App]],Table2[],3,0),"open")</f>
        <v>ok</v>
      </c>
      <c r="C4454" s="149" t="s">
        <v>369</v>
      </c>
      <c r="D4454" t="s">
        <v>5439</v>
      </c>
      <c r="E4454" t="s">
        <v>6624</v>
      </c>
      <c r="F4454" s="150" t="s">
        <v>6624</v>
      </c>
      <c r="G4454" s="149" t="s">
        <v>400</v>
      </c>
      <c r="H4454" s="150" t="str">
        <f>IF(Proc[[#This Row],[type]]="LFF (MDG-F)",MID(Proc[[#This Row],[Obj]],13,10),"")</f>
        <v/>
      </c>
      <c r="J4454" s="150" t="b">
        <f>Proc[[#This Row],[Requested]]=Proc[[#This Row],[CurrentParent]]</f>
        <v>1</v>
      </c>
      <c r="K4454" s="150" t="str">
        <f>IF(Proc[[#This Row],[Author]]="Marcela Urrego",VLOOKUP(LEFT(Proc[[#This Row],[Requested]],1),Table3[#All],2,0),VLOOKUP(Proc[[#This Row],[Author]],Table4[],2,0))</f>
        <v>MGF</v>
      </c>
      <c r="L4454" s="150" t="s">
        <v>6435</v>
      </c>
      <c r="M4454" s="162">
        <v>45958</v>
      </c>
      <c r="N4454" s="162"/>
      <c r="O4454" s="162"/>
      <c r="P4454" s="163" t="str">
        <f ca="1">IF(Proc[[#This Row],[DaysAgeing]]&gt;5,"yep","on track")</f>
        <v>yep</v>
      </c>
      <c r="Q4454" s="3">
        <f ca="1">IF(Proc[[#This Row],[DateClosed]]="",ABS(NETWORKDAYS(Proc[[#This Row],[DateOpened]],TODAY()))-1,ABS(NETWORKDAYS(Proc[[#This Row],[DateOpened]],Proc[[#This Row],[DateClosed]]))-1)</f>
        <v>33</v>
      </c>
      <c r="R4454" s="163" t="s">
        <v>1459</v>
      </c>
      <c r="S4454" s="150"/>
    </row>
    <row r="4455" spans="1:19">
      <c r="A4455" s="149" t="s">
        <v>6628</v>
      </c>
      <c r="B4455" s="150" t="str">
        <f>IFERROR(VLOOKUP(Proc[[#This Row],[App]],Table2[],3,0),"open")</f>
        <v>ok</v>
      </c>
      <c r="C4455" s="149" t="s">
        <v>369</v>
      </c>
      <c r="D4455" t="s">
        <v>5306</v>
      </c>
      <c r="E4455" t="s">
        <v>6623</v>
      </c>
      <c r="F4455" s="150" t="s">
        <v>6623</v>
      </c>
      <c r="G4455" s="149" t="s">
        <v>400</v>
      </c>
      <c r="H4455" s="150" t="str">
        <f>IF(Proc[[#This Row],[type]]="LFF (MDG-F)",MID(Proc[[#This Row],[Obj]],13,10),"")</f>
        <v/>
      </c>
      <c r="J4455" s="150" t="b">
        <f>Proc[[#This Row],[Requested]]=Proc[[#This Row],[CurrentParent]]</f>
        <v>1</v>
      </c>
      <c r="K4455" s="150" t="str">
        <f>IF(Proc[[#This Row],[Author]]="Marcela Urrego",VLOOKUP(LEFT(Proc[[#This Row],[Requested]],1),Table3[#All],2,0),VLOOKUP(Proc[[#This Row],[Author]],Table4[],2,0))</f>
        <v>MGF</v>
      </c>
      <c r="L4455" s="150" t="s">
        <v>6435</v>
      </c>
      <c r="M4455" s="162">
        <v>45958</v>
      </c>
      <c r="N4455" s="162"/>
      <c r="O4455" s="162"/>
      <c r="P4455" s="163" t="str">
        <f ca="1">IF(Proc[[#This Row],[DaysAgeing]]&gt;5,"yep","on track")</f>
        <v>yep</v>
      </c>
      <c r="Q4455" s="3">
        <f ca="1">IF(Proc[[#This Row],[DateClosed]]="",ABS(NETWORKDAYS(Proc[[#This Row],[DateOpened]],TODAY()))-1,ABS(NETWORKDAYS(Proc[[#This Row],[DateOpened]],Proc[[#This Row],[DateClosed]]))-1)</f>
        <v>33</v>
      </c>
      <c r="R4455" s="163" t="s">
        <v>1459</v>
      </c>
      <c r="S4455" s="150"/>
    </row>
    <row r="4456" spans="1:19">
      <c r="A4456" s="149" t="s">
        <v>6628</v>
      </c>
      <c r="B4456" s="150" t="str">
        <f>IFERROR(VLOOKUP(Proc[[#This Row],[App]],Table2[],3,0),"open")</f>
        <v>ok</v>
      </c>
      <c r="C4456" s="149" t="s">
        <v>369</v>
      </c>
      <c r="D4456" t="s">
        <v>5311</v>
      </c>
      <c r="E4456" t="s">
        <v>6623</v>
      </c>
      <c r="F4456" s="150" t="s">
        <v>6623</v>
      </c>
      <c r="G4456" s="149" t="s">
        <v>400</v>
      </c>
      <c r="H4456" s="150" t="str">
        <f>IF(Proc[[#This Row],[type]]="LFF (MDG-F)",MID(Proc[[#This Row],[Obj]],13,10),"")</f>
        <v/>
      </c>
      <c r="J4456" s="150" t="b">
        <f>Proc[[#This Row],[Requested]]=Proc[[#This Row],[CurrentParent]]</f>
        <v>1</v>
      </c>
      <c r="K4456" s="150" t="str">
        <f>IF(Proc[[#This Row],[Author]]="Marcela Urrego",VLOOKUP(LEFT(Proc[[#This Row],[Requested]],1),Table3[#All],2,0),VLOOKUP(Proc[[#This Row],[Author]],Table4[],2,0))</f>
        <v>MGF</v>
      </c>
      <c r="L4456" s="150" t="s">
        <v>6435</v>
      </c>
      <c r="M4456" s="162">
        <v>45958</v>
      </c>
      <c r="N4456" s="162"/>
      <c r="O4456" s="162"/>
      <c r="P4456" s="163" t="str">
        <f ca="1">IF(Proc[[#This Row],[DaysAgeing]]&gt;5,"yep","on track")</f>
        <v>yep</v>
      </c>
      <c r="Q4456" s="3">
        <f ca="1">IF(Proc[[#This Row],[DateClosed]]="",ABS(NETWORKDAYS(Proc[[#This Row],[DateOpened]],TODAY()))-1,ABS(NETWORKDAYS(Proc[[#This Row],[DateOpened]],Proc[[#This Row],[DateClosed]]))-1)</f>
        <v>33</v>
      </c>
      <c r="R4456" s="163" t="s">
        <v>1459</v>
      </c>
      <c r="S4456" s="150"/>
    </row>
    <row r="4457" spans="1:19">
      <c r="A4457" s="149" t="s">
        <v>6628</v>
      </c>
      <c r="B4457" s="150" t="str">
        <f>IFERROR(VLOOKUP(Proc[[#This Row],[App]],Table2[],3,0),"open")</f>
        <v>ok</v>
      </c>
      <c r="C4457" s="149" t="s">
        <v>369</v>
      </c>
      <c r="D4457" t="s">
        <v>6610</v>
      </c>
      <c r="E4457" t="s">
        <v>6604</v>
      </c>
      <c r="F4457" s="150" t="s">
        <v>6604</v>
      </c>
      <c r="G4457" t="s">
        <v>406</v>
      </c>
      <c r="H4457" s="150" t="str">
        <f>IF(Proc[[#This Row],[type]]="LFF (MDG-F)",MID(Proc[[#This Row],[Obj]],13,10),"")</f>
        <v>IT50YIT001</v>
      </c>
      <c r="J4457" s="150" t="b">
        <f>Proc[[#This Row],[Requested]]=Proc[[#This Row],[CurrentParent]]</f>
        <v>1</v>
      </c>
      <c r="K4457" s="150" t="str">
        <f>IF(Proc[[#This Row],[Author]]="Marcela Urrego",VLOOKUP(LEFT(Proc[[#This Row],[Requested]],1),Table3[#All],2,0),VLOOKUP(Proc[[#This Row],[Author]],Table4[],2,0))</f>
        <v>MGF</v>
      </c>
      <c r="L4457" s="150" t="s">
        <v>6435</v>
      </c>
      <c r="M4457" s="162">
        <v>45958</v>
      </c>
      <c r="N4457" s="162"/>
      <c r="O4457" s="162"/>
      <c r="P4457" s="163" t="str">
        <f ca="1">IF(Proc[[#This Row],[DaysAgeing]]&gt;5,"yep","on track")</f>
        <v>yep</v>
      </c>
      <c r="Q4457" s="3">
        <f ca="1">IF(Proc[[#This Row],[DateClosed]]="",ABS(NETWORKDAYS(Proc[[#This Row],[DateOpened]],TODAY()))-1,ABS(NETWORKDAYS(Proc[[#This Row],[DateOpened]],Proc[[#This Row],[DateClosed]]))-1)</f>
        <v>33</v>
      </c>
      <c r="R4457" s="163" t="s">
        <v>1459</v>
      </c>
      <c r="S4457" s="150"/>
    </row>
    <row r="4458" spans="1:19">
      <c r="A4458" s="149" t="s">
        <v>6628</v>
      </c>
      <c r="B4458" s="150" t="str">
        <f>IFERROR(VLOOKUP(Proc[[#This Row],[App]],Table2[],3,0),"open")</f>
        <v>ok</v>
      </c>
      <c r="C4458" s="149" t="s">
        <v>369</v>
      </c>
      <c r="D4458" t="s">
        <v>6611</v>
      </c>
      <c r="E4458" t="s">
        <v>6625</v>
      </c>
      <c r="F4458" s="150" t="s">
        <v>6625</v>
      </c>
      <c r="G4458" t="s">
        <v>400</v>
      </c>
      <c r="H4458" s="150" t="str">
        <f>IF(Proc[[#This Row],[type]]="LFF (MDG-F)",MID(Proc[[#This Row],[Obj]],13,10),"")</f>
        <v/>
      </c>
      <c r="J4458" s="150" t="b">
        <f>Proc[[#This Row],[Requested]]=Proc[[#This Row],[CurrentParent]]</f>
        <v>1</v>
      </c>
      <c r="K4458" s="150" t="str">
        <f>IF(Proc[[#This Row],[Author]]="Marcela Urrego",VLOOKUP(LEFT(Proc[[#This Row],[Requested]],1),Table3[#All],2,0),VLOOKUP(Proc[[#This Row],[Author]],Table4[],2,0))</f>
        <v>MGF</v>
      </c>
      <c r="L4458" s="150" t="s">
        <v>6435</v>
      </c>
      <c r="M4458" s="162">
        <v>45958</v>
      </c>
      <c r="N4458" s="162"/>
      <c r="O4458" s="162"/>
      <c r="P4458" s="163" t="str">
        <f ca="1">IF(Proc[[#This Row],[DaysAgeing]]&gt;5,"yep","on track")</f>
        <v>yep</v>
      </c>
      <c r="Q4458" s="3">
        <f ca="1">IF(Proc[[#This Row],[DateClosed]]="",ABS(NETWORKDAYS(Proc[[#This Row],[DateOpened]],TODAY()))-1,ABS(NETWORKDAYS(Proc[[#This Row],[DateOpened]],Proc[[#This Row],[DateClosed]]))-1)</f>
        <v>33</v>
      </c>
      <c r="R4458" s="163" t="s">
        <v>1459</v>
      </c>
      <c r="S4458" s="150"/>
    </row>
    <row r="4459" spans="1:19">
      <c r="A4459" s="149" t="s">
        <v>6628</v>
      </c>
      <c r="B4459" s="150" t="str">
        <f>IFERROR(VLOOKUP(Proc[[#This Row],[App]],Table2[],3,0),"open")</f>
        <v>ok</v>
      </c>
      <c r="C4459" s="149" t="s">
        <v>369</v>
      </c>
      <c r="D4459" t="s">
        <v>1827</v>
      </c>
      <c r="E4459" t="s">
        <v>6626</v>
      </c>
      <c r="F4459" s="150" t="s">
        <v>6626</v>
      </c>
      <c r="G4459" t="s">
        <v>406</v>
      </c>
      <c r="H4459" s="150" t="str">
        <f>IF(Proc[[#This Row],[type]]="LFF (MDG-F)",MID(Proc[[#This Row],[Obj]],13,10),"")</f>
        <v>DE10GIT04K</v>
      </c>
      <c r="J4459" s="150" t="b">
        <f>Proc[[#This Row],[Requested]]=Proc[[#This Row],[CurrentParent]]</f>
        <v>1</v>
      </c>
      <c r="K4459" s="150" t="str">
        <f>IF(Proc[[#This Row],[Author]]="Marcela Urrego",VLOOKUP(LEFT(Proc[[#This Row],[Requested]],1),Table3[#All],2,0),VLOOKUP(Proc[[#This Row],[Author]],Table4[],2,0))</f>
        <v>MGF</v>
      </c>
      <c r="L4459" s="150" t="s">
        <v>6435</v>
      </c>
      <c r="M4459" s="162">
        <v>45958</v>
      </c>
      <c r="N4459" s="162"/>
      <c r="O4459" s="162"/>
      <c r="P4459" s="163" t="str">
        <f ca="1">IF(Proc[[#This Row],[DaysAgeing]]&gt;5,"yep","on track")</f>
        <v>yep</v>
      </c>
      <c r="Q4459" s="3">
        <f ca="1">IF(Proc[[#This Row],[DateClosed]]="",ABS(NETWORKDAYS(Proc[[#This Row],[DateOpened]],TODAY()))-1,ABS(NETWORKDAYS(Proc[[#This Row],[DateOpened]],Proc[[#This Row],[DateClosed]]))-1)</f>
        <v>33</v>
      </c>
      <c r="R4459" s="163" t="s">
        <v>1459</v>
      </c>
      <c r="S4459" s="150"/>
    </row>
    <row r="4460" spans="1:19">
      <c r="A4460" s="149" t="s">
        <v>6628</v>
      </c>
      <c r="B4460" s="150" t="str">
        <f>IFERROR(VLOOKUP(Proc[[#This Row],[App]],Table2[],3,0),"open")</f>
        <v>ok</v>
      </c>
      <c r="C4460" s="149" t="s">
        <v>369</v>
      </c>
      <c r="D4460" t="s">
        <v>6612</v>
      </c>
      <c r="E4460" t="s">
        <v>6625</v>
      </c>
      <c r="F4460" s="150" t="s">
        <v>6625</v>
      </c>
      <c r="G4460" t="s">
        <v>406</v>
      </c>
      <c r="H4460" s="150" t="str">
        <f>IF(Proc[[#This Row],[type]]="LFF (MDG-F)",MID(Proc[[#This Row],[Obj]],13,10),"")</f>
        <v>DE10638210</v>
      </c>
      <c r="J4460" s="150" t="b">
        <f>Proc[[#This Row],[Requested]]=Proc[[#This Row],[CurrentParent]]</f>
        <v>1</v>
      </c>
      <c r="K4460" s="150" t="str">
        <f>IF(Proc[[#This Row],[Author]]="Marcela Urrego",VLOOKUP(LEFT(Proc[[#This Row],[Requested]],1),Table3[#All],2,0),VLOOKUP(Proc[[#This Row],[Author]],Table4[],2,0))</f>
        <v>MGF</v>
      </c>
      <c r="L4460" s="150" t="s">
        <v>6435</v>
      </c>
      <c r="M4460" s="162">
        <v>45958</v>
      </c>
      <c r="N4460" s="162"/>
      <c r="O4460" s="162"/>
      <c r="P4460" s="163" t="str">
        <f ca="1">IF(Proc[[#This Row],[DaysAgeing]]&gt;5,"yep","on track")</f>
        <v>yep</v>
      </c>
      <c r="Q4460" s="3">
        <f ca="1">IF(Proc[[#This Row],[DateClosed]]="",ABS(NETWORKDAYS(Proc[[#This Row],[DateOpened]],TODAY()))-1,ABS(NETWORKDAYS(Proc[[#This Row],[DateOpened]],Proc[[#This Row],[DateClosed]]))-1)</f>
        <v>33</v>
      </c>
      <c r="R4460" s="163" t="s">
        <v>1459</v>
      </c>
      <c r="S4460" s="150"/>
    </row>
    <row r="4461" spans="1:19">
      <c r="A4461" s="149" t="s">
        <v>6628</v>
      </c>
      <c r="B4461" s="150" t="str">
        <f>IFERROR(VLOOKUP(Proc[[#This Row],[App]],Table2[],3,0),"open")</f>
        <v>ok</v>
      </c>
      <c r="C4461" s="149" t="s">
        <v>369</v>
      </c>
      <c r="D4461" t="s">
        <v>6613</v>
      </c>
      <c r="E4461" t="s">
        <v>6626</v>
      </c>
      <c r="F4461" s="150" t="s">
        <v>6626</v>
      </c>
      <c r="G4461" s="149" t="s">
        <v>406</v>
      </c>
      <c r="H4461" s="150" t="str">
        <f>IF(Proc[[#This Row],[type]]="LFF (MDG-F)",MID(Proc[[#This Row],[Obj]],13,10),"")</f>
        <v>DE10GIT101</v>
      </c>
      <c r="J4461" s="150" t="b">
        <f>Proc[[#This Row],[Requested]]=Proc[[#This Row],[CurrentParent]]</f>
        <v>1</v>
      </c>
      <c r="K4461" s="150" t="str">
        <f>IF(Proc[[#This Row],[Author]]="Marcela Urrego",VLOOKUP(LEFT(Proc[[#This Row],[Requested]],1),Table3[#All],2,0),VLOOKUP(Proc[[#This Row],[Author]],Table4[],2,0))</f>
        <v>MGF</v>
      </c>
      <c r="L4461" s="150" t="s">
        <v>6435</v>
      </c>
      <c r="M4461" s="162">
        <v>45958</v>
      </c>
      <c r="N4461" s="162"/>
      <c r="O4461" s="162"/>
      <c r="P4461" s="163" t="str">
        <f ca="1">IF(Proc[[#This Row],[DaysAgeing]]&gt;5,"yep","on track")</f>
        <v>yep</v>
      </c>
      <c r="Q4461" s="3">
        <f ca="1">IF(Proc[[#This Row],[DateClosed]]="",ABS(NETWORKDAYS(Proc[[#This Row],[DateOpened]],TODAY()))-1,ABS(NETWORKDAYS(Proc[[#This Row],[DateOpened]],Proc[[#This Row],[DateClosed]]))-1)</f>
        <v>33</v>
      </c>
      <c r="R4461" s="163" t="s">
        <v>1459</v>
      </c>
      <c r="S4461" s="150"/>
    </row>
    <row r="4462" spans="1:19">
      <c r="A4462" s="149" t="s">
        <v>6628</v>
      </c>
      <c r="B4462" s="150" t="str">
        <f>IFERROR(VLOOKUP(Proc[[#This Row],[App]],Table2[],3,0),"open")</f>
        <v>ok</v>
      </c>
      <c r="C4462" s="149" t="s">
        <v>369</v>
      </c>
      <c r="D4462" t="s">
        <v>6614</v>
      </c>
      <c r="E4462" t="s">
        <v>6626</v>
      </c>
      <c r="F4462" s="150" t="s">
        <v>6626</v>
      </c>
      <c r="G4462" s="149" t="s">
        <v>406</v>
      </c>
      <c r="H4462" s="150" t="str">
        <f>IF(Proc[[#This Row],[type]]="LFF (MDG-F)",MID(Proc[[#This Row],[Obj]],13,10),"")</f>
        <v>DE10GIT02K</v>
      </c>
      <c r="J4462" s="150" t="b">
        <f>Proc[[#This Row],[Requested]]=Proc[[#This Row],[CurrentParent]]</f>
        <v>1</v>
      </c>
      <c r="K4462" s="150" t="str">
        <f>IF(Proc[[#This Row],[Author]]="Marcela Urrego",VLOOKUP(LEFT(Proc[[#This Row],[Requested]],1),Table3[#All],2,0),VLOOKUP(Proc[[#This Row],[Author]],Table4[],2,0))</f>
        <v>MGF</v>
      </c>
      <c r="L4462" s="150" t="s">
        <v>6435</v>
      </c>
      <c r="M4462" s="162">
        <v>45958</v>
      </c>
      <c r="N4462" s="162"/>
      <c r="O4462" s="162"/>
      <c r="P4462" s="163" t="str">
        <f ca="1">IF(Proc[[#This Row],[DaysAgeing]]&gt;5,"yep","on track")</f>
        <v>yep</v>
      </c>
      <c r="Q4462" s="3">
        <f ca="1">IF(Proc[[#This Row],[DateClosed]]="",ABS(NETWORKDAYS(Proc[[#This Row],[DateOpened]],TODAY()))-1,ABS(NETWORKDAYS(Proc[[#This Row],[DateOpened]],Proc[[#This Row],[DateClosed]]))-1)</f>
        <v>33</v>
      </c>
      <c r="R4462" s="163" t="s">
        <v>1459</v>
      </c>
      <c r="S4462" s="150"/>
    </row>
    <row r="4463" spans="1:19">
      <c r="A4463" s="149" t="s">
        <v>6628</v>
      </c>
      <c r="B4463" s="150" t="str">
        <f>IFERROR(VLOOKUP(Proc[[#This Row],[App]],Table2[],3,0),"open")</f>
        <v>ok</v>
      </c>
      <c r="C4463" s="149" t="s">
        <v>369</v>
      </c>
      <c r="D4463" t="s">
        <v>5436</v>
      </c>
      <c r="E4463" t="s">
        <v>6624</v>
      </c>
      <c r="F4463" s="150" t="s">
        <v>6624</v>
      </c>
      <c r="G4463" s="149" t="s">
        <v>406</v>
      </c>
      <c r="H4463" s="150" t="str">
        <f>IF(Proc[[#This Row],[type]]="LFF (MDG-F)",MID(Proc[[#This Row],[Obj]],13,10),"")</f>
        <v>DE10669638</v>
      </c>
      <c r="J4463" s="150" t="b">
        <f>Proc[[#This Row],[Requested]]=Proc[[#This Row],[CurrentParent]]</f>
        <v>1</v>
      </c>
      <c r="K4463" s="150" t="str">
        <f>IF(Proc[[#This Row],[Author]]="Marcela Urrego",VLOOKUP(LEFT(Proc[[#This Row],[Requested]],1),Table3[#All],2,0),VLOOKUP(Proc[[#This Row],[Author]],Table4[],2,0))</f>
        <v>MGF</v>
      </c>
      <c r="L4463" s="150" t="s">
        <v>6435</v>
      </c>
      <c r="M4463" s="162">
        <v>45958</v>
      </c>
      <c r="N4463" s="162"/>
      <c r="O4463" s="162"/>
      <c r="P4463" s="163" t="str">
        <f ca="1">IF(Proc[[#This Row],[DaysAgeing]]&gt;5,"yep","on track")</f>
        <v>yep</v>
      </c>
      <c r="Q4463" s="3">
        <f ca="1">IF(Proc[[#This Row],[DateClosed]]="",ABS(NETWORKDAYS(Proc[[#This Row],[DateOpened]],TODAY()))-1,ABS(NETWORKDAYS(Proc[[#This Row],[DateOpened]],Proc[[#This Row],[DateClosed]]))-1)</f>
        <v>33</v>
      </c>
      <c r="R4463" s="163" t="s">
        <v>1459</v>
      </c>
      <c r="S4463" s="150"/>
    </row>
    <row r="4464" spans="1:19">
      <c r="A4464" s="149" t="s">
        <v>6628</v>
      </c>
      <c r="B4464" s="150" t="str">
        <f>IFERROR(VLOOKUP(Proc[[#This Row],[App]],Table2[],3,0),"open")</f>
        <v>ok</v>
      </c>
      <c r="C4464" s="149" t="s">
        <v>369</v>
      </c>
      <c r="D4464" t="s">
        <v>5328</v>
      </c>
      <c r="E4464" t="s">
        <v>6623</v>
      </c>
      <c r="F4464" s="150" t="s">
        <v>6623</v>
      </c>
      <c r="G4464" s="149" t="s">
        <v>406</v>
      </c>
      <c r="H4464" s="150" t="str">
        <f>IF(Proc[[#This Row],[type]]="LFF (MDG-F)",MID(Proc[[#This Row],[Obj]],13,10),"")</f>
        <v>DE10669636</v>
      </c>
      <c r="J4464" s="150" t="b">
        <f>Proc[[#This Row],[Requested]]=Proc[[#This Row],[CurrentParent]]</f>
        <v>1</v>
      </c>
      <c r="K4464" s="150" t="str">
        <f>IF(Proc[[#This Row],[Author]]="Marcela Urrego",VLOOKUP(LEFT(Proc[[#This Row],[Requested]],1),Table3[#All],2,0),VLOOKUP(Proc[[#This Row],[Author]],Table4[],2,0))</f>
        <v>MGF</v>
      </c>
      <c r="L4464" s="150" t="s">
        <v>6435</v>
      </c>
      <c r="M4464" s="162">
        <v>45958</v>
      </c>
      <c r="N4464" s="162"/>
      <c r="O4464" s="162"/>
      <c r="P4464" s="163" t="str">
        <f ca="1">IF(Proc[[#This Row],[DaysAgeing]]&gt;5,"yep","on track")</f>
        <v>yep</v>
      </c>
      <c r="Q4464" s="3">
        <f ca="1">IF(Proc[[#This Row],[DateClosed]]="",ABS(NETWORKDAYS(Proc[[#This Row],[DateOpened]],TODAY()))-1,ABS(NETWORKDAYS(Proc[[#This Row],[DateOpened]],Proc[[#This Row],[DateClosed]]))-1)</f>
        <v>33</v>
      </c>
      <c r="R4464" s="163" t="s">
        <v>1459</v>
      </c>
      <c r="S4464" s="150"/>
    </row>
    <row r="4465" spans="1:19">
      <c r="A4465" s="149" t="s">
        <v>6628</v>
      </c>
      <c r="B4465" s="150" t="str">
        <f>IFERROR(VLOOKUP(Proc[[#This Row],[App]],Table2[],3,0),"open")</f>
        <v>ok</v>
      </c>
      <c r="C4465" s="149" t="s">
        <v>369</v>
      </c>
      <c r="D4465" t="s">
        <v>5366</v>
      </c>
      <c r="E4465" t="s">
        <v>6623</v>
      </c>
      <c r="F4465" s="150" t="s">
        <v>6623</v>
      </c>
      <c r="G4465" t="s">
        <v>400</v>
      </c>
      <c r="H4465" s="150" t="str">
        <f>IF(Proc[[#This Row],[type]]="LFF (MDG-F)",MID(Proc[[#This Row],[Obj]],13,10),"")</f>
        <v/>
      </c>
      <c r="J4465" s="150" t="b">
        <f>Proc[[#This Row],[Requested]]=Proc[[#This Row],[CurrentParent]]</f>
        <v>1</v>
      </c>
      <c r="K4465" s="150" t="str">
        <f>IF(Proc[[#This Row],[Author]]="Marcela Urrego",VLOOKUP(LEFT(Proc[[#This Row],[Requested]],1),Table3[#All],2,0),VLOOKUP(Proc[[#This Row],[Author]],Table4[],2,0))</f>
        <v>MGF</v>
      </c>
      <c r="L4465" s="150" t="s">
        <v>6435</v>
      </c>
      <c r="M4465" s="162">
        <v>45958</v>
      </c>
      <c r="N4465" s="162"/>
      <c r="O4465" s="162"/>
      <c r="P4465" s="163" t="str">
        <f ca="1">IF(Proc[[#This Row],[DaysAgeing]]&gt;5,"yep","on track")</f>
        <v>yep</v>
      </c>
      <c r="Q4465" s="3">
        <f ca="1">IF(Proc[[#This Row],[DateClosed]]="",ABS(NETWORKDAYS(Proc[[#This Row],[DateOpened]],TODAY()))-1,ABS(NETWORKDAYS(Proc[[#This Row],[DateOpened]],Proc[[#This Row],[DateClosed]]))-1)</f>
        <v>33</v>
      </c>
      <c r="R4465" s="163" t="s">
        <v>1459</v>
      </c>
      <c r="S4465" s="150"/>
    </row>
    <row r="4466" spans="1:19">
      <c r="A4466" s="149" t="s">
        <v>6628</v>
      </c>
      <c r="B4466" s="150" t="str">
        <f>IFERROR(VLOOKUP(Proc[[#This Row],[App]],Table2[],3,0),"open")</f>
        <v>ok</v>
      </c>
      <c r="C4466" s="149" t="s">
        <v>369</v>
      </c>
      <c r="D4466" t="s">
        <v>6615</v>
      </c>
      <c r="E4466" t="s">
        <v>6604</v>
      </c>
      <c r="F4466" s="150" t="s">
        <v>6604</v>
      </c>
      <c r="G4466" t="s">
        <v>406</v>
      </c>
      <c r="H4466" s="150" t="str">
        <f>IF(Proc[[#This Row],[type]]="LFF (MDG-F)",MID(Proc[[#This Row],[Obj]],13,10),"")</f>
        <v>CH65GIT20H</v>
      </c>
      <c r="J4466" s="150" t="b">
        <f>Proc[[#This Row],[Requested]]=Proc[[#This Row],[CurrentParent]]</f>
        <v>1</v>
      </c>
      <c r="K4466" s="150" t="str">
        <f>IF(Proc[[#This Row],[Author]]="Marcela Urrego",VLOOKUP(LEFT(Proc[[#This Row],[Requested]],1),Table3[#All],2,0),VLOOKUP(Proc[[#This Row],[Author]],Table4[],2,0))</f>
        <v>MGF</v>
      </c>
      <c r="L4466" s="150" t="s">
        <v>6435</v>
      </c>
      <c r="M4466" s="162">
        <v>45958</v>
      </c>
      <c r="N4466" s="162"/>
      <c r="O4466" s="162"/>
      <c r="P4466" s="163" t="str">
        <f ca="1">IF(Proc[[#This Row],[DaysAgeing]]&gt;5,"yep","on track")</f>
        <v>yep</v>
      </c>
      <c r="Q4466" s="3">
        <f ca="1">IF(Proc[[#This Row],[DateClosed]]="",ABS(NETWORKDAYS(Proc[[#This Row],[DateOpened]],TODAY()))-1,ABS(NETWORKDAYS(Proc[[#This Row],[DateOpened]],Proc[[#This Row],[DateClosed]]))-1)</f>
        <v>33</v>
      </c>
      <c r="R4466" s="163" t="s">
        <v>1459</v>
      </c>
      <c r="S4466" s="150"/>
    </row>
    <row r="4467" spans="1:19">
      <c r="A4467" s="149" t="s">
        <v>6628</v>
      </c>
      <c r="B4467" s="150" t="str">
        <f>IFERROR(VLOOKUP(Proc[[#This Row],[App]],Table2[],3,0),"open")</f>
        <v>ok</v>
      </c>
      <c r="C4467" s="149" t="s">
        <v>369</v>
      </c>
      <c r="D4467" t="s">
        <v>6616</v>
      </c>
      <c r="E4467" t="s">
        <v>6626</v>
      </c>
      <c r="F4467" s="150" t="s">
        <v>6626</v>
      </c>
      <c r="G4467" t="s">
        <v>400</v>
      </c>
      <c r="H4467" s="150" t="str">
        <f>IF(Proc[[#This Row],[type]]="LFF (MDG-F)",MID(Proc[[#This Row],[Obj]],13,10),"")</f>
        <v/>
      </c>
      <c r="J4467" s="150" t="b">
        <f>Proc[[#This Row],[Requested]]=Proc[[#This Row],[CurrentParent]]</f>
        <v>1</v>
      </c>
      <c r="K4467" s="150" t="str">
        <f>IF(Proc[[#This Row],[Author]]="Marcela Urrego",VLOOKUP(LEFT(Proc[[#This Row],[Requested]],1),Table3[#All],2,0),VLOOKUP(Proc[[#This Row],[Author]],Table4[],2,0))</f>
        <v>MGF</v>
      </c>
      <c r="L4467" s="150" t="s">
        <v>6435</v>
      </c>
      <c r="M4467" s="162">
        <v>45958</v>
      </c>
      <c r="N4467" s="162"/>
      <c r="O4467" s="162"/>
      <c r="P4467" s="163" t="str">
        <f ca="1">IF(Proc[[#This Row],[DaysAgeing]]&gt;5,"yep","on track")</f>
        <v>yep</v>
      </c>
      <c r="Q4467" s="3">
        <f ca="1">IF(Proc[[#This Row],[DateClosed]]="",ABS(NETWORKDAYS(Proc[[#This Row],[DateOpened]],TODAY()))-1,ABS(NETWORKDAYS(Proc[[#This Row],[DateOpened]],Proc[[#This Row],[DateClosed]]))-1)</f>
        <v>33</v>
      </c>
      <c r="R4467" s="163" t="s">
        <v>1459</v>
      </c>
      <c r="S4467" s="150"/>
    </row>
    <row r="4468" spans="1:19">
      <c r="A4468" s="149" t="s">
        <v>6628</v>
      </c>
      <c r="B4468" s="150" t="str">
        <f>IFERROR(VLOOKUP(Proc[[#This Row],[App]],Table2[],3,0),"open")</f>
        <v>ok</v>
      </c>
      <c r="C4468" s="149" t="s">
        <v>369</v>
      </c>
      <c r="D4468" t="s">
        <v>6444</v>
      </c>
      <c r="E4468" t="s">
        <v>5446</v>
      </c>
      <c r="F4468" s="150" t="s">
        <v>5446</v>
      </c>
      <c r="G4468" t="s">
        <v>400</v>
      </c>
      <c r="H4468" s="150" t="str">
        <f>IF(Proc[[#This Row],[type]]="LFF (MDG-F)",MID(Proc[[#This Row],[Obj]],13,10),"")</f>
        <v/>
      </c>
      <c r="J4468" s="150" t="b">
        <f>Proc[[#This Row],[Requested]]=Proc[[#This Row],[CurrentParent]]</f>
        <v>1</v>
      </c>
      <c r="K4468" s="150" t="str">
        <f>IF(Proc[[#This Row],[Author]]="Marcela Urrego",VLOOKUP(LEFT(Proc[[#This Row],[Requested]],1),Table3[#All],2,0),VLOOKUP(Proc[[#This Row],[Author]],Table4[],2,0))</f>
        <v>MGF</v>
      </c>
      <c r="L4468" s="150" t="s">
        <v>6435</v>
      </c>
      <c r="M4468" s="162">
        <v>45958</v>
      </c>
      <c r="N4468" s="162"/>
      <c r="O4468" s="162"/>
      <c r="P4468" s="163" t="str">
        <f ca="1">IF(Proc[[#This Row],[DaysAgeing]]&gt;5,"yep","on track")</f>
        <v>yep</v>
      </c>
      <c r="Q4468" s="3">
        <f ca="1">IF(Proc[[#This Row],[DateClosed]]="",ABS(NETWORKDAYS(Proc[[#This Row],[DateOpened]],TODAY()))-1,ABS(NETWORKDAYS(Proc[[#This Row],[DateOpened]],Proc[[#This Row],[DateClosed]]))-1)</f>
        <v>33</v>
      </c>
      <c r="R4468" s="163" t="s">
        <v>1459</v>
      </c>
      <c r="S4468" s="150"/>
    </row>
    <row r="4469" spans="1:19">
      <c r="A4469" s="149" t="s">
        <v>6628</v>
      </c>
      <c r="B4469" s="150" t="str">
        <f>IFERROR(VLOOKUP(Proc[[#This Row],[App]],Table2[],3,0),"open")</f>
        <v>ok</v>
      </c>
      <c r="C4469" s="149" t="s">
        <v>369</v>
      </c>
      <c r="D4469" t="s">
        <v>5417</v>
      </c>
      <c r="E4469" t="s">
        <v>6623</v>
      </c>
      <c r="F4469" s="150" t="s">
        <v>6623</v>
      </c>
      <c r="G4469" t="s">
        <v>406</v>
      </c>
      <c r="H4469" s="150" t="str">
        <f>IF(Proc[[#This Row],[type]]="LFF (MDG-F)",MID(Proc[[#This Row],[Obj]],13,10),"")</f>
        <v>2123C00103</v>
      </c>
      <c r="J4469" s="150" t="b">
        <f>Proc[[#This Row],[Requested]]=Proc[[#This Row],[CurrentParent]]</f>
        <v>1</v>
      </c>
      <c r="K4469" s="150" t="str">
        <f>IF(Proc[[#This Row],[Author]]="Marcela Urrego",VLOOKUP(LEFT(Proc[[#This Row],[Requested]],1),Table3[#All],2,0),VLOOKUP(Proc[[#This Row],[Author]],Table4[],2,0))</f>
        <v>MGF</v>
      </c>
      <c r="L4469" s="150" t="s">
        <v>6435</v>
      </c>
      <c r="M4469" s="162">
        <v>45958</v>
      </c>
      <c r="N4469" s="162"/>
      <c r="O4469" s="162"/>
      <c r="P4469" s="163" t="str">
        <f ca="1">IF(Proc[[#This Row],[DaysAgeing]]&gt;5,"yep","on track")</f>
        <v>yep</v>
      </c>
      <c r="Q4469" s="3">
        <f ca="1">IF(Proc[[#This Row],[DateClosed]]="",ABS(NETWORKDAYS(Proc[[#This Row],[DateOpened]],TODAY()))-1,ABS(NETWORKDAYS(Proc[[#This Row],[DateOpened]],Proc[[#This Row],[DateClosed]]))-1)</f>
        <v>33</v>
      </c>
      <c r="R4469" s="163" t="s">
        <v>1459</v>
      </c>
      <c r="S4469" s="150"/>
    </row>
    <row r="4470" spans="1:19">
      <c r="A4470" s="149" t="s">
        <v>6628</v>
      </c>
      <c r="B4470" s="150" t="str">
        <f>IFERROR(VLOOKUP(Proc[[#This Row],[App]],Table2[],3,0),"open")</f>
        <v>ok</v>
      </c>
      <c r="C4470" s="149" t="s">
        <v>369</v>
      </c>
      <c r="D4470" t="s">
        <v>5410</v>
      </c>
      <c r="E4470" t="s">
        <v>6623</v>
      </c>
      <c r="F4470" s="150" t="s">
        <v>6623</v>
      </c>
      <c r="G4470" t="s">
        <v>406</v>
      </c>
      <c r="H4470" s="150" t="str">
        <f>IF(Proc[[#This Row],[type]]="LFF (MDG-F)",MID(Proc[[#This Row],[Obj]],13,10),"")</f>
        <v>2123GM1110</v>
      </c>
      <c r="J4470" s="150" t="b">
        <f>Proc[[#This Row],[Requested]]=Proc[[#This Row],[CurrentParent]]</f>
        <v>1</v>
      </c>
      <c r="K4470" s="150" t="str">
        <f>IF(Proc[[#This Row],[Author]]="Marcela Urrego",VLOOKUP(LEFT(Proc[[#This Row],[Requested]],1),Table3[#All],2,0),VLOOKUP(Proc[[#This Row],[Author]],Table4[],2,0))</f>
        <v>MGF</v>
      </c>
      <c r="L4470" s="150" t="s">
        <v>6435</v>
      </c>
      <c r="M4470" s="162">
        <v>45958</v>
      </c>
      <c r="N4470" s="162"/>
      <c r="O4470" s="162"/>
      <c r="P4470" s="163" t="str">
        <f ca="1">IF(Proc[[#This Row],[DaysAgeing]]&gt;5,"yep","on track")</f>
        <v>yep</v>
      </c>
      <c r="Q4470" s="3">
        <f ca="1">IF(Proc[[#This Row],[DateClosed]]="",ABS(NETWORKDAYS(Proc[[#This Row],[DateOpened]],TODAY()))-1,ABS(NETWORKDAYS(Proc[[#This Row],[DateOpened]],Proc[[#This Row],[DateClosed]]))-1)</f>
        <v>33</v>
      </c>
      <c r="R4470" s="163" t="s">
        <v>1459</v>
      </c>
      <c r="S4470" s="150"/>
    </row>
    <row r="4471" spans="1:19">
      <c r="A4471" s="149" t="s">
        <v>6628</v>
      </c>
      <c r="B4471" s="150" t="str">
        <f>IFERROR(VLOOKUP(Proc[[#This Row],[App]],Table2[],3,0),"open")</f>
        <v>ok</v>
      </c>
      <c r="C4471" s="149" t="s">
        <v>369</v>
      </c>
      <c r="D4471" t="s">
        <v>5442</v>
      </c>
      <c r="E4471" t="s">
        <v>6624</v>
      </c>
      <c r="F4471" s="150" t="s">
        <v>6624</v>
      </c>
      <c r="G4471" s="149" t="s">
        <v>406</v>
      </c>
      <c r="H4471" s="150" t="str">
        <f>IF(Proc[[#This Row],[type]]="LFF (MDG-F)",MID(Proc[[#This Row],[Obj]],13,10),"")</f>
        <v>2123GMS050</v>
      </c>
      <c r="J4471" s="150" t="b">
        <f>Proc[[#This Row],[Requested]]=Proc[[#This Row],[CurrentParent]]</f>
        <v>1</v>
      </c>
      <c r="K4471" s="150" t="str">
        <f>IF(Proc[[#This Row],[Author]]="Marcela Urrego",VLOOKUP(LEFT(Proc[[#This Row],[Requested]],1),Table3[#All],2,0),VLOOKUP(Proc[[#This Row],[Author]],Table4[],2,0))</f>
        <v>MGF</v>
      </c>
      <c r="L4471" s="150" t="s">
        <v>6435</v>
      </c>
      <c r="M4471" s="162">
        <v>45958</v>
      </c>
      <c r="N4471" s="162"/>
      <c r="O4471" s="162"/>
      <c r="P4471" s="163" t="str">
        <f ca="1">IF(Proc[[#This Row],[DaysAgeing]]&gt;5,"yep","on track")</f>
        <v>yep</v>
      </c>
      <c r="Q4471" s="3">
        <f ca="1">IF(Proc[[#This Row],[DateClosed]]="",ABS(NETWORKDAYS(Proc[[#This Row],[DateOpened]],TODAY()))-1,ABS(NETWORKDAYS(Proc[[#This Row],[DateOpened]],Proc[[#This Row],[DateClosed]]))-1)</f>
        <v>33</v>
      </c>
      <c r="R4471" s="163" t="s">
        <v>1459</v>
      </c>
      <c r="S4471" s="150"/>
    </row>
    <row r="4472" spans="1:19">
      <c r="A4472" s="149" t="s">
        <v>6628</v>
      </c>
      <c r="B4472" s="150" t="str">
        <f>IFERROR(VLOOKUP(Proc[[#This Row],[App]],Table2[],3,0),"open")</f>
        <v>ok</v>
      </c>
      <c r="C4472" s="149" t="s">
        <v>369</v>
      </c>
      <c r="D4472" t="s">
        <v>5443</v>
      </c>
      <c r="E4472" t="s">
        <v>6624</v>
      </c>
      <c r="F4472" s="150" t="s">
        <v>6624</v>
      </c>
      <c r="G4472" s="149" t="s">
        <v>406</v>
      </c>
      <c r="H4472" s="150" t="str">
        <f>IF(Proc[[#This Row],[type]]="LFF (MDG-F)",MID(Proc[[#This Row],[Obj]],13,10),"")</f>
        <v>2123GMS080</v>
      </c>
      <c r="J4472" s="150" t="b">
        <f>Proc[[#This Row],[Requested]]=Proc[[#This Row],[CurrentParent]]</f>
        <v>1</v>
      </c>
      <c r="K4472" s="150" t="str">
        <f>IF(Proc[[#This Row],[Author]]="Marcela Urrego",VLOOKUP(LEFT(Proc[[#This Row],[Requested]],1),Table3[#All],2,0),VLOOKUP(Proc[[#This Row],[Author]],Table4[],2,0))</f>
        <v>MGF</v>
      </c>
      <c r="L4472" s="150" t="s">
        <v>6435</v>
      </c>
      <c r="M4472" s="162">
        <v>45958</v>
      </c>
      <c r="N4472" s="162"/>
      <c r="O4472" s="162"/>
      <c r="P4472" s="163" t="str">
        <f ca="1">IF(Proc[[#This Row],[DaysAgeing]]&gt;5,"yep","on track")</f>
        <v>yep</v>
      </c>
      <c r="Q4472" s="3">
        <f ca="1">IF(Proc[[#This Row],[DateClosed]]="",ABS(NETWORKDAYS(Proc[[#This Row],[DateOpened]],TODAY()))-1,ABS(NETWORKDAYS(Proc[[#This Row],[DateOpened]],Proc[[#This Row],[DateClosed]]))-1)</f>
        <v>33</v>
      </c>
      <c r="R4472" s="163" t="s">
        <v>1459</v>
      </c>
      <c r="S4472" s="150"/>
    </row>
    <row r="4473" spans="1:19">
      <c r="A4473" s="149" t="s">
        <v>6628</v>
      </c>
      <c r="B4473" s="150" t="str">
        <f>IFERROR(VLOOKUP(Proc[[#This Row],[App]],Table2[],3,0),"open")</f>
        <v>ok</v>
      </c>
      <c r="C4473" s="149" t="s">
        <v>369</v>
      </c>
      <c r="D4473" t="s">
        <v>5412</v>
      </c>
      <c r="E4473" t="s">
        <v>6623</v>
      </c>
      <c r="F4473" s="150" t="s">
        <v>6623</v>
      </c>
      <c r="G4473" s="149" t="s">
        <v>406</v>
      </c>
      <c r="H4473" s="150" t="str">
        <f>IF(Proc[[#This Row],[type]]="LFF (MDG-F)",MID(Proc[[#This Row],[Obj]],13,10),"")</f>
        <v>2123L50005</v>
      </c>
      <c r="J4473" s="150" t="b">
        <f>Proc[[#This Row],[Requested]]=Proc[[#This Row],[CurrentParent]]</f>
        <v>1</v>
      </c>
      <c r="K4473" s="150" t="str">
        <f>IF(Proc[[#This Row],[Author]]="Marcela Urrego",VLOOKUP(LEFT(Proc[[#This Row],[Requested]],1),Table3[#All],2,0),VLOOKUP(Proc[[#This Row],[Author]],Table4[],2,0))</f>
        <v>MGF</v>
      </c>
      <c r="L4473" s="150" t="s">
        <v>6435</v>
      </c>
      <c r="M4473" s="162">
        <v>45958</v>
      </c>
      <c r="N4473" s="162"/>
      <c r="O4473" s="162"/>
      <c r="P4473" s="163" t="str">
        <f ca="1">IF(Proc[[#This Row],[DaysAgeing]]&gt;5,"yep","on track")</f>
        <v>yep</v>
      </c>
      <c r="Q4473" s="3">
        <f ca="1">IF(Proc[[#This Row],[DateClosed]]="",ABS(NETWORKDAYS(Proc[[#This Row],[DateOpened]],TODAY()))-1,ABS(NETWORKDAYS(Proc[[#This Row],[DateOpened]],Proc[[#This Row],[DateClosed]]))-1)</f>
        <v>33</v>
      </c>
      <c r="R4473" s="163" t="s">
        <v>1459</v>
      </c>
      <c r="S4473" s="150"/>
    </row>
    <row r="4474" spans="1:19">
      <c r="A4474" s="149" t="s">
        <v>6628</v>
      </c>
      <c r="B4474" s="150" t="str">
        <f>IFERROR(VLOOKUP(Proc[[#This Row],[App]],Table2[],3,0),"open")</f>
        <v>ok</v>
      </c>
      <c r="C4474" s="149" t="s">
        <v>369</v>
      </c>
      <c r="D4474" t="s">
        <v>5409</v>
      </c>
      <c r="E4474" t="s">
        <v>6623</v>
      </c>
      <c r="F4474" s="150" t="s">
        <v>6623</v>
      </c>
      <c r="G4474" s="149" t="s">
        <v>406</v>
      </c>
      <c r="H4474" s="150" t="str">
        <f>IF(Proc[[#This Row],[type]]="LFF (MDG-F)",MID(Proc[[#This Row],[Obj]],13,10),"")</f>
        <v>2123OF0010</v>
      </c>
      <c r="J4474" s="150" t="b">
        <f>Proc[[#This Row],[Requested]]=Proc[[#This Row],[CurrentParent]]</f>
        <v>1</v>
      </c>
      <c r="K4474" s="150" t="str">
        <f>IF(Proc[[#This Row],[Author]]="Marcela Urrego",VLOOKUP(LEFT(Proc[[#This Row],[Requested]],1),Table3[#All],2,0),VLOOKUP(Proc[[#This Row],[Author]],Table4[],2,0))</f>
        <v>MGF</v>
      </c>
      <c r="L4474" s="150" t="s">
        <v>6435</v>
      </c>
      <c r="M4474" s="162">
        <v>45958</v>
      </c>
      <c r="N4474" s="162"/>
      <c r="O4474" s="162"/>
      <c r="P4474" s="163" t="str">
        <f ca="1">IF(Proc[[#This Row],[DaysAgeing]]&gt;5,"yep","on track")</f>
        <v>yep</v>
      </c>
      <c r="Q4474" s="3">
        <f ca="1">IF(Proc[[#This Row],[DateClosed]]="",ABS(NETWORKDAYS(Proc[[#This Row],[DateOpened]],TODAY()))-1,ABS(NETWORKDAYS(Proc[[#This Row],[DateOpened]],Proc[[#This Row],[DateClosed]]))-1)</f>
        <v>33</v>
      </c>
      <c r="R4474" s="163" t="s">
        <v>1459</v>
      </c>
      <c r="S4474" s="150"/>
    </row>
    <row r="4475" spans="1:19">
      <c r="A4475" s="149" t="s">
        <v>6628</v>
      </c>
      <c r="B4475" s="150" t="str">
        <f>IFERROR(VLOOKUP(Proc[[#This Row],[App]],Table2[],3,0),"open")</f>
        <v>ok</v>
      </c>
      <c r="C4475" s="149" t="s">
        <v>369</v>
      </c>
      <c r="D4475" t="s">
        <v>5416</v>
      </c>
      <c r="E4475" t="s">
        <v>6623</v>
      </c>
      <c r="F4475" s="150" t="s">
        <v>6623</v>
      </c>
      <c r="G4475" s="149" t="s">
        <v>406</v>
      </c>
      <c r="H4475" s="150" t="str">
        <f>IF(Proc[[#This Row],[type]]="LFF (MDG-F)",MID(Proc[[#This Row],[Obj]],13,10),"")</f>
        <v>2123TPSZ93</v>
      </c>
      <c r="J4475" s="150" t="b">
        <f>Proc[[#This Row],[Requested]]=Proc[[#This Row],[CurrentParent]]</f>
        <v>1</v>
      </c>
      <c r="K4475" s="150" t="str">
        <f>IF(Proc[[#This Row],[Author]]="Marcela Urrego",VLOOKUP(LEFT(Proc[[#This Row],[Requested]],1),Table3[#All],2,0),VLOOKUP(Proc[[#This Row],[Author]],Table4[],2,0))</f>
        <v>MGF</v>
      </c>
      <c r="L4475" s="150" t="s">
        <v>6435</v>
      </c>
      <c r="M4475" s="162">
        <v>45958</v>
      </c>
      <c r="N4475" s="162"/>
      <c r="O4475" s="162"/>
      <c r="P4475" s="163" t="str">
        <f ca="1">IF(Proc[[#This Row],[DaysAgeing]]&gt;5,"yep","on track")</f>
        <v>yep</v>
      </c>
      <c r="Q4475" s="3">
        <f ca="1">IF(Proc[[#This Row],[DateClosed]]="",ABS(NETWORKDAYS(Proc[[#This Row],[DateOpened]],TODAY()))-1,ABS(NETWORKDAYS(Proc[[#This Row],[DateOpened]],Proc[[#This Row],[DateClosed]]))-1)</f>
        <v>33</v>
      </c>
      <c r="R4475" s="163" t="s">
        <v>1459</v>
      </c>
      <c r="S4475" s="150"/>
    </row>
    <row r="4476" spans="1:19">
      <c r="A4476" s="149" t="s">
        <v>6628</v>
      </c>
      <c r="B4476" s="150" t="str">
        <f>IFERROR(VLOOKUP(Proc[[#This Row],[App]],Table2[],3,0),"open")</f>
        <v>ok</v>
      </c>
      <c r="C4476" s="149" t="s">
        <v>369</v>
      </c>
      <c r="D4476" t="s">
        <v>5400</v>
      </c>
      <c r="E4476" t="s">
        <v>6623</v>
      </c>
      <c r="F4476" s="150" t="s">
        <v>6623</v>
      </c>
      <c r="G4476" s="149" t="s">
        <v>406</v>
      </c>
      <c r="H4476" s="150" t="str">
        <f>IF(Proc[[#This Row],[type]]="LFF (MDG-F)",MID(Proc[[#This Row],[Obj]],13,10),"")</f>
        <v>2123TQJZ94</v>
      </c>
      <c r="J4476" s="150" t="b">
        <f>Proc[[#This Row],[Requested]]=Proc[[#This Row],[CurrentParent]]</f>
        <v>1</v>
      </c>
      <c r="K4476" s="150" t="str">
        <f>IF(Proc[[#This Row],[Author]]="Marcela Urrego",VLOOKUP(LEFT(Proc[[#This Row],[Requested]],1),Table3[#All],2,0),VLOOKUP(Proc[[#This Row],[Author]],Table4[],2,0))</f>
        <v>MGF</v>
      </c>
      <c r="L4476" s="150" t="s">
        <v>6435</v>
      </c>
      <c r="M4476" s="162">
        <v>45958</v>
      </c>
      <c r="N4476" s="162"/>
      <c r="O4476" s="162"/>
      <c r="P4476" s="163" t="str">
        <f ca="1">IF(Proc[[#This Row],[DaysAgeing]]&gt;5,"yep","on track")</f>
        <v>yep</v>
      </c>
      <c r="Q4476" s="3">
        <f ca="1">IF(Proc[[#This Row],[DateClosed]]="",ABS(NETWORKDAYS(Proc[[#This Row],[DateOpened]],TODAY()))-1,ABS(NETWORKDAYS(Proc[[#This Row],[DateOpened]],Proc[[#This Row],[DateClosed]]))-1)</f>
        <v>33</v>
      </c>
      <c r="R4476" s="163" t="s">
        <v>1459</v>
      </c>
      <c r="S4476" s="150"/>
    </row>
    <row r="4477" spans="1:19">
      <c r="A4477" s="149" t="s">
        <v>6628</v>
      </c>
      <c r="B4477" s="150" t="str">
        <f>IFERROR(VLOOKUP(Proc[[#This Row],[App]],Table2[],3,0),"open")</f>
        <v>ok</v>
      </c>
      <c r="C4477" s="149" t="s">
        <v>369</v>
      </c>
      <c r="D4477" t="s">
        <v>6617</v>
      </c>
      <c r="E4477" t="s">
        <v>6626</v>
      </c>
      <c r="F4477" s="150" t="s">
        <v>6626</v>
      </c>
      <c r="G4477" s="149" t="s">
        <v>406</v>
      </c>
      <c r="H4477" s="150" t="str">
        <f>IF(Proc[[#This Row],[type]]="LFF (MDG-F)",MID(Proc[[#This Row],[Obj]],13,10),"")</f>
        <v>2123GIT134</v>
      </c>
      <c r="J4477" s="150" t="b">
        <f>Proc[[#This Row],[Requested]]=Proc[[#This Row],[CurrentParent]]</f>
        <v>1</v>
      </c>
      <c r="K4477" s="150" t="str">
        <f>IF(Proc[[#This Row],[Author]]="Marcela Urrego",VLOOKUP(LEFT(Proc[[#This Row],[Requested]],1),Table3[#All],2,0),VLOOKUP(Proc[[#This Row],[Author]],Table4[],2,0))</f>
        <v>MGF</v>
      </c>
      <c r="L4477" s="150" t="s">
        <v>6435</v>
      </c>
      <c r="M4477" s="162">
        <v>45958</v>
      </c>
      <c r="N4477" s="162"/>
      <c r="O4477" s="162"/>
      <c r="P4477" s="163" t="str">
        <f ca="1">IF(Proc[[#This Row],[DaysAgeing]]&gt;5,"yep","on track")</f>
        <v>yep</v>
      </c>
      <c r="Q4477" s="3">
        <f ca="1">IF(Proc[[#This Row],[DateClosed]]="",ABS(NETWORKDAYS(Proc[[#This Row],[DateOpened]],TODAY()))-1,ABS(NETWORKDAYS(Proc[[#This Row],[DateOpened]],Proc[[#This Row],[DateClosed]]))-1)</f>
        <v>33</v>
      </c>
      <c r="R4477" s="163" t="s">
        <v>1459</v>
      </c>
      <c r="S4477" s="150"/>
    </row>
    <row r="4478" spans="1:19">
      <c r="A4478" s="149" t="s">
        <v>6628</v>
      </c>
      <c r="B4478" s="150" t="str">
        <f>IFERROR(VLOOKUP(Proc[[#This Row],[App]],Table2[],3,0),"open")</f>
        <v>ok</v>
      </c>
      <c r="C4478" s="149" t="s">
        <v>369</v>
      </c>
      <c r="D4478" t="s">
        <v>5414</v>
      </c>
      <c r="E4478" t="s">
        <v>6623</v>
      </c>
      <c r="F4478" s="150" t="s">
        <v>6623</v>
      </c>
      <c r="G4478" s="149" t="s">
        <v>406</v>
      </c>
      <c r="H4478" s="150" t="str">
        <f>IF(Proc[[#This Row],[type]]="LFF (MDG-F)",MID(Proc[[#This Row],[Obj]],13,10),"")</f>
        <v>2123YIT004</v>
      </c>
      <c r="J4478" s="150" t="b">
        <f>Proc[[#This Row],[Requested]]=Proc[[#This Row],[CurrentParent]]</f>
        <v>1</v>
      </c>
      <c r="K4478" s="150" t="str">
        <f>IF(Proc[[#This Row],[Author]]="Marcela Urrego",VLOOKUP(LEFT(Proc[[#This Row],[Requested]],1),Table3[#All],2,0),VLOOKUP(Proc[[#This Row],[Author]],Table4[],2,0))</f>
        <v>MGF</v>
      </c>
      <c r="L4478" s="150" t="s">
        <v>6435</v>
      </c>
      <c r="M4478" s="162">
        <v>45958</v>
      </c>
      <c r="N4478" s="162"/>
      <c r="O4478" s="162"/>
      <c r="P4478" s="163" t="str">
        <f ca="1">IF(Proc[[#This Row],[DaysAgeing]]&gt;5,"yep","on track")</f>
        <v>yep</v>
      </c>
      <c r="Q4478" s="3">
        <f ca="1">IF(Proc[[#This Row],[DateClosed]]="",ABS(NETWORKDAYS(Proc[[#This Row],[DateOpened]],TODAY()))-1,ABS(NETWORKDAYS(Proc[[#This Row],[DateOpened]],Proc[[#This Row],[DateClosed]]))-1)</f>
        <v>33</v>
      </c>
      <c r="R4478" s="163" t="s">
        <v>1459</v>
      </c>
      <c r="S4478" s="150"/>
    </row>
    <row r="4479" spans="1:19">
      <c r="A4479" s="149" t="s">
        <v>6628</v>
      </c>
      <c r="B4479" s="150" t="str">
        <f>IFERROR(VLOOKUP(Proc[[#This Row],[App]],Table2[],3,0),"open")</f>
        <v>ok</v>
      </c>
      <c r="C4479" s="149" t="s">
        <v>369</v>
      </c>
      <c r="D4479" t="s">
        <v>5413</v>
      </c>
      <c r="E4479" t="s">
        <v>6623</v>
      </c>
      <c r="F4479" s="150" t="s">
        <v>6623</v>
      </c>
      <c r="G4479" s="149" t="s">
        <v>406</v>
      </c>
      <c r="H4479" s="150" t="str">
        <f>IF(Proc[[#This Row],[type]]="LFF (MDG-F)",MID(Proc[[#This Row],[Obj]],13,10),"")</f>
        <v>2123YIT005</v>
      </c>
      <c r="J4479" s="150" t="b">
        <f>Proc[[#This Row],[Requested]]=Proc[[#This Row],[CurrentParent]]</f>
        <v>1</v>
      </c>
      <c r="K4479" s="150" t="str">
        <f>IF(Proc[[#This Row],[Author]]="Marcela Urrego",VLOOKUP(LEFT(Proc[[#This Row],[Requested]],1),Table3[#All],2,0),VLOOKUP(Proc[[#This Row],[Author]],Table4[],2,0))</f>
        <v>MGF</v>
      </c>
      <c r="L4479" s="150" t="s">
        <v>6435</v>
      </c>
      <c r="M4479" s="162">
        <v>45958</v>
      </c>
      <c r="N4479" s="162"/>
      <c r="O4479" s="162"/>
      <c r="P4479" s="163" t="str">
        <f ca="1">IF(Proc[[#This Row],[DaysAgeing]]&gt;5,"yep","on track")</f>
        <v>yep</v>
      </c>
      <c r="Q4479" s="3">
        <f ca="1">IF(Proc[[#This Row],[DateClosed]]="",ABS(NETWORKDAYS(Proc[[#This Row],[DateOpened]],TODAY()))-1,ABS(NETWORKDAYS(Proc[[#This Row],[DateOpened]],Proc[[#This Row],[DateClosed]]))-1)</f>
        <v>33</v>
      </c>
      <c r="R4479" s="163" t="s">
        <v>1459</v>
      </c>
      <c r="S4479" s="150"/>
    </row>
    <row r="4480" spans="1:19">
      <c r="A4480" s="149" t="s">
        <v>6628</v>
      </c>
      <c r="B4480" s="150" t="str">
        <f>IFERROR(VLOOKUP(Proc[[#This Row],[App]],Table2[],3,0),"open")</f>
        <v>ok</v>
      </c>
      <c r="C4480" s="149" t="s">
        <v>369</v>
      </c>
      <c r="D4480" t="s">
        <v>6618</v>
      </c>
      <c r="E4480" t="s">
        <v>6627</v>
      </c>
      <c r="F4480" s="150" t="s">
        <v>6627</v>
      </c>
      <c r="G4480" s="149" t="s">
        <v>406</v>
      </c>
      <c r="H4480" s="150" t="str">
        <f>IF(Proc[[#This Row],[type]]="LFF (MDG-F)",MID(Proc[[#This Row],[Obj]],13,10),"")</f>
        <v>DE10YIT016</v>
      </c>
      <c r="J4480" s="150" t="b">
        <f>Proc[[#This Row],[Requested]]=Proc[[#This Row],[CurrentParent]]</f>
        <v>1</v>
      </c>
      <c r="K4480" s="150" t="str">
        <f>IF(Proc[[#This Row],[Author]]="Marcela Urrego",VLOOKUP(LEFT(Proc[[#This Row],[Requested]],1),Table3[#All],2,0),VLOOKUP(Proc[[#This Row],[Author]],Table4[],2,0))</f>
        <v>MGF</v>
      </c>
      <c r="L4480" s="150" t="s">
        <v>6435</v>
      </c>
      <c r="M4480" s="162">
        <v>45958</v>
      </c>
      <c r="N4480" s="162"/>
      <c r="O4480" s="162"/>
      <c r="P4480" s="163" t="str">
        <f ca="1">IF(Proc[[#This Row],[DaysAgeing]]&gt;5,"yep","on track")</f>
        <v>yep</v>
      </c>
      <c r="Q4480" s="3">
        <f ca="1">IF(Proc[[#This Row],[DateClosed]]="",ABS(NETWORKDAYS(Proc[[#This Row],[DateOpened]],TODAY()))-1,ABS(NETWORKDAYS(Proc[[#This Row],[DateOpened]],Proc[[#This Row],[DateClosed]]))-1)</f>
        <v>33</v>
      </c>
      <c r="R4480" s="163" t="s">
        <v>1459</v>
      </c>
      <c r="S4480" s="150"/>
    </row>
    <row r="4481" spans="1:19">
      <c r="A4481" s="149" t="s">
        <v>6628</v>
      </c>
      <c r="B4481" s="150" t="str">
        <f>IFERROR(VLOOKUP(Proc[[#This Row],[App]],Table2[],3,0),"open")</f>
        <v>ok</v>
      </c>
      <c r="C4481" s="149" t="s">
        <v>369</v>
      </c>
      <c r="D4481" t="s">
        <v>6619</v>
      </c>
      <c r="E4481" t="s">
        <v>6627</v>
      </c>
      <c r="F4481" s="150" t="s">
        <v>6627</v>
      </c>
      <c r="G4481" s="149" t="s">
        <v>406</v>
      </c>
      <c r="H4481" s="150" t="str">
        <f>IF(Proc[[#This Row],[type]]="LFF (MDG-F)",MID(Proc[[#This Row],[Obj]],13,10),"")</f>
        <v>2123YIT008</v>
      </c>
      <c r="J4481" s="150" t="b">
        <f>Proc[[#This Row],[Requested]]=Proc[[#This Row],[CurrentParent]]</f>
        <v>1</v>
      </c>
      <c r="K4481" s="150" t="str">
        <f>IF(Proc[[#This Row],[Author]]="Marcela Urrego",VLOOKUP(LEFT(Proc[[#This Row],[Requested]],1),Table3[#All],2,0),VLOOKUP(Proc[[#This Row],[Author]],Table4[],2,0))</f>
        <v>MGF</v>
      </c>
      <c r="L4481" s="150" t="s">
        <v>6435</v>
      </c>
      <c r="M4481" s="162">
        <v>45958</v>
      </c>
      <c r="N4481" s="162"/>
      <c r="O4481" s="162"/>
      <c r="P4481" s="163" t="str">
        <f ca="1">IF(Proc[[#This Row],[DaysAgeing]]&gt;5,"yep","on track")</f>
        <v>yep</v>
      </c>
      <c r="Q4481" s="3">
        <f ca="1">IF(Proc[[#This Row],[DateClosed]]="",ABS(NETWORKDAYS(Proc[[#This Row],[DateOpened]],TODAY()))-1,ABS(NETWORKDAYS(Proc[[#This Row],[DateOpened]],Proc[[#This Row],[DateClosed]]))-1)</f>
        <v>33</v>
      </c>
      <c r="R4481" s="163" t="s">
        <v>1459</v>
      </c>
      <c r="S4481" s="150"/>
    </row>
    <row r="4482" spans="1:19">
      <c r="A4482" s="149" t="s">
        <v>6628</v>
      </c>
      <c r="B4482" s="150" t="str">
        <f>IFERROR(VLOOKUP(Proc[[#This Row],[App]],Table2[],3,0),"open")</f>
        <v>ok</v>
      </c>
      <c r="C4482" s="149" t="s">
        <v>369</v>
      </c>
      <c r="D4482" t="s">
        <v>6620</v>
      </c>
      <c r="E4482" t="s">
        <v>6627</v>
      </c>
      <c r="F4482" s="150" t="s">
        <v>6627</v>
      </c>
      <c r="G4482" t="s">
        <v>400</v>
      </c>
      <c r="H4482" s="150" t="str">
        <f>IF(Proc[[#This Row],[type]]="LFF (MDG-F)",MID(Proc[[#This Row],[Obj]],13,10),"")</f>
        <v/>
      </c>
      <c r="J4482" s="150" t="b">
        <f>Proc[[#This Row],[Requested]]=Proc[[#This Row],[CurrentParent]]</f>
        <v>1</v>
      </c>
      <c r="K4482" s="150" t="str">
        <f>IF(Proc[[#This Row],[Author]]="Marcela Urrego",VLOOKUP(LEFT(Proc[[#This Row],[Requested]],1),Table3[#All],2,0),VLOOKUP(Proc[[#This Row],[Author]],Table4[],2,0))</f>
        <v>MGF</v>
      </c>
      <c r="L4482" s="150" t="s">
        <v>6435</v>
      </c>
      <c r="M4482" s="162">
        <v>45958</v>
      </c>
      <c r="N4482" s="162"/>
      <c r="O4482" s="162"/>
      <c r="P4482" s="163" t="str">
        <f ca="1">IF(Proc[[#This Row],[DaysAgeing]]&gt;5,"yep","on track")</f>
        <v>yep</v>
      </c>
      <c r="Q4482" s="3">
        <f ca="1">IF(Proc[[#This Row],[DateClosed]]="",ABS(NETWORKDAYS(Proc[[#This Row],[DateOpened]],TODAY()))-1,ABS(NETWORKDAYS(Proc[[#This Row],[DateOpened]],Proc[[#This Row],[DateClosed]]))-1)</f>
        <v>33</v>
      </c>
      <c r="R4482" s="163" t="s">
        <v>1459</v>
      </c>
      <c r="S4482" s="150"/>
    </row>
    <row r="4483" spans="1:19">
      <c r="A4483" s="149" t="s">
        <v>6628</v>
      </c>
      <c r="B4483" s="150" t="str">
        <f>IFERROR(VLOOKUP(Proc[[#This Row],[App]],Table2[],3,0),"open")</f>
        <v>ok</v>
      </c>
      <c r="C4483" s="149" t="s">
        <v>369</v>
      </c>
      <c r="D4483" t="s">
        <v>6621</v>
      </c>
      <c r="E4483" t="s">
        <v>6625</v>
      </c>
      <c r="F4483" s="150" t="s">
        <v>6625</v>
      </c>
      <c r="G4483" t="s">
        <v>406</v>
      </c>
      <c r="H4483" s="150" t="str">
        <f>IF(Proc[[#This Row],[type]]="LFF (MDG-F)",MID(Proc[[#This Row],[Obj]],13,10),"")</f>
        <v>2123YIT009</v>
      </c>
      <c r="J4483" s="150" t="b">
        <f>Proc[[#This Row],[Requested]]=Proc[[#This Row],[CurrentParent]]</f>
        <v>1</v>
      </c>
      <c r="K4483" s="150" t="str">
        <f>IF(Proc[[#This Row],[Author]]="Marcela Urrego",VLOOKUP(LEFT(Proc[[#This Row],[Requested]],1),Table3[#All],2,0),VLOOKUP(Proc[[#This Row],[Author]],Table4[],2,0))</f>
        <v>MGF</v>
      </c>
      <c r="L4483" s="150" t="s">
        <v>6435</v>
      </c>
      <c r="M4483" s="162">
        <v>45958</v>
      </c>
      <c r="N4483" s="162"/>
      <c r="O4483" s="162"/>
      <c r="P4483" s="163" t="str">
        <f ca="1">IF(Proc[[#This Row],[DaysAgeing]]&gt;5,"yep","on track")</f>
        <v>yep</v>
      </c>
      <c r="Q4483" s="3">
        <f ca="1">IF(Proc[[#This Row],[DateClosed]]="",ABS(NETWORKDAYS(Proc[[#This Row],[DateOpened]],TODAY()))-1,ABS(NETWORKDAYS(Proc[[#This Row],[DateOpened]],Proc[[#This Row],[DateClosed]]))-1)</f>
        <v>33</v>
      </c>
      <c r="R4483" s="163" t="s">
        <v>1459</v>
      </c>
      <c r="S4483" s="150"/>
    </row>
    <row r="4484" spans="1:19">
      <c r="A4484" s="149" t="s">
        <v>6628</v>
      </c>
      <c r="B4484" s="150" t="str">
        <f>IFERROR(VLOOKUP(Proc[[#This Row],[App]],Table2[],3,0),"open")</f>
        <v>ok</v>
      </c>
      <c r="C4484" s="149" t="s">
        <v>369</v>
      </c>
      <c r="D4484" t="s">
        <v>6622</v>
      </c>
      <c r="E4484" t="s">
        <v>6625</v>
      </c>
      <c r="F4484" s="150" t="s">
        <v>6625</v>
      </c>
      <c r="G4484" t="s">
        <v>400</v>
      </c>
      <c r="H4484" s="150" t="str">
        <f>IF(Proc[[#This Row],[type]]="LFF (MDG-F)",MID(Proc[[#This Row],[Obj]],13,10),"")</f>
        <v/>
      </c>
      <c r="J4484" s="150" t="b">
        <f>Proc[[#This Row],[Requested]]=Proc[[#This Row],[CurrentParent]]</f>
        <v>1</v>
      </c>
      <c r="K4484" s="150" t="str">
        <f>IF(Proc[[#This Row],[Author]]="Marcela Urrego",VLOOKUP(LEFT(Proc[[#This Row],[Requested]],1),Table3[#All],2,0),VLOOKUP(Proc[[#This Row],[Author]],Table4[],2,0))</f>
        <v>MGF</v>
      </c>
      <c r="L4484" s="150" t="s">
        <v>6435</v>
      </c>
      <c r="M4484" s="162">
        <v>45958</v>
      </c>
      <c r="N4484" s="162"/>
      <c r="O4484" s="162"/>
      <c r="P4484" s="163" t="str">
        <f ca="1">IF(Proc[[#This Row],[DaysAgeing]]&gt;5,"yep","on track")</f>
        <v>yep</v>
      </c>
      <c r="Q4484" s="3">
        <f ca="1">IF(Proc[[#This Row],[DateClosed]]="",ABS(NETWORKDAYS(Proc[[#This Row],[DateOpened]],TODAY()))-1,ABS(NETWORKDAYS(Proc[[#This Row],[DateOpened]],Proc[[#This Row],[DateClosed]]))-1)</f>
        <v>33</v>
      </c>
      <c r="R4484" s="163" t="s">
        <v>1459</v>
      </c>
      <c r="S4484" s="150"/>
    </row>
    <row r="4485" spans="1:19">
      <c r="A4485" t="s">
        <v>6629</v>
      </c>
      <c r="B4485" s="150" t="str">
        <f>IFERROR(VLOOKUP(Proc[[#This Row],[App]],Table2[],3,0),"open")</f>
        <v>ok</v>
      </c>
      <c r="C4485" s="149" t="s">
        <v>369</v>
      </c>
      <c r="D4485" t="s">
        <v>6630</v>
      </c>
      <c r="E4485" t="s">
        <v>6605</v>
      </c>
      <c r="F4485" s="150" t="s">
        <v>6605</v>
      </c>
      <c r="G4485" s="149" t="s">
        <v>400</v>
      </c>
      <c r="H4485" s="150" t="str">
        <f>IF(Proc[[#This Row],[type]]="LFF (MDG-F)",MID(Proc[[#This Row],[Obj]],13,10),"")</f>
        <v/>
      </c>
      <c r="J4485" s="150" t="b">
        <f>Proc[[#This Row],[Requested]]=Proc[[#This Row],[CurrentParent]]</f>
        <v>1</v>
      </c>
      <c r="K4485" s="150" t="str">
        <f>IF(Proc[[#This Row],[Author]]="Marcela Urrego",VLOOKUP(LEFT(Proc[[#This Row],[Requested]],1),Table3[#All],2,0),VLOOKUP(Proc[[#This Row],[Author]],Table4[],2,0))</f>
        <v>LS</v>
      </c>
      <c r="L4485" s="150" t="s">
        <v>6435</v>
      </c>
      <c r="M4485" s="162">
        <v>45958</v>
      </c>
      <c r="N4485" s="162"/>
      <c r="O4485" s="162"/>
      <c r="P4485" s="163" t="str">
        <f ca="1">IF(Proc[[#This Row],[DaysAgeing]]&gt;5,"yep","on track")</f>
        <v>yep</v>
      </c>
      <c r="Q4485" s="3">
        <f ca="1">IF(Proc[[#This Row],[DateClosed]]="",ABS(NETWORKDAYS(Proc[[#This Row],[DateOpened]],TODAY()))-1,ABS(NETWORKDAYS(Proc[[#This Row],[DateOpened]],Proc[[#This Row],[DateClosed]]))-1)</f>
        <v>33</v>
      </c>
      <c r="R4485" s="163" t="s">
        <v>489</v>
      </c>
      <c r="S4485" s="150"/>
    </row>
    <row r="4486" spans="1:19">
      <c r="A4486" t="s">
        <v>6629</v>
      </c>
      <c r="B4486" s="150" t="str">
        <f>IFERROR(VLOOKUP(Proc[[#This Row],[App]],Table2[],3,0),"open")</f>
        <v>ok</v>
      </c>
      <c r="C4486" s="149" t="s">
        <v>369</v>
      </c>
      <c r="D4486" t="s">
        <v>6631</v>
      </c>
      <c r="E4486" t="s">
        <v>6605</v>
      </c>
      <c r="F4486" s="150" t="s">
        <v>6605</v>
      </c>
      <c r="G4486" s="149" t="s">
        <v>400</v>
      </c>
      <c r="H4486" s="150" t="str">
        <f>IF(Proc[[#This Row],[type]]="LFF (MDG-F)",MID(Proc[[#This Row],[Obj]],13,10),"")</f>
        <v/>
      </c>
      <c r="J4486" s="150" t="b">
        <f>Proc[[#This Row],[Requested]]=Proc[[#This Row],[CurrentParent]]</f>
        <v>1</v>
      </c>
      <c r="K4486" s="150" t="str">
        <f>IF(Proc[[#This Row],[Author]]="Marcela Urrego",VLOOKUP(LEFT(Proc[[#This Row],[Requested]],1),Table3[#All],2,0),VLOOKUP(Proc[[#This Row],[Author]],Table4[],2,0))</f>
        <v>LS</v>
      </c>
      <c r="L4486" s="150" t="s">
        <v>6435</v>
      </c>
      <c r="M4486" s="162">
        <v>45958</v>
      </c>
      <c r="N4486" s="162"/>
      <c r="O4486" s="162"/>
      <c r="P4486" s="163" t="str">
        <f ca="1">IF(Proc[[#This Row],[DaysAgeing]]&gt;5,"yep","on track")</f>
        <v>yep</v>
      </c>
      <c r="Q4486" s="3">
        <f ca="1">IF(Proc[[#This Row],[DateClosed]]="",ABS(NETWORKDAYS(Proc[[#This Row],[DateOpened]],TODAY()))-1,ABS(NETWORKDAYS(Proc[[#This Row],[DateOpened]],Proc[[#This Row],[DateClosed]]))-1)</f>
        <v>33</v>
      </c>
      <c r="R4486" s="163" t="s">
        <v>489</v>
      </c>
      <c r="S4486" s="150"/>
    </row>
    <row r="4487" spans="1:19">
      <c r="A4487" s="149" t="s">
        <v>6629</v>
      </c>
      <c r="B4487" s="150" t="str">
        <f>IFERROR(VLOOKUP(Proc[[#This Row],[App]],Table2[],3,0),"open")</f>
        <v>ok</v>
      </c>
      <c r="C4487" s="149" t="s">
        <v>369</v>
      </c>
      <c r="D4487" t="s">
        <v>6632</v>
      </c>
      <c r="E4487" t="s">
        <v>6605</v>
      </c>
      <c r="F4487" s="150" t="s">
        <v>6605</v>
      </c>
      <c r="G4487" s="149" t="s">
        <v>400</v>
      </c>
      <c r="H4487" s="150" t="str">
        <f>IF(Proc[[#This Row],[type]]="LFF (MDG-F)",MID(Proc[[#This Row],[Obj]],13,10),"")</f>
        <v/>
      </c>
      <c r="J4487" s="150" t="b">
        <f>Proc[[#This Row],[Requested]]=Proc[[#This Row],[CurrentParent]]</f>
        <v>1</v>
      </c>
      <c r="K4487" s="150" t="str">
        <f>IF(Proc[[#This Row],[Author]]="Marcela Urrego",VLOOKUP(LEFT(Proc[[#This Row],[Requested]],1),Table3[#All],2,0),VLOOKUP(Proc[[#This Row],[Author]],Table4[],2,0))</f>
        <v>LS</v>
      </c>
      <c r="L4487" s="150" t="s">
        <v>6435</v>
      </c>
      <c r="M4487" s="162">
        <v>45958</v>
      </c>
      <c r="N4487" s="162"/>
      <c r="O4487" s="162"/>
      <c r="P4487" s="163" t="str">
        <f ca="1">IF(Proc[[#This Row],[DaysAgeing]]&gt;5,"yep","on track")</f>
        <v>yep</v>
      </c>
      <c r="Q4487" s="3">
        <f ca="1">IF(Proc[[#This Row],[DateClosed]]="",ABS(NETWORKDAYS(Proc[[#This Row],[DateOpened]],TODAY()))-1,ABS(NETWORKDAYS(Proc[[#This Row],[DateOpened]],Proc[[#This Row],[DateClosed]]))-1)</f>
        <v>33</v>
      </c>
      <c r="R4487" s="163" t="s">
        <v>489</v>
      </c>
      <c r="S4487" s="150"/>
    </row>
    <row r="4488" spans="1:19">
      <c r="A4488" s="149" t="s">
        <v>6629</v>
      </c>
      <c r="B4488" s="150" t="str">
        <f>IFERROR(VLOOKUP(Proc[[#This Row],[App]],Table2[],3,0),"open")</f>
        <v>ok</v>
      </c>
      <c r="C4488" s="149" t="s">
        <v>369</v>
      </c>
      <c r="D4488" t="s">
        <v>6633</v>
      </c>
      <c r="E4488" t="s">
        <v>2205</v>
      </c>
      <c r="F4488" s="150" t="s">
        <v>2205</v>
      </c>
      <c r="G4488" s="149" t="s">
        <v>400</v>
      </c>
      <c r="H4488" s="150" t="str">
        <f>IF(Proc[[#This Row],[type]]="LFF (MDG-F)",MID(Proc[[#This Row],[Obj]],13,10),"")</f>
        <v/>
      </c>
      <c r="J4488" s="150" t="b">
        <f>Proc[[#This Row],[Requested]]=Proc[[#This Row],[CurrentParent]]</f>
        <v>1</v>
      </c>
      <c r="K4488" s="150" t="str">
        <f>IF(Proc[[#This Row],[Author]]="Marcela Urrego",VLOOKUP(LEFT(Proc[[#This Row],[Requested]],1),Table3[#All],2,0),VLOOKUP(Proc[[#This Row],[Author]],Table4[],2,0))</f>
        <v>LS</v>
      </c>
      <c r="L4488" s="150" t="s">
        <v>6435</v>
      </c>
      <c r="M4488" s="162">
        <v>45958</v>
      </c>
      <c r="N4488" s="162"/>
      <c r="O4488" s="162"/>
      <c r="P4488" s="163" t="str">
        <f ca="1">IF(Proc[[#This Row],[DaysAgeing]]&gt;5,"yep","on track")</f>
        <v>yep</v>
      </c>
      <c r="Q4488" s="3">
        <f ca="1">IF(Proc[[#This Row],[DateClosed]]="",ABS(NETWORKDAYS(Proc[[#This Row],[DateOpened]],TODAY()))-1,ABS(NETWORKDAYS(Proc[[#This Row],[DateOpened]],Proc[[#This Row],[DateClosed]]))-1)</f>
        <v>33</v>
      </c>
      <c r="R4488" s="163" t="s">
        <v>489</v>
      </c>
      <c r="S4488" s="150"/>
    </row>
    <row r="4489" spans="1:19">
      <c r="A4489" t="s">
        <v>6636</v>
      </c>
      <c r="B4489" s="150" t="str">
        <f>IFERROR(VLOOKUP(Proc[[#This Row],[App]],Table2[],3,0),"open")</f>
        <v>ok</v>
      </c>
      <c r="C4489" t="s">
        <v>369</v>
      </c>
      <c r="D4489" t="s">
        <v>6637</v>
      </c>
      <c r="E4489" t="s">
        <v>447</v>
      </c>
      <c r="F4489" s="150" t="s">
        <v>447</v>
      </c>
      <c r="G4489" s="149" t="s">
        <v>400</v>
      </c>
      <c r="H4489" s="150" t="str">
        <f>IF(Proc[[#This Row],[type]]="LFF (MDG-F)",MID(Proc[[#This Row],[Obj]],13,10),"")</f>
        <v/>
      </c>
      <c r="J4489" s="150" t="b">
        <f>Proc[[#This Row],[Requested]]=Proc[[#This Row],[CurrentParent]]</f>
        <v>1</v>
      </c>
      <c r="K4489" s="150" t="str">
        <f>IF(Proc[[#This Row],[Author]]="Marcela Urrego",VLOOKUP(LEFT(Proc[[#This Row],[Requested]],1),Table3[#All],2,0),VLOOKUP(Proc[[#This Row],[Author]],Table4[],2,0))</f>
        <v>LS</v>
      </c>
      <c r="L4489" s="150" t="s">
        <v>6435</v>
      </c>
      <c r="M4489" s="163">
        <v>45959</v>
      </c>
      <c r="N4489" s="164"/>
      <c r="O4489" s="164"/>
      <c r="P4489" s="163" t="str">
        <f ca="1">IF(Proc[[#This Row],[DaysAgeing]]&gt;5,"yep","on track")</f>
        <v>yep</v>
      </c>
      <c r="Q4489" s="3">
        <f ca="1">IF(Proc[[#This Row],[DateClosed]]="",ABS(NETWORKDAYS(Proc[[#This Row],[DateOpened]],TODAY()))-1,ABS(NETWORKDAYS(Proc[[#This Row],[DateOpened]],Proc[[#This Row],[DateClosed]]))-1)</f>
        <v>32</v>
      </c>
      <c r="R4489" s="163" t="s">
        <v>489</v>
      </c>
      <c r="S4489" s="150"/>
    </row>
    <row r="4490" spans="1:19">
      <c r="A4490" t="s">
        <v>6639</v>
      </c>
      <c r="B4490" s="150" t="str">
        <f>IFERROR(VLOOKUP(Proc[[#This Row],[App]],Table2[],3,0),"open")</f>
        <v>open</v>
      </c>
      <c r="C4490" s="149" t="s">
        <v>692</v>
      </c>
      <c r="D4490" t="s">
        <v>6742</v>
      </c>
      <c r="E4490" t="s">
        <v>6640</v>
      </c>
      <c r="F4490" s="150"/>
      <c r="G4490" t="s">
        <v>400</v>
      </c>
      <c r="H4490" s="150" t="str">
        <f>IF(Proc[[#This Row],[type]]="LFF (MDG-F)",MID(Proc[[#This Row],[Obj]],13,10),"")</f>
        <v/>
      </c>
      <c r="J4490" s="150" t="b">
        <f>Proc[[#This Row],[Requested]]=Proc[[#This Row],[CurrentParent]]</f>
        <v>0</v>
      </c>
      <c r="K4490" s="150" t="str">
        <f>IF(Proc[[#This Row],[Author]]="Marcela Urrego",VLOOKUP(LEFT(Proc[[#This Row],[Requested]],1),Table3[#All],2,0),VLOOKUP(Proc[[#This Row],[Author]],Table4[],2,0))</f>
        <v>HC</v>
      </c>
      <c r="L4490" s="150" t="s">
        <v>6435</v>
      </c>
      <c r="M4490" s="164">
        <v>45954</v>
      </c>
      <c r="N4490" s="164"/>
      <c r="O4490" s="164"/>
      <c r="P4490" s="165" t="str">
        <f ca="1">IF(Proc[[#This Row],[DaysAgeing]]&gt;5,"yep","on track")</f>
        <v>yep</v>
      </c>
      <c r="Q4490" s="3">
        <f ca="1">IF(Proc[[#This Row],[DateClosed]]="",ABS(NETWORKDAYS(Proc[[#This Row],[DateOpened]],TODAY()))-1,ABS(NETWORKDAYS(Proc[[#This Row],[DateOpened]],Proc[[#This Row],[DateClosed]]))-1)</f>
        <v>35</v>
      </c>
      <c r="R4490" s="165" t="s">
        <v>498</v>
      </c>
      <c r="S4490" s="150"/>
    </row>
    <row r="4491" spans="1:19">
      <c r="A4491" t="s">
        <v>6639</v>
      </c>
      <c r="B4491" s="150" t="str">
        <f>IFERROR(VLOOKUP(Proc[[#This Row],[App]],Table2[],3,0),"open")</f>
        <v>open</v>
      </c>
      <c r="C4491" s="149" t="s">
        <v>692</v>
      </c>
      <c r="D4491" t="s">
        <v>6743</v>
      </c>
      <c r="E4491" t="s">
        <v>6641</v>
      </c>
      <c r="F4491" s="150"/>
      <c r="G4491" t="s">
        <v>400</v>
      </c>
      <c r="H4491" s="150" t="str">
        <f>IF(Proc[[#This Row],[type]]="LFF (MDG-F)",MID(Proc[[#This Row],[Obj]],13,10),"")</f>
        <v/>
      </c>
      <c r="J4491" s="150" t="b">
        <f>Proc[[#This Row],[Requested]]=Proc[[#This Row],[CurrentParent]]</f>
        <v>0</v>
      </c>
      <c r="K4491" s="150" t="str">
        <f>IF(Proc[[#This Row],[Author]]="Marcela Urrego",VLOOKUP(LEFT(Proc[[#This Row],[Requested]],1),Table3[#All],2,0),VLOOKUP(Proc[[#This Row],[Author]],Table4[],2,0))</f>
        <v>HC</v>
      </c>
      <c r="L4491" s="150" t="s">
        <v>6435</v>
      </c>
      <c r="M4491" s="164">
        <v>45954</v>
      </c>
      <c r="N4491" s="164"/>
      <c r="O4491" s="164"/>
      <c r="P4491" s="165" t="str">
        <f ca="1">IF(Proc[[#This Row],[DaysAgeing]]&gt;5,"yep","on track")</f>
        <v>yep</v>
      </c>
      <c r="Q4491" s="3">
        <f ca="1">IF(Proc[[#This Row],[DateClosed]]="",ABS(NETWORKDAYS(Proc[[#This Row],[DateOpened]],TODAY()))-1,ABS(NETWORKDAYS(Proc[[#This Row],[DateOpened]],Proc[[#This Row],[DateClosed]]))-1)</f>
        <v>35</v>
      </c>
      <c r="R4491" s="165" t="s">
        <v>498</v>
      </c>
      <c r="S4491" s="150"/>
    </row>
    <row r="4492" spans="1:19">
      <c r="A4492" t="s">
        <v>6642</v>
      </c>
      <c r="B4492" s="150" t="str">
        <f>IFERROR(VLOOKUP(Proc[[#This Row],[App]],Table2[],3,0),"open")</f>
        <v>ok</v>
      </c>
      <c r="C4492" s="149" t="s">
        <v>369</v>
      </c>
      <c r="D4492" t="s">
        <v>6643</v>
      </c>
      <c r="E4492" t="s">
        <v>6744</v>
      </c>
      <c r="F4492" s="150" t="s">
        <v>6744</v>
      </c>
      <c r="G4492" s="149" t="s">
        <v>400</v>
      </c>
      <c r="H4492" s="150" t="str">
        <f>IF(Proc[[#This Row],[type]]="LFF (MDG-F)",MID(Proc[[#This Row],[Obj]],13,10),"")</f>
        <v/>
      </c>
      <c r="J4492" s="150" t="b">
        <f>Proc[[#This Row],[Requested]]=Proc[[#This Row],[CurrentParent]]</f>
        <v>1</v>
      </c>
      <c r="K4492" s="150" t="str">
        <f>IF(Proc[[#This Row],[Author]]="Marcela Urrego",VLOOKUP(LEFT(Proc[[#This Row],[Requested]],1),Table3[#All],2,0),VLOOKUP(Proc[[#This Row],[Author]],Table4[],2,0))</f>
        <v>HC</v>
      </c>
      <c r="L4492" s="150" t="s">
        <v>6435</v>
      </c>
      <c r="M4492" s="165">
        <v>45961</v>
      </c>
      <c r="N4492" s="166"/>
      <c r="O4492" s="166"/>
      <c r="P4492" s="165" t="str">
        <f ca="1">IF(Proc[[#This Row],[DaysAgeing]]&gt;5,"yep","on track")</f>
        <v>yep</v>
      </c>
      <c r="Q4492" s="3">
        <f ca="1">IF(Proc[[#This Row],[DateClosed]]="",ABS(NETWORKDAYS(Proc[[#This Row],[DateOpened]],TODAY()))-1,ABS(NETWORKDAYS(Proc[[#This Row],[DateOpened]],Proc[[#This Row],[DateClosed]]))-1)</f>
        <v>30</v>
      </c>
      <c r="R4492" s="165" t="s">
        <v>6665</v>
      </c>
      <c r="S4492" s="150"/>
    </row>
    <row r="4493" spans="1:19">
      <c r="A4493" s="149" t="s">
        <v>6642</v>
      </c>
      <c r="B4493" s="150" t="str">
        <f>IFERROR(VLOOKUP(Proc[[#This Row],[App]],Table2[],3,0),"open")</f>
        <v>ok</v>
      </c>
      <c r="C4493" s="149" t="s">
        <v>369</v>
      </c>
      <c r="D4493" t="s">
        <v>6644</v>
      </c>
      <c r="E4493" t="s">
        <v>6745</v>
      </c>
      <c r="F4493" s="150" t="s">
        <v>6745</v>
      </c>
      <c r="G4493" s="149" t="s">
        <v>400</v>
      </c>
      <c r="H4493" s="150" t="str">
        <f>IF(Proc[[#This Row],[type]]="LFF (MDG-F)",MID(Proc[[#This Row],[Obj]],13,10),"")</f>
        <v/>
      </c>
      <c r="J4493" s="150" t="b">
        <f>Proc[[#This Row],[Requested]]=Proc[[#This Row],[CurrentParent]]</f>
        <v>1</v>
      </c>
      <c r="K4493" s="150" t="str">
        <f>IF(Proc[[#This Row],[Author]]="Marcela Urrego",VLOOKUP(LEFT(Proc[[#This Row],[Requested]],1),Table3[#All],2,0),VLOOKUP(Proc[[#This Row],[Author]],Table4[],2,0))</f>
        <v>HC</v>
      </c>
      <c r="L4493" s="150" t="s">
        <v>6435</v>
      </c>
      <c r="M4493" s="165">
        <v>45961</v>
      </c>
      <c r="N4493" s="166"/>
      <c r="O4493" s="166"/>
      <c r="P4493" s="165" t="str">
        <f ca="1">IF(Proc[[#This Row],[DaysAgeing]]&gt;5,"yep","on track")</f>
        <v>yep</v>
      </c>
      <c r="Q4493" s="3">
        <f ca="1">IF(Proc[[#This Row],[DateClosed]]="",ABS(NETWORKDAYS(Proc[[#This Row],[DateOpened]],TODAY()))-1,ABS(NETWORKDAYS(Proc[[#This Row],[DateOpened]],Proc[[#This Row],[DateClosed]]))-1)</f>
        <v>30</v>
      </c>
      <c r="R4493" s="165" t="s">
        <v>6665</v>
      </c>
      <c r="S4493" s="150"/>
    </row>
    <row r="4494" spans="1:19">
      <c r="A4494" s="149" t="s">
        <v>6642</v>
      </c>
      <c r="B4494" s="150" t="str">
        <f>IFERROR(VLOOKUP(Proc[[#This Row],[App]],Table2[],3,0),"open")</f>
        <v>ok</v>
      </c>
      <c r="C4494" s="149" t="s">
        <v>369</v>
      </c>
      <c r="D4494" t="s">
        <v>6645</v>
      </c>
      <c r="E4494" t="s">
        <v>812</v>
      </c>
      <c r="F4494" s="150" t="s">
        <v>812</v>
      </c>
      <c r="G4494" s="149" t="s">
        <v>400</v>
      </c>
      <c r="H4494" s="150" t="str">
        <f>IF(Proc[[#This Row],[type]]="LFF (MDG-F)",MID(Proc[[#This Row],[Obj]],13,10),"")</f>
        <v/>
      </c>
      <c r="J4494" s="150" t="b">
        <f>Proc[[#This Row],[Requested]]=Proc[[#This Row],[CurrentParent]]</f>
        <v>1</v>
      </c>
      <c r="K4494" s="150" t="str">
        <f>IF(Proc[[#This Row],[Author]]="Marcela Urrego",VLOOKUP(LEFT(Proc[[#This Row],[Requested]],1),Table3[#All],2,0),VLOOKUP(Proc[[#This Row],[Author]],Table4[],2,0))</f>
        <v>HC</v>
      </c>
      <c r="L4494" s="150" t="s">
        <v>6435</v>
      </c>
      <c r="M4494" s="165">
        <v>45961</v>
      </c>
      <c r="N4494" s="166"/>
      <c r="O4494" s="166"/>
      <c r="P4494" s="165" t="str">
        <f ca="1">IF(Proc[[#This Row],[DaysAgeing]]&gt;5,"yep","on track")</f>
        <v>yep</v>
      </c>
      <c r="Q4494" s="3">
        <f ca="1">IF(Proc[[#This Row],[DateClosed]]="",ABS(NETWORKDAYS(Proc[[#This Row],[DateOpened]],TODAY()))-1,ABS(NETWORKDAYS(Proc[[#This Row],[DateOpened]],Proc[[#This Row],[DateClosed]]))-1)</f>
        <v>30</v>
      </c>
      <c r="R4494" s="165" t="s">
        <v>6665</v>
      </c>
      <c r="S4494" s="150"/>
    </row>
    <row r="4495" spans="1:19">
      <c r="A4495" s="149" t="s">
        <v>6642</v>
      </c>
      <c r="B4495" s="150" t="str">
        <f>IFERROR(VLOOKUP(Proc[[#This Row],[App]],Table2[],3,0),"open")</f>
        <v>ok</v>
      </c>
      <c r="C4495" s="149" t="s">
        <v>369</v>
      </c>
      <c r="D4495" t="s">
        <v>6646</v>
      </c>
      <c r="E4495" t="s">
        <v>812</v>
      </c>
      <c r="F4495" s="150" t="s">
        <v>812</v>
      </c>
      <c r="G4495" s="149" t="s">
        <v>400</v>
      </c>
      <c r="H4495" s="150" t="str">
        <f>IF(Proc[[#This Row],[type]]="LFF (MDG-F)",MID(Proc[[#This Row],[Obj]],13,10),"")</f>
        <v/>
      </c>
      <c r="J4495" s="150" t="b">
        <f>Proc[[#This Row],[Requested]]=Proc[[#This Row],[CurrentParent]]</f>
        <v>1</v>
      </c>
      <c r="K4495" s="150" t="str">
        <f>IF(Proc[[#This Row],[Author]]="Marcela Urrego",VLOOKUP(LEFT(Proc[[#This Row],[Requested]],1),Table3[#All],2,0),VLOOKUP(Proc[[#This Row],[Author]],Table4[],2,0))</f>
        <v>HC</v>
      </c>
      <c r="L4495" s="150" t="s">
        <v>6435</v>
      </c>
      <c r="M4495" s="165">
        <v>45961</v>
      </c>
      <c r="N4495" s="166"/>
      <c r="O4495" s="166"/>
      <c r="P4495" s="165" t="str">
        <f ca="1">IF(Proc[[#This Row],[DaysAgeing]]&gt;5,"yep","on track")</f>
        <v>yep</v>
      </c>
      <c r="Q4495" s="3">
        <f ca="1">IF(Proc[[#This Row],[DateClosed]]="",ABS(NETWORKDAYS(Proc[[#This Row],[DateOpened]],TODAY()))-1,ABS(NETWORKDAYS(Proc[[#This Row],[DateOpened]],Proc[[#This Row],[DateClosed]]))-1)</f>
        <v>30</v>
      </c>
      <c r="R4495" s="165" t="s">
        <v>6665</v>
      </c>
      <c r="S4495" s="150"/>
    </row>
    <row r="4496" spans="1:19">
      <c r="A4496" s="149" t="s">
        <v>6642</v>
      </c>
      <c r="B4496" s="150" t="str">
        <f>IFERROR(VLOOKUP(Proc[[#This Row],[App]],Table2[],3,0),"open")</f>
        <v>ok</v>
      </c>
      <c r="C4496" s="149" t="s">
        <v>377</v>
      </c>
      <c r="D4496" t="s">
        <v>6747</v>
      </c>
      <c r="E4496" t="s">
        <v>6663</v>
      </c>
      <c r="F4496" s="150" t="s">
        <v>6746</v>
      </c>
      <c r="G4496" s="149" t="s">
        <v>406</v>
      </c>
      <c r="H4496" s="150" t="str">
        <f>IF(Proc[[#This Row],[type]]="LFF (MDG-F)",MID(Proc[[#This Row],[Obj]],13,10),"")</f>
        <v>EG50Z01000</v>
      </c>
      <c r="J4496" s="150" t="b">
        <f>Proc[[#This Row],[Requested]]=Proc[[#This Row],[CurrentParent]]</f>
        <v>0</v>
      </c>
      <c r="K4496" s="150" t="str">
        <f>IF(Proc[[#This Row],[Author]]="Marcela Urrego",VLOOKUP(LEFT(Proc[[#This Row],[Requested]],1),Table3[#All],2,0),VLOOKUP(Proc[[#This Row],[Author]],Table4[],2,0))</f>
        <v>HC</v>
      </c>
      <c r="L4496" s="150" t="s">
        <v>6435</v>
      </c>
      <c r="M4496" s="165">
        <v>45961</v>
      </c>
      <c r="N4496" s="166"/>
      <c r="O4496" s="166"/>
      <c r="P4496" s="165" t="str">
        <f ca="1">IF(Proc[[#This Row],[DaysAgeing]]&gt;5,"yep","on track")</f>
        <v>yep</v>
      </c>
      <c r="Q4496" s="3">
        <f ca="1">IF(Proc[[#This Row],[DateClosed]]="",ABS(NETWORKDAYS(Proc[[#This Row],[DateOpened]],TODAY()))-1,ABS(NETWORKDAYS(Proc[[#This Row],[DateOpened]],Proc[[#This Row],[DateClosed]]))-1)</f>
        <v>30</v>
      </c>
      <c r="R4496" s="165" t="s">
        <v>6665</v>
      </c>
      <c r="S4496" s="150"/>
    </row>
    <row r="4497" spans="1:19">
      <c r="A4497" s="149" t="s">
        <v>6642</v>
      </c>
      <c r="B4497" s="150" t="str">
        <f>IFERROR(VLOOKUP(Proc[[#This Row],[App]],Table2[],3,0),"open")</f>
        <v>ok</v>
      </c>
      <c r="C4497" s="149" t="s">
        <v>369</v>
      </c>
      <c r="D4497" t="s">
        <v>6647</v>
      </c>
      <c r="E4497" t="s">
        <v>812</v>
      </c>
      <c r="F4497" s="150" t="s">
        <v>812</v>
      </c>
      <c r="G4497" s="149" t="s">
        <v>400</v>
      </c>
      <c r="H4497" s="150" t="str">
        <f>IF(Proc[[#This Row],[type]]="LFF (MDG-F)",MID(Proc[[#This Row],[Obj]],13,10),"")</f>
        <v/>
      </c>
      <c r="J4497" s="150" t="b">
        <f>Proc[[#This Row],[Requested]]=Proc[[#This Row],[CurrentParent]]</f>
        <v>1</v>
      </c>
      <c r="K4497" s="150" t="str">
        <f>IF(Proc[[#This Row],[Author]]="Marcela Urrego",VLOOKUP(LEFT(Proc[[#This Row],[Requested]],1),Table3[#All],2,0),VLOOKUP(Proc[[#This Row],[Author]],Table4[],2,0))</f>
        <v>HC</v>
      </c>
      <c r="L4497" s="150" t="s">
        <v>6435</v>
      </c>
      <c r="M4497" s="165">
        <v>45961</v>
      </c>
      <c r="N4497" s="166"/>
      <c r="O4497" s="166"/>
      <c r="P4497" s="165" t="str">
        <f ca="1">IF(Proc[[#This Row],[DaysAgeing]]&gt;5,"yep","on track")</f>
        <v>yep</v>
      </c>
      <c r="Q4497" s="3">
        <f ca="1">IF(Proc[[#This Row],[DateClosed]]="",ABS(NETWORKDAYS(Proc[[#This Row],[DateOpened]],TODAY()))-1,ABS(NETWORKDAYS(Proc[[#This Row],[DateOpened]],Proc[[#This Row],[DateClosed]]))-1)</f>
        <v>30</v>
      </c>
      <c r="R4497" s="165" t="s">
        <v>6665</v>
      </c>
      <c r="S4497" s="150"/>
    </row>
    <row r="4498" spans="1:19">
      <c r="A4498" s="149" t="s">
        <v>6642</v>
      </c>
      <c r="B4498" s="150" t="str">
        <f>IFERROR(VLOOKUP(Proc[[#This Row],[App]],Table2[],3,0),"open")</f>
        <v>ok</v>
      </c>
      <c r="C4498" s="149" t="s">
        <v>369</v>
      </c>
      <c r="D4498" t="s">
        <v>6648</v>
      </c>
      <c r="E4498" t="s">
        <v>991</v>
      </c>
      <c r="F4498" s="150" t="s">
        <v>991</v>
      </c>
      <c r="G4498" s="149" t="s">
        <v>400</v>
      </c>
      <c r="H4498" s="150" t="str">
        <f>IF(Proc[[#This Row],[type]]="LFF (MDG-F)",MID(Proc[[#This Row],[Obj]],13,10),"")</f>
        <v/>
      </c>
      <c r="J4498" s="150" t="b">
        <f>Proc[[#This Row],[Requested]]=Proc[[#This Row],[CurrentParent]]</f>
        <v>1</v>
      </c>
      <c r="K4498" s="150" t="str">
        <f>IF(Proc[[#This Row],[Author]]="Marcela Urrego",VLOOKUP(LEFT(Proc[[#This Row],[Requested]],1),Table3[#All],2,0),VLOOKUP(Proc[[#This Row],[Author]],Table4[],2,0))</f>
        <v>HC</v>
      </c>
      <c r="L4498" s="150" t="s">
        <v>6435</v>
      </c>
      <c r="M4498" s="165">
        <v>45961</v>
      </c>
      <c r="N4498" s="166"/>
      <c r="O4498" s="166"/>
      <c r="P4498" s="165" t="str">
        <f ca="1">IF(Proc[[#This Row],[DaysAgeing]]&gt;5,"yep","on track")</f>
        <v>yep</v>
      </c>
      <c r="Q4498" s="3">
        <f ca="1">IF(Proc[[#This Row],[DateClosed]]="",ABS(NETWORKDAYS(Proc[[#This Row],[DateOpened]],TODAY()))-1,ABS(NETWORKDAYS(Proc[[#This Row],[DateOpened]],Proc[[#This Row],[DateClosed]]))-1)</f>
        <v>30</v>
      </c>
      <c r="R4498" s="165" t="s">
        <v>6665</v>
      </c>
      <c r="S4498" s="150"/>
    </row>
    <row r="4499" spans="1:19">
      <c r="A4499" s="149" t="s">
        <v>6642</v>
      </c>
      <c r="B4499" s="150" t="str">
        <f>IFERROR(VLOOKUP(Proc[[#This Row],[App]],Table2[],3,0),"open")</f>
        <v>ok</v>
      </c>
      <c r="C4499" s="149" t="s">
        <v>369</v>
      </c>
      <c r="D4499" t="s">
        <v>6649</v>
      </c>
      <c r="E4499" t="s">
        <v>812</v>
      </c>
      <c r="F4499" s="150" t="s">
        <v>812</v>
      </c>
      <c r="G4499" s="149" t="s">
        <v>400</v>
      </c>
      <c r="H4499" s="150" t="str">
        <f>IF(Proc[[#This Row],[type]]="LFF (MDG-F)",MID(Proc[[#This Row],[Obj]],13,10),"")</f>
        <v/>
      </c>
      <c r="J4499" s="150" t="b">
        <f>Proc[[#This Row],[Requested]]=Proc[[#This Row],[CurrentParent]]</f>
        <v>1</v>
      </c>
      <c r="K4499" s="150" t="str">
        <f>IF(Proc[[#This Row],[Author]]="Marcela Urrego",VLOOKUP(LEFT(Proc[[#This Row],[Requested]],1),Table3[#All],2,0),VLOOKUP(Proc[[#This Row],[Author]],Table4[],2,0))</f>
        <v>HC</v>
      </c>
      <c r="L4499" s="150" t="s">
        <v>6435</v>
      </c>
      <c r="M4499" s="165">
        <v>45961</v>
      </c>
      <c r="N4499" s="166"/>
      <c r="O4499" s="166"/>
      <c r="P4499" s="165" t="str">
        <f ca="1">IF(Proc[[#This Row],[DaysAgeing]]&gt;5,"yep","on track")</f>
        <v>yep</v>
      </c>
      <c r="Q4499" s="3">
        <f ca="1">IF(Proc[[#This Row],[DateClosed]]="",ABS(NETWORKDAYS(Proc[[#This Row],[DateOpened]],TODAY()))-1,ABS(NETWORKDAYS(Proc[[#This Row],[DateOpened]],Proc[[#This Row],[DateClosed]]))-1)</f>
        <v>30</v>
      </c>
      <c r="R4499" s="165" t="s">
        <v>6665</v>
      </c>
      <c r="S4499" s="150"/>
    </row>
    <row r="4500" spans="1:19">
      <c r="A4500" s="149" t="s">
        <v>6642</v>
      </c>
      <c r="B4500" s="150" t="str">
        <f>IFERROR(VLOOKUP(Proc[[#This Row],[App]],Table2[],3,0),"open")</f>
        <v>ok</v>
      </c>
      <c r="C4500" s="149" t="s">
        <v>369</v>
      </c>
      <c r="D4500" t="s">
        <v>6650</v>
      </c>
      <c r="E4500" t="s">
        <v>812</v>
      </c>
      <c r="F4500" s="150" t="s">
        <v>812</v>
      </c>
      <c r="G4500" s="149" t="s">
        <v>400</v>
      </c>
      <c r="H4500" s="150" t="str">
        <f>IF(Proc[[#This Row],[type]]="LFF (MDG-F)",MID(Proc[[#This Row],[Obj]],13,10),"")</f>
        <v/>
      </c>
      <c r="J4500" s="150" t="b">
        <f>Proc[[#This Row],[Requested]]=Proc[[#This Row],[CurrentParent]]</f>
        <v>1</v>
      </c>
      <c r="K4500" s="150" t="str">
        <f>IF(Proc[[#This Row],[Author]]="Marcela Urrego",VLOOKUP(LEFT(Proc[[#This Row],[Requested]],1),Table3[#All],2,0),VLOOKUP(Proc[[#This Row],[Author]],Table4[],2,0))</f>
        <v>HC</v>
      </c>
      <c r="L4500" s="150" t="s">
        <v>6435</v>
      </c>
      <c r="M4500" s="165">
        <v>45961</v>
      </c>
      <c r="N4500" s="166"/>
      <c r="O4500" s="166"/>
      <c r="P4500" s="165" t="str">
        <f ca="1">IF(Proc[[#This Row],[DaysAgeing]]&gt;5,"yep","on track")</f>
        <v>yep</v>
      </c>
      <c r="Q4500" s="3">
        <f ca="1">IF(Proc[[#This Row],[DateClosed]]="",ABS(NETWORKDAYS(Proc[[#This Row],[DateOpened]],TODAY()))-1,ABS(NETWORKDAYS(Proc[[#This Row],[DateOpened]],Proc[[#This Row],[DateClosed]]))-1)</f>
        <v>30</v>
      </c>
      <c r="R4500" s="165" t="s">
        <v>6665</v>
      </c>
      <c r="S4500" s="150"/>
    </row>
    <row r="4501" spans="1:19">
      <c r="A4501" s="149" t="s">
        <v>6642</v>
      </c>
      <c r="B4501" s="150" t="str">
        <f>IFERROR(VLOOKUP(Proc[[#This Row],[App]],Table2[],3,0),"open")</f>
        <v>ok</v>
      </c>
      <c r="C4501" s="149" t="s">
        <v>369</v>
      </c>
      <c r="D4501" t="s">
        <v>6651</v>
      </c>
      <c r="E4501" t="s">
        <v>812</v>
      </c>
      <c r="F4501" s="150" t="s">
        <v>812</v>
      </c>
      <c r="G4501" s="149" t="s">
        <v>400</v>
      </c>
      <c r="H4501" s="150" t="str">
        <f>IF(Proc[[#This Row],[type]]="LFF (MDG-F)",MID(Proc[[#This Row],[Obj]],13,10),"")</f>
        <v/>
      </c>
      <c r="J4501" s="150" t="b">
        <f>Proc[[#This Row],[Requested]]=Proc[[#This Row],[CurrentParent]]</f>
        <v>1</v>
      </c>
      <c r="K4501" s="150" t="str">
        <f>IF(Proc[[#This Row],[Author]]="Marcela Urrego",VLOOKUP(LEFT(Proc[[#This Row],[Requested]],1),Table3[#All],2,0),VLOOKUP(Proc[[#This Row],[Author]],Table4[],2,0))</f>
        <v>HC</v>
      </c>
      <c r="L4501" s="150" t="s">
        <v>6435</v>
      </c>
      <c r="M4501" s="165">
        <v>45961</v>
      </c>
      <c r="N4501" s="166"/>
      <c r="O4501" s="166"/>
      <c r="P4501" s="165" t="str">
        <f ca="1">IF(Proc[[#This Row],[DaysAgeing]]&gt;5,"yep","on track")</f>
        <v>yep</v>
      </c>
      <c r="Q4501" s="3">
        <f ca="1">IF(Proc[[#This Row],[DateClosed]]="",ABS(NETWORKDAYS(Proc[[#This Row],[DateOpened]],TODAY()))-1,ABS(NETWORKDAYS(Proc[[#This Row],[DateOpened]],Proc[[#This Row],[DateClosed]]))-1)</f>
        <v>30</v>
      </c>
      <c r="R4501" s="165" t="s">
        <v>6665</v>
      </c>
      <c r="S4501" s="150"/>
    </row>
    <row r="4502" spans="1:19">
      <c r="A4502" s="149" t="s">
        <v>6642</v>
      </c>
      <c r="B4502" s="150" t="str">
        <f>IFERROR(VLOOKUP(Proc[[#This Row],[App]],Table2[],3,0),"open")</f>
        <v>ok</v>
      </c>
      <c r="C4502" s="149" t="s">
        <v>369</v>
      </c>
      <c r="D4502" t="s">
        <v>6652</v>
      </c>
      <c r="E4502" t="s">
        <v>812</v>
      </c>
      <c r="F4502" s="150" t="s">
        <v>812</v>
      </c>
      <c r="G4502" s="149" t="s">
        <v>400</v>
      </c>
      <c r="H4502" s="150" t="str">
        <f>IF(Proc[[#This Row],[type]]="LFF (MDG-F)",MID(Proc[[#This Row],[Obj]],13,10),"")</f>
        <v/>
      </c>
      <c r="J4502" s="150" t="b">
        <f>Proc[[#This Row],[Requested]]=Proc[[#This Row],[CurrentParent]]</f>
        <v>1</v>
      </c>
      <c r="K4502" s="150" t="str">
        <f>IF(Proc[[#This Row],[Author]]="Marcela Urrego",VLOOKUP(LEFT(Proc[[#This Row],[Requested]],1),Table3[#All],2,0),VLOOKUP(Proc[[#This Row],[Author]],Table4[],2,0))</f>
        <v>HC</v>
      </c>
      <c r="L4502" s="150" t="s">
        <v>6435</v>
      </c>
      <c r="M4502" s="165">
        <v>45961</v>
      </c>
      <c r="N4502" s="166"/>
      <c r="O4502" s="166"/>
      <c r="P4502" s="165" t="str">
        <f ca="1">IF(Proc[[#This Row],[DaysAgeing]]&gt;5,"yep","on track")</f>
        <v>yep</v>
      </c>
      <c r="Q4502" s="3">
        <f ca="1">IF(Proc[[#This Row],[DateClosed]]="",ABS(NETWORKDAYS(Proc[[#This Row],[DateOpened]],TODAY()))-1,ABS(NETWORKDAYS(Proc[[#This Row],[DateOpened]],Proc[[#This Row],[DateClosed]]))-1)</f>
        <v>30</v>
      </c>
      <c r="R4502" s="165" t="s">
        <v>6665</v>
      </c>
      <c r="S4502" s="150"/>
    </row>
    <row r="4503" spans="1:19">
      <c r="A4503" s="149" t="s">
        <v>6642</v>
      </c>
      <c r="B4503" s="150" t="str">
        <f>IFERROR(VLOOKUP(Proc[[#This Row],[App]],Table2[],3,0),"open")</f>
        <v>ok</v>
      </c>
      <c r="C4503" s="149" t="s">
        <v>369</v>
      </c>
      <c r="D4503" t="s">
        <v>6653</v>
      </c>
      <c r="E4503" t="s">
        <v>812</v>
      </c>
      <c r="F4503" s="150" t="s">
        <v>812</v>
      </c>
      <c r="G4503" s="149" t="s">
        <v>400</v>
      </c>
      <c r="H4503" s="150" t="str">
        <f>IF(Proc[[#This Row],[type]]="LFF (MDG-F)",MID(Proc[[#This Row],[Obj]],13,10),"")</f>
        <v/>
      </c>
      <c r="J4503" s="150" t="b">
        <f>Proc[[#This Row],[Requested]]=Proc[[#This Row],[CurrentParent]]</f>
        <v>1</v>
      </c>
      <c r="K4503" s="150" t="str">
        <f>IF(Proc[[#This Row],[Author]]="Marcela Urrego",VLOOKUP(LEFT(Proc[[#This Row],[Requested]],1),Table3[#All],2,0),VLOOKUP(Proc[[#This Row],[Author]],Table4[],2,0))</f>
        <v>HC</v>
      </c>
      <c r="L4503" s="150" t="s">
        <v>6435</v>
      </c>
      <c r="M4503" s="165">
        <v>45961</v>
      </c>
      <c r="N4503" s="166"/>
      <c r="O4503" s="166"/>
      <c r="P4503" s="165" t="str">
        <f ca="1">IF(Proc[[#This Row],[DaysAgeing]]&gt;5,"yep","on track")</f>
        <v>yep</v>
      </c>
      <c r="Q4503" s="3">
        <f ca="1">IF(Proc[[#This Row],[DateClosed]]="",ABS(NETWORKDAYS(Proc[[#This Row],[DateOpened]],TODAY()))-1,ABS(NETWORKDAYS(Proc[[#This Row],[DateOpened]],Proc[[#This Row],[DateClosed]]))-1)</f>
        <v>30</v>
      </c>
      <c r="R4503" s="165" t="s">
        <v>6665</v>
      </c>
      <c r="S4503" s="150"/>
    </row>
    <row r="4504" spans="1:19">
      <c r="A4504" s="149" t="s">
        <v>6642</v>
      </c>
      <c r="B4504" s="150" t="str">
        <f>IFERROR(VLOOKUP(Proc[[#This Row],[App]],Table2[],3,0),"open")</f>
        <v>ok</v>
      </c>
      <c r="C4504" s="149" t="s">
        <v>369</v>
      </c>
      <c r="D4504" t="s">
        <v>6654</v>
      </c>
      <c r="E4504" t="s">
        <v>812</v>
      </c>
      <c r="F4504" s="150" t="s">
        <v>812</v>
      </c>
      <c r="G4504" s="149" t="s">
        <v>400</v>
      </c>
      <c r="H4504" s="150" t="str">
        <f>IF(Proc[[#This Row],[type]]="LFF (MDG-F)",MID(Proc[[#This Row],[Obj]],13,10),"")</f>
        <v/>
      </c>
      <c r="J4504" s="150" t="b">
        <f>Proc[[#This Row],[Requested]]=Proc[[#This Row],[CurrentParent]]</f>
        <v>1</v>
      </c>
      <c r="K4504" s="150" t="str">
        <f>IF(Proc[[#This Row],[Author]]="Marcela Urrego",VLOOKUP(LEFT(Proc[[#This Row],[Requested]],1),Table3[#All],2,0),VLOOKUP(Proc[[#This Row],[Author]],Table4[],2,0))</f>
        <v>HC</v>
      </c>
      <c r="L4504" s="150" t="s">
        <v>6435</v>
      </c>
      <c r="M4504" s="165">
        <v>45961</v>
      </c>
      <c r="N4504" s="166"/>
      <c r="O4504" s="166"/>
      <c r="P4504" s="165" t="str">
        <f ca="1">IF(Proc[[#This Row],[DaysAgeing]]&gt;5,"yep","on track")</f>
        <v>yep</v>
      </c>
      <c r="Q4504" s="3">
        <f ca="1">IF(Proc[[#This Row],[DateClosed]]="",ABS(NETWORKDAYS(Proc[[#This Row],[DateOpened]],TODAY()))-1,ABS(NETWORKDAYS(Proc[[#This Row],[DateOpened]],Proc[[#This Row],[DateClosed]]))-1)</f>
        <v>30</v>
      </c>
      <c r="R4504" s="165" t="s">
        <v>6665</v>
      </c>
      <c r="S4504" s="150"/>
    </row>
    <row r="4505" spans="1:19">
      <c r="A4505" s="149" t="s">
        <v>6642</v>
      </c>
      <c r="B4505" s="150" t="str">
        <f>IFERROR(VLOOKUP(Proc[[#This Row],[App]],Table2[],3,0),"open")</f>
        <v>ok</v>
      </c>
      <c r="C4505" s="149" t="s">
        <v>369</v>
      </c>
      <c r="D4505" t="s">
        <v>6655</v>
      </c>
      <c r="E4505" t="s">
        <v>6664</v>
      </c>
      <c r="F4505" s="150" t="s">
        <v>6664</v>
      </c>
      <c r="G4505" s="149" t="s">
        <v>400</v>
      </c>
      <c r="H4505" s="150" t="str">
        <f>IF(Proc[[#This Row],[type]]="LFF (MDG-F)",MID(Proc[[#This Row],[Obj]],13,10),"")</f>
        <v/>
      </c>
      <c r="J4505" s="150" t="b">
        <f>Proc[[#This Row],[Requested]]=Proc[[#This Row],[CurrentParent]]</f>
        <v>1</v>
      </c>
      <c r="K4505" s="150" t="str">
        <f>IF(Proc[[#This Row],[Author]]="Marcela Urrego",VLOOKUP(LEFT(Proc[[#This Row],[Requested]],1),Table3[#All],2,0),VLOOKUP(Proc[[#This Row],[Author]],Table4[],2,0))</f>
        <v>HC</v>
      </c>
      <c r="L4505" s="150" t="s">
        <v>6435</v>
      </c>
      <c r="M4505" s="165">
        <v>45961</v>
      </c>
      <c r="N4505" s="166"/>
      <c r="O4505" s="166"/>
      <c r="P4505" s="165" t="str">
        <f ca="1">IF(Proc[[#This Row],[DaysAgeing]]&gt;5,"yep","on track")</f>
        <v>yep</v>
      </c>
      <c r="Q4505" s="3">
        <f ca="1">IF(Proc[[#This Row],[DateClosed]]="",ABS(NETWORKDAYS(Proc[[#This Row],[DateOpened]],TODAY()))-1,ABS(NETWORKDAYS(Proc[[#This Row],[DateOpened]],Proc[[#This Row],[DateClosed]]))-1)</f>
        <v>30</v>
      </c>
      <c r="R4505" s="165" t="s">
        <v>6665</v>
      </c>
      <c r="S4505" s="150"/>
    </row>
    <row r="4506" spans="1:19">
      <c r="A4506" s="149" t="s">
        <v>6642</v>
      </c>
      <c r="B4506" s="150" t="str">
        <f>IFERROR(VLOOKUP(Proc[[#This Row],[App]],Table2[],3,0),"open")</f>
        <v>ok</v>
      </c>
      <c r="C4506" s="149" t="s">
        <v>369</v>
      </c>
      <c r="D4506" t="s">
        <v>6656</v>
      </c>
      <c r="E4506" t="s">
        <v>483</v>
      </c>
      <c r="F4506" s="150" t="s">
        <v>483</v>
      </c>
      <c r="G4506" s="149" t="s">
        <v>400</v>
      </c>
      <c r="H4506" s="150" t="str">
        <f>IF(Proc[[#This Row],[type]]="LFF (MDG-F)",MID(Proc[[#This Row],[Obj]],13,10),"")</f>
        <v/>
      </c>
      <c r="J4506" s="150" t="b">
        <f>Proc[[#This Row],[Requested]]=Proc[[#This Row],[CurrentParent]]</f>
        <v>1</v>
      </c>
      <c r="K4506" s="150" t="str">
        <f>IF(Proc[[#This Row],[Author]]="Marcela Urrego",VLOOKUP(LEFT(Proc[[#This Row],[Requested]],1),Table3[#All],2,0),VLOOKUP(Proc[[#This Row],[Author]],Table4[],2,0))</f>
        <v>HC</v>
      </c>
      <c r="L4506" s="150" t="s">
        <v>6435</v>
      </c>
      <c r="M4506" s="165">
        <v>45961</v>
      </c>
      <c r="N4506" s="166"/>
      <c r="O4506" s="166"/>
      <c r="P4506" s="165" t="str">
        <f ca="1">IF(Proc[[#This Row],[DaysAgeing]]&gt;5,"yep","on track")</f>
        <v>yep</v>
      </c>
      <c r="Q4506" s="3">
        <f ca="1">IF(Proc[[#This Row],[DateClosed]]="",ABS(NETWORKDAYS(Proc[[#This Row],[DateOpened]],TODAY()))-1,ABS(NETWORKDAYS(Proc[[#This Row],[DateOpened]],Proc[[#This Row],[DateClosed]]))-1)</f>
        <v>30</v>
      </c>
      <c r="R4506" s="165" t="s">
        <v>6665</v>
      </c>
      <c r="S4506" s="150"/>
    </row>
    <row r="4507" spans="1:19">
      <c r="A4507" s="149" t="s">
        <v>6642</v>
      </c>
      <c r="B4507" s="150" t="str">
        <f>IFERROR(VLOOKUP(Proc[[#This Row],[App]],Table2[],3,0),"open")</f>
        <v>ok</v>
      </c>
      <c r="C4507" s="149" t="s">
        <v>369</v>
      </c>
      <c r="D4507" t="s">
        <v>6657</v>
      </c>
      <c r="E4507" t="s">
        <v>483</v>
      </c>
      <c r="F4507" s="150" t="s">
        <v>483</v>
      </c>
      <c r="G4507" s="149" t="s">
        <v>400</v>
      </c>
      <c r="H4507" s="150" t="str">
        <f>IF(Proc[[#This Row],[type]]="LFF (MDG-F)",MID(Proc[[#This Row],[Obj]],13,10),"")</f>
        <v/>
      </c>
      <c r="J4507" s="150" t="b">
        <f>Proc[[#This Row],[Requested]]=Proc[[#This Row],[CurrentParent]]</f>
        <v>1</v>
      </c>
      <c r="K4507" s="150" t="str">
        <f>IF(Proc[[#This Row],[Author]]="Marcela Urrego",VLOOKUP(LEFT(Proc[[#This Row],[Requested]],1),Table3[#All],2,0),VLOOKUP(Proc[[#This Row],[Author]],Table4[],2,0))</f>
        <v>HC</v>
      </c>
      <c r="L4507" s="150" t="s">
        <v>6435</v>
      </c>
      <c r="M4507" s="165">
        <v>45961</v>
      </c>
      <c r="N4507" s="166"/>
      <c r="O4507" s="166"/>
      <c r="P4507" s="165" t="str">
        <f ca="1">IF(Proc[[#This Row],[DaysAgeing]]&gt;5,"yep","on track")</f>
        <v>yep</v>
      </c>
      <c r="Q4507" s="3">
        <f ca="1">IF(Proc[[#This Row],[DateClosed]]="",ABS(NETWORKDAYS(Proc[[#This Row],[DateOpened]],TODAY()))-1,ABS(NETWORKDAYS(Proc[[#This Row],[DateOpened]],Proc[[#This Row],[DateClosed]]))-1)</f>
        <v>30</v>
      </c>
      <c r="R4507" s="165" t="s">
        <v>6665</v>
      </c>
      <c r="S4507" s="150"/>
    </row>
    <row r="4508" spans="1:19">
      <c r="A4508" s="149" t="s">
        <v>6642</v>
      </c>
      <c r="B4508" s="150" t="str">
        <f>IFERROR(VLOOKUP(Proc[[#This Row],[App]],Table2[],3,0),"open")</f>
        <v>ok</v>
      </c>
      <c r="C4508" s="149" t="s">
        <v>369</v>
      </c>
      <c r="D4508" t="s">
        <v>6658</v>
      </c>
      <c r="E4508" t="s">
        <v>483</v>
      </c>
      <c r="F4508" s="150" t="s">
        <v>483</v>
      </c>
      <c r="G4508" s="149" t="s">
        <v>400</v>
      </c>
      <c r="H4508" s="150" t="str">
        <f>IF(Proc[[#This Row],[type]]="LFF (MDG-F)",MID(Proc[[#This Row],[Obj]],13,10),"")</f>
        <v/>
      </c>
      <c r="J4508" s="150" t="b">
        <f>Proc[[#This Row],[Requested]]=Proc[[#This Row],[CurrentParent]]</f>
        <v>1</v>
      </c>
      <c r="K4508" s="150" t="str">
        <f>IF(Proc[[#This Row],[Author]]="Marcela Urrego",VLOOKUP(LEFT(Proc[[#This Row],[Requested]],1),Table3[#All],2,0),VLOOKUP(Proc[[#This Row],[Author]],Table4[],2,0))</f>
        <v>HC</v>
      </c>
      <c r="L4508" s="150" t="s">
        <v>6435</v>
      </c>
      <c r="M4508" s="165">
        <v>45961</v>
      </c>
      <c r="N4508" s="166"/>
      <c r="O4508" s="166"/>
      <c r="P4508" s="165" t="str">
        <f ca="1">IF(Proc[[#This Row],[DaysAgeing]]&gt;5,"yep","on track")</f>
        <v>yep</v>
      </c>
      <c r="Q4508" s="3">
        <f ca="1">IF(Proc[[#This Row],[DateClosed]]="",ABS(NETWORKDAYS(Proc[[#This Row],[DateOpened]],TODAY()))-1,ABS(NETWORKDAYS(Proc[[#This Row],[DateOpened]],Proc[[#This Row],[DateClosed]]))-1)</f>
        <v>30</v>
      </c>
      <c r="R4508" s="165" t="s">
        <v>6665</v>
      </c>
      <c r="S4508" s="150"/>
    </row>
    <row r="4509" spans="1:19">
      <c r="A4509" s="149" t="s">
        <v>6642</v>
      </c>
      <c r="B4509" s="150" t="str">
        <f>IFERROR(VLOOKUP(Proc[[#This Row],[App]],Table2[],3,0),"open")</f>
        <v>ok</v>
      </c>
      <c r="C4509" s="149" t="s">
        <v>369</v>
      </c>
      <c r="D4509" t="s">
        <v>6659</v>
      </c>
      <c r="E4509" t="s">
        <v>483</v>
      </c>
      <c r="F4509" s="150" t="s">
        <v>483</v>
      </c>
      <c r="G4509" s="149" t="s">
        <v>400</v>
      </c>
      <c r="H4509" s="150" t="str">
        <f>IF(Proc[[#This Row],[type]]="LFF (MDG-F)",MID(Proc[[#This Row],[Obj]],13,10),"")</f>
        <v/>
      </c>
      <c r="J4509" s="150" t="b">
        <f>Proc[[#This Row],[Requested]]=Proc[[#This Row],[CurrentParent]]</f>
        <v>1</v>
      </c>
      <c r="K4509" s="150" t="str">
        <f>IF(Proc[[#This Row],[Author]]="Marcela Urrego",VLOOKUP(LEFT(Proc[[#This Row],[Requested]],1),Table3[#All],2,0),VLOOKUP(Proc[[#This Row],[Author]],Table4[],2,0))</f>
        <v>HC</v>
      </c>
      <c r="L4509" s="150" t="s">
        <v>6435</v>
      </c>
      <c r="M4509" s="165">
        <v>45961</v>
      </c>
      <c r="N4509" s="166"/>
      <c r="O4509" s="166"/>
      <c r="P4509" s="165" t="str">
        <f ca="1">IF(Proc[[#This Row],[DaysAgeing]]&gt;5,"yep","on track")</f>
        <v>yep</v>
      </c>
      <c r="Q4509" s="3">
        <f ca="1">IF(Proc[[#This Row],[DateClosed]]="",ABS(NETWORKDAYS(Proc[[#This Row],[DateOpened]],TODAY()))-1,ABS(NETWORKDAYS(Proc[[#This Row],[DateOpened]],Proc[[#This Row],[DateClosed]]))-1)</f>
        <v>30</v>
      </c>
      <c r="R4509" s="165" t="s">
        <v>6665</v>
      </c>
      <c r="S4509" s="150"/>
    </row>
    <row r="4510" spans="1:19">
      <c r="A4510" s="149" t="s">
        <v>6642</v>
      </c>
      <c r="B4510" s="150" t="str">
        <f>IFERROR(VLOOKUP(Proc[[#This Row],[App]],Table2[],3,0),"open")</f>
        <v>ok</v>
      </c>
      <c r="C4510" s="149" t="s">
        <v>369</v>
      </c>
      <c r="D4510" t="s">
        <v>6660</v>
      </c>
      <c r="E4510" t="s">
        <v>483</v>
      </c>
      <c r="F4510" s="150" t="s">
        <v>483</v>
      </c>
      <c r="G4510" s="149" t="s">
        <v>400</v>
      </c>
      <c r="H4510" s="150" t="str">
        <f>IF(Proc[[#This Row],[type]]="LFF (MDG-F)",MID(Proc[[#This Row],[Obj]],13,10),"")</f>
        <v/>
      </c>
      <c r="J4510" s="150" t="b">
        <f>Proc[[#This Row],[Requested]]=Proc[[#This Row],[CurrentParent]]</f>
        <v>1</v>
      </c>
      <c r="K4510" s="150" t="str">
        <f>IF(Proc[[#This Row],[Author]]="Marcela Urrego",VLOOKUP(LEFT(Proc[[#This Row],[Requested]],1),Table3[#All],2,0),VLOOKUP(Proc[[#This Row],[Author]],Table4[],2,0))</f>
        <v>HC</v>
      </c>
      <c r="L4510" s="150" t="s">
        <v>6435</v>
      </c>
      <c r="M4510" s="165">
        <v>45961</v>
      </c>
      <c r="N4510" s="166"/>
      <c r="O4510" s="166"/>
      <c r="P4510" s="165" t="str">
        <f ca="1">IF(Proc[[#This Row],[DaysAgeing]]&gt;5,"yep","on track")</f>
        <v>yep</v>
      </c>
      <c r="Q4510" s="3">
        <f ca="1">IF(Proc[[#This Row],[DateClosed]]="",ABS(NETWORKDAYS(Proc[[#This Row],[DateOpened]],TODAY()))-1,ABS(NETWORKDAYS(Proc[[#This Row],[DateOpened]],Proc[[#This Row],[DateClosed]]))-1)</f>
        <v>30</v>
      </c>
      <c r="R4510" s="165" t="s">
        <v>6665</v>
      </c>
      <c r="S4510" s="150"/>
    </row>
    <row r="4511" spans="1:19">
      <c r="A4511" s="149" t="s">
        <v>6642</v>
      </c>
      <c r="B4511" s="150" t="str">
        <f>IFERROR(VLOOKUP(Proc[[#This Row],[App]],Table2[],3,0),"open")</f>
        <v>ok</v>
      </c>
      <c r="C4511" s="149" t="s">
        <v>369</v>
      </c>
      <c r="D4511" t="s">
        <v>6661</v>
      </c>
      <c r="E4511" t="s">
        <v>6664</v>
      </c>
      <c r="F4511" s="150" t="s">
        <v>6664</v>
      </c>
      <c r="G4511" s="149" t="s">
        <v>400</v>
      </c>
      <c r="H4511" s="150" t="str">
        <f>IF(Proc[[#This Row],[type]]="LFF (MDG-F)",MID(Proc[[#This Row],[Obj]],13,10),"")</f>
        <v/>
      </c>
      <c r="J4511" s="150" t="b">
        <f>Proc[[#This Row],[Requested]]=Proc[[#This Row],[CurrentParent]]</f>
        <v>1</v>
      </c>
      <c r="K4511" s="150" t="str">
        <f>IF(Proc[[#This Row],[Author]]="Marcela Urrego",VLOOKUP(LEFT(Proc[[#This Row],[Requested]],1),Table3[#All],2,0),VLOOKUP(Proc[[#This Row],[Author]],Table4[],2,0))</f>
        <v>HC</v>
      </c>
      <c r="L4511" s="150" t="s">
        <v>6435</v>
      </c>
      <c r="M4511" s="165">
        <v>45961</v>
      </c>
      <c r="N4511" s="166"/>
      <c r="O4511" s="166"/>
      <c r="P4511" s="165" t="str">
        <f ca="1">IF(Proc[[#This Row],[DaysAgeing]]&gt;5,"yep","on track")</f>
        <v>yep</v>
      </c>
      <c r="Q4511" s="3">
        <f ca="1">IF(Proc[[#This Row],[DateClosed]]="",ABS(NETWORKDAYS(Proc[[#This Row],[DateOpened]],TODAY()))-1,ABS(NETWORKDAYS(Proc[[#This Row],[DateOpened]],Proc[[#This Row],[DateClosed]]))-1)</f>
        <v>30</v>
      </c>
      <c r="R4511" s="165" t="s">
        <v>6665</v>
      </c>
      <c r="S4511" s="150"/>
    </row>
    <row r="4512" spans="1:19">
      <c r="A4512" s="149" t="s">
        <v>6642</v>
      </c>
      <c r="B4512" s="150" t="str">
        <f>IFERROR(VLOOKUP(Proc[[#This Row],[App]],Table2[],3,0),"open")</f>
        <v>ok</v>
      </c>
      <c r="C4512" s="149" t="s">
        <v>369</v>
      </c>
      <c r="D4512" t="s">
        <v>6662</v>
      </c>
      <c r="E4512" t="s">
        <v>483</v>
      </c>
      <c r="F4512" s="150" t="s">
        <v>483</v>
      </c>
      <c r="G4512" s="149" t="s">
        <v>400</v>
      </c>
      <c r="H4512" s="150" t="str">
        <f>IF(Proc[[#This Row],[type]]="LFF (MDG-F)",MID(Proc[[#This Row],[Obj]],13,10),"")</f>
        <v/>
      </c>
      <c r="J4512" s="150" t="b">
        <f>Proc[[#This Row],[Requested]]=Proc[[#This Row],[CurrentParent]]</f>
        <v>1</v>
      </c>
      <c r="K4512" s="150" t="str">
        <f>IF(Proc[[#This Row],[Author]]="Marcela Urrego",VLOOKUP(LEFT(Proc[[#This Row],[Requested]],1),Table3[#All],2,0),VLOOKUP(Proc[[#This Row],[Author]],Table4[],2,0))</f>
        <v>HC</v>
      </c>
      <c r="L4512" s="150" t="s">
        <v>6435</v>
      </c>
      <c r="M4512" s="165">
        <v>45961</v>
      </c>
      <c r="N4512" s="166"/>
      <c r="O4512" s="166"/>
      <c r="P4512" s="165" t="str">
        <f ca="1">IF(Proc[[#This Row],[DaysAgeing]]&gt;5,"yep","on track")</f>
        <v>yep</v>
      </c>
      <c r="Q4512" s="3">
        <f ca="1">IF(Proc[[#This Row],[DateClosed]]="",ABS(NETWORKDAYS(Proc[[#This Row],[DateOpened]],TODAY()))-1,ABS(NETWORKDAYS(Proc[[#This Row],[DateOpened]],Proc[[#This Row],[DateClosed]]))-1)</f>
        <v>30</v>
      </c>
      <c r="R4512" s="165" t="s">
        <v>6665</v>
      </c>
      <c r="S4512" s="150"/>
    </row>
    <row r="4513" spans="1:19">
      <c r="A4513" t="s">
        <v>6666</v>
      </c>
      <c r="B4513" s="150" t="str">
        <f>IFERROR(VLOOKUP(Proc[[#This Row],[App]],Table2[],3,0),"open")</f>
        <v>ok</v>
      </c>
      <c r="C4513" s="149" t="s">
        <v>369</v>
      </c>
      <c r="D4513" t="s">
        <v>6667</v>
      </c>
      <c r="E4513" t="s">
        <v>3004</v>
      </c>
      <c r="F4513" s="150" t="s">
        <v>3004</v>
      </c>
      <c r="G4513" s="149" t="s">
        <v>400</v>
      </c>
      <c r="H4513" s="150" t="str">
        <f>IF(Proc[[#This Row],[type]]="LFF (MDG-F)",MID(Proc[[#This Row],[Obj]],13,10),"")</f>
        <v/>
      </c>
      <c r="J4513" s="150" t="b">
        <f>Proc[[#This Row],[Requested]]=Proc[[#This Row],[CurrentParent]]</f>
        <v>1</v>
      </c>
      <c r="K4513" s="150" t="str">
        <f>IF(Proc[[#This Row],[Author]]="Marcela Urrego",VLOOKUP(LEFT(Proc[[#This Row],[Requested]],1),Table3[#All],2,0),VLOOKUP(Proc[[#This Row],[Author]],Table4[],2,0))</f>
        <v>HC</v>
      </c>
      <c r="L4513" s="150" t="s">
        <v>6435</v>
      </c>
      <c r="M4513" s="165">
        <v>45961</v>
      </c>
      <c r="N4513" s="166"/>
      <c r="O4513" s="166"/>
      <c r="P4513" s="165" t="str">
        <f ca="1">IF(Proc[[#This Row],[DaysAgeing]]&gt;5,"yep","on track")</f>
        <v>yep</v>
      </c>
      <c r="Q4513" s="3">
        <f ca="1">IF(Proc[[#This Row],[DateClosed]]="",ABS(NETWORKDAYS(Proc[[#This Row],[DateOpened]],TODAY()))-1,ABS(NETWORKDAYS(Proc[[#This Row],[DateOpened]],Proc[[#This Row],[DateClosed]]))-1)</f>
        <v>30</v>
      </c>
      <c r="R4513" s="165" t="s">
        <v>1013</v>
      </c>
      <c r="S4513" s="150"/>
    </row>
    <row r="4514" spans="1:19">
      <c r="A4514" s="149" t="s">
        <v>6666</v>
      </c>
      <c r="B4514" s="150" t="str">
        <f>IFERROR(VLOOKUP(Proc[[#This Row],[App]],Table2[],3,0),"open")</f>
        <v>ok</v>
      </c>
      <c r="C4514" s="149" t="s">
        <v>369</v>
      </c>
      <c r="D4514" t="s">
        <v>6668</v>
      </c>
      <c r="E4514" t="s">
        <v>3005</v>
      </c>
      <c r="F4514" s="150" t="s">
        <v>3005</v>
      </c>
      <c r="G4514" s="149" t="s">
        <v>400</v>
      </c>
      <c r="H4514" s="150" t="str">
        <f>IF(Proc[[#This Row],[type]]="LFF (MDG-F)",MID(Proc[[#This Row],[Obj]],13,10),"")</f>
        <v/>
      </c>
      <c r="J4514" s="150" t="b">
        <f>Proc[[#This Row],[Requested]]=Proc[[#This Row],[CurrentParent]]</f>
        <v>1</v>
      </c>
      <c r="K4514" s="150" t="str">
        <f>IF(Proc[[#This Row],[Author]]="Marcela Urrego",VLOOKUP(LEFT(Proc[[#This Row],[Requested]],1),Table3[#All],2,0),VLOOKUP(Proc[[#This Row],[Author]],Table4[],2,0))</f>
        <v>HC</v>
      </c>
      <c r="L4514" s="150" t="s">
        <v>6435</v>
      </c>
      <c r="M4514" s="165">
        <v>45961</v>
      </c>
      <c r="N4514" s="166"/>
      <c r="O4514" s="166"/>
      <c r="P4514" s="165" t="str">
        <f ca="1">IF(Proc[[#This Row],[DaysAgeing]]&gt;5,"yep","on track")</f>
        <v>yep</v>
      </c>
      <c r="Q4514" s="3">
        <f ca="1">IF(Proc[[#This Row],[DateClosed]]="",ABS(NETWORKDAYS(Proc[[#This Row],[DateOpened]],TODAY()))-1,ABS(NETWORKDAYS(Proc[[#This Row],[DateOpened]],Proc[[#This Row],[DateClosed]]))-1)</f>
        <v>30</v>
      </c>
      <c r="R4514" s="165" t="s">
        <v>1013</v>
      </c>
      <c r="S4514" s="150"/>
    </row>
    <row r="4515" spans="1:19">
      <c r="A4515" s="149" t="s">
        <v>6666</v>
      </c>
      <c r="B4515" s="150" t="str">
        <f>IFERROR(VLOOKUP(Proc[[#This Row],[App]],Table2[],3,0),"open")</f>
        <v>ok</v>
      </c>
      <c r="C4515" s="149" t="s">
        <v>369</v>
      </c>
      <c r="D4515" t="s">
        <v>6669</v>
      </c>
      <c r="E4515" t="s">
        <v>3004</v>
      </c>
      <c r="F4515" s="150" t="s">
        <v>3004</v>
      </c>
      <c r="G4515" s="149" t="s">
        <v>400</v>
      </c>
      <c r="H4515" s="150" t="str">
        <f>IF(Proc[[#This Row],[type]]="LFF (MDG-F)",MID(Proc[[#This Row],[Obj]],13,10),"")</f>
        <v/>
      </c>
      <c r="J4515" s="150" t="b">
        <f>Proc[[#This Row],[Requested]]=Proc[[#This Row],[CurrentParent]]</f>
        <v>1</v>
      </c>
      <c r="K4515" s="150" t="str">
        <f>IF(Proc[[#This Row],[Author]]="Marcela Urrego",VLOOKUP(LEFT(Proc[[#This Row],[Requested]],1),Table3[#All],2,0),VLOOKUP(Proc[[#This Row],[Author]],Table4[],2,0))</f>
        <v>HC</v>
      </c>
      <c r="L4515" s="150" t="s">
        <v>6435</v>
      </c>
      <c r="M4515" s="165">
        <v>45961</v>
      </c>
      <c r="N4515" s="166"/>
      <c r="O4515" s="166"/>
      <c r="P4515" s="165" t="str">
        <f ca="1">IF(Proc[[#This Row],[DaysAgeing]]&gt;5,"yep","on track")</f>
        <v>yep</v>
      </c>
      <c r="Q4515" s="3">
        <f ca="1">IF(Proc[[#This Row],[DateClosed]]="",ABS(NETWORKDAYS(Proc[[#This Row],[DateOpened]],TODAY()))-1,ABS(NETWORKDAYS(Proc[[#This Row],[DateOpened]],Proc[[#This Row],[DateClosed]]))-1)</f>
        <v>30</v>
      </c>
      <c r="R4515" s="165" t="s">
        <v>1013</v>
      </c>
      <c r="S4515" s="150"/>
    </row>
    <row r="4516" spans="1:19">
      <c r="A4516" s="149" t="s">
        <v>6666</v>
      </c>
      <c r="B4516" s="150" t="str">
        <f>IFERROR(VLOOKUP(Proc[[#This Row],[App]],Table2[],3,0),"open")</f>
        <v>ok</v>
      </c>
      <c r="C4516" s="149" t="s">
        <v>369</v>
      </c>
      <c r="D4516" t="s">
        <v>6670</v>
      </c>
      <c r="E4516" t="s">
        <v>3003</v>
      </c>
      <c r="F4516" s="150" t="s">
        <v>3003</v>
      </c>
      <c r="G4516" s="149" t="s">
        <v>400</v>
      </c>
      <c r="H4516" s="150" t="str">
        <f>IF(Proc[[#This Row],[type]]="LFF (MDG-F)",MID(Proc[[#This Row],[Obj]],13,10),"")</f>
        <v/>
      </c>
      <c r="J4516" s="150" t="b">
        <f>Proc[[#This Row],[Requested]]=Proc[[#This Row],[CurrentParent]]</f>
        <v>1</v>
      </c>
      <c r="K4516" s="150" t="str">
        <f>IF(Proc[[#This Row],[Author]]="Marcela Urrego",VLOOKUP(LEFT(Proc[[#This Row],[Requested]],1),Table3[#All],2,0),VLOOKUP(Proc[[#This Row],[Author]],Table4[],2,0))</f>
        <v>HC</v>
      </c>
      <c r="L4516" s="150" t="s">
        <v>6435</v>
      </c>
      <c r="M4516" s="165">
        <v>45961</v>
      </c>
      <c r="N4516" s="166"/>
      <c r="O4516" s="166"/>
      <c r="P4516" s="165" t="str">
        <f ca="1">IF(Proc[[#This Row],[DaysAgeing]]&gt;5,"yep","on track")</f>
        <v>yep</v>
      </c>
      <c r="Q4516" s="3">
        <f ca="1">IF(Proc[[#This Row],[DateClosed]]="",ABS(NETWORKDAYS(Proc[[#This Row],[DateOpened]],TODAY()))-1,ABS(NETWORKDAYS(Proc[[#This Row],[DateOpened]],Proc[[#This Row],[DateClosed]]))-1)</f>
        <v>30</v>
      </c>
      <c r="R4516" s="165" t="s">
        <v>1013</v>
      </c>
      <c r="S4516" s="150"/>
    </row>
    <row r="4517" spans="1:19">
      <c r="A4517" s="149" t="s">
        <v>6666</v>
      </c>
      <c r="B4517" s="150" t="str">
        <f>IFERROR(VLOOKUP(Proc[[#This Row],[App]],Table2[],3,0),"open")</f>
        <v>ok</v>
      </c>
      <c r="C4517" s="149" t="s">
        <v>369</v>
      </c>
      <c r="D4517" t="s">
        <v>6671</v>
      </c>
      <c r="E4517" t="s">
        <v>3003</v>
      </c>
      <c r="F4517" s="150" t="s">
        <v>3003</v>
      </c>
      <c r="G4517" s="149" t="s">
        <v>400</v>
      </c>
      <c r="H4517" s="150" t="str">
        <f>IF(Proc[[#This Row],[type]]="LFF (MDG-F)",MID(Proc[[#This Row],[Obj]],13,10),"")</f>
        <v/>
      </c>
      <c r="J4517" s="150" t="b">
        <f>Proc[[#This Row],[Requested]]=Proc[[#This Row],[CurrentParent]]</f>
        <v>1</v>
      </c>
      <c r="K4517" s="150" t="str">
        <f>IF(Proc[[#This Row],[Author]]="Marcela Urrego",VLOOKUP(LEFT(Proc[[#This Row],[Requested]],1),Table3[#All],2,0),VLOOKUP(Proc[[#This Row],[Author]],Table4[],2,0))</f>
        <v>HC</v>
      </c>
      <c r="L4517" s="150" t="s">
        <v>6435</v>
      </c>
      <c r="M4517" s="165">
        <v>45961</v>
      </c>
      <c r="N4517" s="166"/>
      <c r="O4517" s="166"/>
      <c r="P4517" s="165" t="str">
        <f ca="1">IF(Proc[[#This Row],[DaysAgeing]]&gt;5,"yep","on track")</f>
        <v>yep</v>
      </c>
      <c r="Q4517" s="3">
        <f ca="1">IF(Proc[[#This Row],[DateClosed]]="",ABS(NETWORKDAYS(Proc[[#This Row],[DateOpened]],TODAY()))-1,ABS(NETWORKDAYS(Proc[[#This Row],[DateOpened]],Proc[[#This Row],[DateClosed]]))-1)</f>
        <v>30</v>
      </c>
      <c r="R4517" s="165" t="s">
        <v>1013</v>
      </c>
      <c r="S4517" s="150"/>
    </row>
    <row r="4518" spans="1:19">
      <c r="A4518" s="149" t="s">
        <v>6666</v>
      </c>
      <c r="B4518" s="150" t="str">
        <f>IFERROR(VLOOKUP(Proc[[#This Row],[App]],Table2[],3,0),"open")</f>
        <v>ok</v>
      </c>
      <c r="C4518" s="149" t="s">
        <v>369</v>
      </c>
      <c r="D4518" t="s">
        <v>6672</v>
      </c>
      <c r="E4518" t="s">
        <v>3740</v>
      </c>
      <c r="F4518" s="150" t="s">
        <v>3740</v>
      </c>
      <c r="G4518" s="149" t="s">
        <v>400</v>
      </c>
      <c r="H4518" s="150" t="str">
        <f>IF(Proc[[#This Row],[type]]="LFF (MDG-F)",MID(Proc[[#This Row],[Obj]],13,10),"")</f>
        <v/>
      </c>
      <c r="J4518" s="150" t="b">
        <f>Proc[[#This Row],[Requested]]=Proc[[#This Row],[CurrentParent]]</f>
        <v>1</v>
      </c>
      <c r="K4518" s="150" t="str">
        <f>IF(Proc[[#This Row],[Author]]="Marcela Urrego",VLOOKUP(LEFT(Proc[[#This Row],[Requested]],1),Table3[#All],2,0),VLOOKUP(Proc[[#This Row],[Author]],Table4[],2,0))</f>
        <v>HC</v>
      </c>
      <c r="L4518" s="150" t="s">
        <v>6435</v>
      </c>
      <c r="M4518" s="165">
        <v>45961</v>
      </c>
      <c r="N4518" s="166"/>
      <c r="O4518" s="166"/>
      <c r="P4518" s="165" t="str">
        <f ca="1">IF(Proc[[#This Row],[DaysAgeing]]&gt;5,"yep","on track")</f>
        <v>yep</v>
      </c>
      <c r="Q4518" s="3">
        <f ca="1">IF(Proc[[#This Row],[DateClosed]]="",ABS(NETWORKDAYS(Proc[[#This Row],[DateOpened]],TODAY()))-1,ABS(NETWORKDAYS(Proc[[#This Row],[DateOpened]],Proc[[#This Row],[DateClosed]]))-1)</f>
        <v>30</v>
      </c>
      <c r="R4518" s="165" t="s">
        <v>1013</v>
      </c>
      <c r="S4518" s="150"/>
    </row>
    <row r="4519" spans="1:19">
      <c r="A4519" s="149" t="s">
        <v>6666</v>
      </c>
      <c r="B4519" s="150" t="str">
        <f>IFERROR(VLOOKUP(Proc[[#This Row],[App]],Table2[],3,0),"open")</f>
        <v>ok</v>
      </c>
      <c r="C4519" s="149" t="s">
        <v>369</v>
      </c>
      <c r="D4519" t="s">
        <v>6673</v>
      </c>
      <c r="E4519" t="s">
        <v>3740</v>
      </c>
      <c r="F4519" s="150" t="s">
        <v>3740</v>
      </c>
      <c r="G4519" s="149" t="s">
        <v>400</v>
      </c>
      <c r="H4519" s="150" t="str">
        <f>IF(Proc[[#This Row],[type]]="LFF (MDG-F)",MID(Proc[[#This Row],[Obj]],13,10),"")</f>
        <v/>
      </c>
      <c r="J4519" s="150" t="b">
        <f>Proc[[#This Row],[Requested]]=Proc[[#This Row],[CurrentParent]]</f>
        <v>1</v>
      </c>
      <c r="K4519" s="150" t="str">
        <f>IF(Proc[[#This Row],[Author]]="Marcela Urrego",VLOOKUP(LEFT(Proc[[#This Row],[Requested]],1),Table3[#All],2,0),VLOOKUP(Proc[[#This Row],[Author]],Table4[],2,0))</f>
        <v>HC</v>
      </c>
      <c r="L4519" s="150" t="s">
        <v>6435</v>
      </c>
      <c r="M4519" s="165">
        <v>45961</v>
      </c>
      <c r="N4519" s="166"/>
      <c r="O4519" s="166"/>
      <c r="P4519" s="165" t="str">
        <f ca="1">IF(Proc[[#This Row],[DaysAgeing]]&gt;5,"yep","on track")</f>
        <v>yep</v>
      </c>
      <c r="Q4519" s="3">
        <f ca="1">IF(Proc[[#This Row],[DateClosed]]="",ABS(NETWORKDAYS(Proc[[#This Row],[DateOpened]],TODAY()))-1,ABS(NETWORKDAYS(Proc[[#This Row],[DateOpened]],Proc[[#This Row],[DateClosed]]))-1)</f>
        <v>30</v>
      </c>
      <c r="R4519" s="165" t="s">
        <v>1013</v>
      </c>
      <c r="S4519" s="150"/>
    </row>
    <row r="4520" spans="1:19">
      <c r="A4520" s="149" t="s">
        <v>6666</v>
      </c>
      <c r="B4520" s="150" t="str">
        <f>IFERROR(VLOOKUP(Proc[[#This Row],[App]],Table2[],3,0),"open")</f>
        <v>ok</v>
      </c>
      <c r="C4520" s="149" t="s">
        <v>369</v>
      </c>
      <c r="D4520" t="s">
        <v>6674</v>
      </c>
      <c r="E4520" t="s">
        <v>3004</v>
      </c>
      <c r="F4520" s="150" t="s">
        <v>3004</v>
      </c>
      <c r="G4520" s="149" t="s">
        <v>400</v>
      </c>
      <c r="H4520" s="150" t="str">
        <f>IF(Proc[[#This Row],[type]]="LFF (MDG-F)",MID(Proc[[#This Row],[Obj]],13,10),"")</f>
        <v/>
      </c>
      <c r="J4520" s="150" t="b">
        <f>Proc[[#This Row],[Requested]]=Proc[[#This Row],[CurrentParent]]</f>
        <v>1</v>
      </c>
      <c r="K4520" s="150" t="str">
        <f>IF(Proc[[#This Row],[Author]]="Marcela Urrego",VLOOKUP(LEFT(Proc[[#This Row],[Requested]],1),Table3[#All],2,0),VLOOKUP(Proc[[#This Row],[Author]],Table4[],2,0))</f>
        <v>HC</v>
      </c>
      <c r="L4520" s="150" t="s">
        <v>6435</v>
      </c>
      <c r="M4520" s="165">
        <v>45961</v>
      </c>
      <c r="N4520" s="166"/>
      <c r="O4520" s="166"/>
      <c r="P4520" s="165" t="str">
        <f ca="1">IF(Proc[[#This Row],[DaysAgeing]]&gt;5,"yep","on track")</f>
        <v>yep</v>
      </c>
      <c r="Q4520" s="3">
        <f ca="1">IF(Proc[[#This Row],[DateClosed]]="",ABS(NETWORKDAYS(Proc[[#This Row],[DateOpened]],TODAY()))-1,ABS(NETWORKDAYS(Proc[[#This Row],[DateOpened]],Proc[[#This Row],[DateClosed]]))-1)</f>
        <v>30</v>
      </c>
      <c r="R4520" s="165" t="s">
        <v>1013</v>
      </c>
      <c r="S4520" s="150"/>
    </row>
    <row r="4521" spans="1:19">
      <c r="A4521" s="149" t="s">
        <v>6666</v>
      </c>
      <c r="B4521" s="150" t="str">
        <f>IFERROR(VLOOKUP(Proc[[#This Row],[App]],Table2[],3,0),"open")</f>
        <v>ok</v>
      </c>
      <c r="C4521" s="149" t="s">
        <v>369</v>
      </c>
      <c r="D4521" t="s">
        <v>6675</v>
      </c>
      <c r="E4521" t="s">
        <v>3005</v>
      </c>
      <c r="F4521" s="150" t="s">
        <v>3005</v>
      </c>
      <c r="G4521" s="149" t="s">
        <v>400</v>
      </c>
      <c r="H4521" s="150" t="str">
        <f>IF(Proc[[#This Row],[type]]="LFF (MDG-F)",MID(Proc[[#This Row],[Obj]],13,10),"")</f>
        <v/>
      </c>
      <c r="J4521" s="150" t="b">
        <f>Proc[[#This Row],[Requested]]=Proc[[#This Row],[CurrentParent]]</f>
        <v>1</v>
      </c>
      <c r="K4521" s="150" t="str">
        <f>IF(Proc[[#This Row],[Author]]="Marcela Urrego",VLOOKUP(LEFT(Proc[[#This Row],[Requested]],1),Table3[#All],2,0),VLOOKUP(Proc[[#This Row],[Author]],Table4[],2,0))</f>
        <v>HC</v>
      </c>
      <c r="L4521" s="150" t="s">
        <v>6435</v>
      </c>
      <c r="M4521" s="165">
        <v>45961</v>
      </c>
      <c r="N4521" s="166"/>
      <c r="O4521" s="166"/>
      <c r="P4521" s="165" t="str">
        <f ca="1">IF(Proc[[#This Row],[DaysAgeing]]&gt;5,"yep","on track")</f>
        <v>yep</v>
      </c>
      <c r="Q4521" s="3">
        <f ca="1">IF(Proc[[#This Row],[DateClosed]]="",ABS(NETWORKDAYS(Proc[[#This Row],[DateOpened]],TODAY()))-1,ABS(NETWORKDAYS(Proc[[#This Row],[DateOpened]],Proc[[#This Row],[DateClosed]]))-1)</f>
        <v>30</v>
      </c>
      <c r="R4521" s="165" t="s">
        <v>1013</v>
      </c>
      <c r="S4521" s="150"/>
    </row>
    <row r="4522" spans="1:19">
      <c r="A4522" s="149" t="s">
        <v>6666</v>
      </c>
      <c r="B4522" s="150" t="str">
        <f>IFERROR(VLOOKUP(Proc[[#This Row],[App]],Table2[],3,0),"open")</f>
        <v>ok</v>
      </c>
      <c r="C4522" s="149" t="s">
        <v>369</v>
      </c>
      <c r="D4522" t="s">
        <v>6676</v>
      </c>
      <c r="E4522" t="s">
        <v>3004</v>
      </c>
      <c r="F4522" s="150" t="s">
        <v>3004</v>
      </c>
      <c r="G4522" s="149" t="s">
        <v>400</v>
      </c>
      <c r="H4522" s="150" t="str">
        <f>IF(Proc[[#This Row],[type]]="LFF (MDG-F)",MID(Proc[[#This Row],[Obj]],13,10),"")</f>
        <v/>
      </c>
      <c r="J4522" s="150" t="b">
        <f>Proc[[#This Row],[Requested]]=Proc[[#This Row],[CurrentParent]]</f>
        <v>1</v>
      </c>
      <c r="K4522" s="150" t="str">
        <f>IF(Proc[[#This Row],[Author]]="Marcela Urrego",VLOOKUP(LEFT(Proc[[#This Row],[Requested]],1),Table3[#All],2,0),VLOOKUP(Proc[[#This Row],[Author]],Table4[],2,0))</f>
        <v>HC</v>
      </c>
      <c r="L4522" s="150" t="s">
        <v>6435</v>
      </c>
      <c r="M4522" s="165">
        <v>45961</v>
      </c>
      <c r="N4522" s="166"/>
      <c r="O4522" s="166"/>
      <c r="P4522" s="165" t="str">
        <f ca="1">IF(Proc[[#This Row],[DaysAgeing]]&gt;5,"yep","on track")</f>
        <v>yep</v>
      </c>
      <c r="Q4522" s="3">
        <f ca="1">IF(Proc[[#This Row],[DateClosed]]="",ABS(NETWORKDAYS(Proc[[#This Row],[DateOpened]],TODAY()))-1,ABS(NETWORKDAYS(Proc[[#This Row],[DateOpened]],Proc[[#This Row],[DateClosed]]))-1)</f>
        <v>30</v>
      </c>
      <c r="R4522" s="165" t="s">
        <v>1013</v>
      </c>
      <c r="S4522" s="150"/>
    </row>
    <row r="4523" spans="1:19">
      <c r="A4523" s="149" t="s">
        <v>6666</v>
      </c>
      <c r="B4523" s="150" t="str">
        <f>IFERROR(VLOOKUP(Proc[[#This Row],[App]],Table2[],3,0),"open")</f>
        <v>ok</v>
      </c>
      <c r="C4523" s="149" t="s">
        <v>369</v>
      </c>
      <c r="D4523" t="s">
        <v>6677</v>
      </c>
      <c r="E4523" t="s">
        <v>3006</v>
      </c>
      <c r="F4523" s="150" t="s">
        <v>3006</v>
      </c>
      <c r="G4523" s="149" t="s">
        <v>400</v>
      </c>
      <c r="H4523" s="150" t="str">
        <f>IF(Proc[[#This Row],[type]]="LFF (MDG-F)",MID(Proc[[#This Row],[Obj]],13,10),"")</f>
        <v/>
      </c>
      <c r="J4523" s="150" t="b">
        <f>Proc[[#This Row],[Requested]]=Proc[[#This Row],[CurrentParent]]</f>
        <v>1</v>
      </c>
      <c r="K4523" s="150" t="str">
        <f>IF(Proc[[#This Row],[Author]]="Marcela Urrego",VLOOKUP(LEFT(Proc[[#This Row],[Requested]],1),Table3[#All],2,0),VLOOKUP(Proc[[#This Row],[Author]],Table4[],2,0))</f>
        <v>HC</v>
      </c>
      <c r="L4523" s="150" t="s">
        <v>6435</v>
      </c>
      <c r="M4523" s="165">
        <v>45961</v>
      </c>
      <c r="N4523" s="166"/>
      <c r="O4523" s="166"/>
      <c r="P4523" s="165" t="str">
        <f ca="1">IF(Proc[[#This Row],[DaysAgeing]]&gt;5,"yep","on track")</f>
        <v>yep</v>
      </c>
      <c r="Q4523" s="3">
        <f ca="1">IF(Proc[[#This Row],[DateClosed]]="",ABS(NETWORKDAYS(Proc[[#This Row],[DateOpened]],TODAY()))-1,ABS(NETWORKDAYS(Proc[[#This Row],[DateOpened]],Proc[[#This Row],[DateClosed]]))-1)</f>
        <v>30</v>
      </c>
      <c r="R4523" s="165" t="s">
        <v>1013</v>
      </c>
      <c r="S4523" s="150"/>
    </row>
    <row r="4524" spans="1:19">
      <c r="A4524" s="149" t="s">
        <v>6666</v>
      </c>
      <c r="B4524" s="150" t="str">
        <f>IFERROR(VLOOKUP(Proc[[#This Row],[App]],Table2[],3,0),"open")</f>
        <v>ok</v>
      </c>
      <c r="C4524" s="149" t="s">
        <v>369</v>
      </c>
      <c r="D4524" t="s">
        <v>6678</v>
      </c>
      <c r="E4524" t="s">
        <v>3401</v>
      </c>
      <c r="F4524" s="150" t="s">
        <v>3401</v>
      </c>
      <c r="G4524" s="149" t="s">
        <v>400</v>
      </c>
      <c r="H4524" s="150" t="str">
        <f>IF(Proc[[#This Row],[type]]="LFF (MDG-F)",MID(Proc[[#This Row],[Obj]],13,10),"")</f>
        <v/>
      </c>
      <c r="J4524" s="150" t="b">
        <f>Proc[[#This Row],[Requested]]=Proc[[#This Row],[CurrentParent]]</f>
        <v>1</v>
      </c>
      <c r="K4524" s="150" t="str">
        <f>IF(Proc[[#This Row],[Author]]="Marcela Urrego",VLOOKUP(LEFT(Proc[[#This Row],[Requested]],1),Table3[#All],2,0),VLOOKUP(Proc[[#This Row],[Author]],Table4[],2,0))</f>
        <v>HC</v>
      </c>
      <c r="L4524" s="150" t="s">
        <v>6435</v>
      </c>
      <c r="M4524" s="165">
        <v>45961</v>
      </c>
      <c r="N4524" s="166"/>
      <c r="O4524" s="166"/>
      <c r="P4524" s="165" t="str">
        <f ca="1">IF(Proc[[#This Row],[DaysAgeing]]&gt;5,"yep","on track")</f>
        <v>yep</v>
      </c>
      <c r="Q4524" s="3">
        <f ca="1">IF(Proc[[#This Row],[DateClosed]]="",ABS(NETWORKDAYS(Proc[[#This Row],[DateOpened]],TODAY()))-1,ABS(NETWORKDAYS(Proc[[#This Row],[DateOpened]],Proc[[#This Row],[DateClosed]]))-1)</f>
        <v>30</v>
      </c>
      <c r="R4524" s="165" t="s">
        <v>1013</v>
      </c>
      <c r="S4524" s="150"/>
    </row>
    <row r="4525" spans="1:19">
      <c r="A4525" s="149" t="s">
        <v>6666</v>
      </c>
      <c r="B4525" s="150" t="str">
        <f>IFERROR(VLOOKUP(Proc[[#This Row],[App]],Table2[],3,0),"open")</f>
        <v>ok</v>
      </c>
      <c r="C4525" s="149" t="s">
        <v>369</v>
      </c>
      <c r="D4525" t="s">
        <v>6679</v>
      </c>
      <c r="E4525" t="s">
        <v>3401</v>
      </c>
      <c r="F4525" s="150" t="s">
        <v>3401</v>
      </c>
      <c r="G4525" s="149" t="s">
        <v>400</v>
      </c>
      <c r="H4525" s="150" t="str">
        <f>IF(Proc[[#This Row],[type]]="LFF (MDG-F)",MID(Proc[[#This Row],[Obj]],13,10),"")</f>
        <v/>
      </c>
      <c r="J4525" s="150" t="b">
        <f>Proc[[#This Row],[Requested]]=Proc[[#This Row],[CurrentParent]]</f>
        <v>1</v>
      </c>
      <c r="K4525" s="150" t="str">
        <f>IF(Proc[[#This Row],[Author]]="Marcela Urrego",VLOOKUP(LEFT(Proc[[#This Row],[Requested]],1),Table3[#All],2,0),VLOOKUP(Proc[[#This Row],[Author]],Table4[],2,0))</f>
        <v>HC</v>
      </c>
      <c r="L4525" s="150" t="s">
        <v>6435</v>
      </c>
      <c r="M4525" s="165">
        <v>45961</v>
      </c>
      <c r="N4525" s="166"/>
      <c r="O4525" s="166"/>
      <c r="P4525" s="165" t="str">
        <f ca="1">IF(Proc[[#This Row],[DaysAgeing]]&gt;5,"yep","on track")</f>
        <v>yep</v>
      </c>
      <c r="Q4525" s="3">
        <f ca="1">IF(Proc[[#This Row],[DateClosed]]="",ABS(NETWORKDAYS(Proc[[#This Row],[DateOpened]],TODAY()))-1,ABS(NETWORKDAYS(Proc[[#This Row],[DateOpened]],Proc[[#This Row],[DateClosed]]))-1)</f>
        <v>30</v>
      </c>
      <c r="R4525" s="165" t="s">
        <v>1013</v>
      </c>
      <c r="S4525" s="150"/>
    </row>
    <row r="4526" spans="1:19">
      <c r="A4526" s="149" t="s">
        <v>6666</v>
      </c>
      <c r="B4526" s="150" t="str">
        <f>IFERROR(VLOOKUP(Proc[[#This Row],[App]],Table2[],3,0),"open")</f>
        <v>ok</v>
      </c>
      <c r="C4526" s="149" t="s">
        <v>369</v>
      </c>
      <c r="D4526" t="s">
        <v>6680</v>
      </c>
      <c r="E4526" t="s">
        <v>3401</v>
      </c>
      <c r="F4526" s="150" t="s">
        <v>3401</v>
      </c>
      <c r="G4526" s="149" t="s">
        <v>400</v>
      </c>
      <c r="H4526" s="150" t="str">
        <f>IF(Proc[[#This Row],[type]]="LFF (MDG-F)",MID(Proc[[#This Row],[Obj]],13,10),"")</f>
        <v/>
      </c>
      <c r="J4526" s="150" t="b">
        <f>Proc[[#This Row],[Requested]]=Proc[[#This Row],[CurrentParent]]</f>
        <v>1</v>
      </c>
      <c r="K4526" s="150" t="str">
        <f>IF(Proc[[#This Row],[Author]]="Marcela Urrego",VLOOKUP(LEFT(Proc[[#This Row],[Requested]],1),Table3[#All],2,0),VLOOKUP(Proc[[#This Row],[Author]],Table4[],2,0))</f>
        <v>HC</v>
      </c>
      <c r="L4526" s="150" t="s">
        <v>6435</v>
      </c>
      <c r="M4526" s="165">
        <v>45961</v>
      </c>
      <c r="N4526" s="166"/>
      <c r="O4526" s="166"/>
      <c r="P4526" s="165" t="str">
        <f ca="1">IF(Proc[[#This Row],[DaysAgeing]]&gt;5,"yep","on track")</f>
        <v>yep</v>
      </c>
      <c r="Q4526" s="3">
        <f ca="1">IF(Proc[[#This Row],[DateClosed]]="",ABS(NETWORKDAYS(Proc[[#This Row],[DateOpened]],TODAY()))-1,ABS(NETWORKDAYS(Proc[[#This Row],[DateOpened]],Proc[[#This Row],[DateClosed]]))-1)</f>
        <v>30</v>
      </c>
      <c r="R4526" s="165" t="s">
        <v>1013</v>
      </c>
      <c r="S4526" s="150"/>
    </row>
    <row r="4527" spans="1:19">
      <c r="A4527" s="149" t="s">
        <v>6666</v>
      </c>
      <c r="B4527" s="150" t="str">
        <f>IFERROR(VLOOKUP(Proc[[#This Row],[App]],Table2[],3,0),"open")</f>
        <v>ok</v>
      </c>
      <c r="C4527" s="149" t="s">
        <v>369</v>
      </c>
      <c r="D4527" t="s">
        <v>6681</v>
      </c>
      <c r="E4527" t="s">
        <v>6713</v>
      </c>
      <c r="F4527" s="150" t="s">
        <v>6713</v>
      </c>
      <c r="G4527" s="149" t="s">
        <v>400</v>
      </c>
      <c r="H4527" s="150" t="str">
        <f>IF(Proc[[#This Row],[type]]="LFF (MDG-F)",MID(Proc[[#This Row],[Obj]],13,10),"")</f>
        <v/>
      </c>
      <c r="J4527" s="150" t="b">
        <f>Proc[[#This Row],[Requested]]=Proc[[#This Row],[CurrentParent]]</f>
        <v>1</v>
      </c>
      <c r="K4527" s="150" t="str">
        <f>IF(Proc[[#This Row],[Author]]="Marcela Urrego",VLOOKUP(LEFT(Proc[[#This Row],[Requested]],1),Table3[#All],2,0),VLOOKUP(Proc[[#This Row],[Author]],Table4[],2,0))</f>
        <v>HC</v>
      </c>
      <c r="L4527" s="150" t="s">
        <v>6435</v>
      </c>
      <c r="M4527" s="165">
        <v>45961</v>
      </c>
      <c r="N4527" s="166"/>
      <c r="O4527" s="166"/>
      <c r="P4527" s="165" t="str">
        <f ca="1">IF(Proc[[#This Row],[DaysAgeing]]&gt;5,"yep","on track")</f>
        <v>yep</v>
      </c>
      <c r="Q4527" s="3">
        <f ca="1">IF(Proc[[#This Row],[DateClosed]]="",ABS(NETWORKDAYS(Proc[[#This Row],[DateOpened]],TODAY()))-1,ABS(NETWORKDAYS(Proc[[#This Row],[DateOpened]],Proc[[#This Row],[DateClosed]]))-1)</f>
        <v>30</v>
      </c>
      <c r="R4527" s="165" t="s">
        <v>1013</v>
      </c>
      <c r="S4527" s="150"/>
    </row>
    <row r="4528" spans="1:19">
      <c r="A4528" s="149" t="s">
        <v>6666</v>
      </c>
      <c r="B4528" s="150" t="str">
        <f>IFERROR(VLOOKUP(Proc[[#This Row],[App]],Table2[],3,0),"open")</f>
        <v>ok</v>
      </c>
      <c r="C4528" s="149" t="s">
        <v>369</v>
      </c>
      <c r="D4528" t="s">
        <v>6682</v>
      </c>
      <c r="E4528" t="s">
        <v>4068</v>
      </c>
      <c r="F4528" s="150" t="s">
        <v>4068</v>
      </c>
      <c r="G4528" s="149" t="s">
        <v>400</v>
      </c>
      <c r="H4528" s="150" t="str">
        <f>IF(Proc[[#This Row],[type]]="LFF (MDG-F)",MID(Proc[[#This Row],[Obj]],13,10),"")</f>
        <v/>
      </c>
      <c r="J4528" s="150" t="b">
        <f>Proc[[#This Row],[Requested]]=Proc[[#This Row],[CurrentParent]]</f>
        <v>1</v>
      </c>
      <c r="K4528" s="150" t="str">
        <f>IF(Proc[[#This Row],[Author]]="Marcela Urrego",VLOOKUP(LEFT(Proc[[#This Row],[Requested]],1),Table3[#All],2,0),VLOOKUP(Proc[[#This Row],[Author]],Table4[],2,0))</f>
        <v>HC</v>
      </c>
      <c r="L4528" s="150" t="s">
        <v>6435</v>
      </c>
      <c r="M4528" s="165">
        <v>45961</v>
      </c>
      <c r="N4528" s="166"/>
      <c r="O4528" s="166"/>
      <c r="P4528" s="165" t="str">
        <f ca="1">IF(Proc[[#This Row],[DaysAgeing]]&gt;5,"yep","on track")</f>
        <v>yep</v>
      </c>
      <c r="Q4528" s="3">
        <f ca="1">IF(Proc[[#This Row],[DateClosed]]="",ABS(NETWORKDAYS(Proc[[#This Row],[DateOpened]],TODAY()))-1,ABS(NETWORKDAYS(Proc[[#This Row],[DateOpened]],Proc[[#This Row],[DateClosed]]))-1)</f>
        <v>30</v>
      </c>
      <c r="R4528" s="165" t="s">
        <v>1013</v>
      </c>
      <c r="S4528" s="150"/>
    </row>
    <row r="4529" spans="1:19">
      <c r="A4529" s="149" t="s">
        <v>6666</v>
      </c>
      <c r="B4529" s="150" t="str">
        <f>IFERROR(VLOOKUP(Proc[[#This Row],[App]],Table2[],3,0),"open")</f>
        <v>ok</v>
      </c>
      <c r="C4529" s="149" t="s">
        <v>369</v>
      </c>
      <c r="D4529" t="s">
        <v>6683</v>
      </c>
      <c r="E4529" t="s">
        <v>4068</v>
      </c>
      <c r="F4529" s="150" t="s">
        <v>4068</v>
      </c>
      <c r="G4529" s="149" t="s">
        <v>400</v>
      </c>
      <c r="H4529" s="150" t="str">
        <f>IF(Proc[[#This Row],[type]]="LFF (MDG-F)",MID(Proc[[#This Row],[Obj]],13,10),"")</f>
        <v/>
      </c>
      <c r="J4529" s="150" t="b">
        <f>Proc[[#This Row],[Requested]]=Proc[[#This Row],[CurrentParent]]</f>
        <v>1</v>
      </c>
      <c r="K4529" s="150" t="str">
        <f>IF(Proc[[#This Row],[Author]]="Marcela Urrego",VLOOKUP(LEFT(Proc[[#This Row],[Requested]],1),Table3[#All],2,0),VLOOKUP(Proc[[#This Row],[Author]],Table4[],2,0))</f>
        <v>HC</v>
      </c>
      <c r="L4529" s="150" t="s">
        <v>6435</v>
      </c>
      <c r="M4529" s="165">
        <v>45961</v>
      </c>
      <c r="N4529" s="166"/>
      <c r="O4529" s="166"/>
      <c r="P4529" s="165" t="str">
        <f ca="1">IF(Proc[[#This Row],[DaysAgeing]]&gt;5,"yep","on track")</f>
        <v>yep</v>
      </c>
      <c r="Q4529" s="3">
        <f ca="1">IF(Proc[[#This Row],[DateClosed]]="",ABS(NETWORKDAYS(Proc[[#This Row],[DateOpened]],TODAY()))-1,ABS(NETWORKDAYS(Proc[[#This Row],[DateOpened]],Proc[[#This Row],[DateClosed]]))-1)</f>
        <v>30</v>
      </c>
      <c r="R4529" s="165" t="s">
        <v>1013</v>
      </c>
      <c r="S4529" s="150"/>
    </row>
    <row r="4530" spans="1:19">
      <c r="A4530" s="149" t="s">
        <v>6666</v>
      </c>
      <c r="B4530" s="150" t="str">
        <f>IFERROR(VLOOKUP(Proc[[#This Row],[App]],Table2[],3,0),"open")</f>
        <v>ok</v>
      </c>
      <c r="C4530" s="149" t="s">
        <v>369</v>
      </c>
      <c r="D4530" t="s">
        <v>6684</v>
      </c>
      <c r="E4530" t="s">
        <v>4068</v>
      </c>
      <c r="F4530" s="150" t="s">
        <v>4068</v>
      </c>
      <c r="G4530" s="149" t="s">
        <v>400</v>
      </c>
      <c r="H4530" s="150" t="str">
        <f>IF(Proc[[#This Row],[type]]="LFF (MDG-F)",MID(Proc[[#This Row],[Obj]],13,10),"")</f>
        <v/>
      </c>
      <c r="J4530" s="150" t="b">
        <f>Proc[[#This Row],[Requested]]=Proc[[#This Row],[CurrentParent]]</f>
        <v>1</v>
      </c>
      <c r="K4530" s="150" t="str">
        <f>IF(Proc[[#This Row],[Author]]="Marcela Urrego",VLOOKUP(LEFT(Proc[[#This Row],[Requested]],1),Table3[#All],2,0),VLOOKUP(Proc[[#This Row],[Author]],Table4[],2,0))</f>
        <v>HC</v>
      </c>
      <c r="L4530" s="150" t="s">
        <v>6435</v>
      </c>
      <c r="M4530" s="165">
        <v>45961</v>
      </c>
      <c r="N4530" s="166"/>
      <c r="O4530" s="166"/>
      <c r="P4530" s="165" t="str">
        <f ca="1">IF(Proc[[#This Row],[DaysAgeing]]&gt;5,"yep","on track")</f>
        <v>yep</v>
      </c>
      <c r="Q4530" s="3">
        <f ca="1">IF(Proc[[#This Row],[DateClosed]]="",ABS(NETWORKDAYS(Proc[[#This Row],[DateOpened]],TODAY()))-1,ABS(NETWORKDAYS(Proc[[#This Row],[DateOpened]],Proc[[#This Row],[DateClosed]]))-1)</f>
        <v>30</v>
      </c>
      <c r="R4530" s="165" t="s">
        <v>1013</v>
      </c>
      <c r="S4530" s="150"/>
    </row>
    <row r="4531" spans="1:19">
      <c r="A4531" s="149" t="s">
        <v>6666</v>
      </c>
      <c r="B4531" s="150" t="str">
        <f>IFERROR(VLOOKUP(Proc[[#This Row],[App]],Table2[],3,0),"open")</f>
        <v>ok</v>
      </c>
      <c r="C4531" s="149" t="s">
        <v>369</v>
      </c>
      <c r="D4531" t="s">
        <v>6685</v>
      </c>
      <c r="E4531" t="s">
        <v>4068</v>
      </c>
      <c r="F4531" s="150" t="s">
        <v>4068</v>
      </c>
      <c r="G4531" s="149" t="s">
        <v>400</v>
      </c>
      <c r="H4531" s="150" t="str">
        <f>IF(Proc[[#This Row],[type]]="LFF (MDG-F)",MID(Proc[[#This Row],[Obj]],13,10),"")</f>
        <v/>
      </c>
      <c r="J4531" s="150" t="b">
        <f>Proc[[#This Row],[Requested]]=Proc[[#This Row],[CurrentParent]]</f>
        <v>1</v>
      </c>
      <c r="K4531" s="150" t="str">
        <f>IF(Proc[[#This Row],[Author]]="Marcela Urrego",VLOOKUP(LEFT(Proc[[#This Row],[Requested]],1),Table3[#All],2,0),VLOOKUP(Proc[[#This Row],[Author]],Table4[],2,0))</f>
        <v>HC</v>
      </c>
      <c r="L4531" s="150" t="s">
        <v>6435</v>
      </c>
      <c r="M4531" s="165">
        <v>45961</v>
      </c>
      <c r="N4531" s="166"/>
      <c r="O4531" s="166"/>
      <c r="P4531" s="165" t="str">
        <f ca="1">IF(Proc[[#This Row],[DaysAgeing]]&gt;5,"yep","on track")</f>
        <v>yep</v>
      </c>
      <c r="Q4531" s="3">
        <f ca="1">IF(Proc[[#This Row],[DateClosed]]="",ABS(NETWORKDAYS(Proc[[#This Row],[DateOpened]],TODAY()))-1,ABS(NETWORKDAYS(Proc[[#This Row],[DateOpened]],Proc[[#This Row],[DateClosed]]))-1)</f>
        <v>30</v>
      </c>
      <c r="R4531" s="165" t="s">
        <v>1013</v>
      </c>
      <c r="S4531" s="150"/>
    </row>
    <row r="4532" spans="1:19">
      <c r="A4532" s="149" t="s">
        <v>6666</v>
      </c>
      <c r="B4532" s="150" t="str">
        <f>IFERROR(VLOOKUP(Proc[[#This Row],[App]],Table2[],3,0),"open")</f>
        <v>ok</v>
      </c>
      <c r="C4532" s="149" t="s">
        <v>369</v>
      </c>
      <c r="D4532" t="s">
        <v>6686</v>
      </c>
      <c r="E4532" t="s">
        <v>4068</v>
      </c>
      <c r="F4532" s="150" t="s">
        <v>4068</v>
      </c>
      <c r="G4532" s="149" t="s">
        <v>400</v>
      </c>
      <c r="H4532" s="150" t="str">
        <f>IF(Proc[[#This Row],[type]]="LFF (MDG-F)",MID(Proc[[#This Row],[Obj]],13,10),"")</f>
        <v/>
      </c>
      <c r="J4532" s="150" t="b">
        <f>Proc[[#This Row],[Requested]]=Proc[[#This Row],[CurrentParent]]</f>
        <v>1</v>
      </c>
      <c r="K4532" s="150" t="str">
        <f>IF(Proc[[#This Row],[Author]]="Marcela Urrego",VLOOKUP(LEFT(Proc[[#This Row],[Requested]],1),Table3[#All],2,0),VLOOKUP(Proc[[#This Row],[Author]],Table4[],2,0))</f>
        <v>HC</v>
      </c>
      <c r="L4532" s="150" t="s">
        <v>6435</v>
      </c>
      <c r="M4532" s="165">
        <v>45961</v>
      </c>
      <c r="N4532" s="166"/>
      <c r="O4532" s="166"/>
      <c r="P4532" s="165" t="str">
        <f ca="1">IF(Proc[[#This Row],[DaysAgeing]]&gt;5,"yep","on track")</f>
        <v>yep</v>
      </c>
      <c r="Q4532" s="3">
        <f ca="1">IF(Proc[[#This Row],[DateClosed]]="",ABS(NETWORKDAYS(Proc[[#This Row],[DateOpened]],TODAY()))-1,ABS(NETWORKDAYS(Proc[[#This Row],[DateOpened]],Proc[[#This Row],[DateClosed]]))-1)</f>
        <v>30</v>
      </c>
      <c r="R4532" s="165" t="s">
        <v>1013</v>
      </c>
      <c r="S4532" s="150"/>
    </row>
    <row r="4533" spans="1:19">
      <c r="A4533" s="149" t="s">
        <v>6666</v>
      </c>
      <c r="B4533" s="150" t="str">
        <f>IFERROR(VLOOKUP(Proc[[#This Row],[App]],Table2[],3,0),"open")</f>
        <v>ok</v>
      </c>
      <c r="C4533" s="149" t="s">
        <v>369</v>
      </c>
      <c r="D4533" t="s">
        <v>6687</v>
      </c>
      <c r="E4533" t="s">
        <v>4068</v>
      </c>
      <c r="F4533" s="150" t="s">
        <v>4068</v>
      </c>
      <c r="G4533" s="149" t="s">
        <v>400</v>
      </c>
      <c r="H4533" s="150" t="str">
        <f>IF(Proc[[#This Row],[type]]="LFF (MDG-F)",MID(Proc[[#This Row],[Obj]],13,10),"")</f>
        <v/>
      </c>
      <c r="J4533" s="150" t="b">
        <f>Proc[[#This Row],[Requested]]=Proc[[#This Row],[CurrentParent]]</f>
        <v>1</v>
      </c>
      <c r="K4533" s="150" t="str">
        <f>IF(Proc[[#This Row],[Author]]="Marcela Urrego",VLOOKUP(LEFT(Proc[[#This Row],[Requested]],1),Table3[#All],2,0),VLOOKUP(Proc[[#This Row],[Author]],Table4[],2,0))</f>
        <v>HC</v>
      </c>
      <c r="L4533" s="150" t="s">
        <v>6435</v>
      </c>
      <c r="M4533" s="165">
        <v>45961</v>
      </c>
      <c r="N4533" s="166"/>
      <c r="O4533" s="166"/>
      <c r="P4533" s="165" t="str">
        <f ca="1">IF(Proc[[#This Row],[DaysAgeing]]&gt;5,"yep","on track")</f>
        <v>yep</v>
      </c>
      <c r="Q4533" s="3">
        <f ca="1">IF(Proc[[#This Row],[DateClosed]]="",ABS(NETWORKDAYS(Proc[[#This Row],[DateOpened]],TODAY()))-1,ABS(NETWORKDAYS(Proc[[#This Row],[DateOpened]],Proc[[#This Row],[DateClosed]]))-1)</f>
        <v>30</v>
      </c>
      <c r="R4533" s="165" t="s">
        <v>1013</v>
      </c>
      <c r="S4533" s="150"/>
    </row>
    <row r="4534" spans="1:19">
      <c r="A4534" s="149" t="s">
        <v>6666</v>
      </c>
      <c r="B4534" s="150" t="str">
        <f>IFERROR(VLOOKUP(Proc[[#This Row],[App]],Table2[],3,0),"open")</f>
        <v>ok</v>
      </c>
      <c r="C4534" s="149" t="s">
        <v>369</v>
      </c>
      <c r="D4534" t="s">
        <v>6688</v>
      </c>
      <c r="E4534" t="s">
        <v>4068</v>
      </c>
      <c r="F4534" s="150" t="s">
        <v>4068</v>
      </c>
      <c r="G4534" s="149" t="s">
        <v>400</v>
      </c>
      <c r="H4534" s="150" t="str">
        <f>IF(Proc[[#This Row],[type]]="LFF (MDG-F)",MID(Proc[[#This Row],[Obj]],13,10),"")</f>
        <v/>
      </c>
      <c r="J4534" s="150" t="b">
        <f>Proc[[#This Row],[Requested]]=Proc[[#This Row],[CurrentParent]]</f>
        <v>1</v>
      </c>
      <c r="K4534" s="150" t="str">
        <f>IF(Proc[[#This Row],[Author]]="Marcela Urrego",VLOOKUP(LEFT(Proc[[#This Row],[Requested]],1),Table3[#All],2,0),VLOOKUP(Proc[[#This Row],[Author]],Table4[],2,0))</f>
        <v>HC</v>
      </c>
      <c r="L4534" s="150" t="s">
        <v>6435</v>
      </c>
      <c r="M4534" s="165">
        <v>45961</v>
      </c>
      <c r="N4534" s="166"/>
      <c r="O4534" s="166"/>
      <c r="P4534" s="165" t="str">
        <f ca="1">IF(Proc[[#This Row],[DaysAgeing]]&gt;5,"yep","on track")</f>
        <v>yep</v>
      </c>
      <c r="Q4534" s="3">
        <f ca="1">IF(Proc[[#This Row],[DateClosed]]="",ABS(NETWORKDAYS(Proc[[#This Row],[DateOpened]],TODAY()))-1,ABS(NETWORKDAYS(Proc[[#This Row],[DateOpened]],Proc[[#This Row],[DateClosed]]))-1)</f>
        <v>30</v>
      </c>
      <c r="R4534" s="165" t="s">
        <v>1013</v>
      </c>
      <c r="S4534" s="150"/>
    </row>
    <row r="4535" spans="1:19">
      <c r="A4535" s="149" t="s">
        <v>6666</v>
      </c>
      <c r="B4535" s="150" t="str">
        <f>IFERROR(VLOOKUP(Proc[[#This Row],[App]],Table2[],3,0),"open")</f>
        <v>ok</v>
      </c>
      <c r="C4535" s="149" t="s">
        <v>369</v>
      </c>
      <c r="D4535" t="s">
        <v>6689</v>
      </c>
      <c r="E4535" t="s">
        <v>4068</v>
      </c>
      <c r="F4535" s="150" t="s">
        <v>4068</v>
      </c>
      <c r="G4535" s="149" t="s">
        <v>400</v>
      </c>
      <c r="H4535" s="150" t="str">
        <f>IF(Proc[[#This Row],[type]]="LFF (MDG-F)",MID(Proc[[#This Row],[Obj]],13,10),"")</f>
        <v/>
      </c>
      <c r="J4535" s="150" t="b">
        <f>Proc[[#This Row],[Requested]]=Proc[[#This Row],[CurrentParent]]</f>
        <v>1</v>
      </c>
      <c r="K4535" s="150" t="str">
        <f>IF(Proc[[#This Row],[Author]]="Marcela Urrego",VLOOKUP(LEFT(Proc[[#This Row],[Requested]],1),Table3[#All],2,0),VLOOKUP(Proc[[#This Row],[Author]],Table4[],2,0))</f>
        <v>HC</v>
      </c>
      <c r="L4535" s="150" t="s">
        <v>6435</v>
      </c>
      <c r="M4535" s="165">
        <v>45961</v>
      </c>
      <c r="N4535" s="166"/>
      <c r="O4535" s="166"/>
      <c r="P4535" s="165" t="str">
        <f ca="1">IF(Proc[[#This Row],[DaysAgeing]]&gt;5,"yep","on track")</f>
        <v>yep</v>
      </c>
      <c r="Q4535" s="3">
        <f ca="1">IF(Proc[[#This Row],[DateClosed]]="",ABS(NETWORKDAYS(Proc[[#This Row],[DateOpened]],TODAY()))-1,ABS(NETWORKDAYS(Proc[[#This Row],[DateOpened]],Proc[[#This Row],[DateClosed]]))-1)</f>
        <v>30</v>
      </c>
      <c r="R4535" s="165" t="s">
        <v>1013</v>
      </c>
      <c r="S4535" s="150"/>
    </row>
    <row r="4536" spans="1:19">
      <c r="A4536" s="149" t="s">
        <v>6666</v>
      </c>
      <c r="B4536" s="150" t="str">
        <f>IFERROR(VLOOKUP(Proc[[#This Row],[App]],Table2[],3,0),"open")</f>
        <v>ok</v>
      </c>
      <c r="C4536" s="149" t="s">
        <v>369</v>
      </c>
      <c r="D4536" t="s">
        <v>6690</v>
      </c>
      <c r="E4536" t="s">
        <v>4068</v>
      </c>
      <c r="F4536" s="150" t="s">
        <v>4068</v>
      </c>
      <c r="G4536" s="149" t="s">
        <v>400</v>
      </c>
      <c r="H4536" s="150" t="str">
        <f>IF(Proc[[#This Row],[type]]="LFF (MDG-F)",MID(Proc[[#This Row],[Obj]],13,10),"")</f>
        <v/>
      </c>
      <c r="J4536" s="150" t="b">
        <f>Proc[[#This Row],[Requested]]=Proc[[#This Row],[CurrentParent]]</f>
        <v>1</v>
      </c>
      <c r="K4536" s="150" t="str">
        <f>IF(Proc[[#This Row],[Author]]="Marcela Urrego",VLOOKUP(LEFT(Proc[[#This Row],[Requested]],1),Table3[#All],2,0),VLOOKUP(Proc[[#This Row],[Author]],Table4[],2,0))</f>
        <v>HC</v>
      </c>
      <c r="L4536" s="150" t="s">
        <v>6435</v>
      </c>
      <c r="M4536" s="165">
        <v>45961</v>
      </c>
      <c r="N4536" s="166"/>
      <c r="O4536" s="166"/>
      <c r="P4536" s="165" t="str">
        <f ca="1">IF(Proc[[#This Row],[DaysAgeing]]&gt;5,"yep","on track")</f>
        <v>yep</v>
      </c>
      <c r="Q4536" s="3">
        <f ca="1">IF(Proc[[#This Row],[DateClosed]]="",ABS(NETWORKDAYS(Proc[[#This Row],[DateOpened]],TODAY()))-1,ABS(NETWORKDAYS(Proc[[#This Row],[DateOpened]],Proc[[#This Row],[DateClosed]]))-1)</f>
        <v>30</v>
      </c>
      <c r="R4536" s="165" t="s">
        <v>1013</v>
      </c>
      <c r="S4536" s="150"/>
    </row>
    <row r="4537" spans="1:19">
      <c r="A4537" s="149" t="s">
        <v>6666</v>
      </c>
      <c r="B4537" s="150" t="str">
        <f>IFERROR(VLOOKUP(Proc[[#This Row],[App]],Table2[],3,0),"open")</f>
        <v>ok</v>
      </c>
      <c r="C4537" s="149" t="s">
        <v>369</v>
      </c>
      <c r="D4537" t="s">
        <v>6691</v>
      </c>
      <c r="E4537" t="s">
        <v>4068</v>
      </c>
      <c r="F4537" s="150" t="s">
        <v>4068</v>
      </c>
      <c r="G4537" s="149" t="s">
        <v>400</v>
      </c>
      <c r="H4537" s="150" t="str">
        <f>IF(Proc[[#This Row],[type]]="LFF (MDG-F)",MID(Proc[[#This Row],[Obj]],13,10),"")</f>
        <v/>
      </c>
      <c r="J4537" s="150" t="b">
        <f>Proc[[#This Row],[Requested]]=Proc[[#This Row],[CurrentParent]]</f>
        <v>1</v>
      </c>
      <c r="K4537" s="150" t="str">
        <f>IF(Proc[[#This Row],[Author]]="Marcela Urrego",VLOOKUP(LEFT(Proc[[#This Row],[Requested]],1),Table3[#All],2,0),VLOOKUP(Proc[[#This Row],[Author]],Table4[],2,0))</f>
        <v>HC</v>
      </c>
      <c r="L4537" s="150" t="s">
        <v>6435</v>
      </c>
      <c r="M4537" s="165">
        <v>45961</v>
      </c>
      <c r="N4537" s="166"/>
      <c r="O4537" s="166"/>
      <c r="P4537" s="165" t="str">
        <f ca="1">IF(Proc[[#This Row],[DaysAgeing]]&gt;5,"yep","on track")</f>
        <v>yep</v>
      </c>
      <c r="Q4537" s="3">
        <f ca="1">IF(Proc[[#This Row],[DateClosed]]="",ABS(NETWORKDAYS(Proc[[#This Row],[DateOpened]],TODAY()))-1,ABS(NETWORKDAYS(Proc[[#This Row],[DateOpened]],Proc[[#This Row],[DateClosed]]))-1)</f>
        <v>30</v>
      </c>
      <c r="R4537" s="165" t="s">
        <v>1013</v>
      </c>
      <c r="S4537" s="150"/>
    </row>
    <row r="4538" spans="1:19">
      <c r="A4538" s="149" t="s">
        <v>6666</v>
      </c>
      <c r="B4538" s="150" t="str">
        <f>IFERROR(VLOOKUP(Proc[[#This Row],[App]],Table2[],3,0),"open")</f>
        <v>ok</v>
      </c>
      <c r="C4538" s="149" t="s">
        <v>369</v>
      </c>
      <c r="D4538" t="s">
        <v>6692</v>
      </c>
      <c r="E4538" t="s">
        <v>4068</v>
      </c>
      <c r="F4538" s="150" t="s">
        <v>4068</v>
      </c>
      <c r="G4538" s="149" t="s">
        <v>400</v>
      </c>
      <c r="H4538" s="150" t="str">
        <f>IF(Proc[[#This Row],[type]]="LFF (MDG-F)",MID(Proc[[#This Row],[Obj]],13,10),"")</f>
        <v/>
      </c>
      <c r="J4538" s="150" t="b">
        <f>Proc[[#This Row],[Requested]]=Proc[[#This Row],[CurrentParent]]</f>
        <v>1</v>
      </c>
      <c r="K4538" s="150" t="str">
        <f>IF(Proc[[#This Row],[Author]]="Marcela Urrego",VLOOKUP(LEFT(Proc[[#This Row],[Requested]],1),Table3[#All],2,0),VLOOKUP(Proc[[#This Row],[Author]],Table4[],2,0))</f>
        <v>HC</v>
      </c>
      <c r="L4538" s="150" t="s">
        <v>6435</v>
      </c>
      <c r="M4538" s="165">
        <v>45961</v>
      </c>
      <c r="N4538" s="166"/>
      <c r="O4538" s="166"/>
      <c r="P4538" s="165" t="str">
        <f ca="1">IF(Proc[[#This Row],[DaysAgeing]]&gt;5,"yep","on track")</f>
        <v>yep</v>
      </c>
      <c r="Q4538" s="3">
        <f ca="1">IF(Proc[[#This Row],[DateClosed]]="",ABS(NETWORKDAYS(Proc[[#This Row],[DateOpened]],TODAY()))-1,ABS(NETWORKDAYS(Proc[[#This Row],[DateOpened]],Proc[[#This Row],[DateClosed]]))-1)</f>
        <v>30</v>
      </c>
      <c r="R4538" s="165" t="s">
        <v>1013</v>
      </c>
      <c r="S4538" s="150"/>
    </row>
    <row r="4539" spans="1:19">
      <c r="A4539" s="149" t="s">
        <v>6666</v>
      </c>
      <c r="B4539" s="150" t="str">
        <f>IFERROR(VLOOKUP(Proc[[#This Row],[App]],Table2[],3,0),"open")</f>
        <v>ok</v>
      </c>
      <c r="C4539" s="149" t="s">
        <v>369</v>
      </c>
      <c r="D4539" t="s">
        <v>6693</v>
      </c>
      <c r="E4539" t="s">
        <v>4068</v>
      </c>
      <c r="F4539" s="150" t="s">
        <v>4068</v>
      </c>
      <c r="G4539" s="149" t="s">
        <v>400</v>
      </c>
      <c r="H4539" s="150" t="str">
        <f>IF(Proc[[#This Row],[type]]="LFF (MDG-F)",MID(Proc[[#This Row],[Obj]],13,10),"")</f>
        <v/>
      </c>
      <c r="J4539" s="150" t="b">
        <f>Proc[[#This Row],[Requested]]=Proc[[#This Row],[CurrentParent]]</f>
        <v>1</v>
      </c>
      <c r="K4539" s="150" t="str">
        <f>IF(Proc[[#This Row],[Author]]="Marcela Urrego",VLOOKUP(LEFT(Proc[[#This Row],[Requested]],1),Table3[#All],2,0),VLOOKUP(Proc[[#This Row],[Author]],Table4[],2,0))</f>
        <v>HC</v>
      </c>
      <c r="L4539" s="150" t="s">
        <v>6435</v>
      </c>
      <c r="M4539" s="165">
        <v>45961</v>
      </c>
      <c r="N4539" s="166"/>
      <c r="O4539" s="166"/>
      <c r="P4539" s="165" t="str">
        <f ca="1">IF(Proc[[#This Row],[DaysAgeing]]&gt;5,"yep","on track")</f>
        <v>yep</v>
      </c>
      <c r="Q4539" s="3">
        <f ca="1">IF(Proc[[#This Row],[DateClosed]]="",ABS(NETWORKDAYS(Proc[[#This Row],[DateOpened]],TODAY()))-1,ABS(NETWORKDAYS(Proc[[#This Row],[DateOpened]],Proc[[#This Row],[DateClosed]]))-1)</f>
        <v>30</v>
      </c>
      <c r="R4539" s="165" t="s">
        <v>1013</v>
      </c>
      <c r="S4539" s="150"/>
    </row>
    <row r="4540" spans="1:19">
      <c r="A4540" s="149" t="s">
        <v>6666</v>
      </c>
      <c r="B4540" s="150" t="str">
        <f>IFERROR(VLOOKUP(Proc[[#This Row],[App]],Table2[],3,0),"open")</f>
        <v>ok</v>
      </c>
      <c r="C4540" s="149" t="s">
        <v>369</v>
      </c>
      <c r="D4540" t="s">
        <v>6694</v>
      </c>
      <c r="E4540" t="s">
        <v>4068</v>
      </c>
      <c r="F4540" s="150" t="s">
        <v>4068</v>
      </c>
      <c r="G4540" s="149" t="s">
        <v>400</v>
      </c>
      <c r="H4540" s="150" t="str">
        <f>IF(Proc[[#This Row],[type]]="LFF (MDG-F)",MID(Proc[[#This Row],[Obj]],13,10),"")</f>
        <v/>
      </c>
      <c r="J4540" s="150" t="b">
        <f>Proc[[#This Row],[Requested]]=Proc[[#This Row],[CurrentParent]]</f>
        <v>1</v>
      </c>
      <c r="K4540" s="150" t="str">
        <f>IF(Proc[[#This Row],[Author]]="Marcela Urrego",VLOOKUP(LEFT(Proc[[#This Row],[Requested]],1),Table3[#All],2,0),VLOOKUP(Proc[[#This Row],[Author]],Table4[],2,0))</f>
        <v>HC</v>
      </c>
      <c r="L4540" s="150" t="s">
        <v>6435</v>
      </c>
      <c r="M4540" s="165">
        <v>45961</v>
      </c>
      <c r="N4540" s="166"/>
      <c r="O4540" s="166"/>
      <c r="P4540" s="165" t="str">
        <f ca="1">IF(Proc[[#This Row],[DaysAgeing]]&gt;5,"yep","on track")</f>
        <v>yep</v>
      </c>
      <c r="Q4540" s="3">
        <f ca="1">IF(Proc[[#This Row],[DateClosed]]="",ABS(NETWORKDAYS(Proc[[#This Row],[DateOpened]],TODAY()))-1,ABS(NETWORKDAYS(Proc[[#This Row],[DateOpened]],Proc[[#This Row],[DateClosed]]))-1)</f>
        <v>30</v>
      </c>
      <c r="R4540" s="165" t="s">
        <v>1013</v>
      </c>
      <c r="S4540" s="150"/>
    </row>
    <row r="4541" spans="1:19">
      <c r="A4541" s="149" t="s">
        <v>6666</v>
      </c>
      <c r="B4541" s="150" t="str">
        <f>IFERROR(VLOOKUP(Proc[[#This Row],[App]],Table2[],3,0),"open")</f>
        <v>ok</v>
      </c>
      <c r="C4541" s="149" t="s">
        <v>369</v>
      </c>
      <c r="D4541" t="s">
        <v>6695</v>
      </c>
      <c r="E4541" t="s">
        <v>4068</v>
      </c>
      <c r="F4541" s="150" t="s">
        <v>4068</v>
      </c>
      <c r="G4541" s="149" t="s">
        <v>400</v>
      </c>
      <c r="H4541" s="150" t="str">
        <f>IF(Proc[[#This Row],[type]]="LFF (MDG-F)",MID(Proc[[#This Row],[Obj]],13,10),"")</f>
        <v/>
      </c>
      <c r="J4541" s="150" t="b">
        <f>Proc[[#This Row],[Requested]]=Proc[[#This Row],[CurrentParent]]</f>
        <v>1</v>
      </c>
      <c r="K4541" s="150" t="str">
        <f>IF(Proc[[#This Row],[Author]]="Marcela Urrego",VLOOKUP(LEFT(Proc[[#This Row],[Requested]],1),Table3[#All],2,0),VLOOKUP(Proc[[#This Row],[Author]],Table4[],2,0))</f>
        <v>HC</v>
      </c>
      <c r="L4541" s="150" t="s">
        <v>6435</v>
      </c>
      <c r="M4541" s="165">
        <v>45961</v>
      </c>
      <c r="N4541" s="166"/>
      <c r="O4541" s="166"/>
      <c r="P4541" s="165" t="str">
        <f ca="1">IF(Proc[[#This Row],[DaysAgeing]]&gt;5,"yep","on track")</f>
        <v>yep</v>
      </c>
      <c r="Q4541" s="3">
        <f ca="1">IF(Proc[[#This Row],[DateClosed]]="",ABS(NETWORKDAYS(Proc[[#This Row],[DateOpened]],TODAY()))-1,ABS(NETWORKDAYS(Proc[[#This Row],[DateOpened]],Proc[[#This Row],[DateClosed]]))-1)</f>
        <v>30</v>
      </c>
      <c r="R4541" s="165" t="s">
        <v>1013</v>
      </c>
      <c r="S4541" s="150"/>
    </row>
    <row r="4542" spans="1:19">
      <c r="A4542" s="149" t="s">
        <v>6666</v>
      </c>
      <c r="B4542" s="150" t="str">
        <f>IFERROR(VLOOKUP(Proc[[#This Row],[App]],Table2[],3,0),"open")</f>
        <v>ok</v>
      </c>
      <c r="C4542" s="149" t="s">
        <v>369</v>
      </c>
      <c r="D4542" t="s">
        <v>6696</v>
      </c>
      <c r="E4542" t="s">
        <v>4068</v>
      </c>
      <c r="F4542" s="150" t="s">
        <v>4068</v>
      </c>
      <c r="G4542" s="149" t="s">
        <v>400</v>
      </c>
      <c r="H4542" s="150" t="str">
        <f>IF(Proc[[#This Row],[type]]="LFF (MDG-F)",MID(Proc[[#This Row],[Obj]],13,10),"")</f>
        <v/>
      </c>
      <c r="J4542" s="150" t="b">
        <f>Proc[[#This Row],[Requested]]=Proc[[#This Row],[CurrentParent]]</f>
        <v>1</v>
      </c>
      <c r="K4542" s="150" t="str">
        <f>IF(Proc[[#This Row],[Author]]="Marcela Urrego",VLOOKUP(LEFT(Proc[[#This Row],[Requested]],1),Table3[#All],2,0),VLOOKUP(Proc[[#This Row],[Author]],Table4[],2,0))</f>
        <v>HC</v>
      </c>
      <c r="L4542" s="150" t="s">
        <v>6435</v>
      </c>
      <c r="M4542" s="165">
        <v>45961</v>
      </c>
      <c r="N4542" s="166"/>
      <c r="O4542" s="166"/>
      <c r="P4542" s="165" t="str">
        <f ca="1">IF(Proc[[#This Row],[DaysAgeing]]&gt;5,"yep","on track")</f>
        <v>yep</v>
      </c>
      <c r="Q4542" s="3">
        <f ca="1">IF(Proc[[#This Row],[DateClosed]]="",ABS(NETWORKDAYS(Proc[[#This Row],[DateOpened]],TODAY()))-1,ABS(NETWORKDAYS(Proc[[#This Row],[DateOpened]],Proc[[#This Row],[DateClosed]]))-1)</f>
        <v>30</v>
      </c>
      <c r="R4542" s="165" t="s">
        <v>1013</v>
      </c>
      <c r="S4542" s="150"/>
    </row>
    <row r="4543" spans="1:19">
      <c r="A4543" s="149" t="s">
        <v>6666</v>
      </c>
      <c r="B4543" s="150" t="str">
        <f>IFERROR(VLOOKUP(Proc[[#This Row],[App]],Table2[],3,0),"open")</f>
        <v>ok</v>
      </c>
      <c r="C4543" s="149" t="s">
        <v>369</v>
      </c>
      <c r="D4543" t="s">
        <v>6697</v>
      </c>
      <c r="E4543" t="s">
        <v>4068</v>
      </c>
      <c r="F4543" s="150" t="s">
        <v>4068</v>
      </c>
      <c r="G4543" s="149" t="s">
        <v>400</v>
      </c>
      <c r="H4543" s="150" t="str">
        <f>IF(Proc[[#This Row],[type]]="LFF (MDG-F)",MID(Proc[[#This Row],[Obj]],13,10),"")</f>
        <v/>
      </c>
      <c r="J4543" s="150" t="b">
        <f>Proc[[#This Row],[Requested]]=Proc[[#This Row],[CurrentParent]]</f>
        <v>1</v>
      </c>
      <c r="K4543" s="150" t="str">
        <f>IF(Proc[[#This Row],[Author]]="Marcela Urrego",VLOOKUP(LEFT(Proc[[#This Row],[Requested]],1),Table3[#All],2,0),VLOOKUP(Proc[[#This Row],[Author]],Table4[],2,0))</f>
        <v>HC</v>
      </c>
      <c r="L4543" s="150" t="s">
        <v>6435</v>
      </c>
      <c r="M4543" s="165">
        <v>45961</v>
      </c>
      <c r="N4543" s="166"/>
      <c r="O4543" s="166"/>
      <c r="P4543" s="165" t="str">
        <f ca="1">IF(Proc[[#This Row],[DaysAgeing]]&gt;5,"yep","on track")</f>
        <v>yep</v>
      </c>
      <c r="Q4543" s="3">
        <f ca="1">IF(Proc[[#This Row],[DateClosed]]="",ABS(NETWORKDAYS(Proc[[#This Row],[DateOpened]],TODAY()))-1,ABS(NETWORKDAYS(Proc[[#This Row],[DateOpened]],Proc[[#This Row],[DateClosed]]))-1)</f>
        <v>30</v>
      </c>
      <c r="R4543" s="165" t="s">
        <v>1013</v>
      </c>
      <c r="S4543" s="150"/>
    </row>
    <row r="4544" spans="1:19">
      <c r="A4544" s="149" t="s">
        <v>6666</v>
      </c>
      <c r="B4544" s="150" t="str">
        <f>IFERROR(VLOOKUP(Proc[[#This Row],[App]],Table2[],3,0),"open")</f>
        <v>ok</v>
      </c>
      <c r="C4544" s="149" t="s">
        <v>369</v>
      </c>
      <c r="D4544" t="s">
        <v>6698</v>
      </c>
      <c r="E4544" t="s">
        <v>4068</v>
      </c>
      <c r="F4544" s="150" t="s">
        <v>4068</v>
      </c>
      <c r="G4544" s="149" t="s">
        <v>400</v>
      </c>
      <c r="H4544" s="150" t="str">
        <f>IF(Proc[[#This Row],[type]]="LFF (MDG-F)",MID(Proc[[#This Row],[Obj]],13,10),"")</f>
        <v/>
      </c>
      <c r="J4544" s="150" t="b">
        <f>Proc[[#This Row],[Requested]]=Proc[[#This Row],[CurrentParent]]</f>
        <v>1</v>
      </c>
      <c r="K4544" s="150" t="str">
        <f>IF(Proc[[#This Row],[Author]]="Marcela Urrego",VLOOKUP(LEFT(Proc[[#This Row],[Requested]],1),Table3[#All],2,0),VLOOKUP(Proc[[#This Row],[Author]],Table4[],2,0))</f>
        <v>HC</v>
      </c>
      <c r="L4544" s="150" t="s">
        <v>6435</v>
      </c>
      <c r="M4544" s="165">
        <v>45961</v>
      </c>
      <c r="N4544" s="166"/>
      <c r="O4544" s="166"/>
      <c r="P4544" s="165" t="str">
        <f ca="1">IF(Proc[[#This Row],[DaysAgeing]]&gt;5,"yep","on track")</f>
        <v>yep</v>
      </c>
      <c r="Q4544" s="3">
        <f ca="1">IF(Proc[[#This Row],[DateClosed]]="",ABS(NETWORKDAYS(Proc[[#This Row],[DateOpened]],TODAY()))-1,ABS(NETWORKDAYS(Proc[[#This Row],[DateOpened]],Proc[[#This Row],[DateClosed]]))-1)</f>
        <v>30</v>
      </c>
      <c r="R4544" s="165" t="s">
        <v>1013</v>
      </c>
      <c r="S4544" s="150"/>
    </row>
    <row r="4545" spans="1:19">
      <c r="A4545" s="149" t="s">
        <v>6666</v>
      </c>
      <c r="B4545" s="150" t="str">
        <f>IFERROR(VLOOKUP(Proc[[#This Row],[App]],Table2[],3,0),"open")</f>
        <v>ok</v>
      </c>
      <c r="C4545" s="149" t="s">
        <v>369</v>
      </c>
      <c r="D4545" t="s">
        <v>6699</v>
      </c>
      <c r="E4545" t="s">
        <v>4068</v>
      </c>
      <c r="F4545" s="150" t="s">
        <v>4068</v>
      </c>
      <c r="G4545" s="149" t="s">
        <v>400</v>
      </c>
      <c r="H4545" s="150" t="str">
        <f>IF(Proc[[#This Row],[type]]="LFF (MDG-F)",MID(Proc[[#This Row],[Obj]],13,10),"")</f>
        <v/>
      </c>
      <c r="J4545" s="150" t="b">
        <f>Proc[[#This Row],[Requested]]=Proc[[#This Row],[CurrentParent]]</f>
        <v>1</v>
      </c>
      <c r="K4545" s="150" t="str">
        <f>IF(Proc[[#This Row],[Author]]="Marcela Urrego",VLOOKUP(LEFT(Proc[[#This Row],[Requested]],1),Table3[#All],2,0),VLOOKUP(Proc[[#This Row],[Author]],Table4[],2,0))</f>
        <v>HC</v>
      </c>
      <c r="L4545" s="150" t="s">
        <v>6435</v>
      </c>
      <c r="M4545" s="165">
        <v>45961</v>
      </c>
      <c r="N4545" s="166"/>
      <c r="O4545" s="166"/>
      <c r="P4545" s="165" t="str">
        <f ca="1">IF(Proc[[#This Row],[DaysAgeing]]&gt;5,"yep","on track")</f>
        <v>yep</v>
      </c>
      <c r="Q4545" s="3">
        <f ca="1">IF(Proc[[#This Row],[DateClosed]]="",ABS(NETWORKDAYS(Proc[[#This Row],[DateOpened]],TODAY()))-1,ABS(NETWORKDAYS(Proc[[#This Row],[DateOpened]],Proc[[#This Row],[DateClosed]]))-1)</f>
        <v>30</v>
      </c>
      <c r="R4545" s="165" t="s">
        <v>1013</v>
      </c>
      <c r="S4545" s="150"/>
    </row>
    <row r="4546" spans="1:19">
      <c r="A4546" s="149" t="s">
        <v>6666</v>
      </c>
      <c r="B4546" s="150" t="str">
        <f>IFERROR(VLOOKUP(Proc[[#This Row],[App]],Table2[],3,0),"open")</f>
        <v>ok</v>
      </c>
      <c r="C4546" s="149" t="s">
        <v>369</v>
      </c>
      <c r="D4546" t="s">
        <v>6700</v>
      </c>
      <c r="E4546" t="s">
        <v>4068</v>
      </c>
      <c r="F4546" s="150" t="s">
        <v>4068</v>
      </c>
      <c r="G4546" s="149" t="s">
        <v>400</v>
      </c>
      <c r="H4546" s="150" t="str">
        <f>IF(Proc[[#This Row],[type]]="LFF (MDG-F)",MID(Proc[[#This Row],[Obj]],13,10),"")</f>
        <v/>
      </c>
      <c r="J4546" s="150" t="b">
        <f>Proc[[#This Row],[Requested]]=Proc[[#This Row],[CurrentParent]]</f>
        <v>1</v>
      </c>
      <c r="K4546" s="150" t="str">
        <f>IF(Proc[[#This Row],[Author]]="Marcela Urrego",VLOOKUP(LEFT(Proc[[#This Row],[Requested]],1),Table3[#All],2,0),VLOOKUP(Proc[[#This Row],[Author]],Table4[],2,0))</f>
        <v>HC</v>
      </c>
      <c r="L4546" s="150" t="s">
        <v>6435</v>
      </c>
      <c r="M4546" s="165">
        <v>45961</v>
      </c>
      <c r="N4546" s="166"/>
      <c r="O4546" s="166"/>
      <c r="P4546" s="165" t="str">
        <f ca="1">IF(Proc[[#This Row],[DaysAgeing]]&gt;5,"yep","on track")</f>
        <v>yep</v>
      </c>
      <c r="Q4546" s="3">
        <f ca="1">IF(Proc[[#This Row],[DateClosed]]="",ABS(NETWORKDAYS(Proc[[#This Row],[DateOpened]],TODAY()))-1,ABS(NETWORKDAYS(Proc[[#This Row],[DateOpened]],Proc[[#This Row],[DateClosed]]))-1)</f>
        <v>30</v>
      </c>
      <c r="R4546" s="165" t="s">
        <v>1013</v>
      </c>
      <c r="S4546" s="150"/>
    </row>
    <row r="4547" spans="1:19">
      <c r="A4547" s="149" t="s">
        <v>6666</v>
      </c>
      <c r="B4547" s="150" t="str">
        <f>IFERROR(VLOOKUP(Proc[[#This Row],[App]],Table2[],3,0),"open")</f>
        <v>ok</v>
      </c>
      <c r="C4547" s="149" t="s">
        <v>369</v>
      </c>
      <c r="D4547" t="s">
        <v>6701</v>
      </c>
      <c r="E4547" t="s">
        <v>4068</v>
      </c>
      <c r="F4547" s="150" t="s">
        <v>4068</v>
      </c>
      <c r="G4547" s="149" t="s">
        <v>400</v>
      </c>
      <c r="H4547" s="150" t="str">
        <f>IF(Proc[[#This Row],[type]]="LFF (MDG-F)",MID(Proc[[#This Row],[Obj]],13,10),"")</f>
        <v/>
      </c>
      <c r="J4547" s="150" t="b">
        <f>Proc[[#This Row],[Requested]]=Proc[[#This Row],[CurrentParent]]</f>
        <v>1</v>
      </c>
      <c r="K4547" s="150" t="str">
        <f>IF(Proc[[#This Row],[Author]]="Marcela Urrego",VLOOKUP(LEFT(Proc[[#This Row],[Requested]],1),Table3[#All],2,0),VLOOKUP(Proc[[#This Row],[Author]],Table4[],2,0))</f>
        <v>HC</v>
      </c>
      <c r="L4547" s="150" t="s">
        <v>6435</v>
      </c>
      <c r="M4547" s="165">
        <v>45961</v>
      </c>
      <c r="N4547" s="166"/>
      <c r="O4547" s="166"/>
      <c r="P4547" s="165" t="str">
        <f ca="1">IF(Proc[[#This Row],[DaysAgeing]]&gt;5,"yep","on track")</f>
        <v>yep</v>
      </c>
      <c r="Q4547" s="3">
        <f ca="1">IF(Proc[[#This Row],[DateClosed]]="",ABS(NETWORKDAYS(Proc[[#This Row],[DateOpened]],TODAY()))-1,ABS(NETWORKDAYS(Proc[[#This Row],[DateOpened]],Proc[[#This Row],[DateClosed]]))-1)</f>
        <v>30</v>
      </c>
      <c r="R4547" s="165" t="s">
        <v>1013</v>
      </c>
      <c r="S4547" s="150"/>
    </row>
    <row r="4548" spans="1:19">
      <c r="A4548" s="149" t="s">
        <v>6666</v>
      </c>
      <c r="B4548" s="150" t="str">
        <f>IFERROR(VLOOKUP(Proc[[#This Row],[App]],Table2[],3,0),"open")</f>
        <v>ok</v>
      </c>
      <c r="C4548" s="149" t="s">
        <v>369</v>
      </c>
      <c r="D4548" t="s">
        <v>6702</v>
      </c>
      <c r="E4548" t="s">
        <v>4068</v>
      </c>
      <c r="F4548" s="150" t="s">
        <v>4068</v>
      </c>
      <c r="G4548" s="149" t="s">
        <v>400</v>
      </c>
      <c r="H4548" s="150" t="str">
        <f>IF(Proc[[#This Row],[type]]="LFF (MDG-F)",MID(Proc[[#This Row],[Obj]],13,10),"")</f>
        <v/>
      </c>
      <c r="J4548" s="150" t="b">
        <f>Proc[[#This Row],[Requested]]=Proc[[#This Row],[CurrentParent]]</f>
        <v>1</v>
      </c>
      <c r="K4548" s="150" t="str">
        <f>IF(Proc[[#This Row],[Author]]="Marcela Urrego",VLOOKUP(LEFT(Proc[[#This Row],[Requested]],1),Table3[#All],2,0),VLOOKUP(Proc[[#This Row],[Author]],Table4[],2,0))</f>
        <v>HC</v>
      </c>
      <c r="L4548" s="150" t="s">
        <v>6435</v>
      </c>
      <c r="M4548" s="165">
        <v>45961</v>
      </c>
      <c r="N4548" s="166"/>
      <c r="O4548" s="166"/>
      <c r="P4548" s="165" t="str">
        <f ca="1">IF(Proc[[#This Row],[DaysAgeing]]&gt;5,"yep","on track")</f>
        <v>yep</v>
      </c>
      <c r="Q4548" s="3">
        <f ca="1">IF(Proc[[#This Row],[DateClosed]]="",ABS(NETWORKDAYS(Proc[[#This Row],[DateOpened]],TODAY()))-1,ABS(NETWORKDAYS(Proc[[#This Row],[DateOpened]],Proc[[#This Row],[DateClosed]]))-1)</f>
        <v>30</v>
      </c>
      <c r="R4548" s="165" t="s">
        <v>1013</v>
      </c>
      <c r="S4548" s="150"/>
    </row>
    <row r="4549" spans="1:19">
      <c r="A4549" s="149" t="s">
        <v>6666</v>
      </c>
      <c r="B4549" s="150" t="str">
        <f>IFERROR(VLOOKUP(Proc[[#This Row],[App]],Table2[],3,0),"open")</f>
        <v>ok</v>
      </c>
      <c r="C4549" s="149" t="s">
        <v>369</v>
      </c>
      <c r="D4549" t="s">
        <v>6703</v>
      </c>
      <c r="E4549" t="s">
        <v>4068</v>
      </c>
      <c r="F4549" s="150" t="s">
        <v>4068</v>
      </c>
      <c r="G4549" s="149" t="s">
        <v>400</v>
      </c>
      <c r="H4549" s="150" t="str">
        <f>IF(Proc[[#This Row],[type]]="LFF (MDG-F)",MID(Proc[[#This Row],[Obj]],13,10),"")</f>
        <v/>
      </c>
      <c r="J4549" s="150" t="b">
        <f>Proc[[#This Row],[Requested]]=Proc[[#This Row],[CurrentParent]]</f>
        <v>1</v>
      </c>
      <c r="K4549" s="150" t="str">
        <f>IF(Proc[[#This Row],[Author]]="Marcela Urrego",VLOOKUP(LEFT(Proc[[#This Row],[Requested]],1),Table3[#All],2,0),VLOOKUP(Proc[[#This Row],[Author]],Table4[],2,0))</f>
        <v>HC</v>
      </c>
      <c r="L4549" s="150" t="s">
        <v>6435</v>
      </c>
      <c r="M4549" s="165">
        <v>45961</v>
      </c>
      <c r="N4549" s="166"/>
      <c r="O4549" s="166"/>
      <c r="P4549" s="165" t="str">
        <f ca="1">IF(Proc[[#This Row],[DaysAgeing]]&gt;5,"yep","on track")</f>
        <v>yep</v>
      </c>
      <c r="Q4549" s="3">
        <f ca="1">IF(Proc[[#This Row],[DateClosed]]="",ABS(NETWORKDAYS(Proc[[#This Row],[DateOpened]],TODAY()))-1,ABS(NETWORKDAYS(Proc[[#This Row],[DateOpened]],Proc[[#This Row],[DateClosed]]))-1)</f>
        <v>30</v>
      </c>
      <c r="R4549" s="165" t="s">
        <v>1013</v>
      </c>
      <c r="S4549" s="150"/>
    </row>
    <row r="4550" spans="1:19">
      <c r="A4550" s="149" t="s">
        <v>6666</v>
      </c>
      <c r="B4550" s="150" t="str">
        <f>IFERROR(VLOOKUP(Proc[[#This Row],[App]],Table2[],3,0),"open")</f>
        <v>ok</v>
      </c>
      <c r="C4550" s="149" t="s">
        <v>369</v>
      </c>
      <c r="D4550" t="s">
        <v>6704</v>
      </c>
      <c r="E4550" t="s">
        <v>4068</v>
      </c>
      <c r="F4550" s="150" t="s">
        <v>4068</v>
      </c>
      <c r="G4550" s="149" t="s">
        <v>400</v>
      </c>
      <c r="H4550" s="150" t="str">
        <f>IF(Proc[[#This Row],[type]]="LFF (MDG-F)",MID(Proc[[#This Row],[Obj]],13,10),"")</f>
        <v/>
      </c>
      <c r="J4550" s="150" t="b">
        <f>Proc[[#This Row],[Requested]]=Proc[[#This Row],[CurrentParent]]</f>
        <v>1</v>
      </c>
      <c r="K4550" s="150" t="str">
        <f>IF(Proc[[#This Row],[Author]]="Marcela Urrego",VLOOKUP(LEFT(Proc[[#This Row],[Requested]],1),Table3[#All],2,0),VLOOKUP(Proc[[#This Row],[Author]],Table4[],2,0))</f>
        <v>HC</v>
      </c>
      <c r="L4550" s="150" t="s">
        <v>6435</v>
      </c>
      <c r="M4550" s="165">
        <v>45961</v>
      </c>
      <c r="N4550" s="166"/>
      <c r="O4550" s="166"/>
      <c r="P4550" s="165" t="str">
        <f ca="1">IF(Proc[[#This Row],[DaysAgeing]]&gt;5,"yep","on track")</f>
        <v>yep</v>
      </c>
      <c r="Q4550" s="3">
        <f ca="1">IF(Proc[[#This Row],[DateClosed]]="",ABS(NETWORKDAYS(Proc[[#This Row],[DateOpened]],TODAY()))-1,ABS(NETWORKDAYS(Proc[[#This Row],[DateOpened]],Proc[[#This Row],[DateClosed]]))-1)</f>
        <v>30</v>
      </c>
      <c r="R4550" s="165" t="s">
        <v>1013</v>
      </c>
      <c r="S4550" s="150"/>
    </row>
    <row r="4551" spans="1:19">
      <c r="A4551" s="149" t="s">
        <v>6666</v>
      </c>
      <c r="B4551" s="150" t="str">
        <f>IFERROR(VLOOKUP(Proc[[#This Row],[App]],Table2[],3,0),"open")</f>
        <v>ok</v>
      </c>
      <c r="C4551" s="149" t="s">
        <v>369</v>
      </c>
      <c r="D4551" t="s">
        <v>6705</v>
      </c>
      <c r="E4551" t="s">
        <v>4068</v>
      </c>
      <c r="F4551" s="150" t="s">
        <v>4068</v>
      </c>
      <c r="G4551" s="149" t="s">
        <v>400</v>
      </c>
      <c r="H4551" s="150" t="str">
        <f>IF(Proc[[#This Row],[type]]="LFF (MDG-F)",MID(Proc[[#This Row],[Obj]],13,10),"")</f>
        <v/>
      </c>
      <c r="J4551" s="150" t="b">
        <f>Proc[[#This Row],[Requested]]=Proc[[#This Row],[CurrentParent]]</f>
        <v>1</v>
      </c>
      <c r="K4551" s="150" t="str">
        <f>IF(Proc[[#This Row],[Author]]="Marcela Urrego",VLOOKUP(LEFT(Proc[[#This Row],[Requested]],1),Table3[#All],2,0),VLOOKUP(Proc[[#This Row],[Author]],Table4[],2,0))</f>
        <v>HC</v>
      </c>
      <c r="L4551" s="150" t="s">
        <v>6435</v>
      </c>
      <c r="M4551" s="165">
        <v>45961</v>
      </c>
      <c r="N4551" s="166"/>
      <c r="O4551" s="166"/>
      <c r="P4551" s="165" t="str">
        <f ca="1">IF(Proc[[#This Row],[DaysAgeing]]&gt;5,"yep","on track")</f>
        <v>yep</v>
      </c>
      <c r="Q4551" s="3">
        <f ca="1">IF(Proc[[#This Row],[DateClosed]]="",ABS(NETWORKDAYS(Proc[[#This Row],[DateOpened]],TODAY()))-1,ABS(NETWORKDAYS(Proc[[#This Row],[DateOpened]],Proc[[#This Row],[DateClosed]]))-1)</f>
        <v>30</v>
      </c>
      <c r="R4551" s="165" t="s">
        <v>1013</v>
      </c>
      <c r="S4551" s="150"/>
    </row>
    <row r="4552" spans="1:19">
      <c r="A4552" s="149" t="s">
        <v>6666</v>
      </c>
      <c r="B4552" s="150" t="str">
        <f>IFERROR(VLOOKUP(Proc[[#This Row],[App]],Table2[],3,0),"open")</f>
        <v>ok</v>
      </c>
      <c r="C4552" s="149" t="s">
        <v>369</v>
      </c>
      <c r="D4552" t="s">
        <v>6706</v>
      </c>
      <c r="E4552" t="s">
        <v>4068</v>
      </c>
      <c r="F4552" s="150" t="s">
        <v>4068</v>
      </c>
      <c r="G4552" s="149" t="s">
        <v>400</v>
      </c>
      <c r="H4552" s="150" t="str">
        <f>IF(Proc[[#This Row],[type]]="LFF (MDG-F)",MID(Proc[[#This Row],[Obj]],13,10),"")</f>
        <v/>
      </c>
      <c r="J4552" s="150" t="b">
        <f>Proc[[#This Row],[Requested]]=Proc[[#This Row],[CurrentParent]]</f>
        <v>1</v>
      </c>
      <c r="K4552" s="150" t="str">
        <f>IF(Proc[[#This Row],[Author]]="Marcela Urrego",VLOOKUP(LEFT(Proc[[#This Row],[Requested]],1),Table3[#All],2,0),VLOOKUP(Proc[[#This Row],[Author]],Table4[],2,0))</f>
        <v>HC</v>
      </c>
      <c r="L4552" s="150" t="s">
        <v>6435</v>
      </c>
      <c r="M4552" s="165">
        <v>45961</v>
      </c>
      <c r="N4552" s="166"/>
      <c r="O4552" s="166"/>
      <c r="P4552" s="165" t="str">
        <f ca="1">IF(Proc[[#This Row],[DaysAgeing]]&gt;5,"yep","on track")</f>
        <v>yep</v>
      </c>
      <c r="Q4552" s="3">
        <f ca="1">IF(Proc[[#This Row],[DateClosed]]="",ABS(NETWORKDAYS(Proc[[#This Row],[DateOpened]],TODAY()))-1,ABS(NETWORKDAYS(Proc[[#This Row],[DateOpened]],Proc[[#This Row],[DateClosed]]))-1)</f>
        <v>30</v>
      </c>
      <c r="R4552" s="165" t="s">
        <v>1013</v>
      </c>
      <c r="S4552" s="150"/>
    </row>
    <row r="4553" spans="1:19">
      <c r="A4553" s="149" t="s">
        <v>6666</v>
      </c>
      <c r="B4553" s="150" t="str">
        <f>IFERROR(VLOOKUP(Proc[[#This Row],[App]],Table2[],3,0),"open")</f>
        <v>ok</v>
      </c>
      <c r="C4553" s="149" t="s">
        <v>369</v>
      </c>
      <c r="D4553" t="s">
        <v>6707</v>
      </c>
      <c r="E4553" t="s">
        <v>4068</v>
      </c>
      <c r="F4553" s="150" t="s">
        <v>4068</v>
      </c>
      <c r="G4553" s="149" t="s">
        <v>400</v>
      </c>
      <c r="H4553" s="150" t="str">
        <f>IF(Proc[[#This Row],[type]]="LFF (MDG-F)",MID(Proc[[#This Row],[Obj]],13,10),"")</f>
        <v/>
      </c>
      <c r="J4553" s="150" t="b">
        <f>Proc[[#This Row],[Requested]]=Proc[[#This Row],[CurrentParent]]</f>
        <v>1</v>
      </c>
      <c r="K4553" s="150" t="str">
        <f>IF(Proc[[#This Row],[Author]]="Marcela Urrego",VLOOKUP(LEFT(Proc[[#This Row],[Requested]],1),Table3[#All],2,0),VLOOKUP(Proc[[#This Row],[Author]],Table4[],2,0))</f>
        <v>HC</v>
      </c>
      <c r="L4553" s="150" t="s">
        <v>6435</v>
      </c>
      <c r="M4553" s="165">
        <v>45961</v>
      </c>
      <c r="N4553" s="166"/>
      <c r="O4553" s="166"/>
      <c r="P4553" s="165" t="str">
        <f ca="1">IF(Proc[[#This Row],[DaysAgeing]]&gt;5,"yep","on track")</f>
        <v>yep</v>
      </c>
      <c r="Q4553" s="3">
        <f ca="1">IF(Proc[[#This Row],[DateClosed]]="",ABS(NETWORKDAYS(Proc[[#This Row],[DateOpened]],TODAY()))-1,ABS(NETWORKDAYS(Proc[[#This Row],[DateOpened]],Proc[[#This Row],[DateClosed]]))-1)</f>
        <v>30</v>
      </c>
      <c r="R4553" s="165" t="s">
        <v>1013</v>
      </c>
      <c r="S4553" s="150"/>
    </row>
    <row r="4554" spans="1:19">
      <c r="A4554" s="149" t="s">
        <v>6666</v>
      </c>
      <c r="B4554" s="150" t="str">
        <f>IFERROR(VLOOKUP(Proc[[#This Row],[App]],Table2[],3,0),"open")</f>
        <v>ok</v>
      </c>
      <c r="C4554" s="149" t="s">
        <v>369</v>
      </c>
      <c r="D4554" t="s">
        <v>6708</v>
      </c>
      <c r="E4554" t="s">
        <v>4068</v>
      </c>
      <c r="F4554" s="150" t="s">
        <v>4068</v>
      </c>
      <c r="G4554" s="149" t="s">
        <v>400</v>
      </c>
      <c r="H4554" s="150" t="str">
        <f>IF(Proc[[#This Row],[type]]="LFF (MDG-F)",MID(Proc[[#This Row],[Obj]],13,10),"")</f>
        <v/>
      </c>
      <c r="J4554" s="150" t="b">
        <f>Proc[[#This Row],[Requested]]=Proc[[#This Row],[CurrentParent]]</f>
        <v>1</v>
      </c>
      <c r="K4554" s="150" t="str">
        <f>IF(Proc[[#This Row],[Author]]="Marcela Urrego",VLOOKUP(LEFT(Proc[[#This Row],[Requested]],1),Table3[#All],2,0),VLOOKUP(Proc[[#This Row],[Author]],Table4[],2,0))</f>
        <v>HC</v>
      </c>
      <c r="L4554" s="150" t="s">
        <v>6435</v>
      </c>
      <c r="M4554" s="165">
        <v>45961</v>
      </c>
      <c r="N4554" s="166"/>
      <c r="O4554" s="166"/>
      <c r="P4554" s="165" t="str">
        <f ca="1">IF(Proc[[#This Row],[DaysAgeing]]&gt;5,"yep","on track")</f>
        <v>yep</v>
      </c>
      <c r="Q4554" s="3">
        <f ca="1">IF(Proc[[#This Row],[DateClosed]]="",ABS(NETWORKDAYS(Proc[[#This Row],[DateOpened]],TODAY()))-1,ABS(NETWORKDAYS(Proc[[#This Row],[DateOpened]],Proc[[#This Row],[DateClosed]]))-1)</f>
        <v>30</v>
      </c>
      <c r="R4554" s="165" t="s">
        <v>1013</v>
      </c>
      <c r="S4554" s="150"/>
    </row>
    <row r="4555" spans="1:19">
      <c r="A4555" s="149" t="s">
        <v>6666</v>
      </c>
      <c r="B4555" s="150" t="str">
        <f>IFERROR(VLOOKUP(Proc[[#This Row],[App]],Table2[],3,0),"open")</f>
        <v>ok</v>
      </c>
      <c r="C4555" s="149" t="s">
        <v>369</v>
      </c>
      <c r="D4555" t="s">
        <v>6709</v>
      </c>
      <c r="E4555" t="s">
        <v>4068</v>
      </c>
      <c r="F4555" s="150" t="s">
        <v>4068</v>
      </c>
      <c r="G4555" s="149" t="s">
        <v>400</v>
      </c>
      <c r="H4555" s="150" t="str">
        <f>IF(Proc[[#This Row],[type]]="LFF (MDG-F)",MID(Proc[[#This Row],[Obj]],13,10),"")</f>
        <v/>
      </c>
      <c r="J4555" s="150" t="b">
        <f>Proc[[#This Row],[Requested]]=Proc[[#This Row],[CurrentParent]]</f>
        <v>1</v>
      </c>
      <c r="K4555" s="150" t="str">
        <f>IF(Proc[[#This Row],[Author]]="Marcela Urrego",VLOOKUP(LEFT(Proc[[#This Row],[Requested]],1),Table3[#All],2,0),VLOOKUP(Proc[[#This Row],[Author]],Table4[],2,0))</f>
        <v>HC</v>
      </c>
      <c r="L4555" s="150" t="s">
        <v>6435</v>
      </c>
      <c r="M4555" s="165">
        <v>45961</v>
      </c>
      <c r="N4555" s="166"/>
      <c r="O4555" s="166"/>
      <c r="P4555" s="165" t="str">
        <f ca="1">IF(Proc[[#This Row],[DaysAgeing]]&gt;5,"yep","on track")</f>
        <v>yep</v>
      </c>
      <c r="Q4555" s="3">
        <f ca="1">IF(Proc[[#This Row],[DateClosed]]="",ABS(NETWORKDAYS(Proc[[#This Row],[DateOpened]],TODAY()))-1,ABS(NETWORKDAYS(Proc[[#This Row],[DateOpened]],Proc[[#This Row],[DateClosed]]))-1)</f>
        <v>30</v>
      </c>
      <c r="R4555" s="165" t="s">
        <v>1013</v>
      </c>
      <c r="S4555" s="150"/>
    </row>
    <row r="4556" spans="1:19">
      <c r="A4556" s="149" t="s">
        <v>6666</v>
      </c>
      <c r="B4556" s="150" t="str">
        <f>IFERROR(VLOOKUP(Proc[[#This Row],[App]],Table2[],3,0),"open")</f>
        <v>ok</v>
      </c>
      <c r="C4556" s="149" t="s">
        <v>369</v>
      </c>
      <c r="D4556" t="s">
        <v>6710</v>
      </c>
      <c r="E4556" t="s">
        <v>6714</v>
      </c>
      <c r="F4556" s="150" t="s">
        <v>6714</v>
      </c>
      <c r="G4556" s="149" t="s">
        <v>400</v>
      </c>
      <c r="H4556" s="150" t="str">
        <f>IF(Proc[[#This Row],[type]]="LFF (MDG-F)",MID(Proc[[#This Row],[Obj]],13,10),"")</f>
        <v/>
      </c>
      <c r="J4556" s="150" t="b">
        <f>Proc[[#This Row],[Requested]]=Proc[[#This Row],[CurrentParent]]</f>
        <v>1</v>
      </c>
      <c r="K4556" s="150" t="str">
        <f>IF(Proc[[#This Row],[Author]]="Marcela Urrego",VLOOKUP(LEFT(Proc[[#This Row],[Requested]],1),Table3[#All],2,0),VLOOKUP(Proc[[#This Row],[Author]],Table4[],2,0))</f>
        <v>HC</v>
      </c>
      <c r="L4556" s="150" t="s">
        <v>6435</v>
      </c>
      <c r="M4556" s="165">
        <v>45961</v>
      </c>
      <c r="N4556" s="166"/>
      <c r="O4556" s="166"/>
      <c r="P4556" s="165" t="str">
        <f ca="1">IF(Proc[[#This Row],[DaysAgeing]]&gt;5,"yep","on track")</f>
        <v>yep</v>
      </c>
      <c r="Q4556" s="3">
        <f ca="1">IF(Proc[[#This Row],[DateClosed]]="",ABS(NETWORKDAYS(Proc[[#This Row],[DateOpened]],TODAY()))-1,ABS(NETWORKDAYS(Proc[[#This Row],[DateOpened]],Proc[[#This Row],[DateClosed]]))-1)</f>
        <v>30</v>
      </c>
      <c r="R4556" s="165" t="s">
        <v>1013</v>
      </c>
      <c r="S4556" s="150"/>
    </row>
    <row r="4557" spans="1:19">
      <c r="A4557" s="149" t="s">
        <v>6666</v>
      </c>
      <c r="B4557" s="150" t="str">
        <f>IFERROR(VLOOKUP(Proc[[#This Row],[App]],Table2[],3,0),"open")</f>
        <v>ok</v>
      </c>
      <c r="C4557" s="149" t="s">
        <v>369</v>
      </c>
      <c r="D4557" t="s">
        <v>6711</v>
      </c>
      <c r="E4557" t="s">
        <v>3401</v>
      </c>
      <c r="F4557" s="150" t="s">
        <v>3401</v>
      </c>
      <c r="G4557" s="149" t="s">
        <v>400</v>
      </c>
      <c r="H4557" s="150" t="str">
        <f>IF(Proc[[#This Row],[type]]="LFF (MDG-F)",MID(Proc[[#This Row],[Obj]],13,10),"")</f>
        <v/>
      </c>
      <c r="J4557" s="150" t="b">
        <f>Proc[[#This Row],[Requested]]=Proc[[#This Row],[CurrentParent]]</f>
        <v>1</v>
      </c>
      <c r="K4557" s="150" t="str">
        <f>IF(Proc[[#This Row],[Author]]="Marcela Urrego",VLOOKUP(LEFT(Proc[[#This Row],[Requested]],1),Table3[#All],2,0),VLOOKUP(Proc[[#This Row],[Author]],Table4[],2,0))</f>
        <v>HC</v>
      </c>
      <c r="L4557" s="150" t="s">
        <v>6435</v>
      </c>
      <c r="M4557" s="165">
        <v>45961</v>
      </c>
      <c r="N4557" s="166"/>
      <c r="O4557" s="166"/>
      <c r="P4557" s="165" t="str">
        <f ca="1">IF(Proc[[#This Row],[DaysAgeing]]&gt;5,"yep","on track")</f>
        <v>yep</v>
      </c>
      <c r="Q4557" s="3">
        <f ca="1">IF(Proc[[#This Row],[DateClosed]]="",ABS(NETWORKDAYS(Proc[[#This Row],[DateOpened]],TODAY()))-1,ABS(NETWORKDAYS(Proc[[#This Row],[DateOpened]],Proc[[#This Row],[DateClosed]]))-1)</f>
        <v>30</v>
      </c>
      <c r="R4557" s="165" t="s">
        <v>1013</v>
      </c>
      <c r="S4557" s="150"/>
    </row>
    <row r="4558" spans="1:19">
      <c r="A4558" s="149" t="s">
        <v>6666</v>
      </c>
      <c r="B4558" s="150" t="str">
        <f>IFERROR(VLOOKUP(Proc[[#This Row],[App]],Table2[],3,0),"open")</f>
        <v>ok</v>
      </c>
      <c r="C4558" s="149" t="s">
        <v>369</v>
      </c>
      <c r="D4558" t="s">
        <v>6712</v>
      </c>
      <c r="E4558" t="s">
        <v>3401</v>
      </c>
      <c r="F4558" s="150" t="s">
        <v>3401</v>
      </c>
      <c r="G4558" s="149" t="s">
        <v>400</v>
      </c>
      <c r="H4558" s="150" t="str">
        <f>IF(Proc[[#This Row],[type]]="LFF (MDG-F)",MID(Proc[[#This Row],[Obj]],13,10),"")</f>
        <v/>
      </c>
      <c r="J4558" s="150" t="b">
        <f>Proc[[#This Row],[Requested]]=Proc[[#This Row],[CurrentParent]]</f>
        <v>1</v>
      </c>
      <c r="K4558" s="150" t="str">
        <f>IF(Proc[[#This Row],[Author]]="Marcela Urrego",VLOOKUP(LEFT(Proc[[#This Row],[Requested]],1),Table3[#All],2,0),VLOOKUP(Proc[[#This Row],[Author]],Table4[],2,0))</f>
        <v>HC</v>
      </c>
      <c r="L4558" s="150" t="s">
        <v>6435</v>
      </c>
      <c r="M4558" s="165">
        <v>45961</v>
      </c>
      <c r="N4558" s="166"/>
      <c r="O4558" s="166"/>
      <c r="P4558" s="165" t="str">
        <f ca="1">IF(Proc[[#This Row],[DaysAgeing]]&gt;5,"yep","on track")</f>
        <v>yep</v>
      </c>
      <c r="Q4558" s="3">
        <f ca="1">IF(Proc[[#This Row],[DateClosed]]="",ABS(NETWORKDAYS(Proc[[#This Row],[DateOpened]],TODAY()))-1,ABS(NETWORKDAYS(Proc[[#This Row],[DateOpened]],Proc[[#This Row],[DateClosed]]))-1)</f>
        <v>30</v>
      </c>
      <c r="R4558" s="165" t="s">
        <v>1013</v>
      </c>
      <c r="S4558" s="150"/>
    </row>
    <row r="4559" spans="1:19">
      <c r="A4559" t="s">
        <v>6715</v>
      </c>
      <c r="B4559" s="150" t="str">
        <f>IFERROR(VLOOKUP(Proc[[#This Row],[App]],Table2[],3,0),"open")</f>
        <v>ok</v>
      </c>
      <c r="C4559" s="149" t="s">
        <v>369</v>
      </c>
      <c r="D4559" t="s">
        <v>6716</v>
      </c>
      <c r="E4559" t="s">
        <v>3023</v>
      </c>
      <c r="F4559" s="149" t="s">
        <v>3023</v>
      </c>
      <c r="G4559" t="s">
        <v>406</v>
      </c>
      <c r="H4559" s="150" t="str">
        <f>IF(Proc[[#This Row],[type]]="LFF (MDG-F)",MID(Proc[[#This Row],[Obj]],13,10),"")</f>
        <v>CH01GFO001</v>
      </c>
      <c r="J4559" s="150" t="b">
        <f>Proc[[#This Row],[Requested]]=Proc[[#This Row],[CurrentParent]]</f>
        <v>1</v>
      </c>
      <c r="K4559" s="150" t="str">
        <f>IF(Proc[[#This Row],[Author]]="Marcela Urrego",VLOOKUP(LEFT(Proc[[#This Row],[Requested]],1),Table3[#All],2,0),VLOOKUP(Proc[[#This Row],[Author]],Table4[],2,0))</f>
        <v>MGF</v>
      </c>
      <c r="L4559" s="150" t="s">
        <v>6435</v>
      </c>
      <c r="M4559" s="165">
        <v>45961</v>
      </c>
      <c r="N4559" s="166"/>
      <c r="O4559" s="166"/>
      <c r="P4559" s="165" t="str">
        <f ca="1">IF(Proc[[#This Row],[DaysAgeing]]&gt;5,"yep","on track")</f>
        <v>yep</v>
      </c>
      <c r="Q4559" s="3">
        <f ca="1">IF(Proc[[#This Row],[DateClosed]]="",ABS(NETWORKDAYS(Proc[[#This Row],[DateOpened]],TODAY()))-1,ABS(NETWORKDAYS(Proc[[#This Row],[DateOpened]],Proc[[#This Row],[DateClosed]]))-1)</f>
        <v>30</v>
      </c>
      <c r="R4559" s="165" t="s">
        <v>515</v>
      </c>
      <c r="S4559" s="150"/>
    </row>
    <row r="4560" spans="1:19">
      <c r="A4560" s="149" t="s">
        <v>6715</v>
      </c>
      <c r="B4560" s="150" t="str">
        <f>IFERROR(VLOOKUP(Proc[[#This Row],[App]],Table2[],3,0),"open")</f>
        <v>ok</v>
      </c>
      <c r="C4560" s="149" t="s">
        <v>369</v>
      </c>
      <c r="D4560" t="s">
        <v>6717</v>
      </c>
      <c r="E4560" t="s">
        <v>3023</v>
      </c>
      <c r="F4560" s="149" t="s">
        <v>3023</v>
      </c>
      <c r="G4560" s="149" t="s">
        <v>406</v>
      </c>
      <c r="H4560" s="150" t="str">
        <f>IF(Proc[[#This Row],[type]]="LFF (MDG-F)",MID(Proc[[#This Row],[Obj]],13,10),"")</f>
        <v>CH50GIT040</v>
      </c>
      <c r="J4560" s="150" t="b">
        <f>Proc[[#This Row],[Requested]]=Proc[[#This Row],[CurrentParent]]</f>
        <v>1</v>
      </c>
      <c r="K4560" s="150" t="str">
        <f>IF(Proc[[#This Row],[Author]]="Marcela Urrego",VLOOKUP(LEFT(Proc[[#This Row],[Requested]],1),Table3[#All],2,0),VLOOKUP(Proc[[#This Row],[Author]],Table4[],2,0))</f>
        <v>MGF</v>
      </c>
      <c r="L4560" s="150" t="s">
        <v>6435</v>
      </c>
      <c r="M4560" s="165">
        <v>45961</v>
      </c>
      <c r="N4560" s="166"/>
      <c r="O4560" s="166"/>
      <c r="P4560" s="165" t="str">
        <f ca="1">IF(Proc[[#This Row],[DaysAgeing]]&gt;5,"yep","on track")</f>
        <v>yep</v>
      </c>
      <c r="Q4560" s="3">
        <f ca="1">IF(Proc[[#This Row],[DateClosed]]="",ABS(NETWORKDAYS(Proc[[#This Row],[DateOpened]],TODAY()))-1,ABS(NETWORKDAYS(Proc[[#This Row],[DateOpened]],Proc[[#This Row],[DateClosed]]))-1)</f>
        <v>30</v>
      </c>
      <c r="R4560" s="165" t="s">
        <v>515</v>
      </c>
      <c r="S4560" s="150"/>
    </row>
    <row r="4561" spans="1:19">
      <c r="A4561" s="149" t="s">
        <v>6715</v>
      </c>
      <c r="B4561" s="150" t="str">
        <f>IFERROR(VLOOKUP(Proc[[#This Row],[App]],Table2[],3,0),"open")</f>
        <v>ok</v>
      </c>
      <c r="C4561" s="149" t="s">
        <v>369</v>
      </c>
      <c r="D4561" t="s">
        <v>6718</v>
      </c>
      <c r="E4561" t="s">
        <v>3023</v>
      </c>
      <c r="F4561" s="149" t="s">
        <v>3023</v>
      </c>
      <c r="G4561" s="149" t="s">
        <v>406</v>
      </c>
      <c r="H4561" s="150" t="str">
        <f>IF(Proc[[#This Row],[type]]="LFF (MDG-F)",MID(Proc[[#This Row],[Obj]],13,10),"")</f>
        <v>CH50GM2100</v>
      </c>
      <c r="J4561" s="150" t="b">
        <f>Proc[[#This Row],[Requested]]=Proc[[#This Row],[CurrentParent]]</f>
        <v>1</v>
      </c>
      <c r="K4561" s="150" t="str">
        <f>IF(Proc[[#This Row],[Author]]="Marcela Urrego",VLOOKUP(LEFT(Proc[[#This Row],[Requested]],1),Table3[#All],2,0),VLOOKUP(Proc[[#This Row],[Author]],Table4[],2,0))</f>
        <v>MGF</v>
      </c>
      <c r="L4561" s="150" t="s">
        <v>6435</v>
      </c>
      <c r="M4561" s="165">
        <v>45961</v>
      </c>
      <c r="N4561" s="166"/>
      <c r="O4561" s="166"/>
      <c r="P4561" s="165" t="str">
        <f ca="1">IF(Proc[[#This Row],[DaysAgeing]]&gt;5,"yep","on track")</f>
        <v>yep</v>
      </c>
      <c r="Q4561" s="3">
        <f ca="1">IF(Proc[[#This Row],[DateClosed]]="",ABS(NETWORKDAYS(Proc[[#This Row],[DateOpened]],TODAY()))-1,ABS(NETWORKDAYS(Proc[[#This Row],[DateOpened]],Proc[[#This Row],[DateClosed]]))-1)</f>
        <v>30</v>
      </c>
      <c r="R4561" s="165" t="s">
        <v>515</v>
      </c>
      <c r="S4561" s="150"/>
    </row>
    <row r="4562" spans="1:19">
      <c r="A4562" s="149" t="s">
        <v>6715</v>
      </c>
      <c r="B4562" s="150" t="str">
        <f>IFERROR(VLOOKUP(Proc[[#This Row],[App]],Table2[],3,0),"open")</f>
        <v>ok</v>
      </c>
      <c r="C4562" s="149" t="s">
        <v>369</v>
      </c>
      <c r="D4562" t="s">
        <v>6719</v>
      </c>
      <c r="E4562" t="s">
        <v>3023</v>
      </c>
      <c r="F4562" s="149" t="s">
        <v>3023</v>
      </c>
      <c r="G4562" s="149" t="s">
        <v>406</v>
      </c>
      <c r="H4562" s="150" t="str">
        <f>IF(Proc[[#This Row],[type]]="LFF (MDG-F)",MID(Proc[[#This Row],[Obj]],13,10),"")</f>
        <v>CH50GM2200</v>
      </c>
      <c r="J4562" s="150" t="b">
        <f>Proc[[#This Row],[Requested]]=Proc[[#This Row],[CurrentParent]]</f>
        <v>1</v>
      </c>
      <c r="K4562" s="150" t="str">
        <f>IF(Proc[[#This Row],[Author]]="Marcela Urrego",VLOOKUP(LEFT(Proc[[#This Row],[Requested]],1),Table3[#All],2,0),VLOOKUP(Proc[[#This Row],[Author]],Table4[],2,0))</f>
        <v>MGF</v>
      </c>
      <c r="L4562" s="150" t="s">
        <v>6435</v>
      </c>
      <c r="M4562" s="165">
        <v>45961</v>
      </c>
      <c r="N4562" s="166"/>
      <c r="O4562" s="166"/>
      <c r="P4562" s="165" t="str">
        <f ca="1">IF(Proc[[#This Row],[DaysAgeing]]&gt;5,"yep","on track")</f>
        <v>yep</v>
      </c>
      <c r="Q4562" s="3">
        <f ca="1">IF(Proc[[#This Row],[DateClosed]]="",ABS(NETWORKDAYS(Proc[[#This Row],[DateOpened]],TODAY()))-1,ABS(NETWORKDAYS(Proc[[#This Row],[DateOpened]],Proc[[#This Row],[DateClosed]]))-1)</f>
        <v>30</v>
      </c>
      <c r="R4562" s="165" t="s">
        <v>515</v>
      </c>
      <c r="S4562" s="150"/>
    </row>
    <row r="4563" spans="1:19">
      <c r="A4563" s="149" t="s">
        <v>6715</v>
      </c>
      <c r="B4563" s="150" t="str">
        <f>IFERROR(VLOOKUP(Proc[[#This Row],[App]],Table2[],3,0),"open")</f>
        <v>ok</v>
      </c>
      <c r="C4563" s="149" t="s">
        <v>369</v>
      </c>
      <c r="D4563" t="s">
        <v>6720</v>
      </c>
      <c r="E4563" t="s">
        <v>3023</v>
      </c>
      <c r="F4563" s="149" t="s">
        <v>3023</v>
      </c>
      <c r="G4563" s="149" t="s">
        <v>406</v>
      </c>
      <c r="H4563" s="150" t="str">
        <f>IF(Proc[[#This Row],[type]]="LFF (MDG-F)",MID(Proc[[#This Row],[Obj]],13,10),"")</f>
        <v>CH50GM2201</v>
      </c>
      <c r="J4563" s="150" t="b">
        <f>Proc[[#This Row],[Requested]]=Proc[[#This Row],[CurrentParent]]</f>
        <v>1</v>
      </c>
      <c r="K4563" s="150" t="str">
        <f>IF(Proc[[#This Row],[Author]]="Marcela Urrego",VLOOKUP(LEFT(Proc[[#This Row],[Requested]],1),Table3[#All],2,0),VLOOKUP(Proc[[#This Row],[Author]],Table4[],2,0))</f>
        <v>MGF</v>
      </c>
      <c r="L4563" s="150" t="s">
        <v>6435</v>
      </c>
      <c r="M4563" s="165">
        <v>45961</v>
      </c>
      <c r="N4563" s="166"/>
      <c r="O4563" s="166"/>
      <c r="P4563" s="165" t="str">
        <f ca="1">IF(Proc[[#This Row],[DaysAgeing]]&gt;5,"yep","on track")</f>
        <v>yep</v>
      </c>
      <c r="Q4563" s="3">
        <f ca="1">IF(Proc[[#This Row],[DateClosed]]="",ABS(NETWORKDAYS(Proc[[#This Row],[DateOpened]],TODAY()))-1,ABS(NETWORKDAYS(Proc[[#This Row],[DateOpened]],Proc[[#This Row],[DateClosed]]))-1)</f>
        <v>30</v>
      </c>
      <c r="R4563" s="165" t="s">
        <v>515</v>
      </c>
      <c r="S4563" s="150"/>
    </row>
    <row r="4564" spans="1:19">
      <c r="A4564" s="149" t="s">
        <v>6715</v>
      </c>
      <c r="B4564" s="150" t="str">
        <f>IFERROR(VLOOKUP(Proc[[#This Row],[App]],Table2[],3,0),"open")</f>
        <v>ok</v>
      </c>
      <c r="C4564" s="149" t="s">
        <v>369</v>
      </c>
      <c r="D4564" t="s">
        <v>6721</v>
      </c>
      <c r="E4564" t="s">
        <v>3023</v>
      </c>
      <c r="F4564" s="149" t="s">
        <v>3023</v>
      </c>
      <c r="G4564" s="149" t="s">
        <v>406</v>
      </c>
      <c r="H4564" s="150" t="str">
        <f>IF(Proc[[#This Row],[type]]="LFF (MDG-F)",MID(Proc[[#This Row],[Obj]],13,10),"")</f>
        <v>CH50L98043</v>
      </c>
      <c r="J4564" s="150" t="b">
        <f>Proc[[#This Row],[Requested]]=Proc[[#This Row],[CurrentParent]]</f>
        <v>1</v>
      </c>
      <c r="K4564" s="150" t="str">
        <f>IF(Proc[[#This Row],[Author]]="Marcela Urrego",VLOOKUP(LEFT(Proc[[#This Row],[Requested]],1),Table3[#All],2,0),VLOOKUP(Proc[[#This Row],[Author]],Table4[],2,0))</f>
        <v>MGF</v>
      </c>
      <c r="L4564" s="150" t="s">
        <v>6435</v>
      </c>
      <c r="M4564" s="165">
        <v>45961</v>
      </c>
      <c r="N4564" s="166"/>
      <c r="O4564" s="166"/>
      <c r="P4564" s="165" t="str">
        <f ca="1">IF(Proc[[#This Row],[DaysAgeing]]&gt;5,"yep","on track")</f>
        <v>yep</v>
      </c>
      <c r="Q4564" s="3">
        <f ca="1">IF(Proc[[#This Row],[DateClosed]]="",ABS(NETWORKDAYS(Proc[[#This Row],[DateOpened]],TODAY()))-1,ABS(NETWORKDAYS(Proc[[#This Row],[DateOpened]],Proc[[#This Row],[DateClosed]]))-1)</f>
        <v>30</v>
      </c>
      <c r="R4564" s="165" t="s">
        <v>515</v>
      </c>
      <c r="S4564" s="150"/>
    </row>
    <row r="4565" spans="1:19">
      <c r="A4565" s="149" t="s">
        <v>6715</v>
      </c>
      <c r="B4565" s="150" t="str">
        <f>IFERROR(VLOOKUP(Proc[[#This Row],[App]],Table2[],3,0),"open")</f>
        <v>ok</v>
      </c>
      <c r="C4565" s="149" t="s">
        <v>369</v>
      </c>
      <c r="D4565" t="s">
        <v>6722</v>
      </c>
      <c r="E4565" t="s">
        <v>3023</v>
      </c>
      <c r="F4565" s="149" t="s">
        <v>3023</v>
      </c>
      <c r="G4565" s="149" t="s">
        <v>406</v>
      </c>
      <c r="H4565" s="150" t="str">
        <f>IF(Proc[[#This Row],[type]]="LFF (MDG-F)",MID(Proc[[#This Row],[Obj]],13,10),"")</f>
        <v>CH65GIT022</v>
      </c>
      <c r="J4565" s="150" t="b">
        <f>Proc[[#This Row],[Requested]]=Proc[[#This Row],[CurrentParent]]</f>
        <v>1</v>
      </c>
      <c r="K4565" s="150" t="str">
        <f>IF(Proc[[#This Row],[Author]]="Marcela Urrego",VLOOKUP(LEFT(Proc[[#This Row],[Requested]],1),Table3[#All],2,0),VLOOKUP(Proc[[#This Row],[Author]],Table4[],2,0))</f>
        <v>MGF</v>
      </c>
      <c r="L4565" s="150" t="s">
        <v>6435</v>
      </c>
      <c r="M4565" s="165">
        <v>45961</v>
      </c>
      <c r="N4565" s="166"/>
      <c r="O4565" s="166"/>
      <c r="P4565" s="165" t="str">
        <f ca="1">IF(Proc[[#This Row],[DaysAgeing]]&gt;5,"yep","on track")</f>
        <v>yep</v>
      </c>
      <c r="Q4565" s="3">
        <f ca="1">IF(Proc[[#This Row],[DateClosed]]="",ABS(NETWORKDAYS(Proc[[#This Row],[DateOpened]],TODAY()))-1,ABS(NETWORKDAYS(Proc[[#This Row],[DateOpened]],Proc[[#This Row],[DateClosed]]))-1)</f>
        <v>30</v>
      </c>
      <c r="R4565" s="165" t="s">
        <v>515</v>
      </c>
      <c r="S4565" s="150"/>
    </row>
    <row r="4566" spans="1:19">
      <c r="A4566" s="149" t="s">
        <v>6715</v>
      </c>
      <c r="B4566" s="150" t="str">
        <f>IFERROR(VLOOKUP(Proc[[#This Row],[App]],Table2[],3,0),"open")</f>
        <v>ok</v>
      </c>
      <c r="C4566" s="149" t="s">
        <v>369</v>
      </c>
      <c r="D4566" t="s">
        <v>6723</v>
      </c>
      <c r="E4566" t="s">
        <v>3023</v>
      </c>
      <c r="F4566" s="149" t="s">
        <v>3023</v>
      </c>
      <c r="G4566" s="149" t="s">
        <v>406</v>
      </c>
      <c r="H4566" s="150" t="str">
        <f>IF(Proc[[#This Row],[type]]="LFF (MDG-F)",MID(Proc[[#This Row],[Obj]],13,10),"")</f>
        <v>CH65GM2100</v>
      </c>
      <c r="J4566" s="150" t="b">
        <f>Proc[[#This Row],[Requested]]=Proc[[#This Row],[CurrentParent]]</f>
        <v>1</v>
      </c>
      <c r="K4566" s="150" t="str">
        <f>IF(Proc[[#This Row],[Author]]="Marcela Urrego",VLOOKUP(LEFT(Proc[[#This Row],[Requested]],1),Table3[#All],2,0),VLOOKUP(Proc[[#This Row],[Author]],Table4[],2,0))</f>
        <v>MGF</v>
      </c>
      <c r="L4566" s="150" t="s">
        <v>6435</v>
      </c>
      <c r="M4566" s="165">
        <v>45961</v>
      </c>
      <c r="N4566" s="166"/>
      <c r="O4566" s="166"/>
      <c r="P4566" s="165" t="str">
        <f ca="1">IF(Proc[[#This Row],[DaysAgeing]]&gt;5,"yep","on track")</f>
        <v>yep</v>
      </c>
      <c r="Q4566" s="3">
        <f ca="1">IF(Proc[[#This Row],[DateClosed]]="",ABS(NETWORKDAYS(Proc[[#This Row],[DateOpened]],TODAY()))-1,ABS(NETWORKDAYS(Proc[[#This Row],[DateOpened]],Proc[[#This Row],[DateClosed]]))-1)</f>
        <v>30</v>
      </c>
      <c r="R4566" s="165" t="s">
        <v>515</v>
      </c>
      <c r="S4566" s="150"/>
    </row>
    <row r="4567" spans="1:19">
      <c r="A4567" s="149" t="s">
        <v>6715</v>
      </c>
      <c r="B4567" s="150" t="str">
        <f>IFERROR(VLOOKUP(Proc[[#This Row],[App]],Table2[],3,0),"open")</f>
        <v>ok</v>
      </c>
      <c r="C4567" s="149" t="s">
        <v>369</v>
      </c>
      <c r="D4567" t="s">
        <v>6724</v>
      </c>
      <c r="E4567" t="s">
        <v>3023</v>
      </c>
      <c r="F4567" s="149" t="s">
        <v>3023</v>
      </c>
      <c r="G4567" s="149" t="s">
        <v>406</v>
      </c>
      <c r="H4567" s="150" t="str">
        <f>IF(Proc[[#This Row],[type]]="LFF (MDG-F)",MID(Proc[[#This Row],[Obj]],13,10),"")</f>
        <v>CH65GM2201</v>
      </c>
      <c r="J4567" s="150" t="b">
        <f>Proc[[#This Row],[Requested]]=Proc[[#This Row],[CurrentParent]]</f>
        <v>1</v>
      </c>
      <c r="K4567" s="150" t="str">
        <f>IF(Proc[[#This Row],[Author]]="Marcela Urrego",VLOOKUP(LEFT(Proc[[#This Row],[Requested]],1),Table3[#All],2,0),VLOOKUP(Proc[[#This Row],[Author]],Table4[],2,0))</f>
        <v>MGF</v>
      </c>
      <c r="L4567" s="150" t="s">
        <v>6435</v>
      </c>
      <c r="M4567" s="165">
        <v>45961</v>
      </c>
      <c r="N4567" s="166"/>
      <c r="O4567" s="166"/>
      <c r="P4567" s="165" t="str">
        <f ca="1">IF(Proc[[#This Row],[DaysAgeing]]&gt;5,"yep","on track")</f>
        <v>yep</v>
      </c>
      <c r="Q4567" s="3">
        <f ca="1">IF(Proc[[#This Row],[DateClosed]]="",ABS(NETWORKDAYS(Proc[[#This Row],[DateOpened]],TODAY()))-1,ABS(NETWORKDAYS(Proc[[#This Row],[DateOpened]],Proc[[#This Row],[DateClosed]]))-1)</f>
        <v>30</v>
      </c>
      <c r="R4567" s="165" t="s">
        <v>515</v>
      </c>
      <c r="S4567" s="150"/>
    </row>
    <row r="4568" spans="1:19">
      <c r="A4568" s="149" t="s">
        <v>6715</v>
      </c>
      <c r="B4568" s="150" t="str">
        <f>IFERROR(VLOOKUP(Proc[[#This Row],[App]],Table2[],3,0),"open")</f>
        <v>ok</v>
      </c>
      <c r="C4568" s="149" t="s">
        <v>369</v>
      </c>
      <c r="D4568" t="s">
        <v>6725</v>
      </c>
      <c r="E4568" t="s">
        <v>3023</v>
      </c>
      <c r="F4568" s="149" t="s">
        <v>3023</v>
      </c>
      <c r="G4568" s="149" t="s">
        <v>406</v>
      </c>
      <c r="H4568" s="150" t="str">
        <f>IF(Proc[[#This Row],[type]]="LFF (MDG-F)",MID(Proc[[#This Row],[Obj]],13,10),"")</f>
        <v>CH65GM4100</v>
      </c>
      <c r="J4568" s="150" t="b">
        <f>Proc[[#This Row],[Requested]]=Proc[[#This Row],[CurrentParent]]</f>
        <v>1</v>
      </c>
      <c r="K4568" s="150" t="str">
        <f>IF(Proc[[#This Row],[Author]]="Marcela Urrego",VLOOKUP(LEFT(Proc[[#This Row],[Requested]],1),Table3[#All],2,0),VLOOKUP(Proc[[#This Row],[Author]],Table4[],2,0))</f>
        <v>MGF</v>
      </c>
      <c r="L4568" s="150" t="s">
        <v>6435</v>
      </c>
      <c r="M4568" s="165">
        <v>45961</v>
      </c>
      <c r="N4568" s="166"/>
      <c r="O4568" s="166"/>
      <c r="P4568" s="165" t="str">
        <f ca="1">IF(Proc[[#This Row],[DaysAgeing]]&gt;5,"yep","on track")</f>
        <v>yep</v>
      </c>
      <c r="Q4568" s="3">
        <f ca="1">IF(Proc[[#This Row],[DateClosed]]="",ABS(NETWORKDAYS(Proc[[#This Row],[DateOpened]],TODAY()))-1,ABS(NETWORKDAYS(Proc[[#This Row],[DateOpened]],Proc[[#This Row],[DateClosed]]))-1)</f>
        <v>30</v>
      </c>
      <c r="R4568" s="165" t="s">
        <v>515</v>
      </c>
      <c r="S4568" s="150"/>
    </row>
    <row r="4569" spans="1:19">
      <c r="A4569" s="149" t="s">
        <v>6715</v>
      </c>
      <c r="B4569" s="150" t="str">
        <f>IFERROR(VLOOKUP(Proc[[#This Row],[App]],Table2[],3,0),"open")</f>
        <v>ok</v>
      </c>
      <c r="C4569" s="149" t="s">
        <v>369</v>
      </c>
      <c r="D4569" t="s">
        <v>6726</v>
      </c>
      <c r="E4569" t="s">
        <v>3023</v>
      </c>
      <c r="F4569" s="149" t="s">
        <v>3023</v>
      </c>
      <c r="G4569" s="149" t="s">
        <v>406</v>
      </c>
      <c r="H4569" s="150" t="str">
        <f>IF(Proc[[#This Row],[type]]="LFF (MDG-F)",MID(Proc[[#This Row],[Obj]],13,10),"")</f>
        <v>CH75GIT040</v>
      </c>
      <c r="J4569" s="150" t="b">
        <f>Proc[[#This Row],[Requested]]=Proc[[#This Row],[CurrentParent]]</f>
        <v>1</v>
      </c>
      <c r="K4569" s="150" t="str">
        <f>IF(Proc[[#This Row],[Author]]="Marcela Urrego",VLOOKUP(LEFT(Proc[[#This Row],[Requested]],1),Table3[#All],2,0),VLOOKUP(Proc[[#This Row],[Author]],Table4[],2,0))</f>
        <v>MGF</v>
      </c>
      <c r="L4569" s="150" t="s">
        <v>6435</v>
      </c>
      <c r="M4569" s="165">
        <v>45961</v>
      </c>
      <c r="N4569" s="166"/>
      <c r="O4569" s="166"/>
      <c r="P4569" s="165" t="str">
        <f ca="1">IF(Proc[[#This Row],[DaysAgeing]]&gt;5,"yep","on track")</f>
        <v>yep</v>
      </c>
      <c r="Q4569" s="3">
        <f ca="1">IF(Proc[[#This Row],[DateClosed]]="",ABS(NETWORKDAYS(Proc[[#This Row],[DateOpened]],TODAY()))-1,ABS(NETWORKDAYS(Proc[[#This Row],[DateOpened]],Proc[[#This Row],[DateClosed]]))-1)</f>
        <v>30</v>
      </c>
      <c r="R4569" s="165" t="s">
        <v>515</v>
      </c>
      <c r="S4569" s="150"/>
    </row>
    <row r="4570" spans="1:19">
      <c r="A4570" s="149" t="s">
        <v>6715</v>
      </c>
      <c r="B4570" s="150" t="str">
        <f>IFERROR(VLOOKUP(Proc[[#This Row],[App]],Table2[],3,0),"open")</f>
        <v>ok</v>
      </c>
      <c r="C4570" s="149" t="s">
        <v>369</v>
      </c>
      <c r="D4570" t="s">
        <v>6727</v>
      </c>
      <c r="E4570" t="s">
        <v>3023</v>
      </c>
      <c r="F4570" s="149" t="s">
        <v>3023</v>
      </c>
      <c r="G4570" s="149" t="s">
        <v>406</v>
      </c>
      <c r="H4570" s="150" t="str">
        <f>IF(Proc[[#This Row],[type]]="LFF (MDG-F)",MID(Proc[[#This Row],[Obj]],13,10),"")</f>
        <v>CH75GM2100</v>
      </c>
      <c r="J4570" s="150" t="b">
        <f>Proc[[#This Row],[Requested]]=Proc[[#This Row],[CurrentParent]]</f>
        <v>1</v>
      </c>
      <c r="K4570" s="150" t="str">
        <f>IF(Proc[[#This Row],[Author]]="Marcela Urrego",VLOOKUP(LEFT(Proc[[#This Row],[Requested]],1),Table3[#All],2,0),VLOOKUP(Proc[[#This Row],[Author]],Table4[],2,0))</f>
        <v>MGF</v>
      </c>
      <c r="L4570" s="150" t="s">
        <v>6435</v>
      </c>
      <c r="M4570" s="165">
        <v>45961</v>
      </c>
      <c r="N4570" s="166"/>
      <c r="O4570" s="166"/>
      <c r="P4570" s="165" t="str">
        <f ca="1">IF(Proc[[#This Row],[DaysAgeing]]&gt;5,"yep","on track")</f>
        <v>yep</v>
      </c>
      <c r="Q4570" s="3">
        <f ca="1">IF(Proc[[#This Row],[DateClosed]]="",ABS(NETWORKDAYS(Proc[[#This Row],[DateOpened]],TODAY()))-1,ABS(NETWORKDAYS(Proc[[#This Row],[DateOpened]],Proc[[#This Row],[DateClosed]]))-1)</f>
        <v>30</v>
      </c>
      <c r="R4570" s="165" t="s">
        <v>515</v>
      </c>
      <c r="S4570" s="150"/>
    </row>
    <row r="4571" spans="1:19">
      <c r="A4571" s="149" t="s">
        <v>6715</v>
      </c>
      <c r="B4571" s="150" t="str">
        <f>IFERROR(VLOOKUP(Proc[[#This Row],[App]],Table2[],3,0),"open")</f>
        <v>ok</v>
      </c>
      <c r="C4571" s="149" t="s">
        <v>369</v>
      </c>
      <c r="D4571" t="s">
        <v>6728</v>
      </c>
      <c r="E4571" t="s">
        <v>3023</v>
      </c>
      <c r="F4571" s="149" t="s">
        <v>3023</v>
      </c>
      <c r="G4571" s="149" t="s">
        <v>406</v>
      </c>
      <c r="H4571" s="150" t="str">
        <f>IF(Proc[[#This Row],[type]]="LFF (MDG-F)",MID(Proc[[#This Row],[Obj]],13,10),"")</f>
        <v>CH75GM2200</v>
      </c>
      <c r="J4571" s="150" t="b">
        <f>Proc[[#This Row],[Requested]]=Proc[[#This Row],[CurrentParent]]</f>
        <v>1</v>
      </c>
      <c r="K4571" s="150" t="str">
        <f>IF(Proc[[#This Row],[Author]]="Marcela Urrego",VLOOKUP(LEFT(Proc[[#This Row],[Requested]],1),Table3[#All],2,0),VLOOKUP(Proc[[#This Row],[Author]],Table4[],2,0))</f>
        <v>MGF</v>
      </c>
      <c r="L4571" s="150" t="s">
        <v>6435</v>
      </c>
      <c r="M4571" s="165">
        <v>45961</v>
      </c>
      <c r="N4571" s="166"/>
      <c r="O4571" s="166"/>
      <c r="P4571" s="165" t="str">
        <f ca="1">IF(Proc[[#This Row],[DaysAgeing]]&gt;5,"yep","on track")</f>
        <v>yep</v>
      </c>
      <c r="Q4571" s="3">
        <f ca="1">IF(Proc[[#This Row],[DateClosed]]="",ABS(NETWORKDAYS(Proc[[#This Row],[DateOpened]],TODAY()))-1,ABS(NETWORKDAYS(Proc[[#This Row],[DateOpened]],Proc[[#This Row],[DateClosed]]))-1)</f>
        <v>30</v>
      </c>
      <c r="R4571" s="165" t="s">
        <v>515</v>
      </c>
      <c r="S4571" s="150"/>
    </row>
    <row r="4572" spans="1:19">
      <c r="A4572" s="149" t="s">
        <v>6715</v>
      </c>
      <c r="B4572" s="150" t="str">
        <f>IFERROR(VLOOKUP(Proc[[#This Row],[App]],Table2[],3,0),"open")</f>
        <v>ok</v>
      </c>
      <c r="C4572" s="149" t="s">
        <v>369</v>
      </c>
      <c r="D4572" t="s">
        <v>6729</v>
      </c>
      <c r="E4572" t="s">
        <v>3023</v>
      </c>
      <c r="F4572" s="149" t="s">
        <v>3023</v>
      </c>
      <c r="G4572" s="149" t="s">
        <v>406</v>
      </c>
      <c r="H4572" s="150" t="str">
        <f>IF(Proc[[#This Row],[type]]="LFF (MDG-F)",MID(Proc[[#This Row],[Obj]],13,10),"")</f>
        <v>CH81GM2100</v>
      </c>
      <c r="J4572" s="150" t="b">
        <f>Proc[[#This Row],[Requested]]=Proc[[#This Row],[CurrentParent]]</f>
        <v>1</v>
      </c>
      <c r="K4572" s="150" t="str">
        <f>IF(Proc[[#This Row],[Author]]="Marcela Urrego",VLOOKUP(LEFT(Proc[[#This Row],[Requested]],1),Table3[#All],2,0),VLOOKUP(Proc[[#This Row],[Author]],Table4[],2,0))</f>
        <v>MGF</v>
      </c>
      <c r="L4572" s="150" t="s">
        <v>6435</v>
      </c>
      <c r="M4572" s="165">
        <v>45961</v>
      </c>
      <c r="N4572" s="166"/>
      <c r="O4572" s="166"/>
      <c r="P4572" s="165" t="str">
        <f ca="1">IF(Proc[[#This Row],[DaysAgeing]]&gt;5,"yep","on track")</f>
        <v>yep</v>
      </c>
      <c r="Q4572" s="3">
        <f ca="1">IF(Proc[[#This Row],[DateClosed]]="",ABS(NETWORKDAYS(Proc[[#This Row],[DateOpened]],TODAY()))-1,ABS(NETWORKDAYS(Proc[[#This Row],[DateOpened]],Proc[[#This Row],[DateClosed]]))-1)</f>
        <v>30</v>
      </c>
      <c r="R4572" s="165" t="s">
        <v>515</v>
      </c>
      <c r="S4572" s="150"/>
    </row>
    <row r="4573" spans="1:19">
      <c r="A4573" s="149" t="s">
        <v>6715</v>
      </c>
      <c r="B4573" s="150" t="str">
        <f>IFERROR(VLOOKUP(Proc[[#This Row],[App]],Table2[],3,0),"open")</f>
        <v>ok</v>
      </c>
      <c r="C4573" s="149" t="s">
        <v>369</v>
      </c>
      <c r="D4573" t="s">
        <v>6730</v>
      </c>
      <c r="E4573" t="s">
        <v>3023</v>
      </c>
      <c r="F4573" s="149" t="s">
        <v>3023</v>
      </c>
      <c r="G4573" s="149" t="s">
        <v>406</v>
      </c>
      <c r="H4573" s="150" t="str">
        <f>IF(Proc[[#This Row],[type]]="LFF (MDG-F)",MID(Proc[[#This Row],[Obj]],13,10),"")</f>
        <v>CH82GM2100</v>
      </c>
      <c r="J4573" s="150" t="b">
        <f>Proc[[#This Row],[Requested]]=Proc[[#This Row],[CurrentParent]]</f>
        <v>1</v>
      </c>
      <c r="K4573" s="150" t="str">
        <f>IF(Proc[[#This Row],[Author]]="Marcela Urrego",VLOOKUP(LEFT(Proc[[#This Row],[Requested]],1),Table3[#All],2,0),VLOOKUP(Proc[[#This Row],[Author]],Table4[],2,0))</f>
        <v>MGF</v>
      </c>
      <c r="L4573" s="150" t="s">
        <v>6435</v>
      </c>
      <c r="M4573" s="165">
        <v>45961</v>
      </c>
      <c r="N4573" s="166"/>
      <c r="O4573" s="166"/>
      <c r="P4573" s="165" t="str">
        <f ca="1">IF(Proc[[#This Row],[DaysAgeing]]&gt;5,"yep","on track")</f>
        <v>yep</v>
      </c>
      <c r="Q4573" s="3">
        <f ca="1">IF(Proc[[#This Row],[DateClosed]]="",ABS(NETWORKDAYS(Proc[[#This Row],[DateOpened]],TODAY()))-1,ABS(NETWORKDAYS(Proc[[#This Row],[DateOpened]],Proc[[#This Row],[DateClosed]]))-1)</f>
        <v>30</v>
      </c>
      <c r="R4573" s="165" t="s">
        <v>515</v>
      </c>
      <c r="S4573" s="150"/>
    </row>
    <row r="4574" spans="1:19">
      <c r="A4574" s="149" t="s">
        <v>6715</v>
      </c>
      <c r="B4574" s="150" t="str">
        <f>IFERROR(VLOOKUP(Proc[[#This Row],[App]],Table2[],3,0),"open")</f>
        <v>ok</v>
      </c>
      <c r="C4574" s="149" t="s">
        <v>369</v>
      </c>
      <c r="D4574" t="s">
        <v>6731</v>
      </c>
      <c r="E4574" t="s">
        <v>3023</v>
      </c>
      <c r="F4574" s="149" t="s">
        <v>3023</v>
      </c>
      <c r="G4574" s="149" t="s">
        <v>406</v>
      </c>
      <c r="H4574" s="150" t="str">
        <f>IF(Proc[[#This Row],[type]]="LFF (MDG-F)",MID(Proc[[#This Row],[Obj]],13,10),"")</f>
        <v>CH82GM2200</v>
      </c>
      <c r="J4574" s="150" t="b">
        <f>Proc[[#This Row],[Requested]]=Proc[[#This Row],[CurrentParent]]</f>
        <v>1</v>
      </c>
      <c r="K4574" s="150" t="str">
        <f>IF(Proc[[#This Row],[Author]]="Marcela Urrego",VLOOKUP(LEFT(Proc[[#This Row],[Requested]],1),Table3[#All],2,0),VLOOKUP(Proc[[#This Row],[Author]],Table4[],2,0))</f>
        <v>MGF</v>
      </c>
      <c r="L4574" s="150" t="s">
        <v>6435</v>
      </c>
      <c r="M4574" s="165">
        <v>45961</v>
      </c>
      <c r="N4574" s="166"/>
      <c r="O4574" s="166"/>
      <c r="P4574" s="165" t="str">
        <f ca="1">IF(Proc[[#This Row],[DaysAgeing]]&gt;5,"yep","on track")</f>
        <v>yep</v>
      </c>
      <c r="Q4574" s="3">
        <f ca="1">IF(Proc[[#This Row],[DateClosed]]="",ABS(NETWORKDAYS(Proc[[#This Row],[DateOpened]],TODAY()))-1,ABS(NETWORKDAYS(Proc[[#This Row],[DateOpened]],Proc[[#This Row],[DateClosed]]))-1)</f>
        <v>30</v>
      </c>
      <c r="R4574" s="165" t="s">
        <v>515</v>
      </c>
      <c r="S4574" s="150"/>
    </row>
    <row r="4575" spans="1:19">
      <c r="A4575" s="149" t="s">
        <v>6715</v>
      </c>
      <c r="B4575" s="150" t="str">
        <f>IFERROR(VLOOKUP(Proc[[#This Row],[App]],Table2[],3,0),"open")</f>
        <v>ok</v>
      </c>
      <c r="C4575" s="149" t="s">
        <v>369</v>
      </c>
      <c r="D4575" t="s">
        <v>6732</v>
      </c>
      <c r="E4575" t="s">
        <v>3023</v>
      </c>
      <c r="F4575" s="150" t="s">
        <v>3023</v>
      </c>
      <c r="G4575" s="149" t="s">
        <v>400</v>
      </c>
      <c r="H4575" s="150" t="str">
        <f>IF(Proc[[#This Row],[type]]="LFF (MDG-F)",MID(Proc[[#This Row],[Obj]],13,10),"")</f>
        <v/>
      </c>
      <c r="J4575" s="150" t="b">
        <f>Proc[[#This Row],[Requested]]=Proc[[#This Row],[CurrentParent]]</f>
        <v>1</v>
      </c>
      <c r="K4575" s="150" t="str">
        <f>IF(Proc[[#This Row],[Author]]="Marcela Urrego",VLOOKUP(LEFT(Proc[[#This Row],[Requested]],1),Table3[#All],2,0),VLOOKUP(Proc[[#This Row],[Author]],Table4[],2,0))</f>
        <v>MGF</v>
      </c>
      <c r="L4575" s="150" t="s">
        <v>6435</v>
      </c>
      <c r="M4575" s="165">
        <v>45961</v>
      </c>
      <c r="N4575" s="166"/>
      <c r="O4575" s="166"/>
      <c r="P4575" s="165" t="str">
        <f ca="1">IF(Proc[[#This Row],[DaysAgeing]]&gt;5,"yep","on track")</f>
        <v>yep</v>
      </c>
      <c r="Q4575" s="3">
        <f ca="1">IF(Proc[[#This Row],[DateClosed]]="",ABS(NETWORKDAYS(Proc[[#This Row],[DateOpened]],TODAY()))-1,ABS(NETWORKDAYS(Proc[[#This Row],[DateOpened]],Proc[[#This Row],[DateClosed]]))-1)</f>
        <v>30</v>
      </c>
      <c r="R4575" s="165" t="s">
        <v>515</v>
      </c>
      <c r="S4575" s="150"/>
    </row>
    <row r="4576" spans="1:19">
      <c r="A4576" s="149" t="s">
        <v>6715</v>
      </c>
      <c r="B4576" s="150" t="str">
        <f>IFERROR(VLOOKUP(Proc[[#This Row],[App]],Table2[],3,0),"open")</f>
        <v>ok</v>
      </c>
      <c r="C4576" s="149" t="s">
        <v>369</v>
      </c>
      <c r="D4576" t="s">
        <v>6733</v>
      </c>
      <c r="E4576" t="s">
        <v>3023</v>
      </c>
      <c r="F4576" s="150" t="s">
        <v>3023</v>
      </c>
      <c r="G4576" s="149" t="s">
        <v>400</v>
      </c>
      <c r="H4576" s="150" t="str">
        <f>IF(Proc[[#This Row],[type]]="LFF (MDG-F)",MID(Proc[[#This Row],[Obj]],13,10),"")</f>
        <v/>
      </c>
      <c r="J4576" s="150" t="b">
        <f>Proc[[#This Row],[Requested]]=Proc[[#This Row],[CurrentParent]]</f>
        <v>1</v>
      </c>
      <c r="K4576" s="150" t="str">
        <f>IF(Proc[[#This Row],[Author]]="Marcela Urrego",VLOOKUP(LEFT(Proc[[#This Row],[Requested]],1),Table3[#All],2,0),VLOOKUP(Proc[[#This Row],[Author]],Table4[],2,0))</f>
        <v>MGF</v>
      </c>
      <c r="L4576" s="150" t="s">
        <v>6435</v>
      </c>
      <c r="M4576" s="165">
        <v>45961</v>
      </c>
      <c r="N4576" s="166"/>
      <c r="O4576" s="166"/>
      <c r="P4576" s="165" t="str">
        <f ca="1">IF(Proc[[#This Row],[DaysAgeing]]&gt;5,"yep","on track")</f>
        <v>yep</v>
      </c>
      <c r="Q4576" s="3">
        <f ca="1">IF(Proc[[#This Row],[DateClosed]]="",ABS(NETWORKDAYS(Proc[[#This Row],[DateOpened]],TODAY()))-1,ABS(NETWORKDAYS(Proc[[#This Row],[DateOpened]],Proc[[#This Row],[DateClosed]]))-1)</f>
        <v>30</v>
      </c>
      <c r="R4576" s="165" t="s">
        <v>515</v>
      </c>
      <c r="S4576" s="150"/>
    </row>
    <row r="4577" spans="1:19">
      <c r="A4577" s="149" t="s">
        <v>6715</v>
      </c>
      <c r="B4577" s="150" t="str">
        <f>IFERROR(VLOOKUP(Proc[[#This Row],[App]],Table2[],3,0),"open")</f>
        <v>ok</v>
      </c>
      <c r="C4577" s="149" t="s">
        <v>369</v>
      </c>
      <c r="D4577" t="s">
        <v>6734</v>
      </c>
      <c r="E4577" t="s">
        <v>3023</v>
      </c>
      <c r="F4577" s="150" t="s">
        <v>3023</v>
      </c>
      <c r="G4577" s="149" t="s">
        <v>400</v>
      </c>
      <c r="H4577" s="150" t="str">
        <f>IF(Proc[[#This Row],[type]]="LFF (MDG-F)",MID(Proc[[#This Row],[Obj]],13,10),"")</f>
        <v/>
      </c>
      <c r="J4577" s="150" t="b">
        <f>Proc[[#This Row],[Requested]]=Proc[[#This Row],[CurrentParent]]</f>
        <v>1</v>
      </c>
      <c r="K4577" s="150" t="str">
        <f>IF(Proc[[#This Row],[Author]]="Marcela Urrego",VLOOKUP(LEFT(Proc[[#This Row],[Requested]],1),Table3[#All],2,0),VLOOKUP(Proc[[#This Row],[Author]],Table4[],2,0))</f>
        <v>MGF</v>
      </c>
      <c r="L4577" s="150" t="s">
        <v>6435</v>
      </c>
      <c r="M4577" s="165">
        <v>45961</v>
      </c>
      <c r="N4577" s="166"/>
      <c r="O4577" s="166"/>
      <c r="P4577" s="165" t="str">
        <f ca="1">IF(Proc[[#This Row],[DaysAgeing]]&gt;5,"yep","on track")</f>
        <v>yep</v>
      </c>
      <c r="Q4577" s="3">
        <f ca="1">IF(Proc[[#This Row],[DateClosed]]="",ABS(NETWORKDAYS(Proc[[#This Row],[DateOpened]],TODAY()))-1,ABS(NETWORKDAYS(Proc[[#This Row],[DateOpened]],Proc[[#This Row],[DateClosed]]))-1)</f>
        <v>30</v>
      </c>
      <c r="R4577" s="165" t="s">
        <v>515</v>
      </c>
      <c r="S4577" s="150"/>
    </row>
    <row r="4578" spans="1:19">
      <c r="A4578" s="149" t="s">
        <v>6715</v>
      </c>
      <c r="B4578" s="150" t="str">
        <f>IFERROR(VLOOKUP(Proc[[#This Row],[App]],Table2[],3,0),"open")</f>
        <v>ok</v>
      </c>
      <c r="C4578" s="149" t="s">
        <v>369</v>
      </c>
      <c r="D4578" t="s">
        <v>6735</v>
      </c>
      <c r="E4578" t="s">
        <v>3023</v>
      </c>
      <c r="F4578" s="150" t="s">
        <v>3023</v>
      </c>
      <c r="G4578" s="149" t="s">
        <v>400</v>
      </c>
      <c r="H4578" s="150" t="str">
        <f>IF(Proc[[#This Row],[type]]="LFF (MDG-F)",MID(Proc[[#This Row],[Obj]],13,10),"")</f>
        <v/>
      </c>
      <c r="J4578" s="150" t="b">
        <f>Proc[[#This Row],[Requested]]=Proc[[#This Row],[CurrentParent]]</f>
        <v>1</v>
      </c>
      <c r="K4578" s="150" t="str">
        <f>IF(Proc[[#This Row],[Author]]="Marcela Urrego",VLOOKUP(LEFT(Proc[[#This Row],[Requested]],1),Table3[#All],2,0),VLOOKUP(Proc[[#This Row],[Author]],Table4[],2,0))</f>
        <v>MGF</v>
      </c>
      <c r="L4578" s="150" t="s">
        <v>6435</v>
      </c>
      <c r="M4578" s="165">
        <v>45961</v>
      </c>
      <c r="N4578" s="166"/>
      <c r="O4578" s="166"/>
      <c r="P4578" s="165" t="str">
        <f ca="1">IF(Proc[[#This Row],[DaysAgeing]]&gt;5,"yep","on track")</f>
        <v>yep</v>
      </c>
      <c r="Q4578" s="3">
        <f ca="1">IF(Proc[[#This Row],[DateClosed]]="",ABS(NETWORKDAYS(Proc[[#This Row],[DateOpened]],TODAY()))-1,ABS(NETWORKDAYS(Proc[[#This Row],[DateOpened]],Proc[[#This Row],[DateClosed]]))-1)</f>
        <v>30</v>
      </c>
      <c r="R4578" s="165" t="s">
        <v>515</v>
      </c>
      <c r="S4578" s="150"/>
    </row>
    <row r="4579" spans="1:19">
      <c r="A4579" s="149" t="s">
        <v>6715</v>
      </c>
      <c r="B4579" s="150" t="str">
        <f>IFERROR(VLOOKUP(Proc[[#This Row],[App]],Table2[],3,0),"open")</f>
        <v>ok</v>
      </c>
      <c r="C4579" s="149" t="s">
        <v>369</v>
      </c>
      <c r="D4579" t="s">
        <v>6736</v>
      </c>
      <c r="E4579" t="s">
        <v>3023</v>
      </c>
      <c r="F4579" s="150" t="s">
        <v>3023</v>
      </c>
      <c r="G4579" s="149" t="s">
        <v>400</v>
      </c>
      <c r="H4579" s="150" t="str">
        <f>IF(Proc[[#This Row],[type]]="LFF (MDG-F)",MID(Proc[[#This Row],[Obj]],13,10),"")</f>
        <v/>
      </c>
      <c r="J4579" s="150" t="b">
        <f>Proc[[#This Row],[Requested]]=Proc[[#This Row],[CurrentParent]]</f>
        <v>1</v>
      </c>
      <c r="K4579" s="150" t="str">
        <f>IF(Proc[[#This Row],[Author]]="Marcela Urrego",VLOOKUP(LEFT(Proc[[#This Row],[Requested]],1),Table3[#All],2,0),VLOOKUP(Proc[[#This Row],[Author]],Table4[],2,0))</f>
        <v>MGF</v>
      </c>
      <c r="L4579" s="150" t="s">
        <v>6435</v>
      </c>
      <c r="M4579" s="165">
        <v>45961</v>
      </c>
      <c r="N4579" s="166"/>
      <c r="O4579" s="166"/>
      <c r="P4579" s="165" t="str">
        <f ca="1">IF(Proc[[#This Row],[DaysAgeing]]&gt;5,"yep","on track")</f>
        <v>yep</v>
      </c>
      <c r="Q4579" s="3">
        <f ca="1">IF(Proc[[#This Row],[DateClosed]]="",ABS(NETWORKDAYS(Proc[[#This Row],[DateOpened]],TODAY()))-1,ABS(NETWORKDAYS(Proc[[#This Row],[DateOpened]],Proc[[#This Row],[DateClosed]]))-1)</f>
        <v>30</v>
      </c>
      <c r="R4579" s="165" t="s">
        <v>515</v>
      </c>
      <c r="S4579" s="150"/>
    </row>
    <row r="4580" spans="1:19">
      <c r="A4580" s="149" t="s">
        <v>6715</v>
      </c>
      <c r="B4580" s="150" t="str">
        <f>IFERROR(VLOOKUP(Proc[[#This Row],[App]],Table2[],3,0),"open")</f>
        <v>ok</v>
      </c>
      <c r="C4580" s="149" t="s">
        <v>369</v>
      </c>
      <c r="D4580" t="s">
        <v>6737</v>
      </c>
      <c r="E4580" t="s">
        <v>3023</v>
      </c>
      <c r="F4580" s="150" t="s">
        <v>3023</v>
      </c>
      <c r="G4580" s="149" t="s">
        <v>400</v>
      </c>
      <c r="H4580" s="150" t="str">
        <f>IF(Proc[[#This Row],[type]]="LFF (MDG-F)",MID(Proc[[#This Row],[Obj]],13,10),"")</f>
        <v/>
      </c>
      <c r="J4580" s="150" t="b">
        <f>Proc[[#This Row],[Requested]]=Proc[[#This Row],[CurrentParent]]</f>
        <v>1</v>
      </c>
      <c r="K4580" s="150" t="str">
        <f>IF(Proc[[#This Row],[Author]]="Marcela Urrego",VLOOKUP(LEFT(Proc[[#This Row],[Requested]],1),Table3[#All],2,0),VLOOKUP(Proc[[#This Row],[Author]],Table4[],2,0))</f>
        <v>MGF</v>
      </c>
      <c r="L4580" s="150" t="s">
        <v>6435</v>
      </c>
      <c r="M4580" s="165">
        <v>45961</v>
      </c>
      <c r="N4580" s="166"/>
      <c r="O4580" s="166"/>
      <c r="P4580" s="165" t="str">
        <f ca="1">IF(Proc[[#This Row],[DaysAgeing]]&gt;5,"yep","on track")</f>
        <v>yep</v>
      </c>
      <c r="Q4580" s="3">
        <f ca="1">IF(Proc[[#This Row],[DateClosed]]="",ABS(NETWORKDAYS(Proc[[#This Row],[DateOpened]],TODAY()))-1,ABS(NETWORKDAYS(Proc[[#This Row],[DateOpened]],Proc[[#This Row],[DateClosed]]))-1)</f>
        <v>30</v>
      </c>
      <c r="R4580" s="165" t="s">
        <v>515</v>
      </c>
      <c r="S4580" s="150"/>
    </row>
    <row r="4581" spans="1:19">
      <c r="A4581" s="149" t="s">
        <v>6715</v>
      </c>
      <c r="B4581" s="150" t="str">
        <f>IFERROR(VLOOKUP(Proc[[#This Row],[App]],Table2[],3,0),"open")</f>
        <v>ok</v>
      </c>
      <c r="C4581" s="149" t="s">
        <v>369</v>
      </c>
      <c r="D4581" t="s">
        <v>6738</v>
      </c>
      <c r="E4581" t="s">
        <v>3023</v>
      </c>
      <c r="F4581" s="150" t="s">
        <v>3023</v>
      </c>
      <c r="G4581" s="149" t="s">
        <v>400</v>
      </c>
      <c r="H4581" s="150" t="str">
        <f>IF(Proc[[#This Row],[type]]="LFF (MDG-F)",MID(Proc[[#This Row],[Obj]],13,10),"")</f>
        <v/>
      </c>
      <c r="J4581" s="150" t="b">
        <f>Proc[[#This Row],[Requested]]=Proc[[#This Row],[CurrentParent]]</f>
        <v>1</v>
      </c>
      <c r="K4581" s="150" t="str">
        <f>IF(Proc[[#This Row],[Author]]="Marcela Urrego",VLOOKUP(LEFT(Proc[[#This Row],[Requested]],1),Table3[#All],2,0),VLOOKUP(Proc[[#This Row],[Author]],Table4[],2,0))</f>
        <v>MGF</v>
      </c>
      <c r="L4581" s="150" t="s">
        <v>6435</v>
      </c>
      <c r="M4581" s="165">
        <v>45961</v>
      </c>
      <c r="N4581" s="166"/>
      <c r="O4581" s="166"/>
      <c r="P4581" s="165" t="str">
        <f ca="1">IF(Proc[[#This Row],[DaysAgeing]]&gt;5,"yep","on track")</f>
        <v>yep</v>
      </c>
      <c r="Q4581" s="3">
        <f ca="1">IF(Proc[[#This Row],[DateClosed]]="",ABS(NETWORKDAYS(Proc[[#This Row],[DateOpened]],TODAY()))-1,ABS(NETWORKDAYS(Proc[[#This Row],[DateOpened]],Proc[[#This Row],[DateClosed]]))-1)</f>
        <v>30</v>
      </c>
      <c r="R4581" s="165" t="s">
        <v>515</v>
      </c>
      <c r="S4581" s="150"/>
    </row>
    <row r="4582" spans="1:19">
      <c r="A4582" s="149" t="s">
        <v>6715</v>
      </c>
      <c r="B4582" s="150" t="str">
        <f>IFERROR(VLOOKUP(Proc[[#This Row],[App]],Table2[],3,0),"open")</f>
        <v>ok</v>
      </c>
      <c r="C4582" s="149" t="s">
        <v>369</v>
      </c>
      <c r="D4582" t="s">
        <v>6739</v>
      </c>
      <c r="E4582" t="s">
        <v>3023</v>
      </c>
      <c r="F4582" s="150" t="s">
        <v>3023</v>
      </c>
      <c r="G4582" s="149" t="s">
        <v>400</v>
      </c>
      <c r="H4582" s="150" t="str">
        <f>IF(Proc[[#This Row],[type]]="LFF (MDG-F)",MID(Proc[[#This Row],[Obj]],13,10),"")</f>
        <v/>
      </c>
      <c r="J4582" s="150" t="b">
        <f>Proc[[#This Row],[Requested]]=Proc[[#This Row],[CurrentParent]]</f>
        <v>1</v>
      </c>
      <c r="K4582" s="150" t="str">
        <f>IF(Proc[[#This Row],[Author]]="Marcela Urrego",VLOOKUP(LEFT(Proc[[#This Row],[Requested]],1),Table3[#All],2,0),VLOOKUP(Proc[[#This Row],[Author]],Table4[],2,0))</f>
        <v>MGF</v>
      </c>
      <c r="L4582" s="150" t="s">
        <v>6435</v>
      </c>
      <c r="M4582" s="165">
        <v>45961</v>
      </c>
      <c r="N4582" s="166"/>
      <c r="O4582" s="166"/>
      <c r="P4582" s="165" t="str">
        <f ca="1">IF(Proc[[#This Row],[DaysAgeing]]&gt;5,"yep","on track")</f>
        <v>yep</v>
      </c>
      <c r="Q4582" s="3">
        <f ca="1">IF(Proc[[#This Row],[DateClosed]]="",ABS(NETWORKDAYS(Proc[[#This Row],[DateOpened]],TODAY()))-1,ABS(NETWORKDAYS(Proc[[#This Row],[DateOpened]],Proc[[#This Row],[DateClosed]]))-1)</f>
        <v>30</v>
      </c>
      <c r="R4582" s="165" t="s">
        <v>515</v>
      </c>
      <c r="S4582" s="150"/>
    </row>
    <row r="4583" spans="1:19">
      <c r="A4583" s="149" t="s">
        <v>6715</v>
      </c>
      <c r="B4583" s="150" t="str">
        <f>IFERROR(VLOOKUP(Proc[[#This Row],[App]],Table2[],3,0),"open")</f>
        <v>ok</v>
      </c>
      <c r="C4583" s="149" t="s">
        <v>369</v>
      </c>
      <c r="D4583" t="s">
        <v>6740</v>
      </c>
      <c r="E4583" t="s">
        <v>3023</v>
      </c>
      <c r="F4583" s="149" t="s">
        <v>3023</v>
      </c>
      <c r="G4583" s="149" t="s">
        <v>406</v>
      </c>
      <c r="H4583" s="150" t="str">
        <f>IF(Proc[[#This Row],[type]]="LFF (MDG-F)",MID(Proc[[#This Row],[Obj]],13,10),"")</f>
        <v>CH01GFO000</v>
      </c>
      <c r="J4583" s="150" t="b">
        <f>Proc[[#This Row],[Requested]]=Proc[[#This Row],[CurrentParent]]</f>
        <v>1</v>
      </c>
      <c r="K4583" s="150" t="str">
        <f>IF(Proc[[#This Row],[Author]]="Marcela Urrego",VLOOKUP(LEFT(Proc[[#This Row],[Requested]],1),Table3[#All],2,0),VLOOKUP(Proc[[#This Row],[Author]],Table4[],2,0))</f>
        <v>MGF</v>
      </c>
      <c r="L4583" s="150" t="s">
        <v>6435</v>
      </c>
      <c r="M4583" s="165">
        <v>45961</v>
      </c>
      <c r="N4583" s="166"/>
      <c r="O4583" s="166"/>
      <c r="P4583" s="165" t="str">
        <f ca="1">IF(Proc[[#This Row],[DaysAgeing]]&gt;5,"yep","on track")</f>
        <v>yep</v>
      </c>
      <c r="Q4583" s="3">
        <f ca="1">IF(Proc[[#This Row],[DateClosed]]="",ABS(NETWORKDAYS(Proc[[#This Row],[DateOpened]],TODAY()))-1,ABS(NETWORKDAYS(Proc[[#This Row],[DateOpened]],Proc[[#This Row],[DateClosed]]))-1)</f>
        <v>30</v>
      </c>
      <c r="R4583" s="165" t="s">
        <v>515</v>
      </c>
      <c r="S4583" s="150"/>
    </row>
    <row r="4584" spans="1:19">
      <c r="A4584" s="149" t="s">
        <v>6715</v>
      </c>
      <c r="B4584" s="150" t="str">
        <f>IFERROR(VLOOKUP(Proc[[#This Row],[App]],Table2[],3,0),"open")</f>
        <v>ok</v>
      </c>
      <c r="C4584" s="149" t="s">
        <v>369</v>
      </c>
      <c r="D4584" t="s">
        <v>6741</v>
      </c>
      <c r="E4584" t="s">
        <v>3023</v>
      </c>
      <c r="F4584" s="149" t="s">
        <v>3023</v>
      </c>
      <c r="G4584" s="149" t="s">
        <v>406</v>
      </c>
      <c r="H4584" s="150" t="str">
        <f>IF(Proc[[#This Row],[type]]="LFF (MDG-F)",MID(Proc[[#This Row],[Obj]],13,10),"")</f>
        <v>CH65GM2200</v>
      </c>
      <c r="J4584" s="150" t="b">
        <f>Proc[[#This Row],[Requested]]=Proc[[#This Row],[CurrentParent]]</f>
        <v>1</v>
      </c>
      <c r="K4584" s="150" t="str">
        <f>IF(Proc[[#This Row],[Author]]="Marcela Urrego",VLOOKUP(LEFT(Proc[[#This Row],[Requested]],1),Table3[#All],2,0),VLOOKUP(Proc[[#This Row],[Author]],Table4[],2,0))</f>
        <v>MGF</v>
      </c>
      <c r="L4584" s="150" t="s">
        <v>6435</v>
      </c>
      <c r="M4584" s="165">
        <v>45961</v>
      </c>
      <c r="N4584" s="166"/>
      <c r="O4584" s="166"/>
      <c r="P4584" s="165" t="str">
        <f ca="1">IF(Proc[[#This Row],[DaysAgeing]]&gt;5,"yep","on track")</f>
        <v>yep</v>
      </c>
      <c r="Q4584" s="3">
        <f ca="1">IF(Proc[[#This Row],[DateClosed]]="",ABS(NETWORKDAYS(Proc[[#This Row],[DateOpened]],TODAY()))-1,ABS(NETWORKDAYS(Proc[[#This Row],[DateOpened]],Proc[[#This Row],[DateClosed]]))-1)</f>
        <v>30</v>
      </c>
      <c r="R4584" s="165" t="s">
        <v>515</v>
      </c>
      <c r="S4584" s="150"/>
    </row>
    <row r="4585" spans="1:19">
      <c r="A4585" t="s">
        <v>6748</v>
      </c>
      <c r="B4585" s="150" t="str">
        <f>IFERROR(VLOOKUP(Proc[[#This Row],[App]],Table2[],3,0),"open")</f>
        <v>ok</v>
      </c>
      <c r="C4585" s="149" t="s">
        <v>369</v>
      </c>
      <c r="D4585" t="s">
        <v>6749</v>
      </c>
      <c r="E4585" t="s">
        <v>430</v>
      </c>
      <c r="F4585" s="150" t="s">
        <v>430</v>
      </c>
      <c r="G4585" t="s">
        <v>400</v>
      </c>
      <c r="H4585" s="150" t="str">
        <f>IF(Proc[[#This Row],[type]]="LFF (MDG-F)",MID(Proc[[#This Row],[Obj]],13,10),"")</f>
        <v/>
      </c>
      <c r="J4585" s="150" t="b">
        <f>Proc[[#This Row],[Requested]]=Proc[[#This Row],[CurrentParent]]</f>
        <v>1</v>
      </c>
      <c r="K4585" s="150" t="str">
        <f>IF(Proc[[#This Row],[Author]]="Marcela Urrego",VLOOKUP(LEFT(Proc[[#This Row],[Requested]],1),Table3[#All],2,0),VLOOKUP(Proc[[#This Row],[Author]],Table4[],2,0))</f>
        <v>MGF</v>
      </c>
      <c r="L4585" s="150" t="s">
        <v>6435</v>
      </c>
      <c r="M4585" s="165">
        <v>45965</v>
      </c>
      <c r="N4585" s="166"/>
      <c r="O4585" s="166"/>
      <c r="P4585" s="165" t="str">
        <f ca="1">IF(Proc[[#This Row],[DaysAgeing]]&gt;5,"yep","on track")</f>
        <v>yep</v>
      </c>
      <c r="Q4585" s="3">
        <f ca="1">IF(Proc[[#This Row],[DateClosed]]="",ABS(NETWORKDAYS(Proc[[#This Row],[DateOpened]],TODAY()))-1,ABS(NETWORKDAYS(Proc[[#This Row],[DateOpened]],Proc[[#This Row],[DateClosed]]))-1)</f>
        <v>28</v>
      </c>
      <c r="R4585" s="165" t="s">
        <v>1459</v>
      </c>
      <c r="S4585" s="150"/>
    </row>
    <row r="4586" spans="1:19">
      <c r="A4586" s="149" t="s">
        <v>6748</v>
      </c>
      <c r="B4586" s="150" t="str">
        <f>IFERROR(VLOOKUP(Proc[[#This Row],[App]],Table2[],3,0),"open")</f>
        <v>ok</v>
      </c>
      <c r="C4586" s="149" t="s">
        <v>692</v>
      </c>
      <c r="D4586" t="s">
        <v>2319</v>
      </c>
      <c r="E4586" t="s">
        <v>430</v>
      </c>
      <c r="F4586" s="150" t="s">
        <v>5569</v>
      </c>
      <c r="G4586" s="149" t="s">
        <v>406</v>
      </c>
      <c r="H4586" s="150" t="str">
        <f>IF(Proc[[#This Row],[type]]="LFF (MDG-F)",MID(Proc[[#This Row],[Obj]],13,10),"")</f>
        <v>DE65GIT032</v>
      </c>
      <c r="I4586" t="s">
        <v>6780</v>
      </c>
      <c r="J4586" s="150" t="b">
        <f>Proc[[#This Row],[Requested]]=Proc[[#This Row],[CurrentParent]]</f>
        <v>0</v>
      </c>
      <c r="K4586" s="150" t="str">
        <f>IF(Proc[[#This Row],[Author]]="Marcela Urrego",VLOOKUP(LEFT(Proc[[#This Row],[Requested]],1),Table3[#All],2,0),VLOOKUP(Proc[[#This Row],[Author]],Table4[],2,0))</f>
        <v>MGF</v>
      </c>
      <c r="L4586" s="150" t="s">
        <v>6435</v>
      </c>
      <c r="M4586" s="165">
        <v>45965</v>
      </c>
      <c r="N4586" s="166"/>
      <c r="O4586" s="166"/>
      <c r="P4586" s="165" t="str">
        <f ca="1">IF(Proc[[#This Row],[DaysAgeing]]&gt;5,"yep","on track")</f>
        <v>yep</v>
      </c>
      <c r="Q4586" s="3">
        <f ca="1">IF(Proc[[#This Row],[DateClosed]]="",ABS(NETWORKDAYS(Proc[[#This Row],[DateOpened]],TODAY()))-1,ABS(NETWORKDAYS(Proc[[#This Row],[DateOpened]],Proc[[#This Row],[DateClosed]]))-1)</f>
        <v>28</v>
      </c>
      <c r="R4586" s="165" t="s">
        <v>1459</v>
      </c>
      <c r="S4586" s="150"/>
    </row>
    <row r="4587" spans="1:19">
      <c r="A4587" s="149" t="s">
        <v>6748</v>
      </c>
      <c r="B4587" s="150" t="str">
        <f>IFERROR(VLOOKUP(Proc[[#This Row],[App]],Table2[],3,0),"open")</f>
        <v>ok</v>
      </c>
      <c r="C4587" s="149" t="s">
        <v>369</v>
      </c>
      <c r="D4587" t="s">
        <v>6613</v>
      </c>
      <c r="E4587" t="s">
        <v>6626</v>
      </c>
      <c r="F4587" s="150" t="s">
        <v>6626</v>
      </c>
      <c r="G4587" s="149" t="s">
        <v>406</v>
      </c>
      <c r="H4587" s="150" t="str">
        <f>IF(Proc[[#This Row],[type]]="LFF (MDG-F)",MID(Proc[[#This Row],[Obj]],13,10),"")</f>
        <v>DE10GIT101</v>
      </c>
      <c r="J4587" s="150" t="b">
        <f>Proc[[#This Row],[Requested]]=Proc[[#This Row],[CurrentParent]]</f>
        <v>1</v>
      </c>
      <c r="K4587" s="150" t="str">
        <f>IF(Proc[[#This Row],[Author]]="Marcela Urrego",VLOOKUP(LEFT(Proc[[#This Row],[Requested]],1),Table3[#All],2,0),VLOOKUP(Proc[[#This Row],[Author]],Table4[],2,0))</f>
        <v>MGF</v>
      </c>
      <c r="L4587" s="150" t="s">
        <v>6435</v>
      </c>
      <c r="M4587" s="165">
        <v>45965</v>
      </c>
      <c r="N4587" s="166"/>
      <c r="O4587" s="166"/>
      <c r="P4587" s="165" t="str">
        <f ca="1">IF(Proc[[#This Row],[DaysAgeing]]&gt;5,"yep","on track")</f>
        <v>yep</v>
      </c>
      <c r="Q4587" s="3">
        <f ca="1">IF(Proc[[#This Row],[DateClosed]]="",ABS(NETWORKDAYS(Proc[[#This Row],[DateOpened]],TODAY()))-1,ABS(NETWORKDAYS(Proc[[#This Row],[DateOpened]],Proc[[#This Row],[DateClosed]]))-1)</f>
        <v>28</v>
      </c>
      <c r="R4587" s="165" t="s">
        <v>1459</v>
      </c>
      <c r="S4587" s="150"/>
    </row>
    <row r="4588" spans="1:19">
      <c r="A4588" s="149" t="s">
        <v>6748</v>
      </c>
      <c r="B4588" s="150" t="str">
        <f>IFERROR(VLOOKUP(Proc[[#This Row],[App]],Table2[],3,0),"open")</f>
        <v>ok</v>
      </c>
      <c r="C4588" s="149" t="s">
        <v>369</v>
      </c>
      <c r="D4588" t="s">
        <v>5437</v>
      </c>
      <c r="E4588" t="s">
        <v>6446</v>
      </c>
      <c r="F4588" s="150" t="s">
        <v>6446</v>
      </c>
      <c r="G4588" s="149" t="s">
        <v>406</v>
      </c>
      <c r="H4588" s="150" t="str">
        <f>IF(Proc[[#This Row],[type]]="LFF (MDG-F)",MID(Proc[[#This Row],[Obj]],13,10),"")</f>
        <v>DE10YIT014</v>
      </c>
      <c r="J4588" s="150" t="b">
        <f>Proc[[#This Row],[Requested]]=Proc[[#This Row],[CurrentParent]]</f>
        <v>1</v>
      </c>
      <c r="K4588" s="150" t="str">
        <f>IF(Proc[[#This Row],[Author]]="Marcela Urrego",VLOOKUP(LEFT(Proc[[#This Row],[Requested]],1),Table3[#All],2,0),VLOOKUP(Proc[[#This Row],[Author]],Table4[],2,0))</f>
        <v>MGF</v>
      </c>
      <c r="L4588" s="150" t="s">
        <v>6435</v>
      </c>
      <c r="M4588" s="165">
        <v>45965</v>
      </c>
      <c r="N4588" s="166"/>
      <c r="O4588" s="166"/>
      <c r="P4588" s="165" t="str">
        <f ca="1">IF(Proc[[#This Row],[DaysAgeing]]&gt;5,"yep","on track")</f>
        <v>yep</v>
      </c>
      <c r="Q4588" s="3">
        <f ca="1">IF(Proc[[#This Row],[DateClosed]]="",ABS(NETWORKDAYS(Proc[[#This Row],[DateOpened]],TODAY()))-1,ABS(NETWORKDAYS(Proc[[#This Row],[DateOpened]],Proc[[#This Row],[DateClosed]]))-1)</f>
        <v>28</v>
      </c>
      <c r="R4588" s="165" t="s">
        <v>1459</v>
      </c>
      <c r="S4588" s="150"/>
    </row>
    <row r="4589" spans="1:19">
      <c r="A4589" t="s">
        <v>6750</v>
      </c>
      <c r="B4589" s="150" t="str">
        <f>IFERROR(VLOOKUP(Proc[[#This Row],[App]],Table2[],3,0),"open")</f>
        <v>ok</v>
      </c>
      <c r="C4589" s="149" t="s">
        <v>369</v>
      </c>
      <c r="D4589" t="s">
        <v>6751</v>
      </c>
      <c r="E4589" t="s">
        <v>6776</v>
      </c>
      <c r="F4589" s="150" t="s">
        <v>6776</v>
      </c>
      <c r="G4589" s="149" t="s">
        <v>406</v>
      </c>
      <c r="H4589" s="150" t="str">
        <f>IF(Proc[[#This Row],[type]]="LFF (MDG-F)",MID(Proc[[#This Row],[Obj]],13,10),"")</f>
        <v>CN01TPAZ08</v>
      </c>
      <c r="J4589" s="150" t="b">
        <f>Proc[[#This Row],[Requested]]=Proc[[#This Row],[CurrentParent]]</f>
        <v>1</v>
      </c>
      <c r="K4589" s="150" t="str">
        <f>IF(Proc[[#This Row],[Author]]="Marcela Urrego",VLOOKUP(LEFT(Proc[[#This Row],[Requested]],1),Table3[#All],2,0),VLOOKUP(Proc[[#This Row],[Author]],Table4[],2,0))</f>
        <v>EL</v>
      </c>
      <c r="L4589" s="150" t="s">
        <v>6435</v>
      </c>
      <c r="M4589" s="165">
        <v>45965</v>
      </c>
      <c r="N4589" s="166"/>
      <c r="O4589" s="166"/>
      <c r="P4589" s="165" t="str">
        <f ca="1">IF(Proc[[#This Row],[DaysAgeing]]&gt;5,"yep","on track")</f>
        <v>yep</v>
      </c>
      <c r="Q4589" s="3">
        <f ca="1">IF(Proc[[#This Row],[DateClosed]]="",ABS(NETWORKDAYS(Proc[[#This Row],[DateOpened]],TODAY()))-1,ABS(NETWORKDAYS(Proc[[#This Row],[DateOpened]],Proc[[#This Row],[DateClosed]]))-1)</f>
        <v>28</v>
      </c>
      <c r="R4589" s="165" t="s">
        <v>5709</v>
      </c>
      <c r="S4589" s="150"/>
    </row>
    <row r="4590" spans="1:19">
      <c r="A4590" s="149" t="s">
        <v>6750</v>
      </c>
      <c r="B4590" s="150" t="str">
        <f>IFERROR(VLOOKUP(Proc[[#This Row],[App]],Table2[],3,0),"open")</f>
        <v>ok</v>
      </c>
      <c r="C4590" s="149" t="s">
        <v>369</v>
      </c>
      <c r="D4590" t="s">
        <v>6752</v>
      </c>
      <c r="E4590" t="s">
        <v>6776</v>
      </c>
      <c r="F4590" s="150" t="s">
        <v>6776</v>
      </c>
      <c r="G4590" s="149" t="s">
        <v>406</v>
      </c>
      <c r="H4590" s="150" t="str">
        <f>IF(Proc[[#This Row],[type]]="LFF (MDG-F)",MID(Proc[[#This Row],[Obj]],13,10),"")</f>
        <v>CN01OF0161</v>
      </c>
      <c r="I4590" s="149"/>
      <c r="J4590" s="150" t="b">
        <f>Proc[[#This Row],[Requested]]=Proc[[#This Row],[CurrentParent]]</f>
        <v>1</v>
      </c>
      <c r="K4590" s="150" t="str">
        <f>IF(Proc[[#This Row],[Author]]="Marcela Urrego",VLOOKUP(LEFT(Proc[[#This Row],[Requested]],1),Table3[#All],2,0),VLOOKUP(Proc[[#This Row],[Author]],Table4[],2,0))</f>
        <v>EL</v>
      </c>
      <c r="L4590" s="150" t="s">
        <v>6435</v>
      </c>
      <c r="M4590" s="165">
        <v>45965</v>
      </c>
      <c r="N4590" s="166"/>
      <c r="O4590" s="166"/>
      <c r="P4590" s="165" t="str">
        <f ca="1">IF(Proc[[#This Row],[DaysAgeing]]&gt;5,"yep","on track")</f>
        <v>yep</v>
      </c>
      <c r="Q4590" s="3">
        <f ca="1">IF(Proc[[#This Row],[DateClosed]]="",ABS(NETWORKDAYS(Proc[[#This Row],[DateOpened]],TODAY()))-1,ABS(NETWORKDAYS(Proc[[#This Row],[DateOpened]],Proc[[#This Row],[DateClosed]]))-1)</f>
        <v>28</v>
      </c>
      <c r="R4590" s="165" t="s">
        <v>5709</v>
      </c>
      <c r="S4590" s="150"/>
    </row>
    <row r="4591" spans="1:19">
      <c r="A4591" s="149" t="s">
        <v>6750</v>
      </c>
      <c r="B4591" s="150" t="str">
        <f>IFERROR(VLOOKUP(Proc[[#This Row],[App]],Table2[],3,0),"open")</f>
        <v>ok</v>
      </c>
      <c r="C4591" s="149" t="s">
        <v>369</v>
      </c>
      <c r="D4591" t="s">
        <v>6753</v>
      </c>
      <c r="E4591" t="s">
        <v>6776</v>
      </c>
      <c r="F4591" s="150" t="s">
        <v>6776</v>
      </c>
      <c r="G4591" s="149" t="s">
        <v>406</v>
      </c>
      <c r="H4591" s="150" t="str">
        <f>IF(Proc[[#This Row],[type]]="LFF (MDG-F)",MID(Proc[[#This Row],[Obj]],13,10),"")</f>
        <v>CN01TPAZ06</v>
      </c>
      <c r="I4591" s="149"/>
      <c r="J4591" s="150" t="b">
        <f>Proc[[#This Row],[Requested]]=Proc[[#This Row],[CurrentParent]]</f>
        <v>1</v>
      </c>
      <c r="K4591" s="150" t="str">
        <f>IF(Proc[[#This Row],[Author]]="Marcela Urrego",VLOOKUP(LEFT(Proc[[#This Row],[Requested]],1),Table3[#All],2,0),VLOOKUP(Proc[[#This Row],[Author]],Table4[],2,0))</f>
        <v>EL</v>
      </c>
      <c r="L4591" s="150" t="s">
        <v>6435</v>
      </c>
      <c r="M4591" s="165">
        <v>45965</v>
      </c>
      <c r="N4591" s="166"/>
      <c r="O4591" s="166"/>
      <c r="P4591" s="165" t="str">
        <f ca="1">IF(Proc[[#This Row],[DaysAgeing]]&gt;5,"yep","on track")</f>
        <v>yep</v>
      </c>
      <c r="Q4591" s="3">
        <f ca="1">IF(Proc[[#This Row],[DateClosed]]="",ABS(NETWORKDAYS(Proc[[#This Row],[DateOpened]],TODAY()))-1,ABS(NETWORKDAYS(Proc[[#This Row],[DateOpened]],Proc[[#This Row],[DateClosed]]))-1)</f>
        <v>28</v>
      </c>
      <c r="R4591" s="165" t="s">
        <v>5709</v>
      </c>
      <c r="S4591" s="150"/>
    </row>
    <row r="4592" spans="1:19">
      <c r="A4592" s="149" t="s">
        <v>6750</v>
      </c>
      <c r="B4592" s="150" t="str">
        <f>IFERROR(VLOOKUP(Proc[[#This Row],[App]],Table2[],3,0),"open")</f>
        <v>ok</v>
      </c>
      <c r="C4592" s="149" t="s">
        <v>369</v>
      </c>
      <c r="D4592" t="s">
        <v>6754</v>
      </c>
      <c r="E4592" t="s">
        <v>6776</v>
      </c>
      <c r="F4592" s="150" t="s">
        <v>6776</v>
      </c>
      <c r="G4592" s="149" t="s">
        <v>406</v>
      </c>
      <c r="H4592" s="150" t="str">
        <f>IF(Proc[[#This Row],[type]]="LFF (MDG-F)",MID(Proc[[#This Row],[Obj]],13,10),"")</f>
        <v>CN02TPZZ05</v>
      </c>
      <c r="I4592" s="149"/>
      <c r="J4592" s="150" t="b">
        <f>Proc[[#This Row],[Requested]]=Proc[[#This Row],[CurrentParent]]</f>
        <v>1</v>
      </c>
      <c r="K4592" s="150" t="str">
        <f>IF(Proc[[#This Row],[Author]]="Marcela Urrego",VLOOKUP(LEFT(Proc[[#This Row],[Requested]],1),Table3[#All],2,0),VLOOKUP(Proc[[#This Row],[Author]],Table4[],2,0))</f>
        <v>EL</v>
      </c>
      <c r="L4592" s="150" t="s">
        <v>6435</v>
      </c>
      <c r="M4592" s="165">
        <v>45965</v>
      </c>
      <c r="N4592" s="166"/>
      <c r="O4592" s="166"/>
      <c r="P4592" s="165" t="str">
        <f ca="1">IF(Proc[[#This Row],[DaysAgeing]]&gt;5,"yep","on track")</f>
        <v>yep</v>
      </c>
      <c r="Q4592" s="3">
        <f ca="1">IF(Proc[[#This Row],[DateClosed]]="",ABS(NETWORKDAYS(Proc[[#This Row],[DateOpened]],TODAY()))-1,ABS(NETWORKDAYS(Proc[[#This Row],[DateOpened]],Proc[[#This Row],[DateClosed]]))-1)</f>
        <v>28</v>
      </c>
      <c r="R4592" s="165" t="s">
        <v>5709</v>
      </c>
      <c r="S4592" s="150"/>
    </row>
    <row r="4593" spans="1:19">
      <c r="A4593" s="149" t="s">
        <v>6750</v>
      </c>
      <c r="B4593" s="150" t="str">
        <f>IFERROR(VLOOKUP(Proc[[#This Row],[App]],Table2[],3,0),"open")</f>
        <v>ok</v>
      </c>
      <c r="C4593" s="149" t="s">
        <v>369</v>
      </c>
      <c r="D4593" t="s">
        <v>6755</v>
      </c>
      <c r="E4593" t="s">
        <v>6776</v>
      </c>
      <c r="F4593" s="150" t="s">
        <v>6776</v>
      </c>
      <c r="G4593" s="149" t="s">
        <v>406</v>
      </c>
      <c r="H4593" s="150" t="str">
        <f>IF(Proc[[#This Row],[type]]="LFF (MDG-F)",MID(Proc[[#This Row],[Obj]],13,10),"")</f>
        <v>CN02TPZZ08</v>
      </c>
      <c r="I4593" s="149"/>
      <c r="J4593" s="150" t="b">
        <f>Proc[[#This Row],[Requested]]=Proc[[#This Row],[CurrentParent]]</f>
        <v>1</v>
      </c>
      <c r="K4593" s="150" t="str">
        <f>IF(Proc[[#This Row],[Author]]="Marcela Urrego",VLOOKUP(LEFT(Proc[[#This Row],[Requested]],1),Table3[#All],2,0),VLOOKUP(Proc[[#This Row],[Author]],Table4[],2,0))</f>
        <v>EL</v>
      </c>
      <c r="L4593" s="150" t="s">
        <v>6435</v>
      </c>
      <c r="M4593" s="165">
        <v>45965</v>
      </c>
      <c r="N4593" s="166"/>
      <c r="O4593" s="166"/>
      <c r="P4593" s="165" t="str">
        <f ca="1">IF(Proc[[#This Row],[DaysAgeing]]&gt;5,"yep","on track")</f>
        <v>yep</v>
      </c>
      <c r="Q4593" s="3">
        <f ca="1">IF(Proc[[#This Row],[DateClosed]]="",ABS(NETWORKDAYS(Proc[[#This Row],[DateOpened]],TODAY()))-1,ABS(NETWORKDAYS(Proc[[#This Row],[DateOpened]],Proc[[#This Row],[DateClosed]]))-1)</f>
        <v>28</v>
      </c>
      <c r="R4593" s="165" t="s">
        <v>5709</v>
      </c>
      <c r="S4593" s="150"/>
    </row>
    <row r="4594" spans="1:19">
      <c r="A4594" s="149" t="s">
        <v>6750</v>
      </c>
      <c r="B4594" s="150" t="str">
        <f>IFERROR(VLOOKUP(Proc[[#This Row],[App]],Table2[],3,0),"open")</f>
        <v>ok</v>
      </c>
      <c r="C4594" s="149" t="s">
        <v>369</v>
      </c>
      <c r="D4594" t="s">
        <v>6756</v>
      </c>
      <c r="E4594" t="s">
        <v>6776</v>
      </c>
      <c r="F4594" s="150" t="s">
        <v>6776</v>
      </c>
      <c r="G4594" s="149" t="s">
        <v>406</v>
      </c>
      <c r="H4594" s="150" t="str">
        <f>IF(Proc[[#This Row],[type]]="LFF (MDG-F)",MID(Proc[[#This Row],[Obj]],13,10),"")</f>
        <v>CN03TPZZ01</v>
      </c>
      <c r="I4594" s="149"/>
      <c r="J4594" s="150" t="b">
        <f>Proc[[#This Row],[Requested]]=Proc[[#This Row],[CurrentParent]]</f>
        <v>1</v>
      </c>
      <c r="K4594" s="150" t="str">
        <f>IF(Proc[[#This Row],[Author]]="Marcela Urrego",VLOOKUP(LEFT(Proc[[#This Row],[Requested]],1),Table3[#All],2,0),VLOOKUP(Proc[[#This Row],[Author]],Table4[],2,0))</f>
        <v>EL</v>
      </c>
      <c r="L4594" s="150" t="s">
        <v>6435</v>
      </c>
      <c r="M4594" s="165">
        <v>45965</v>
      </c>
      <c r="N4594" s="166"/>
      <c r="O4594" s="166"/>
      <c r="P4594" s="165" t="str">
        <f ca="1">IF(Proc[[#This Row],[DaysAgeing]]&gt;5,"yep","on track")</f>
        <v>yep</v>
      </c>
      <c r="Q4594" s="3">
        <f ca="1">IF(Proc[[#This Row],[DateClosed]]="",ABS(NETWORKDAYS(Proc[[#This Row],[DateOpened]],TODAY()))-1,ABS(NETWORKDAYS(Proc[[#This Row],[DateOpened]],Proc[[#This Row],[DateClosed]]))-1)</f>
        <v>28</v>
      </c>
      <c r="R4594" s="165" t="s">
        <v>5709</v>
      </c>
      <c r="S4594" s="150"/>
    </row>
    <row r="4595" spans="1:19">
      <c r="A4595" s="149" t="s">
        <v>6750</v>
      </c>
      <c r="B4595" s="150" t="str">
        <f>IFERROR(VLOOKUP(Proc[[#This Row],[App]],Table2[],3,0),"open")</f>
        <v>ok</v>
      </c>
      <c r="C4595" s="149" t="s">
        <v>369</v>
      </c>
      <c r="D4595" t="s">
        <v>6757</v>
      </c>
      <c r="E4595" t="s">
        <v>6776</v>
      </c>
      <c r="F4595" s="150" t="s">
        <v>6776</v>
      </c>
      <c r="G4595" s="149" t="s">
        <v>406</v>
      </c>
      <c r="H4595" s="150" t="str">
        <f>IF(Proc[[#This Row],[type]]="LFF (MDG-F)",MID(Proc[[#This Row],[Obj]],13,10),"")</f>
        <v>CN03TPZZ03</v>
      </c>
      <c r="I4595" s="149"/>
      <c r="J4595" s="150" t="b">
        <f>Proc[[#This Row],[Requested]]=Proc[[#This Row],[CurrentParent]]</f>
        <v>1</v>
      </c>
      <c r="K4595" s="150" t="str">
        <f>IF(Proc[[#This Row],[Author]]="Marcela Urrego",VLOOKUP(LEFT(Proc[[#This Row],[Requested]],1),Table3[#All],2,0),VLOOKUP(Proc[[#This Row],[Author]],Table4[],2,0))</f>
        <v>EL</v>
      </c>
      <c r="L4595" s="150" t="s">
        <v>6435</v>
      </c>
      <c r="M4595" s="165">
        <v>45965</v>
      </c>
      <c r="N4595" s="166"/>
      <c r="O4595" s="166"/>
      <c r="P4595" s="165" t="str">
        <f ca="1">IF(Proc[[#This Row],[DaysAgeing]]&gt;5,"yep","on track")</f>
        <v>yep</v>
      </c>
      <c r="Q4595" s="3">
        <f ca="1">IF(Proc[[#This Row],[DateClosed]]="",ABS(NETWORKDAYS(Proc[[#This Row],[DateOpened]],TODAY()))-1,ABS(NETWORKDAYS(Proc[[#This Row],[DateOpened]],Proc[[#This Row],[DateClosed]]))-1)</f>
        <v>28</v>
      </c>
      <c r="R4595" s="165" t="s">
        <v>5709</v>
      </c>
      <c r="S4595" s="150"/>
    </row>
    <row r="4596" spans="1:19">
      <c r="A4596" s="149" t="s">
        <v>6750</v>
      </c>
      <c r="B4596" s="150" t="str">
        <f>IFERROR(VLOOKUP(Proc[[#This Row],[App]],Table2[],3,0),"open")</f>
        <v>ok</v>
      </c>
      <c r="C4596" s="149" t="s">
        <v>369</v>
      </c>
      <c r="D4596" t="s">
        <v>6758</v>
      </c>
      <c r="E4596" t="s">
        <v>6776</v>
      </c>
      <c r="F4596" s="150" t="s">
        <v>6776</v>
      </c>
      <c r="G4596" s="149" t="s">
        <v>406</v>
      </c>
      <c r="H4596" s="150" t="str">
        <f>IF(Proc[[#This Row],[type]]="LFF (MDG-F)",MID(Proc[[#This Row],[Obj]],13,10),"")</f>
        <v>CN02TPZZ02</v>
      </c>
      <c r="I4596" s="149"/>
      <c r="J4596" s="150" t="b">
        <f>Proc[[#This Row],[Requested]]=Proc[[#This Row],[CurrentParent]]</f>
        <v>1</v>
      </c>
      <c r="K4596" s="150" t="str">
        <f>IF(Proc[[#This Row],[Author]]="Marcela Urrego",VLOOKUP(LEFT(Proc[[#This Row],[Requested]],1),Table3[#All],2,0),VLOOKUP(Proc[[#This Row],[Author]],Table4[],2,0))</f>
        <v>EL</v>
      </c>
      <c r="L4596" s="150" t="s">
        <v>6435</v>
      </c>
      <c r="M4596" s="165">
        <v>45965</v>
      </c>
      <c r="N4596" s="166"/>
      <c r="O4596" s="166"/>
      <c r="P4596" s="165" t="str">
        <f ca="1">IF(Proc[[#This Row],[DaysAgeing]]&gt;5,"yep","on track")</f>
        <v>yep</v>
      </c>
      <c r="Q4596" s="3">
        <f ca="1">IF(Proc[[#This Row],[DateClosed]]="",ABS(NETWORKDAYS(Proc[[#This Row],[DateOpened]],TODAY()))-1,ABS(NETWORKDAYS(Proc[[#This Row],[DateOpened]],Proc[[#This Row],[DateClosed]]))-1)</f>
        <v>28</v>
      </c>
      <c r="R4596" s="165" t="s">
        <v>5709</v>
      </c>
      <c r="S4596" s="150"/>
    </row>
    <row r="4597" spans="1:19">
      <c r="A4597" s="149" t="s">
        <v>6750</v>
      </c>
      <c r="B4597" s="150" t="str">
        <f>IFERROR(VLOOKUP(Proc[[#This Row],[App]],Table2[],3,0),"open")</f>
        <v>ok</v>
      </c>
      <c r="C4597" s="149" t="s">
        <v>369</v>
      </c>
      <c r="D4597" t="s">
        <v>6759</v>
      </c>
      <c r="E4597" t="s">
        <v>6776</v>
      </c>
      <c r="F4597" s="150" t="s">
        <v>6776</v>
      </c>
      <c r="G4597" s="149" t="s">
        <v>406</v>
      </c>
      <c r="H4597" s="150" t="str">
        <f>IF(Proc[[#This Row],[type]]="LFF (MDG-F)",MID(Proc[[#This Row],[Obj]],13,10),"")</f>
        <v>CN02TQ1001</v>
      </c>
      <c r="I4597" s="149"/>
      <c r="J4597" s="150" t="b">
        <f>Proc[[#This Row],[Requested]]=Proc[[#This Row],[CurrentParent]]</f>
        <v>1</v>
      </c>
      <c r="K4597" s="150" t="str">
        <f>IF(Proc[[#This Row],[Author]]="Marcela Urrego",VLOOKUP(LEFT(Proc[[#This Row],[Requested]],1),Table3[#All],2,0),VLOOKUP(Proc[[#This Row],[Author]],Table4[],2,0))</f>
        <v>EL</v>
      </c>
      <c r="L4597" s="150" t="s">
        <v>6435</v>
      </c>
      <c r="M4597" s="165">
        <v>45965</v>
      </c>
      <c r="N4597" s="166"/>
      <c r="O4597" s="166"/>
      <c r="P4597" s="165" t="str">
        <f ca="1">IF(Proc[[#This Row],[DaysAgeing]]&gt;5,"yep","on track")</f>
        <v>yep</v>
      </c>
      <c r="Q4597" s="3">
        <f ca="1">IF(Proc[[#This Row],[DateClosed]]="",ABS(NETWORKDAYS(Proc[[#This Row],[DateOpened]],TODAY()))-1,ABS(NETWORKDAYS(Proc[[#This Row],[DateOpened]],Proc[[#This Row],[DateClosed]]))-1)</f>
        <v>28</v>
      </c>
      <c r="R4597" s="165" t="s">
        <v>5709</v>
      </c>
      <c r="S4597" s="150"/>
    </row>
    <row r="4598" spans="1:19">
      <c r="A4598" s="149" t="s">
        <v>6750</v>
      </c>
      <c r="B4598" s="150" t="str">
        <f>IFERROR(VLOOKUP(Proc[[#This Row],[App]],Table2[],3,0),"open")</f>
        <v>ok</v>
      </c>
      <c r="C4598" s="149" t="s">
        <v>369</v>
      </c>
      <c r="D4598" t="s">
        <v>6760</v>
      </c>
      <c r="E4598" t="s">
        <v>6776</v>
      </c>
      <c r="F4598" s="150" t="s">
        <v>6776</v>
      </c>
      <c r="G4598" s="149" t="s">
        <v>406</v>
      </c>
      <c r="H4598" s="150" t="str">
        <f>IF(Proc[[#This Row],[type]]="LFF (MDG-F)",MID(Proc[[#This Row],[Obj]],13,10),"")</f>
        <v>CN02TQ1002</v>
      </c>
      <c r="I4598" s="149"/>
      <c r="J4598" s="150" t="b">
        <f>Proc[[#This Row],[Requested]]=Proc[[#This Row],[CurrentParent]]</f>
        <v>1</v>
      </c>
      <c r="K4598" s="150" t="str">
        <f>IF(Proc[[#This Row],[Author]]="Marcela Urrego",VLOOKUP(LEFT(Proc[[#This Row],[Requested]],1),Table3[#All],2,0),VLOOKUP(Proc[[#This Row],[Author]],Table4[],2,0))</f>
        <v>EL</v>
      </c>
      <c r="L4598" s="150" t="s">
        <v>6435</v>
      </c>
      <c r="M4598" s="165">
        <v>45965</v>
      </c>
      <c r="N4598" s="166"/>
      <c r="O4598" s="166"/>
      <c r="P4598" s="165" t="str">
        <f ca="1">IF(Proc[[#This Row],[DaysAgeing]]&gt;5,"yep","on track")</f>
        <v>yep</v>
      </c>
      <c r="Q4598" s="3">
        <f ca="1">IF(Proc[[#This Row],[DateClosed]]="",ABS(NETWORKDAYS(Proc[[#This Row],[DateOpened]],TODAY()))-1,ABS(NETWORKDAYS(Proc[[#This Row],[DateOpened]],Proc[[#This Row],[DateClosed]]))-1)</f>
        <v>28</v>
      </c>
      <c r="R4598" s="165" t="s">
        <v>5709</v>
      </c>
      <c r="S4598" s="150"/>
    </row>
    <row r="4599" spans="1:19">
      <c r="A4599" s="149" t="s">
        <v>6750</v>
      </c>
      <c r="B4599" s="150" t="str">
        <f>IFERROR(VLOOKUP(Proc[[#This Row],[App]],Table2[],3,0),"open")</f>
        <v>ok</v>
      </c>
      <c r="C4599" s="149" t="s">
        <v>369</v>
      </c>
      <c r="D4599" t="s">
        <v>6761</v>
      </c>
      <c r="E4599" t="s">
        <v>6776</v>
      </c>
      <c r="F4599" s="150" t="s">
        <v>6776</v>
      </c>
      <c r="G4599" s="149" t="s">
        <v>406</v>
      </c>
      <c r="H4599" s="150" t="str">
        <f>IF(Proc[[#This Row],[type]]="LFF (MDG-F)",MID(Proc[[#This Row],[Obj]],13,10),"")</f>
        <v>CN02TQ1003</v>
      </c>
      <c r="I4599" s="149"/>
      <c r="J4599" s="150" t="b">
        <f>Proc[[#This Row],[Requested]]=Proc[[#This Row],[CurrentParent]]</f>
        <v>1</v>
      </c>
      <c r="K4599" s="150" t="str">
        <f>IF(Proc[[#This Row],[Author]]="Marcela Urrego",VLOOKUP(LEFT(Proc[[#This Row],[Requested]],1),Table3[#All],2,0),VLOOKUP(Proc[[#This Row],[Author]],Table4[],2,0))</f>
        <v>EL</v>
      </c>
      <c r="L4599" s="150" t="s">
        <v>6435</v>
      </c>
      <c r="M4599" s="165">
        <v>45965</v>
      </c>
      <c r="N4599" s="166"/>
      <c r="O4599" s="166"/>
      <c r="P4599" s="165" t="str">
        <f ca="1">IF(Proc[[#This Row],[DaysAgeing]]&gt;5,"yep","on track")</f>
        <v>yep</v>
      </c>
      <c r="Q4599" s="3">
        <f ca="1">IF(Proc[[#This Row],[DateClosed]]="",ABS(NETWORKDAYS(Proc[[#This Row],[DateOpened]],TODAY()))-1,ABS(NETWORKDAYS(Proc[[#This Row],[DateOpened]],Proc[[#This Row],[DateClosed]]))-1)</f>
        <v>28</v>
      </c>
      <c r="R4599" s="165" t="s">
        <v>5709</v>
      </c>
      <c r="S4599" s="150"/>
    </row>
    <row r="4600" spans="1:19">
      <c r="A4600" s="149" t="s">
        <v>6750</v>
      </c>
      <c r="B4600" s="150" t="str">
        <f>IFERROR(VLOOKUP(Proc[[#This Row],[App]],Table2[],3,0),"open")</f>
        <v>ok</v>
      </c>
      <c r="C4600" s="149" t="s">
        <v>369</v>
      </c>
      <c r="D4600" t="s">
        <v>6762</v>
      </c>
      <c r="E4600" t="s">
        <v>6776</v>
      </c>
      <c r="F4600" s="150" t="s">
        <v>6776</v>
      </c>
      <c r="G4600" s="149" t="s">
        <v>406</v>
      </c>
      <c r="H4600" s="150" t="str">
        <f>IF(Proc[[#This Row],[type]]="LFF (MDG-F)",MID(Proc[[#This Row],[Obj]],13,10),"")</f>
        <v>CN03TPZZ02</v>
      </c>
      <c r="I4600" s="149"/>
      <c r="J4600" s="150" t="b">
        <f>Proc[[#This Row],[Requested]]=Proc[[#This Row],[CurrentParent]]</f>
        <v>1</v>
      </c>
      <c r="K4600" s="150" t="str">
        <f>IF(Proc[[#This Row],[Author]]="Marcela Urrego",VLOOKUP(LEFT(Proc[[#This Row],[Requested]],1),Table3[#All],2,0),VLOOKUP(Proc[[#This Row],[Author]],Table4[],2,0))</f>
        <v>EL</v>
      </c>
      <c r="L4600" s="150" t="s">
        <v>6435</v>
      </c>
      <c r="M4600" s="165">
        <v>45965</v>
      </c>
      <c r="N4600" s="166"/>
      <c r="O4600" s="166"/>
      <c r="P4600" s="165" t="str">
        <f ca="1">IF(Proc[[#This Row],[DaysAgeing]]&gt;5,"yep","on track")</f>
        <v>yep</v>
      </c>
      <c r="Q4600" s="3">
        <f ca="1">IF(Proc[[#This Row],[DateClosed]]="",ABS(NETWORKDAYS(Proc[[#This Row],[DateOpened]],TODAY()))-1,ABS(NETWORKDAYS(Proc[[#This Row],[DateOpened]],Proc[[#This Row],[DateClosed]]))-1)</f>
        <v>28</v>
      </c>
      <c r="R4600" s="165" t="s">
        <v>5709</v>
      </c>
      <c r="S4600" s="150"/>
    </row>
    <row r="4601" spans="1:19">
      <c r="A4601" s="149" t="s">
        <v>6750</v>
      </c>
      <c r="B4601" s="150" t="str">
        <f>IFERROR(VLOOKUP(Proc[[#This Row],[App]],Table2[],3,0),"open")</f>
        <v>ok</v>
      </c>
      <c r="C4601" s="149" t="s">
        <v>369</v>
      </c>
      <c r="D4601" t="s">
        <v>6763</v>
      </c>
      <c r="E4601" t="s">
        <v>6776</v>
      </c>
      <c r="F4601" s="150" t="s">
        <v>6776</v>
      </c>
      <c r="G4601" s="149" t="s">
        <v>406</v>
      </c>
      <c r="H4601" s="150" t="str">
        <f>IF(Proc[[#This Row],[type]]="LFF (MDG-F)",MID(Proc[[#This Row],[Obj]],13,10),"")</f>
        <v>CN10DB1001</v>
      </c>
      <c r="I4601" s="149"/>
      <c r="J4601" s="150" t="b">
        <f>Proc[[#This Row],[Requested]]=Proc[[#This Row],[CurrentParent]]</f>
        <v>1</v>
      </c>
      <c r="K4601" s="150" t="str">
        <f>IF(Proc[[#This Row],[Author]]="Marcela Urrego",VLOOKUP(LEFT(Proc[[#This Row],[Requested]],1),Table3[#All],2,0),VLOOKUP(Proc[[#This Row],[Author]],Table4[],2,0))</f>
        <v>EL</v>
      </c>
      <c r="L4601" s="150" t="s">
        <v>6435</v>
      </c>
      <c r="M4601" s="165">
        <v>45965</v>
      </c>
      <c r="N4601" s="166"/>
      <c r="O4601" s="166"/>
      <c r="P4601" s="165" t="str">
        <f ca="1">IF(Proc[[#This Row],[DaysAgeing]]&gt;5,"yep","on track")</f>
        <v>yep</v>
      </c>
      <c r="Q4601" s="3">
        <f ca="1">IF(Proc[[#This Row],[DateClosed]]="",ABS(NETWORKDAYS(Proc[[#This Row],[DateOpened]],TODAY()))-1,ABS(NETWORKDAYS(Proc[[#This Row],[DateOpened]],Proc[[#This Row],[DateClosed]]))-1)</f>
        <v>28</v>
      </c>
      <c r="R4601" s="165" t="s">
        <v>5709</v>
      </c>
      <c r="S4601" s="150"/>
    </row>
    <row r="4602" spans="1:19">
      <c r="A4602" s="149" t="s">
        <v>6750</v>
      </c>
      <c r="B4602" s="150" t="str">
        <f>IFERROR(VLOOKUP(Proc[[#This Row],[App]],Table2[],3,0),"open")</f>
        <v>ok</v>
      </c>
      <c r="C4602" s="149" t="s">
        <v>369</v>
      </c>
      <c r="D4602" t="s">
        <v>6764</v>
      </c>
      <c r="E4602" t="s">
        <v>6776</v>
      </c>
      <c r="F4602" s="150" t="s">
        <v>6776</v>
      </c>
      <c r="G4602" s="149" t="s">
        <v>406</v>
      </c>
      <c r="H4602" s="150" t="str">
        <f>IF(Proc[[#This Row],[type]]="LFF (MDG-F)",MID(Proc[[#This Row],[Obj]],13,10),"")</f>
        <v>CN10DB1002</v>
      </c>
      <c r="I4602" s="149"/>
      <c r="J4602" s="150" t="b">
        <f>Proc[[#This Row],[Requested]]=Proc[[#This Row],[CurrentParent]]</f>
        <v>1</v>
      </c>
      <c r="K4602" s="150" t="str">
        <f>IF(Proc[[#This Row],[Author]]="Marcela Urrego",VLOOKUP(LEFT(Proc[[#This Row],[Requested]],1),Table3[#All],2,0),VLOOKUP(Proc[[#This Row],[Author]],Table4[],2,0))</f>
        <v>EL</v>
      </c>
      <c r="L4602" s="150" t="s">
        <v>6435</v>
      </c>
      <c r="M4602" s="165">
        <v>45965</v>
      </c>
      <c r="N4602" s="166"/>
      <c r="O4602" s="166"/>
      <c r="P4602" s="165" t="str">
        <f ca="1">IF(Proc[[#This Row],[DaysAgeing]]&gt;5,"yep","on track")</f>
        <v>yep</v>
      </c>
      <c r="Q4602" s="3">
        <f ca="1">IF(Proc[[#This Row],[DateClosed]]="",ABS(NETWORKDAYS(Proc[[#This Row],[DateOpened]],TODAY()))-1,ABS(NETWORKDAYS(Proc[[#This Row],[DateOpened]],Proc[[#This Row],[DateClosed]]))-1)</f>
        <v>28</v>
      </c>
      <c r="R4602" s="165" t="s">
        <v>5709</v>
      </c>
      <c r="S4602" s="150"/>
    </row>
    <row r="4603" spans="1:19">
      <c r="A4603" s="149" t="s">
        <v>6750</v>
      </c>
      <c r="B4603" s="150" t="str">
        <f>IFERROR(VLOOKUP(Proc[[#This Row],[App]],Table2[],3,0),"open")</f>
        <v>ok</v>
      </c>
      <c r="C4603" s="149" t="s">
        <v>369</v>
      </c>
      <c r="D4603" t="s">
        <v>6765</v>
      </c>
      <c r="E4603" t="s">
        <v>6776</v>
      </c>
      <c r="F4603" s="150" t="s">
        <v>6776</v>
      </c>
      <c r="G4603" s="149" t="s">
        <v>406</v>
      </c>
      <c r="H4603" s="150" t="str">
        <f>IF(Proc[[#This Row],[type]]="LFF (MDG-F)",MID(Proc[[#This Row],[Obj]],13,10),"")</f>
        <v>CN10DB1004</v>
      </c>
      <c r="I4603" s="149"/>
      <c r="J4603" s="150" t="b">
        <f>Proc[[#This Row],[Requested]]=Proc[[#This Row],[CurrentParent]]</f>
        <v>1</v>
      </c>
      <c r="K4603" s="150" t="str">
        <f>IF(Proc[[#This Row],[Author]]="Marcela Urrego",VLOOKUP(LEFT(Proc[[#This Row],[Requested]],1),Table3[#All],2,0),VLOOKUP(Proc[[#This Row],[Author]],Table4[],2,0))</f>
        <v>EL</v>
      </c>
      <c r="L4603" s="150" t="s">
        <v>6435</v>
      </c>
      <c r="M4603" s="165">
        <v>45965</v>
      </c>
      <c r="N4603" s="166"/>
      <c r="O4603" s="166"/>
      <c r="P4603" s="165" t="str">
        <f ca="1">IF(Proc[[#This Row],[DaysAgeing]]&gt;5,"yep","on track")</f>
        <v>yep</v>
      </c>
      <c r="Q4603" s="3">
        <f ca="1">IF(Proc[[#This Row],[DateClosed]]="",ABS(NETWORKDAYS(Proc[[#This Row],[DateOpened]],TODAY()))-1,ABS(NETWORKDAYS(Proc[[#This Row],[DateOpened]],Proc[[#This Row],[DateClosed]]))-1)</f>
        <v>28</v>
      </c>
      <c r="R4603" s="165" t="s">
        <v>5709</v>
      </c>
      <c r="S4603" s="150"/>
    </row>
    <row r="4604" spans="1:19">
      <c r="A4604" s="149" t="s">
        <v>6750</v>
      </c>
      <c r="B4604" s="150" t="str">
        <f>IFERROR(VLOOKUP(Proc[[#This Row],[App]],Table2[],3,0),"open")</f>
        <v>ok</v>
      </c>
      <c r="C4604" s="149" t="s">
        <v>369</v>
      </c>
      <c r="D4604" t="s">
        <v>6766</v>
      </c>
      <c r="E4604" t="s">
        <v>6776</v>
      </c>
      <c r="F4604" s="150" t="s">
        <v>6776</v>
      </c>
      <c r="G4604" s="149" t="s">
        <v>406</v>
      </c>
      <c r="H4604" s="150" t="str">
        <f>IF(Proc[[#This Row],[type]]="LFF (MDG-F)",MID(Proc[[#This Row],[Obj]],13,10),"")</f>
        <v>CN09DB3303</v>
      </c>
      <c r="I4604" s="149"/>
      <c r="J4604" s="150" t="b">
        <f>Proc[[#This Row],[Requested]]=Proc[[#This Row],[CurrentParent]]</f>
        <v>1</v>
      </c>
      <c r="K4604" s="150" t="str">
        <f>IF(Proc[[#This Row],[Author]]="Marcela Urrego",VLOOKUP(LEFT(Proc[[#This Row],[Requested]],1),Table3[#All],2,0),VLOOKUP(Proc[[#This Row],[Author]],Table4[],2,0))</f>
        <v>EL</v>
      </c>
      <c r="L4604" s="150" t="s">
        <v>6435</v>
      </c>
      <c r="M4604" s="165">
        <v>45965</v>
      </c>
      <c r="N4604" s="166"/>
      <c r="O4604" s="166"/>
      <c r="P4604" s="165" t="str">
        <f ca="1">IF(Proc[[#This Row],[DaysAgeing]]&gt;5,"yep","on track")</f>
        <v>yep</v>
      </c>
      <c r="Q4604" s="3">
        <f ca="1">IF(Proc[[#This Row],[DateClosed]]="",ABS(NETWORKDAYS(Proc[[#This Row],[DateOpened]],TODAY()))-1,ABS(NETWORKDAYS(Proc[[#This Row],[DateOpened]],Proc[[#This Row],[DateClosed]]))-1)</f>
        <v>28</v>
      </c>
      <c r="R4604" s="165" t="s">
        <v>5709</v>
      </c>
      <c r="S4604" s="150"/>
    </row>
    <row r="4605" spans="1:19">
      <c r="A4605" s="149" t="s">
        <v>6750</v>
      </c>
      <c r="B4605" s="150" t="str">
        <f>IFERROR(VLOOKUP(Proc[[#This Row],[App]],Table2[],3,0),"open")</f>
        <v>ok</v>
      </c>
      <c r="C4605" s="149" t="s">
        <v>369</v>
      </c>
      <c r="D4605" t="s">
        <v>6767</v>
      </c>
      <c r="E4605" t="s">
        <v>6776</v>
      </c>
      <c r="F4605" s="150" t="s">
        <v>6776</v>
      </c>
      <c r="G4605" s="149" t="s">
        <v>406</v>
      </c>
      <c r="H4605" s="150" t="str">
        <f>IF(Proc[[#This Row],[type]]="LFF (MDG-F)",MID(Proc[[#This Row],[Obj]],13,10),"")</f>
        <v>CN09DB3305</v>
      </c>
      <c r="I4605" s="149"/>
      <c r="J4605" s="150" t="b">
        <f>Proc[[#This Row],[Requested]]=Proc[[#This Row],[CurrentParent]]</f>
        <v>1</v>
      </c>
      <c r="K4605" s="150" t="str">
        <f>IF(Proc[[#This Row],[Author]]="Marcela Urrego",VLOOKUP(LEFT(Proc[[#This Row],[Requested]],1),Table3[#All],2,0),VLOOKUP(Proc[[#This Row],[Author]],Table4[],2,0))</f>
        <v>EL</v>
      </c>
      <c r="L4605" s="150" t="s">
        <v>6435</v>
      </c>
      <c r="M4605" s="165">
        <v>45965</v>
      </c>
      <c r="N4605" s="166"/>
      <c r="O4605" s="166"/>
      <c r="P4605" s="165" t="str">
        <f ca="1">IF(Proc[[#This Row],[DaysAgeing]]&gt;5,"yep","on track")</f>
        <v>yep</v>
      </c>
      <c r="Q4605" s="3">
        <f ca="1">IF(Proc[[#This Row],[DateClosed]]="",ABS(NETWORKDAYS(Proc[[#This Row],[DateOpened]],TODAY()))-1,ABS(NETWORKDAYS(Proc[[#This Row],[DateOpened]],Proc[[#This Row],[DateClosed]]))-1)</f>
        <v>28</v>
      </c>
      <c r="R4605" s="165" t="s">
        <v>5709</v>
      </c>
      <c r="S4605" s="150"/>
    </row>
    <row r="4606" spans="1:19">
      <c r="A4606" s="149" t="s">
        <v>6750</v>
      </c>
      <c r="B4606" s="150" t="str">
        <f>IFERROR(VLOOKUP(Proc[[#This Row],[App]],Table2[],3,0),"open")</f>
        <v>ok</v>
      </c>
      <c r="C4606" s="149" t="s">
        <v>369</v>
      </c>
      <c r="D4606" t="s">
        <v>6768</v>
      </c>
      <c r="E4606" t="s">
        <v>6776</v>
      </c>
      <c r="F4606" s="150" t="s">
        <v>6776</v>
      </c>
      <c r="G4606" s="149" t="s">
        <v>406</v>
      </c>
      <c r="H4606" s="150" t="str">
        <f>IF(Proc[[#This Row],[type]]="LFF (MDG-F)",MID(Proc[[#This Row],[Obj]],13,10),"")</f>
        <v>CN09TQ1001</v>
      </c>
      <c r="I4606" s="149"/>
      <c r="J4606" s="150" t="b">
        <f>Proc[[#This Row],[Requested]]=Proc[[#This Row],[CurrentParent]]</f>
        <v>1</v>
      </c>
      <c r="K4606" s="150" t="str">
        <f>IF(Proc[[#This Row],[Author]]="Marcela Urrego",VLOOKUP(LEFT(Proc[[#This Row],[Requested]],1),Table3[#All],2,0),VLOOKUP(Proc[[#This Row],[Author]],Table4[],2,0))</f>
        <v>EL</v>
      </c>
      <c r="L4606" s="150" t="s">
        <v>6435</v>
      </c>
      <c r="M4606" s="165">
        <v>45965</v>
      </c>
      <c r="N4606" s="166"/>
      <c r="O4606" s="166"/>
      <c r="P4606" s="165" t="str">
        <f ca="1">IF(Proc[[#This Row],[DaysAgeing]]&gt;5,"yep","on track")</f>
        <v>yep</v>
      </c>
      <c r="Q4606" s="3">
        <f ca="1">IF(Proc[[#This Row],[DateClosed]]="",ABS(NETWORKDAYS(Proc[[#This Row],[DateOpened]],TODAY()))-1,ABS(NETWORKDAYS(Proc[[#This Row],[DateOpened]],Proc[[#This Row],[DateClosed]]))-1)</f>
        <v>28</v>
      </c>
      <c r="R4606" s="165" t="s">
        <v>5709</v>
      </c>
      <c r="S4606" s="150"/>
    </row>
    <row r="4607" spans="1:19">
      <c r="A4607" s="149" t="s">
        <v>6750</v>
      </c>
      <c r="B4607" s="150" t="str">
        <f>IFERROR(VLOOKUP(Proc[[#This Row],[App]],Table2[],3,0),"open")</f>
        <v>ok</v>
      </c>
      <c r="C4607" s="149" t="s">
        <v>369</v>
      </c>
      <c r="D4607" t="s">
        <v>6769</v>
      </c>
      <c r="E4607" t="s">
        <v>6776</v>
      </c>
      <c r="F4607" s="150" t="s">
        <v>6776</v>
      </c>
      <c r="G4607" s="149" t="s">
        <v>406</v>
      </c>
      <c r="H4607" s="150" t="str">
        <f>IF(Proc[[#This Row],[type]]="LFF (MDG-F)",MID(Proc[[#This Row],[Obj]],13,10),"")</f>
        <v>CN09TQ1002</v>
      </c>
      <c r="I4607" s="149"/>
      <c r="J4607" s="150" t="b">
        <f>Proc[[#This Row],[Requested]]=Proc[[#This Row],[CurrentParent]]</f>
        <v>1</v>
      </c>
      <c r="K4607" s="150" t="str">
        <f>IF(Proc[[#This Row],[Author]]="Marcela Urrego",VLOOKUP(LEFT(Proc[[#This Row],[Requested]],1),Table3[#All],2,0),VLOOKUP(Proc[[#This Row],[Author]],Table4[],2,0))</f>
        <v>EL</v>
      </c>
      <c r="L4607" s="150" t="s">
        <v>6435</v>
      </c>
      <c r="M4607" s="165">
        <v>45965</v>
      </c>
      <c r="N4607" s="166"/>
      <c r="O4607" s="166"/>
      <c r="P4607" s="165" t="str">
        <f ca="1">IF(Proc[[#This Row],[DaysAgeing]]&gt;5,"yep","on track")</f>
        <v>yep</v>
      </c>
      <c r="Q4607" s="3">
        <f ca="1">IF(Proc[[#This Row],[DateClosed]]="",ABS(NETWORKDAYS(Proc[[#This Row],[DateOpened]],TODAY()))-1,ABS(NETWORKDAYS(Proc[[#This Row],[DateOpened]],Proc[[#This Row],[DateClosed]]))-1)</f>
        <v>28</v>
      </c>
      <c r="R4607" s="165" t="s">
        <v>5709</v>
      </c>
      <c r="S4607" s="150"/>
    </row>
    <row r="4608" spans="1:19">
      <c r="A4608" s="149" t="s">
        <v>6750</v>
      </c>
      <c r="B4608" s="150" t="str">
        <f>IFERROR(VLOOKUP(Proc[[#This Row],[App]],Table2[],3,0),"open")</f>
        <v>ok</v>
      </c>
      <c r="C4608" s="149" t="s">
        <v>369</v>
      </c>
      <c r="D4608" t="s">
        <v>6770</v>
      </c>
      <c r="E4608" t="s">
        <v>6776</v>
      </c>
      <c r="F4608" s="150" t="s">
        <v>6776</v>
      </c>
      <c r="G4608" s="149" t="s">
        <v>406</v>
      </c>
      <c r="H4608" s="150" t="str">
        <f>IF(Proc[[#This Row],[type]]="LFF (MDG-F)",MID(Proc[[#This Row],[Obj]],13,10),"")</f>
        <v>CN09TQ1003</v>
      </c>
      <c r="I4608" s="149"/>
      <c r="J4608" s="150" t="b">
        <f>Proc[[#This Row],[Requested]]=Proc[[#This Row],[CurrentParent]]</f>
        <v>1</v>
      </c>
      <c r="K4608" s="150" t="str">
        <f>IF(Proc[[#This Row],[Author]]="Marcela Urrego",VLOOKUP(LEFT(Proc[[#This Row],[Requested]],1),Table3[#All],2,0),VLOOKUP(Proc[[#This Row],[Author]],Table4[],2,0))</f>
        <v>EL</v>
      </c>
      <c r="L4608" s="150" t="s">
        <v>6435</v>
      </c>
      <c r="M4608" s="165">
        <v>45965</v>
      </c>
      <c r="N4608" s="166"/>
      <c r="O4608" s="166"/>
      <c r="P4608" s="165" t="str">
        <f ca="1">IF(Proc[[#This Row],[DaysAgeing]]&gt;5,"yep","on track")</f>
        <v>yep</v>
      </c>
      <c r="Q4608" s="3">
        <f ca="1">IF(Proc[[#This Row],[DateClosed]]="",ABS(NETWORKDAYS(Proc[[#This Row],[DateOpened]],TODAY()))-1,ABS(NETWORKDAYS(Proc[[#This Row],[DateOpened]],Proc[[#This Row],[DateClosed]]))-1)</f>
        <v>28</v>
      </c>
      <c r="R4608" s="165" t="s">
        <v>5709</v>
      </c>
      <c r="S4608" s="150"/>
    </row>
    <row r="4609" spans="1:19">
      <c r="A4609" s="149" t="s">
        <v>6750</v>
      </c>
      <c r="B4609" s="150" t="str">
        <f>IFERROR(VLOOKUP(Proc[[#This Row],[App]],Table2[],3,0),"open")</f>
        <v>ok</v>
      </c>
      <c r="C4609" s="149" t="s">
        <v>369</v>
      </c>
      <c r="D4609" t="s">
        <v>6771</v>
      </c>
      <c r="E4609" t="s">
        <v>6776</v>
      </c>
      <c r="F4609" s="150" t="s">
        <v>6776</v>
      </c>
      <c r="G4609" s="149" t="s">
        <v>406</v>
      </c>
      <c r="H4609" s="150" t="str">
        <f>IF(Proc[[#This Row],[type]]="LFF (MDG-F)",MID(Proc[[#This Row],[Obj]],13,10),"")</f>
        <v>CN09DB3309</v>
      </c>
      <c r="I4609" s="149"/>
      <c r="J4609" s="150" t="b">
        <f>Proc[[#This Row],[Requested]]=Proc[[#This Row],[CurrentParent]]</f>
        <v>1</v>
      </c>
      <c r="K4609" s="150" t="str">
        <f>IF(Proc[[#This Row],[Author]]="Marcela Urrego",VLOOKUP(LEFT(Proc[[#This Row],[Requested]],1),Table3[#All],2,0),VLOOKUP(Proc[[#This Row],[Author]],Table4[],2,0))</f>
        <v>EL</v>
      </c>
      <c r="L4609" s="150" t="s">
        <v>6435</v>
      </c>
      <c r="M4609" s="165">
        <v>45965</v>
      </c>
      <c r="N4609" s="166"/>
      <c r="O4609" s="166"/>
      <c r="P4609" s="165" t="str">
        <f ca="1">IF(Proc[[#This Row],[DaysAgeing]]&gt;5,"yep","on track")</f>
        <v>yep</v>
      </c>
      <c r="Q4609" s="3">
        <f ca="1">IF(Proc[[#This Row],[DateClosed]]="",ABS(NETWORKDAYS(Proc[[#This Row],[DateOpened]],TODAY()))-1,ABS(NETWORKDAYS(Proc[[#This Row],[DateOpened]],Proc[[#This Row],[DateClosed]]))-1)</f>
        <v>28</v>
      </c>
      <c r="R4609" s="165" t="s">
        <v>5709</v>
      </c>
      <c r="S4609" s="150"/>
    </row>
    <row r="4610" spans="1:19">
      <c r="A4610" s="149" t="s">
        <v>6750</v>
      </c>
      <c r="B4610" s="150" t="str">
        <f>IFERROR(VLOOKUP(Proc[[#This Row],[App]],Table2[],3,0),"open")</f>
        <v>ok</v>
      </c>
      <c r="C4610" s="149" t="s">
        <v>369</v>
      </c>
      <c r="D4610" t="s">
        <v>6772</v>
      </c>
      <c r="E4610" t="s">
        <v>6776</v>
      </c>
      <c r="F4610" s="150" t="s">
        <v>6776</v>
      </c>
      <c r="G4610" s="149" t="s">
        <v>406</v>
      </c>
      <c r="H4610" s="150" t="str">
        <f>IF(Proc[[#This Row],[type]]="LFF (MDG-F)",MID(Proc[[#This Row],[Obj]],13,10),"")</f>
        <v>CN09DB3300</v>
      </c>
      <c r="I4610" s="149"/>
      <c r="J4610" s="150" t="b">
        <f>Proc[[#This Row],[Requested]]=Proc[[#This Row],[CurrentParent]]</f>
        <v>1</v>
      </c>
      <c r="K4610" s="150" t="str">
        <f>IF(Proc[[#This Row],[Author]]="Marcela Urrego",VLOOKUP(LEFT(Proc[[#This Row],[Requested]],1),Table3[#All],2,0),VLOOKUP(Proc[[#This Row],[Author]],Table4[],2,0))</f>
        <v>EL</v>
      </c>
      <c r="L4610" s="150" t="s">
        <v>6435</v>
      </c>
      <c r="M4610" s="165">
        <v>45965</v>
      </c>
      <c r="N4610" s="166"/>
      <c r="O4610" s="166"/>
      <c r="P4610" s="165" t="str">
        <f ca="1">IF(Proc[[#This Row],[DaysAgeing]]&gt;5,"yep","on track")</f>
        <v>yep</v>
      </c>
      <c r="Q4610" s="3">
        <f ca="1">IF(Proc[[#This Row],[DateClosed]]="",ABS(NETWORKDAYS(Proc[[#This Row],[DateOpened]],TODAY()))-1,ABS(NETWORKDAYS(Proc[[#This Row],[DateOpened]],Proc[[#This Row],[DateClosed]]))-1)</f>
        <v>28</v>
      </c>
      <c r="R4610" s="165" t="s">
        <v>5709</v>
      </c>
      <c r="S4610" s="150"/>
    </row>
    <row r="4611" spans="1:19">
      <c r="A4611" s="149" t="s">
        <v>6750</v>
      </c>
      <c r="B4611" s="150" t="str">
        <f>IFERROR(VLOOKUP(Proc[[#This Row],[App]],Table2[],3,0),"open")</f>
        <v>ok</v>
      </c>
      <c r="C4611" s="149" t="s">
        <v>369</v>
      </c>
      <c r="D4611" t="s">
        <v>6773</v>
      </c>
      <c r="E4611" t="s">
        <v>6776</v>
      </c>
      <c r="F4611" s="150" t="s">
        <v>6776</v>
      </c>
      <c r="G4611" s="149" t="s">
        <v>406</v>
      </c>
      <c r="H4611" s="150" t="str">
        <f>IF(Proc[[#This Row],[type]]="LFF (MDG-F)",MID(Proc[[#This Row],[Obj]],13,10),"")</f>
        <v>CN09TM3000</v>
      </c>
      <c r="I4611" s="149"/>
      <c r="J4611" s="150" t="b">
        <f>Proc[[#This Row],[Requested]]=Proc[[#This Row],[CurrentParent]]</f>
        <v>1</v>
      </c>
      <c r="K4611" s="150" t="str">
        <f>IF(Proc[[#This Row],[Author]]="Marcela Urrego",VLOOKUP(LEFT(Proc[[#This Row],[Requested]],1),Table3[#All],2,0),VLOOKUP(Proc[[#This Row],[Author]],Table4[],2,0))</f>
        <v>EL</v>
      </c>
      <c r="L4611" s="150" t="s">
        <v>6435</v>
      </c>
      <c r="M4611" s="165">
        <v>45965</v>
      </c>
      <c r="N4611" s="166"/>
      <c r="O4611" s="166"/>
      <c r="P4611" s="165" t="str">
        <f ca="1">IF(Proc[[#This Row],[DaysAgeing]]&gt;5,"yep","on track")</f>
        <v>yep</v>
      </c>
      <c r="Q4611" s="3">
        <f ca="1">IF(Proc[[#This Row],[DateClosed]]="",ABS(NETWORKDAYS(Proc[[#This Row],[DateOpened]],TODAY()))-1,ABS(NETWORKDAYS(Proc[[#This Row],[DateOpened]],Proc[[#This Row],[DateClosed]]))-1)</f>
        <v>28</v>
      </c>
      <c r="R4611" s="165" t="s">
        <v>5709</v>
      </c>
      <c r="S4611" s="150"/>
    </row>
    <row r="4612" spans="1:19">
      <c r="A4612" s="149" t="s">
        <v>6750</v>
      </c>
      <c r="B4612" s="150" t="str">
        <f>IFERROR(VLOOKUP(Proc[[#This Row],[App]],Table2[],3,0),"open")</f>
        <v>ok</v>
      </c>
      <c r="C4612" s="149" t="s">
        <v>369</v>
      </c>
      <c r="D4612" t="s">
        <v>6774</v>
      </c>
      <c r="E4612" t="s">
        <v>6776</v>
      </c>
      <c r="F4612" s="150" t="s">
        <v>6776</v>
      </c>
      <c r="G4612" s="149" t="s">
        <v>406</v>
      </c>
      <c r="H4612" s="150" t="str">
        <f>IF(Proc[[#This Row],[type]]="LFF (MDG-F)",MID(Proc[[#This Row],[Obj]],13,10),"")</f>
        <v>CN09DB3301</v>
      </c>
      <c r="I4612" s="149"/>
      <c r="J4612" s="150" t="b">
        <f>Proc[[#This Row],[Requested]]=Proc[[#This Row],[CurrentParent]]</f>
        <v>1</v>
      </c>
      <c r="K4612" s="150" t="str">
        <f>IF(Proc[[#This Row],[Author]]="Marcela Urrego",VLOOKUP(LEFT(Proc[[#This Row],[Requested]],1),Table3[#All],2,0),VLOOKUP(Proc[[#This Row],[Author]],Table4[],2,0))</f>
        <v>EL</v>
      </c>
      <c r="L4612" s="150" t="s">
        <v>6435</v>
      </c>
      <c r="M4612" s="165">
        <v>45965</v>
      </c>
      <c r="N4612" s="166"/>
      <c r="O4612" s="166"/>
      <c r="P4612" s="165" t="str">
        <f ca="1">IF(Proc[[#This Row],[DaysAgeing]]&gt;5,"yep","on track")</f>
        <v>yep</v>
      </c>
      <c r="Q4612" s="3">
        <f ca="1">IF(Proc[[#This Row],[DateClosed]]="",ABS(NETWORKDAYS(Proc[[#This Row],[DateOpened]],TODAY()))-1,ABS(NETWORKDAYS(Proc[[#This Row],[DateOpened]],Proc[[#This Row],[DateClosed]]))-1)</f>
        <v>28</v>
      </c>
      <c r="R4612" s="165" t="s">
        <v>5709</v>
      </c>
      <c r="S4612" s="150"/>
    </row>
    <row r="4613" spans="1:19">
      <c r="A4613" s="149" t="s">
        <v>6750</v>
      </c>
      <c r="B4613" s="150" t="str">
        <f>IFERROR(VLOOKUP(Proc[[#This Row],[App]],Table2[],3,0),"open")</f>
        <v>ok</v>
      </c>
      <c r="C4613" s="149" t="s">
        <v>369</v>
      </c>
      <c r="D4613" t="s">
        <v>6775</v>
      </c>
      <c r="E4613" t="s">
        <v>6776</v>
      </c>
      <c r="F4613" s="150" t="s">
        <v>6776</v>
      </c>
      <c r="G4613" s="149" t="s">
        <v>406</v>
      </c>
      <c r="H4613" s="150" t="str">
        <f>IF(Proc[[#This Row],[type]]="LFF (MDG-F)",MID(Proc[[#This Row],[Obj]],13,10),"")</f>
        <v>CN09DB3307</v>
      </c>
      <c r="I4613" s="149"/>
      <c r="J4613" s="150" t="b">
        <f>Proc[[#This Row],[Requested]]=Proc[[#This Row],[CurrentParent]]</f>
        <v>1</v>
      </c>
      <c r="K4613" s="150" t="str">
        <f>IF(Proc[[#This Row],[Author]]="Marcela Urrego",VLOOKUP(LEFT(Proc[[#This Row],[Requested]],1),Table3[#All],2,0),VLOOKUP(Proc[[#This Row],[Author]],Table4[],2,0))</f>
        <v>EL</v>
      </c>
      <c r="L4613" s="150" t="s">
        <v>6435</v>
      </c>
      <c r="M4613" s="165">
        <v>45965</v>
      </c>
      <c r="N4613" s="166"/>
      <c r="O4613" s="166"/>
      <c r="P4613" s="165" t="str">
        <f ca="1">IF(Proc[[#This Row],[DaysAgeing]]&gt;5,"yep","on track")</f>
        <v>yep</v>
      </c>
      <c r="Q4613" s="3">
        <f ca="1">IF(Proc[[#This Row],[DateClosed]]="",ABS(NETWORKDAYS(Proc[[#This Row],[DateOpened]],TODAY()))-1,ABS(NETWORKDAYS(Proc[[#This Row],[DateOpened]],Proc[[#This Row],[DateClosed]]))-1)</f>
        <v>28</v>
      </c>
      <c r="R4613" s="165" t="s">
        <v>5709</v>
      </c>
      <c r="S4613" s="150"/>
    </row>
    <row r="4614" spans="1:19">
      <c r="A4614" t="s">
        <v>6777</v>
      </c>
      <c r="B4614" s="150" t="str">
        <f>IFERROR(VLOOKUP(Proc[[#This Row],[App]],Table2[],3,0),"open")</f>
        <v>ok</v>
      </c>
      <c r="C4614" t="s">
        <v>369</v>
      </c>
      <c r="D4614" t="s">
        <v>6778</v>
      </c>
      <c r="E4614" t="s">
        <v>6779</v>
      </c>
      <c r="F4614" s="150" t="s">
        <v>6779</v>
      </c>
      <c r="G4614" t="s">
        <v>400</v>
      </c>
      <c r="H4614" s="150" t="str">
        <f>IF(Proc[[#This Row],[type]]="LFF (MDG-F)",MID(Proc[[#This Row],[Obj]],13,10),"")</f>
        <v/>
      </c>
      <c r="J4614" s="150" t="b">
        <f>Proc[[#This Row],[Requested]]=Proc[[#This Row],[CurrentParent]]</f>
        <v>1</v>
      </c>
      <c r="K4614" s="150" t="str">
        <f>IF(Proc[[#This Row],[Author]]="Marcela Urrego",VLOOKUP(LEFT(Proc[[#This Row],[Requested]],1),Table3[#All],2,0),VLOOKUP(Proc[[#This Row],[Author]],Table4[],2,0))</f>
        <v>HC</v>
      </c>
      <c r="L4614" s="150" t="s">
        <v>6435</v>
      </c>
      <c r="M4614" s="166">
        <v>45966</v>
      </c>
      <c r="N4614" s="166"/>
      <c r="O4614" s="166"/>
      <c r="P4614" s="167" t="str">
        <f ca="1">IF(Proc[[#This Row],[DaysAgeing]]&gt;5,"yep","on track")</f>
        <v>yep</v>
      </c>
      <c r="Q4614" s="3">
        <f ca="1">IF(Proc[[#This Row],[DateClosed]]="",ABS(NETWORKDAYS(Proc[[#This Row],[DateOpened]],TODAY()))-1,ABS(NETWORKDAYS(Proc[[#This Row],[DateOpened]],Proc[[#This Row],[DateClosed]]))-1)</f>
        <v>27</v>
      </c>
      <c r="R4614" s="167" t="s">
        <v>1013</v>
      </c>
      <c r="S4614" s="150"/>
    </row>
    <row r="4615" spans="1:19">
      <c r="A4615" t="s">
        <v>6781</v>
      </c>
      <c r="B4615" s="150" t="str">
        <f>IFERROR(VLOOKUP(Proc[[#This Row],[App]],Table2[],3,0),"open")</f>
        <v>ok</v>
      </c>
      <c r="C4615" t="s">
        <v>369</v>
      </c>
      <c r="D4615" t="s">
        <v>6782</v>
      </c>
      <c r="E4615" t="s">
        <v>6913</v>
      </c>
      <c r="F4615" s="150" t="s">
        <v>6913</v>
      </c>
      <c r="G4615" t="s">
        <v>400</v>
      </c>
      <c r="H4615" s="150" t="str">
        <f>IF(Proc[[#This Row],[type]]="LFF (MDG-F)",MID(Proc[[#This Row],[Obj]],13,10),"")</f>
        <v/>
      </c>
      <c r="J4615" s="150" t="b">
        <f>Proc[[#This Row],[Requested]]=Proc[[#This Row],[CurrentParent]]</f>
        <v>1</v>
      </c>
      <c r="K4615" s="150" t="str">
        <f>IF(Proc[[#This Row],[Author]]="Marcela Urrego",VLOOKUP(LEFT(Proc[[#This Row],[Requested]],1),Table3[#All],2,0),VLOOKUP(Proc[[#This Row],[Author]],Table4[],2,0))</f>
        <v>MGF</v>
      </c>
      <c r="L4615" s="150" t="s">
        <v>6435</v>
      </c>
      <c r="M4615" s="167">
        <v>45968</v>
      </c>
      <c r="N4615" s="167"/>
      <c r="O4615" s="167"/>
      <c r="P4615" s="168" t="str">
        <f ca="1">IF(Proc[[#This Row],[DaysAgeing]]&gt;5,"yep","on track")</f>
        <v>yep</v>
      </c>
      <c r="Q4615" s="3">
        <f ca="1">IF(Proc[[#This Row],[DateClosed]]="",ABS(NETWORKDAYS(Proc[[#This Row],[DateOpened]],TODAY()))-1,ABS(NETWORKDAYS(Proc[[#This Row],[DateOpened]],Proc[[#This Row],[DateClosed]]))-1)</f>
        <v>25</v>
      </c>
      <c r="R4615" s="168" t="s">
        <v>515</v>
      </c>
      <c r="S4615" s="150"/>
    </row>
    <row r="4616" spans="1:19">
      <c r="A4616" t="s">
        <v>6784</v>
      </c>
      <c r="B4616" s="150" t="str">
        <f>IFERROR(VLOOKUP(Proc[[#This Row],[App]],Table2[],3,0),"open")</f>
        <v>ok</v>
      </c>
      <c r="C4616" s="149" t="s">
        <v>369</v>
      </c>
      <c r="D4616" t="s">
        <v>6783</v>
      </c>
      <c r="E4616" t="s">
        <v>759</v>
      </c>
      <c r="F4616" s="150" t="s">
        <v>759</v>
      </c>
      <c r="G4616" t="s">
        <v>400</v>
      </c>
      <c r="H4616" s="150" t="str">
        <f>IF(Proc[[#This Row],[type]]="LFF (MDG-F)",MID(Proc[[#This Row],[Obj]],13,10),"")</f>
        <v/>
      </c>
      <c r="J4616" s="150" t="b">
        <f>Proc[[#This Row],[Requested]]=Proc[[#This Row],[CurrentParent]]</f>
        <v>1</v>
      </c>
      <c r="K4616" s="150" t="str">
        <f>IF(Proc[[#This Row],[Author]]="Marcela Urrego",VLOOKUP(LEFT(Proc[[#This Row],[Requested]],1),Table3[#All],2,0),VLOOKUP(Proc[[#This Row],[Author]],Table4[],2,0))</f>
        <v>MGF</v>
      </c>
      <c r="L4616" s="150" t="s">
        <v>6435</v>
      </c>
      <c r="M4616" s="167">
        <v>45968</v>
      </c>
      <c r="N4616" s="167"/>
      <c r="O4616" s="167"/>
      <c r="P4616" s="168" t="str">
        <f ca="1">IF(Proc[[#This Row],[DaysAgeing]]&gt;5,"yep","on track")</f>
        <v>yep</v>
      </c>
      <c r="Q4616" s="3">
        <f ca="1">IF(Proc[[#This Row],[DateClosed]]="",ABS(NETWORKDAYS(Proc[[#This Row],[DateOpened]],TODAY()))-1,ABS(NETWORKDAYS(Proc[[#This Row],[DateOpened]],Proc[[#This Row],[DateClosed]]))-1)</f>
        <v>25</v>
      </c>
      <c r="R4616" s="168" t="s">
        <v>1459</v>
      </c>
      <c r="S4616" s="150"/>
    </row>
    <row r="4617" spans="1:19">
      <c r="A4617" t="s">
        <v>6785</v>
      </c>
      <c r="B4617" s="150" t="str">
        <f>IFERROR(VLOOKUP(Proc[[#This Row],[App]],Table2[],3,0),"open")</f>
        <v>ok</v>
      </c>
      <c r="C4617" s="149" t="s">
        <v>369</v>
      </c>
      <c r="D4617" t="s">
        <v>6786</v>
      </c>
      <c r="E4617" t="s">
        <v>6787</v>
      </c>
      <c r="F4617" s="150" t="s">
        <v>6787</v>
      </c>
      <c r="G4617" t="s">
        <v>400</v>
      </c>
      <c r="H4617" s="150" t="str">
        <f>IF(Proc[[#This Row],[type]]="LFF (MDG-F)",MID(Proc[[#This Row],[Obj]],13,10),"")</f>
        <v/>
      </c>
      <c r="J4617" s="150" t="b">
        <f>Proc[[#This Row],[Requested]]=Proc[[#This Row],[CurrentParent]]</f>
        <v>1</v>
      </c>
      <c r="K4617" s="150" t="str">
        <f>IF(Proc[[#This Row],[Author]]="Marcela Urrego",VLOOKUP(LEFT(Proc[[#This Row],[Requested]],1),Table3[#All],2,0),VLOOKUP(Proc[[#This Row],[Author]],Table4[],2,0))</f>
        <v>HC</v>
      </c>
      <c r="L4617" s="150" t="s">
        <v>6435</v>
      </c>
      <c r="M4617" s="167">
        <v>45968</v>
      </c>
      <c r="N4617" s="167"/>
      <c r="O4617" s="167"/>
      <c r="P4617" s="168" t="str">
        <f ca="1">IF(Proc[[#This Row],[DaysAgeing]]&gt;5,"yep","on track")</f>
        <v>yep</v>
      </c>
      <c r="Q4617" s="3">
        <f ca="1">IF(Proc[[#This Row],[DateClosed]]="",ABS(NETWORKDAYS(Proc[[#This Row],[DateOpened]],TODAY()))-1,ABS(NETWORKDAYS(Proc[[#This Row],[DateOpened]],Proc[[#This Row],[DateClosed]]))-1)</f>
        <v>25</v>
      </c>
      <c r="R4617" s="168" t="s">
        <v>410</v>
      </c>
      <c r="S4617" s="150"/>
    </row>
    <row r="4618" spans="1:19">
      <c r="A4618" t="s">
        <v>6788</v>
      </c>
      <c r="B4618" s="150" t="str">
        <f>IFERROR(VLOOKUP(Proc[[#This Row],[App]],Table2[],3,0),"open")</f>
        <v>ok</v>
      </c>
      <c r="C4618" s="149" t="s">
        <v>369</v>
      </c>
      <c r="D4618" t="s">
        <v>6789</v>
      </c>
      <c r="E4618" t="s">
        <v>6827</v>
      </c>
      <c r="F4618" s="150" t="s">
        <v>6827</v>
      </c>
      <c r="G4618" t="s">
        <v>406</v>
      </c>
      <c r="H4618" s="150" t="str">
        <f>IF(Proc[[#This Row],[type]]="LFF (MDG-F)",MID(Proc[[#This Row],[Obj]],13,10),"")</f>
        <v>DE07Z02182</v>
      </c>
      <c r="I4618" t="s">
        <v>6827</v>
      </c>
      <c r="J4618" s="150" t="b">
        <f>Proc[[#This Row],[Requested]]=Proc[[#This Row],[CurrentParent]]</f>
        <v>1</v>
      </c>
      <c r="K4618" s="150" t="str">
        <f>IF(Proc[[#This Row],[Author]]="Marcela Urrego",VLOOKUP(LEFT(Proc[[#This Row],[Requested]],1),Table3[#All],2,0),VLOOKUP(Proc[[#This Row],[Author]],Table4[],2,0))</f>
        <v>EL</v>
      </c>
      <c r="L4618" s="150" t="s">
        <v>6435</v>
      </c>
      <c r="M4618" s="169">
        <v>45973</v>
      </c>
      <c r="N4618" s="169"/>
      <c r="O4618" s="169"/>
      <c r="P4618" s="168" t="str">
        <f ca="1">IF(Proc[[#This Row],[DaysAgeing]]&gt;5,"yep","on track")</f>
        <v>yep</v>
      </c>
      <c r="Q4618" s="3">
        <f ca="1">IF(Proc[[#This Row],[DateClosed]]="",ABS(NETWORKDAYS(Proc[[#This Row],[DateOpened]],TODAY()))-1,ABS(NETWORKDAYS(Proc[[#This Row],[DateOpened]],Proc[[#This Row],[DateClosed]]))-1)</f>
        <v>22</v>
      </c>
      <c r="R4618" s="168" t="s">
        <v>5709</v>
      </c>
      <c r="S4618" s="150"/>
    </row>
    <row r="4619" spans="1:19">
      <c r="A4619" s="149" t="s">
        <v>6788</v>
      </c>
      <c r="B4619" s="150" t="str">
        <f>IFERROR(VLOOKUP(Proc[[#This Row],[App]],Table2[],3,0),"open")</f>
        <v>ok</v>
      </c>
      <c r="C4619" s="149" t="s">
        <v>369</v>
      </c>
      <c r="D4619" t="s">
        <v>6790</v>
      </c>
      <c r="E4619" t="s">
        <v>6827</v>
      </c>
      <c r="F4619" s="150" t="s">
        <v>6827</v>
      </c>
      <c r="G4619" s="149" t="s">
        <v>406</v>
      </c>
      <c r="H4619" s="150" t="str">
        <f>IF(Proc[[#This Row],[type]]="LFF (MDG-F)",MID(Proc[[#This Row],[Obj]],13,10),"")</f>
        <v>HK01Z02181</v>
      </c>
      <c r="I4619" s="149" t="s">
        <v>6827</v>
      </c>
      <c r="J4619" s="150" t="b">
        <f>Proc[[#This Row],[Requested]]=Proc[[#This Row],[CurrentParent]]</f>
        <v>1</v>
      </c>
      <c r="K4619" s="150" t="str">
        <f>IF(Proc[[#This Row],[Author]]="Marcela Urrego",VLOOKUP(LEFT(Proc[[#This Row],[Requested]],1),Table3[#All],2,0),VLOOKUP(Proc[[#This Row],[Author]],Table4[],2,0))</f>
        <v>EL</v>
      </c>
      <c r="L4619" s="150" t="s">
        <v>6435</v>
      </c>
      <c r="M4619" s="169">
        <v>45973</v>
      </c>
      <c r="N4619" s="169"/>
      <c r="O4619" s="169"/>
      <c r="P4619" s="168" t="str">
        <f ca="1">IF(Proc[[#This Row],[DaysAgeing]]&gt;5,"yep","on track")</f>
        <v>yep</v>
      </c>
      <c r="Q4619" s="3">
        <f ca="1">IF(Proc[[#This Row],[DateClosed]]="",ABS(NETWORKDAYS(Proc[[#This Row],[DateOpened]],TODAY()))-1,ABS(NETWORKDAYS(Proc[[#This Row],[DateOpened]],Proc[[#This Row],[DateClosed]]))-1)</f>
        <v>22</v>
      </c>
      <c r="R4619" s="168" t="s">
        <v>5709</v>
      </c>
      <c r="S4619" s="150"/>
    </row>
    <row r="4620" spans="1:19">
      <c r="A4620" s="149" t="s">
        <v>6788</v>
      </c>
      <c r="B4620" s="150" t="str">
        <f>IFERROR(VLOOKUP(Proc[[#This Row],[App]],Table2[],3,0),"open")</f>
        <v>ok</v>
      </c>
      <c r="C4620" s="149" t="s">
        <v>369</v>
      </c>
      <c r="D4620" t="s">
        <v>6791</v>
      </c>
      <c r="E4620" t="s">
        <v>6827</v>
      </c>
      <c r="F4620" s="150" t="s">
        <v>6827</v>
      </c>
      <c r="G4620" s="149" t="s">
        <v>406</v>
      </c>
      <c r="H4620" s="150" t="str">
        <f>IF(Proc[[#This Row],[type]]="LFF (MDG-F)",MID(Proc[[#This Row],[Obj]],13,10),"")</f>
        <v>HK01Z02182</v>
      </c>
      <c r="I4620" s="149" t="s">
        <v>6827</v>
      </c>
      <c r="J4620" s="150" t="b">
        <f>Proc[[#This Row],[Requested]]=Proc[[#This Row],[CurrentParent]]</f>
        <v>1</v>
      </c>
      <c r="K4620" s="150" t="str">
        <f>IF(Proc[[#This Row],[Author]]="Marcela Urrego",VLOOKUP(LEFT(Proc[[#This Row],[Requested]],1),Table3[#All],2,0),VLOOKUP(Proc[[#This Row],[Author]],Table4[],2,0))</f>
        <v>EL</v>
      </c>
      <c r="L4620" s="150" t="s">
        <v>6435</v>
      </c>
      <c r="M4620" s="169">
        <v>45973</v>
      </c>
      <c r="N4620" s="169"/>
      <c r="O4620" s="169"/>
      <c r="P4620" s="168" t="str">
        <f ca="1">IF(Proc[[#This Row],[DaysAgeing]]&gt;5,"yep","on track")</f>
        <v>yep</v>
      </c>
      <c r="Q4620" s="3">
        <f ca="1">IF(Proc[[#This Row],[DateClosed]]="",ABS(NETWORKDAYS(Proc[[#This Row],[DateOpened]],TODAY()))-1,ABS(NETWORKDAYS(Proc[[#This Row],[DateOpened]],Proc[[#This Row],[DateClosed]]))-1)</f>
        <v>22</v>
      </c>
      <c r="R4620" s="168" t="s">
        <v>5709</v>
      </c>
      <c r="S4620" s="150"/>
    </row>
    <row r="4621" spans="1:19">
      <c r="A4621" s="149" t="s">
        <v>6788</v>
      </c>
      <c r="B4621" s="150" t="str">
        <f>IFERROR(VLOOKUP(Proc[[#This Row],[App]],Table2[],3,0),"open")</f>
        <v>ok</v>
      </c>
      <c r="C4621" s="149" t="s">
        <v>369</v>
      </c>
      <c r="D4621" t="s">
        <v>6792</v>
      </c>
      <c r="E4621" t="s">
        <v>6827</v>
      </c>
      <c r="F4621" s="150" t="s">
        <v>6827</v>
      </c>
      <c r="G4621" s="149" t="s">
        <v>406</v>
      </c>
      <c r="H4621" s="150" t="str">
        <f>IF(Proc[[#This Row],[type]]="LFF (MDG-F)",MID(Proc[[#This Row],[Obj]],13,10),"")</f>
        <v>HK01Z02183</v>
      </c>
      <c r="I4621" s="149" t="s">
        <v>6827</v>
      </c>
      <c r="J4621" s="150" t="b">
        <f>Proc[[#This Row],[Requested]]=Proc[[#This Row],[CurrentParent]]</f>
        <v>1</v>
      </c>
      <c r="K4621" s="150" t="str">
        <f>IF(Proc[[#This Row],[Author]]="Marcela Urrego",VLOOKUP(LEFT(Proc[[#This Row],[Requested]],1),Table3[#All],2,0),VLOOKUP(Proc[[#This Row],[Author]],Table4[],2,0))</f>
        <v>EL</v>
      </c>
      <c r="L4621" s="150" t="s">
        <v>6435</v>
      </c>
      <c r="M4621" s="169">
        <v>45973</v>
      </c>
      <c r="N4621" s="169"/>
      <c r="O4621" s="169"/>
      <c r="P4621" s="168" t="str">
        <f ca="1">IF(Proc[[#This Row],[DaysAgeing]]&gt;5,"yep","on track")</f>
        <v>yep</v>
      </c>
      <c r="Q4621" s="3">
        <f ca="1">IF(Proc[[#This Row],[DateClosed]]="",ABS(NETWORKDAYS(Proc[[#This Row],[DateOpened]],TODAY()))-1,ABS(NETWORKDAYS(Proc[[#This Row],[DateOpened]],Proc[[#This Row],[DateClosed]]))-1)</f>
        <v>22</v>
      </c>
      <c r="R4621" s="168" t="s">
        <v>5709</v>
      </c>
      <c r="S4621" s="150"/>
    </row>
    <row r="4622" spans="1:19">
      <c r="A4622" s="149" t="s">
        <v>6788</v>
      </c>
      <c r="B4622" s="150" t="str">
        <f>IFERROR(VLOOKUP(Proc[[#This Row],[App]],Table2[],3,0),"open")</f>
        <v>ok</v>
      </c>
      <c r="C4622" s="149" t="s">
        <v>369</v>
      </c>
      <c r="D4622" t="s">
        <v>6793</v>
      </c>
      <c r="E4622" t="s">
        <v>6827</v>
      </c>
      <c r="F4622" s="150" t="s">
        <v>6827</v>
      </c>
      <c r="G4622" s="149" t="s">
        <v>406</v>
      </c>
      <c r="H4622" s="150" t="str">
        <f>IF(Proc[[#This Row],[type]]="LFF (MDG-F)",MID(Proc[[#This Row],[Obj]],13,10),"")</f>
        <v>HK01Z02184</v>
      </c>
      <c r="I4622" s="149" t="s">
        <v>6827</v>
      </c>
      <c r="J4622" s="150" t="b">
        <f>Proc[[#This Row],[Requested]]=Proc[[#This Row],[CurrentParent]]</f>
        <v>1</v>
      </c>
      <c r="K4622" s="150" t="str">
        <f>IF(Proc[[#This Row],[Author]]="Marcela Urrego",VLOOKUP(LEFT(Proc[[#This Row],[Requested]],1),Table3[#All],2,0),VLOOKUP(Proc[[#This Row],[Author]],Table4[],2,0))</f>
        <v>EL</v>
      </c>
      <c r="L4622" s="150" t="s">
        <v>6435</v>
      </c>
      <c r="M4622" s="169">
        <v>45973</v>
      </c>
      <c r="N4622" s="169"/>
      <c r="O4622" s="169"/>
      <c r="P4622" s="168" t="str">
        <f ca="1">IF(Proc[[#This Row],[DaysAgeing]]&gt;5,"yep","on track")</f>
        <v>yep</v>
      </c>
      <c r="Q4622" s="3">
        <f ca="1">IF(Proc[[#This Row],[DateClosed]]="",ABS(NETWORKDAYS(Proc[[#This Row],[DateOpened]],TODAY()))-1,ABS(NETWORKDAYS(Proc[[#This Row],[DateOpened]],Proc[[#This Row],[DateClosed]]))-1)</f>
        <v>22</v>
      </c>
      <c r="R4622" s="168" t="s">
        <v>5709</v>
      </c>
      <c r="S4622" s="150"/>
    </row>
    <row r="4623" spans="1:19">
      <c r="A4623" s="149" t="s">
        <v>6788</v>
      </c>
      <c r="B4623" s="150" t="str">
        <f>IFERROR(VLOOKUP(Proc[[#This Row],[App]],Table2[],3,0),"open")</f>
        <v>ok</v>
      </c>
      <c r="C4623" s="149" t="s">
        <v>369</v>
      </c>
      <c r="D4623" t="s">
        <v>6794</v>
      </c>
      <c r="E4623" t="s">
        <v>6827</v>
      </c>
      <c r="F4623" s="150" t="s">
        <v>6827</v>
      </c>
      <c r="G4623" s="149" t="s">
        <v>406</v>
      </c>
      <c r="H4623" s="150" t="str">
        <f>IF(Proc[[#This Row],[type]]="LFF (MDG-F)",MID(Proc[[#This Row],[Obj]],13,10),"")</f>
        <v>HK01Z02185</v>
      </c>
      <c r="I4623" s="149" t="s">
        <v>6827</v>
      </c>
      <c r="J4623" s="150" t="b">
        <f>Proc[[#This Row],[Requested]]=Proc[[#This Row],[CurrentParent]]</f>
        <v>1</v>
      </c>
      <c r="K4623" s="150" t="str">
        <f>IF(Proc[[#This Row],[Author]]="Marcela Urrego",VLOOKUP(LEFT(Proc[[#This Row],[Requested]],1),Table3[#All],2,0),VLOOKUP(Proc[[#This Row],[Author]],Table4[],2,0))</f>
        <v>EL</v>
      </c>
      <c r="L4623" s="150" t="s">
        <v>6435</v>
      </c>
      <c r="M4623" s="169">
        <v>45973</v>
      </c>
      <c r="N4623" s="169"/>
      <c r="O4623" s="169"/>
      <c r="P4623" s="168" t="str">
        <f ca="1">IF(Proc[[#This Row],[DaysAgeing]]&gt;5,"yep","on track")</f>
        <v>yep</v>
      </c>
      <c r="Q4623" s="3">
        <f ca="1">IF(Proc[[#This Row],[DateClosed]]="",ABS(NETWORKDAYS(Proc[[#This Row],[DateOpened]],TODAY()))-1,ABS(NETWORKDAYS(Proc[[#This Row],[DateOpened]],Proc[[#This Row],[DateClosed]]))-1)</f>
        <v>22</v>
      </c>
      <c r="R4623" s="168" t="s">
        <v>5709</v>
      </c>
      <c r="S4623" s="150"/>
    </row>
    <row r="4624" spans="1:19">
      <c r="A4624" s="149" t="s">
        <v>6788</v>
      </c>
      <c r="B4624" s="150" t="str">
        <f>IFERROR(VLOOKUP(Proc[[#This Row],[App]],Table2[],3,0),"open")</f>
        <v>ok</v>
      </c>
      <c r="C4624" s="149" t="s">
        <v>369</v>
      </c>
      <c r="D4624" t="s">
        <v>6795</v>
      </c>
      <c r="E4624" t="s">
        <v>6827</v>
      </c>
      <c r="F4624" s="150" t="s">
        <v>6827</v>
      </c>
      <c r="G4624" s="149" t="s">
        <v>406</v>
      </c>
      <c r="H4624" s="150" t="str">
        <f>IF(Proc[[#This Row],[type]]="LFF (MDG-F)",MID(Proc[[#This Row],[Obj]],13,10),"")</f>
        <v>IN01Z02181</v>
      </c>
      <c r="I4624" s="149" t="s">
        <v>6827</v>
      </c>
      <c r="J4624" s="150" t="b">
        <f>Proc[[#This Row],[Requested]]=Proc[[#This Row],[CurrentParent]]</f>
        <v>1</v>
      </c>
      <c r="K4624" s="150" t="str">
        <f>IF(Proc[[#This Row],[Author]]="Marcela Urrego",VLOOKUP(LEFT(Proc[[#This Row],[Requested]],1),Table3[#All],2,0),VLOOKUP(Proc[[#This Row],[Author]],Table4[],2,0))</f>
        <v>EL</v>
      </c>
      <c r="L4624" s="150" t="s">
        <v>6435</v>
      </c>
      <c r="M4624" s="169">
        <v>45973</v>
      </c>
      <c r="N4624" s="169"/>
      <c r="O4624" s="169"/>
      <c r="P4624" s="168" t="str">
        <f ca="1">IF(Proc[[#This Row],[DaysAgeing]]&gt;5,"yep","on track")</f>
        <v>yep</v>
      </c>
      <c r="Q4624" s="3">
        <f ca="1">IF(Proc[[#This Row],[DateClosed]]="",ABS(NETWORKDAYS(Proc[[#This Row],[DateOpened]],TODAY()))-1,ABS(NETWORKDAYS(Proc[[#This Row],[DateOpened]],Proc[[#This Row],[DateClosed]]))-1)</f>
        <v>22</v>
      </c>
      <c r="R4624" s="168" t="s">
        <v>5709</v>
      </c>
      <c r="S4624" s="150"/>
    </row>
    <row r="4625" spans="1:19">
      <c r="A4625" s="149" t="s">
        <v>6788</v>
      </c>
      <c r="B4625" s="150" t="str">
        <f>IFERROR(VLOOKUP(Proc[[#This Row],[App]],Table2[],3,0),"open")</f>
        <v>ok</v>
      </c>
      <c r="C4625" s="149" t="s">
        <v>369</v>
      </c>
      <c r="D4625" t="s">
        <v>6796</v>
      </c>
      <c r="E4625" t="s">
        <v>6827</v>
      </c>
      <c r="F4625" s="150" t="s">
        <v>6827</v>
      </c>
      <c r="G4625" s="149" t="s">
        <v>406</v>
      </c>
      <c r="H4625" s="150" t="str">
        <f>IF(Proc[[#This Row],[type]]="LFF (MDG-F)",MID(Proc[[#This Row],[Obj]],13,10),"")</f>
        <v>IN01Z02182</v>
      </c>
      <c r="I4625" s="149" t="s">
        <v>6827</v>
      </c>
      <c r="J4625" s="150" t="b">
        <f>Proc[[#This Row],[Requested]]=Proc[[#This Row],[CurrentParent]]</f>
        <v>1</v>
      </c>
      <c r="K4625" s="150" t="str">
        <f>IF(Proc[[#This Row],[Author]]="Marcela Urrego",VLOOKUP(LEFT(Proc[[#This Row],[Requested]],1),Table3[#All],2,0),VLOOKUP(Proc[[#This Row],[Author]],Table4[],2,0))</f>
        <v>EL</v>
      </c>
      <c r="L4625" s="150" t="s">
        <v>6435</v>
      </c>
      <c r="M4625" s="169">
        <v>45973</v>
      </c>
      <c r="N4625" s="169"/>
      <c r="O4625" s="169"/>
      <c r="P4625" s="168" t="str">
        <f ca="1">IF(Proc[[#This Row],[DaysAgeing]]&gt;5,"yep","on track")</f>
        <v>yep</v>
      </c>
      <c r="Q4625" s="3">
        <f ca="1">IF(Proc[[#This Row],[DateClosed]]="",ABS(NETWORKDAYS(Proc[[#This Row],[DateOpened]],TODAY()))-1,ABS(NETWORKDAYS(Proc[[#This Row],[DateOpened]],Proc[[#This Row],[DateClosed]]))-1)</f>
        <v>22</v>
      </c>
      <c r="R4625" s="168" t="s">
        <v>5709</v>
      </c>
      <c r="S4625" s="150"/>
    </row>
    <row r="4626" spans="1:19">
      <c r="A4626" s="149" t="s">
        <v>6788</v>
      </c>
      <c r="B4626" s="150" t="str">
        <f>IFERROR(VLOOKUP(Proc[[#This Row],[App]],Table2[],3,0),"open")</f>
        <v>ok</v>
      </c>
      <c r="C4626" s="149" t="s">
        <v>369</v>
      </c>
      <c r="D4626" t="s">
        <v>6797</v>
      </c>
      <c r="E4626" t="s">
        <v>6827</v>
      </c>
      <c r="F4626" s="150" t="s">
        <v>6827</v>
      </c>
      <c r="G4626" s="149" t="s">
        <v>406</v>
      </c>
      <c r="H4626" s="150" t="str">
        <f>IF(Proc[[#This Row],[type]]="LFF (MDG-F)",MID(Proc[[#This Row],[Obj]],13,10),"")</f>
        <v>IN01Z02183</v>
      </c>
      <c r="I4626" s="149" t="s">
        <v>6827</v>
      </c>
      <c r="J4626" s="150" t="b">
        <f>Proc[[#This Row],[Requested]]=Proc[[#This Row],[CurrentParent]]</f>
        <v>1</v>
      </c>
      <c r="K4626" s="150" t="str">
        <f>IF(Proc[[#This Row],[Author]]="Marcela Urrego",VLOOKUP(LEFT(Proc[[#This Row],[Requested]],1),Table3[#All],2,0),VLOOKUP(Proc[[#This Row],[Author]],Table4[],2,0))</f>
        <v>EL</v>
      </c>
      <c r="L4626" s="150" t="s">
        <v>6435</v>
      </c>
      <c r="M4626" s="169">
        <v>45973</v>
      </c>
      <c r="N4626" s="169"/>
      <c r="O4626" s="169"/>
      <c r="P4626" s="168" t="str">
        <f ca="1">IF(Proc[[#This Row],[DaysAgeing]]&gt;5,"yep","on track")</f>
        <v>yep</v>
      </c>
      <c r="Q4626" s="3">
        <f ca="1">IF(Proc[[#This Row],[DateClosed]]="",ABS(NETWORKDAYS(Proc[[#This Row],[DateOpened]],TODAY()))-1,ABS(NETWORKDAYS(Proc[[#This Row],[DateOpened]],Proc[[#This Row],[DateClosed]]))-1)</f>
        <v>22</v>
      </c>
      <c r="R4626" s="168" t="s">
        <v>5709</v>
      </c>
      <c r="S4626" s="150"/>
    </row>
    <row r="4627" spans="1:19">
      <c r="A4627" s="149" t="s">
        <v>6788</v>
      </c>
      <c r="B4627" s="150" t="str">
        <f>IFERROR(VLOOKUP(Proc[[#This Row],[App]],Table2[],3,0),"open")</f>
        <v>ok</v>
      </c>
      <c r="C4627" s="149" t="s">
        <v>369</v>
      </c>
      <c r="D4627" t="s">
        <v>6798</v>
      </c>
      <c r="E4627" t="s">
        <v>6827</v>
      </c>
      <c r="F4627" s="150" t="s">
        <v>6827</v>
      </c>
      <c r="G4627" s="149" t="s">
        <v>406</v>
      </c>
      <c r="H4627" s="150" t="str">
        <f>IF(Proc[[#This Row],[type]]="LFF (MDG-F)",MID(Proc[[#This Row],[Obj]],13,10),"")</f>
        <v>IN01Z02184</v>
      </c>
      <c r="I4627" s="149" t="s">
        <v>6827</v>
      </c>
      <c r="J4627" s="150" t="b">
        <f>Proc[[#This Row],[Requested]]=Proc[[#This Row],[CurrentParent]]</f>
        <v>1</v>
      </c>
      <c r="K4627" s="150" t="str">
        <f>IF(Proc[[#This Row],[Author]]="Marcela Urrego",VLOOKUP(LEFT(Proc[[#This Row],[Requested]],1),Table3[#All],2,0),VLOOKUP(Proc[[#This Row],[Author]],Table4[],2,0))</f>
        <v>EL</v>
      </c>
      <c r="L4627" s="150" t="s">
        <v>6435</v>
      </c>
      <c r="M4627" s="169">
        <v>45973</v>
      </c>
      <c r="N4627" s="169"/>
      <c r="O4627" s="169"/>
      <c r="P4627" s="168" t="str">
        <f ca="1">IF(Proc[[#This Row],[DaysAgeing]]&gt;5,"yep","on track")</f>
        <v>yep</v>
      </c>
      <c r="Q4627" s="3">
        <f ca="1">IF(Proc[[#This Row],[DateClosed]]="",ABS(NETWORKDAYS(Proc[[#This Row],[DateOpened]],TODAY()))-1,ABS(NETWORKDAYS(Proc[[#This Row],[DateOpened]],Proc[[#This Row],[DateClosed]]))-1)</f>
        <v>22</v>
      </c>
      <c r="R4627" s="168" t="s">
        <v>5709</v>
      </c>
      <c r="S4627" s="150"/>
    </row>
    <row r="4628" spans="1:19">
      <c r="A4628" s="149" t="s">
        <v>6788</v>
      </c>
      <c r="B4628" s="150" t="str">
        <f>IFERROR(VLOOKUP(Proc[[#This Row],[App]],Table2[],3,0),"open")</f>
        <v>ok</v>
      </c>
      <c r="C4628" s="149" t="s">
        <v>369</v>
      </c>
      <c r="D4628" t="s">
        <v>6799</v>
      </c>
      <c r="E4628" t="s">
        <v>6827</v>
      </c>
      <c r="F4628" s="150" t="s">
        <v>6827</v>
      </c>
      <c r="G4628" s="149" t="s">
        <v>406</v>
      </c>
      <c r="H4628" s="150" t="str">
        <f>IF(Proc[[#This Row],[type]]="LFF (MDG-F)",MID(Proc[[#This Row],[Obj]],13,10),"")</f>
        <v>JP01Z02181</v>
      </c>
      <c r="I4628" s="149" t="s">
        <v>6827</v>
      </c>
      <c r="J4628" s="150" t="b">
        <f>Proc[[#This Row],[Requested]]=Proc[[#This Row],[CurrentParent]]</f>
        <v>1</v>
      </c>
      <c r="K4628" s="150" t="str">
        <f>IF(Proc[[#This Row],[Author]]="Marcela Urrego",VLOOKUP(LEFT(Proc[[#This Row],[Requested]],1),Table3[#All],2,0),VLOOKUP(Proc[[#This Row],[Author]],Table4[],2,0))</f>
        <v>EL</v>
      </c>
      <c r="L4628" s="150" t="s">
        <v>6435</v>
      </c>
      <c r="M4628" s="169">
        <v>45973</v>
      </c>
      <c r="N4628" s="169"/>
      <c r="O4628" s="169"/>
      <c r="P4628" s="168" t="str">
        <f ca="1">IF(Proc[[#This Row],[DaysAgeing]]&gt;5,"yep","on track")</f>
        <v>yep</v>
      </c>
      <c r="Q4628" s="3">
        <f ca="1">IF(Proc[[#This Row],[DateClosed]]="",ABS(NETWORKDAYS(Proc[[#This Row],[DateOpened]],TODAY()))-1,ABS(NETWORKDAYS(Proc[[#This Row],[DateOpened]],Proc[[#This Row],[DateClosed]]))-1)</f>
        <v>22</v>
      </c>
      <c r="R4628" s="168" t="s">
        <v>5709</v>
      </c>
      <c r="S4628" s="150"/>
    </row>
    <row r="4629" spans="1:19">
      <c r="A4629" s="149" t="s">
        <v>6788</v>
      </c>
      <c r="B4629" s="150" t="str">
        <f>IFERROR(VLOOKUP(Proc[[#This Row],[App]],Table2[],3,0),"open")</f>
        <v>ok</v>
      </c>
      <c r="C4629" s="149" t="s">
        <v>369</v>
      </c>
      <c r="D4629" t="s">
        <v>6800</v>
      </c>
      <c r="E4629" t="s">
        <v>6827</v>
      </c>
      <c r="F4629" s="150" t="s">
        <v>6827</v>
      </c>
      <c r="G4629" s="149" t="s">
        <v>406</v>
      </c>
      <c r="H4629" s="150" t="str">
        <f>IF(Proc[[#This Row],[type]]="LFF (MDG-F)",MID(Proc[[#This Row],[Obj]],13,10),"")</f>
        <v>JP01Z02184</v>
      </c>
      <c r="I4629" s="149" t="s">
        <v>6827</v>
      </c>
      <c r="J4629" s="150" t="b">
        <f>Proc[[#This Row],[Requested]]=Proc[[#This Row],[CurrentParent]]</f>
        <v>1</v>
      </c>
      <c r="K4629" s="150" t="str">
        <f>IF(Proc[[#This Row],[Author]]="Marcela Urrego",VLOOKUP(LEFT(Proc[[#This Row],[Requested]],1),Table3[#All],2,0),VLOOKUP(Proc[[#This Row],[Author]],Table4[],2,0))</f>
        <v>EL</v>
      </c>
      <c r="L4629" s="150" t="s">
        <v>6435</v>
      </c>
      <c r="M4629" s="169">
        <v>45973</v>
      </c>
      <c r="N4629" s="169"/>
      <c r="O4629" s="169"/>
      <c r="P4629" s="168" t="str">
        <f ca="1">IF(Proc[[#This Row],[DaysAgeing]]&gt;5,"yep","on track")</f>
        <v>yep</v>
      </c>
      <c r="Q4629" s="3">
        <f ca="1">IF(Proc[[#This Row],[DateClosed]]="",ABS(NETWORKDAYS(Proc[[#This Row],[DateOpened]],TODAY()))-1,ABS(NETWORKDAYS(Proc[[#This Row],[DateOpened]],Proc[[#This Row],[DateClosed]]))-1)</f>
        <v>22</v>
      </c>
      <c r="R4629" s="168" t="s">
        <v>5709</v>
      </c>
      <c r="S4629" s="150"/>
    </row>
    <row r="4630" spans="1:19">
      <c r="A4630" s="149" t="s">
        <v>6788</v>
      </c>
      <c r="B4630" s="150" t="str">
        <f>IFERROR(VLOOKUP(Proc[[#This Row],[App]],Table2[],3,0),"open")</f>
        <v>ok</v>
      </c>
      <c r="C4630" s="149" t="s">
        <v>369</v>
      </c>
      <c r="D4630" t="s">
        <v>6801</v>
      </c>
      <c r="E4630" t="s">
        <v>6827</v>
      </c>
      <c r="F4630" s="150" t="s">
        <v>6827</v>
      </c>
      <c r="G4630" s="149" t="s">
        <v>406</v>
      </c>
      <c r="H4630" s="150" t="str">
        <f>IF(Proc[[#This Row],[type]]="LFF (MDG-F)",MID(Proc[[#This Row],[Obj]],13,10),"")</f>
        <v>JP01Z02185</v>
      </c>
      <c r="I4630" s="149" t="s">
        <v>6827</v>
      </c>
      <c r="J4630" s="150" t="b">
        <f>Proc[[#This Row],[Requested]]=Proc[[#This Row],[CurrentParent]]</f>
        <v>1</v>
      </c>
      <c r="K4630" s="150" t="str">
        <f>IF(Proc[[#This Row],[Author]]="Marcela Urrego",VLOOKUP(LEFT(Proc[[#This Row],[Requested]],1),Table3[#All],2,0),VLOOKUP(Proc[[#This Row],[Author]],Table4[],2,0))</f>
        <v>EL</v>
      </c>
      <c r="L4630" s="150" t="s">
        <v>6435</v>
      </c>
      <c r="M4630" s="169">
        <v>45973</v>
      </c>
      <c r="N4630" s="169"/>
      <c r="O4630" s="169"/>
      <c r="P4630" s="168" t="str">
        <f ca="1">IF(Proc[[#This Row],[DaysAgeing]]&gt;5,"yep","on track")</f>
        <v>yep</v>
      </c>
      <c r="Q4630" s="3">
        <f ca="1">IF(Proc[[#This Row],[DateClosed]]="",ABS(NETWORKDAYS(Proc[[#This Row],[DateOpened]],TODAY()))-1,ABS(NETWORKDAYS(Proc[[#This Row],[DateOpened]],Proc[[#This Row],[DateClosed]]))-1)</f>
        <v>22</v>
      </c>
      <c r="R4630" s="168" t="s">
        <v>5709</v>
      </c>
      <c r="S4630" s="150"/>
    </row>
    <row r="4631" spans="1:19">
      <c r="A4631" s="149" t="s">
        <v>6788</v>
      </c>
      <c r="B4631" s="150" t="str">
        <f>IFERROR(VLOOKUP(Proc[[#This Row],[App]],Table2[],3,0),"open")</f>
        <v>ok</v>
      </c>
      <c r="C4631" s="149" t="s">
        <v>369</v>
      </c>
      <c r="D4631" t="s">
        <v>6802</v>
      </c>
      <c r="E4631" t="s">
        <v>6827</v>
      </c>
      <c r="F4631" s="150" t="s">
        <v>6827</v>
      </c>
      <c r="G4631" s="149" t="s">
        <v>406</v>
      </c>
      <c r="H4631" s="150" t="str">
        <f>IF(Proc[[#This Row],[type]]="LFF (MDG-F)",MID(Proc[[#This Row],[Obj]],13,10),"")</f>
        <v>JP02Z02181</v>
      </c>
      <c r="I4631" s="149" t="s">
        <v>6827</v>
      </c>
      <c r="J4631" s="150" t="b">
        <f>Proc[[#This Row],[Requested]]=Proc[[#This Row],[CurrentParent]]</f>
        <v>1</v>
      </c>
      <c r="K4631" s="150" t="str">
        <f>IF(Proc[[#This Row],[Author]]="Marcela Urrego",VLOOKUP(LEFT(Proc[[#This Row],[Requested]],1),Table3[#All],2,0),VLOOKUP(Proc[[#This Row],[Author]],Table4[],2,0))</f>
        <v>EL</v>
      </c>
      <c r="L4631" s="150" t="s">
        <v>6435</v>
      </c>
      <c r="M4631" s="169">
        <v>45973</v>
      </c>
      <c r="N4631" s="169"/>
      <c r="O4631" s="169"/>
      <c r="P4631" s="168" t="str">
        <f ca="1">IF(Proc[[#This Row],[DaysAgeing]]&gt;5,"yep","on track")</f>
        <v>yep</v>
      </c>
      <c r="Q4631" s="3">
        <f ca="1">IF(Proc[[#This Row],[DateClosed]]="",ABS(NETWORKDAYS(Proc[[#This Row],[DateOpened]],TODAY()))-1,ABS(NETWORKDAYS(Proc[[#This Row],[DateOpened]],Proc[[#This Row],[DateClosed]]))-1)</f>
        <v>22</v>
      </c>
      <c r="R4631" s="168" t="s">
        <v>5709</v>
      </c>
      <c r="S4631" s="150"/>
    </row>
    <row r="4632" spans="1:19">
      <c r="A4632" s="149" t="s">
        <v>6788</v>
      </c>
      <c r="B4632" s="150" t="str">
        <f>IFERROR(VLOOKUP(Proc[[#This Row],[App]],Table2[],3,0),"open")</f>
        <v>ok</v>
      </c>
      <c r="C4632" s="149" t="s">
        <v>369</v>
      </c>
      <c r="D4632" t="s">
        <v>6803</v>
      </c>
      <c r="E4632" t="s">
        <v>6827</v>
      </c>
      <c r="F4632" s="150" t="s">
        <v>6827</v>
      </c>
      <c r="G4632" s="149" t="s">
        <v>406</v>
      </c>
      <c r="H4632" s="150" t="str">
        <f>IF(Proc[[#This Row],[type]]="LFF (MDG-F)",MID(Proc[[#This Row],[Obj]],13,10),"")</f>
        <v>JP02Z02182</v>
      </c>
      <c r="I4632" s="149" t="s">
        <v>6827</v>
      </c>
      <c r="J4632" s="150" t="b">
        <f>Proc[[#This Row],[Requested]]=Proc[[#This Row],[CurrentParent]]</f>
        <v>1</v>
      </c>
      <c r="K4632" s="150" t="str">
        <f>IF(Proc[[#This Row],[Author]]="Marcela Urrego",VLOOKUP(LEFT(Proc[[#This Row],[Requested]],1),Table3[#All],2,0),VLOOKUP(Proc[[#This Row],[Author]],Table4[],2,0))</f>
        <v>EL</v>
      </c>
      <c r="L4632" s="150" t="s">
        <v>6435</v>
      </c>
      <c r="M4632" s="169">
        <v>45973</v>
      </c>
      <c r="N4632" s="169"/>
      <c r="O4632" s="169"/>
      <c r="P4632" s="168" t="str">
        <f ca="1">IF(Proc[[#This Row],[DaysAgeing]]&gt;5,"yep","on track")</f>
        <v>yep</v>
      </c>
      <c r="Q4632" s="3">
        <f ca="1">IF(Proc[[#This Row],[DateClosed]]="",ABS(NETWORKDAYS(Proc[[#This Row],[DateOpened]],TODAY()))-1,ABS(NETWORKDAYS(Proc[[#This Row],[DateOpened]],Proc[[#This Row],[DateClosed]]))-1)</f>
        <v>22</v>
      </c>
      <c r="R4632" s="168" t="s">
        <v>5709</v>
      </c>
      <c r="S4632" s="150"/>
    </row>
    <row r="4633" spans="1:19">
      <c r="A4633" s="149" t="s">
        <v>6788</v>
      </c>
      <c r="B4633" s="150" t="str">
        <f>IFERROR(VLOOKUP(Proc[[#This Row],[App]],Table2[],3,0),"open")</f>
        <v>ok</v>
      </c>
      <c r="C4633" s="149" t="s">
        <v>369</v>
      </c>
      <c r="D4633" t="s">
        <v>6804</v>
      </c>
      <c r="E4633" t="s">
        <v>6827</v>
      </c>
      <c r="F4633" s="150" t="s">
        <v>6827</v>
      </c>
      <c r="G4633" s="149" t="s">
        <v>406</v>
      </c>
      <c r="H4633" s="150" t="str">
        <f>IF(Proc[[#This Row],[type]]="LFF (MDG-F)",MID(Proc[[#This Row],[Obj]],13,10),"")</f>
        <v>JP02Z02183</v>
      </c>
      <c r="I4633" s="149" t="s">
        <v>6827</v>
      </c>
      <c r="J4633" s="150" t="b">
        <f>Proc[[#This Row],[Requested]]=Proc[[#This Row],[CurrentParent]]</f>
        <v>1</v>
      </c>
      <c r="K4633" s="150" t="str">
        <f>IF(Proc[[#This Row],[Author]]="Marcela Urrego",VLOOKUP(LEFT(Proc[[#This Row],[Requested]],1),Table3[#All],2,0),VLOOKUP(Proc[[#This Row],[Author]],Table4[],2,0))</f>
        <v>EL</v>
      </c>
      <c r="L4633" s="150" t="s">
        <v>6435</v>
      </c>
      <c r="M4633" s="169">
        <v>45973</v>
      </c>
      <c r="N4633" s="169"/>
      <c r="O4633" s="169"/>
      <c r="P4633" s="168" t="str">
        <f ca="1">IF(Proc[[#This Row],[DaysAgeing]]&gt;5,"yep","on track")</f>
        <v>yep</v>
      </c>
      <c r="Q4633" s="3">
        <f ca="1">IF(Proc[[#This Row],[DateClosed]]="",ABS(NETWORKDAYS(Proc[[#This Row],[DateOpened]],TODAY()))-1,ABS(NETWORKDAYS(Proc[[#This Row],[DateOpened]],Proc[[#This Row],[DateClosed]]))-1)</f>
        <v>22</v>
      </c>
      <c r="R4633" s="168" t="s">
        <v>5709</v>
      </c>
      <c r="S4633" s="150"/>
    </row>
    <row r="4634" spans="1:19">
      <c r="A4634" s="149" t="s">
        <v>6788</v>
      </c>
      <c r="B4634" s="150" t="str">
        <f>IFERROR(VLOOKUP(Proc[[#This Row],[App]],Table2[],3,0),"open")</f>
        <v>ok</v>
      </c>
      <c r="C4634" s="149" t="s">
        <v>369</v>
      </c>
      <c r="D4634" t="s">
        <v>6805</v>
      </c>
      <c r="E4634" t="s">
        <v>6827</v>
      </c>
      <c r="F4634" s="150" t="s">
        <v>6827</v>
      </c>
      <c r="G4634" s="149" t="s">
        <v>406</v>
      </c>
      <c r="H4634" s="150" t="str">
        <f>IF(Proc[[#This Row],[type]]="LFF (MDG-F)",MID(Proc[[#This Row],[Obj]],13,10),"")</f>
        <v>JP02Z02184</v>
      </c>
      <c r="I4634" s="149" t="s">
        <v>6827</v>
      </c>
      <c r="J4634" s="150" t="b">
        <f>Proc[[#This Row],[Requested]]=Proc[[#This Row],[CurrentParent]]</f>
        <v>1</v>
      </c>
      <c r="K4634" s="150" t="str">
        <f>IF(Proc[[#This Row],[Author]]="Marcela Urrego",VLOOKUP(LEFT(Proc[[#This Row],[Requested]],1),Table3[#All],2,0),VLOOKUP(Proc[[#This Row],[Author]],Table4[],2,0))</f>
        <v>EL</v>
      </c>
      <c r="L4634" s="150" t="s">
        <v>6435</v>
      </c>
      <c r="M4634" s="169">
        <v>45973</v>
      </c>
      <c r="N4634" s="169"/>
      <c r="O4634" s="169"/>
      <c r="P4634" s="168" t="str">
        <f ca="1">IF(Proc[[#This Row],[DaysAgeing]]&gt;5,"yep","on track")</f>
        <v>yep</v>
      </c>
      <c r="Q4634" s="3">
        <f ca="1">IF(Proc[[#This Row],[DateClosed]]="",ABS(NETWORKDAYS(Proc[[#This Row],[DateOpened]],TODAY()))-1,ABS(NETWORKDAYS(Proc[[#This Row],[DateOpened]],Proc[[#This Row],[DateClosed]]))-1)</f>
        <v>22</v>
      </c>
      <c r="R4634" s="168" t="s">
        <v>5709</v>
      </c>
      <c r="S4634" s="150"/>
    </row>
    <row r="4635" spans="1:19">
      <c r="A4635" s="149" t="s">
        <v>6788</v>
      </c>
      <c r="B4635" s="150" t="str">
        <f>IFERROR(VLOOKUP(Proc[[#This Row],[App]],Table2[],3,0),"open")</f>
        <v>ok</v>
      </c>
      <c r="C4635" s="149" t="s">
        <v>369</v>
      </c>
      <c r="D4635" t="s">
        <v>6806</v>
      </c>
      <c r="E4635" t="s">
        <v>6827</v>
      </c>
      <c r="F4635" s="150" t="s">
        <v>6827</v>
      </c>
      <c r="G4635" s="149" t="s">
        <v>406</v>
      </c>
      <c r="H4635" s="150" t="str">
        <f>IF(Proc[[#This Row],[type]]="LFF (MDG-F)",MID(Proc[[#This Row],[Obj]],13,10),"")</f>
        <v>JP02Z02185</v>
      </c>
      <c r="I4635" s="149" t="s">
        <v>6827</v>
      </c>
      <c r="J4635" s="150" t="b">
        <f>Proc[[#This Row],[Requested]]=Proc[[#This Row],[CurrentParent]]</f>
        <v>1</v>
      </c>
      <c r="K4635" s="150" t="str">
        <f>IF(Proc[[#This Row],[Author]]="Marcela Urrego",VLOOKUP(LEFT(Proc[[#This Row],[Requested]],1),Table3[#All],2,0),VLOOKUP(Proc[[#This Row],[Author]],Table4[],2,0))</f>
        <v>EL</v>
      </c>
      <c r="L4635" s="150" t="s">
        <v>6435</v>
      </c>
      <c r="M4635" s="169">
        <v>45973</v>
      </c>
      <c r="N4635" s="169"/>
      <c r="O4635" s="169"/>
      <c r="P4635" s="168" t="str">
        <f ca="1">IF(Proc[[#This Row],[DaysAgeing]]&gt;5,"yep","on track")</f>
        <v>yep</v>
      </c>
      <c r="Q4635" s="3">
        <f ca="1">IF(Proc[[#This Row],[DateClosed]]="",ABS(NETWORKDAYS(Proc[[#This Row],[DateOpened]],TODAY()))-1,ABS(NETWORKDAYS(Proc[[#This Row],[DateOpened]],Proc[[#This Row],[DateClosed]]))-1)</f>
        <v>22</v>
      </c>
      <c r="R4635" s="168" t="s">
        <v>5709</v>
      </c>
      <c r="S4635" s="150"/>
    </row>
    <row r="4636" spans="1:19">
      <c r="A4636" s="149" t="s">
        <v>6788</v>
      </c>
      <c r="B4636" s="150" t="str">
        <f>IFERROR(VLOOKUP(Proc[[#This Row],[App]],Table2[],3,0),"open")</f>
        <v>ok</v>
      </c>
      <c r="C4636" s="149" t="s">
        <v>369</v>
      </c>
      <c r="D4636" t="s">
        <v>6807</v>
      </c>
      <c r="E4636" t="s">
        <v>6827</v>
      </c>
      <c r="F4636" s="150" t="s">
        <v>6827</v>
      </c>
      <c r="G4636" s="149" t="s">
        <v>406</v>
      </c>
      <c r="H4636" s="150" t="str">
        <f>IF(Proc[[#This Row],[type]]="LFF (MDG-F)",MID(Proc[[#This Row],[Obj]],13,10),"")</f>
        <v>KR02Z02181</v>
      </c>
      <c r="I4636" s="149" t="s">
        <v>6827</v>
      </c>
      <c r="J4636" s="150" t="b">
        <f>Proc[[#This Row],[Requested]]=Proc[[#This Row],[CurrentParent]]</f>
        <v>1</v>
      </c>
      <c r="K4636" s="150" t="str">
        <f>IF(Proc[[#This Row],[Author]]="Marcela Urrego",VLOOKUP(LEFT(Proc[[#This Row],[Requested]],1),Table3[#All],2,0),VLOOKUP(Proc[[#This Row],[Author]],Table4[],2,0))</f>
        <v>EL</v>
      </c>
      <c r="L4636" s="150" t="s">
        <v>6435</v>
      </c>
      <c r="M4636" s="169">
        <v>45973</v>
      </c>
      <c r="N4636" s="169"/>
      <c r="O4636" s="169"/>
      <c r="P4636" s="168" t="str">
        <f ca="1">IF(Proc[[#This Row],[DaysAgeing]]&gt;5,"yep","on track")</f>
        <v>yep</v>
      </c>
      <c r="Q4636" s="3">
        <f ca="1">IF(Proc[[#This Row],[DateClosed]]="",ABS(NETWORKDAYS(Proc[[#This Row],[DateOpened]],TODAY()))-1,ABS(NETWORKDAYS(Proc[[#This Row],[DateOpened]],Proc[[#This Row],[DateClosed]]))-1)</f>
        <v>22</v>
      </c>
      <c r="R4636" s="168" t="s">
        <v>5709</v>
      </c>
      <c r="S4636" s="150"/>
    </row>
    <row r="4637" spans="1:19">
      <c r="A4637" s="149" t="s">
        <v>6788</v>
      </c>
      <c r="B4637" s="150" t="str">
        <f>IFERROR(VLOOKUP(Proc[[#This Row],[App]],Table2[],3,0),"open")</f>
        <v>ok</v>
      </c>
      <c r="C4637" s="149" t="s">
        <v>369</v>
      </c>
      <c r="D4637" t="s">
        <v>6808</v>
      </c>
      <c r="E4637" t="s">
        <v>6827</v>
      </c>
      <c r="F4637" s="150" t="s">
        <v>6827</v>
      </c>
      <c r="G4637" s="149" t="s">
        <v>406</v>
      </c>
      <c r="H4637" s="150" t="str">
        <f>IF(Proc[[#This Row],[type]]="LFF (MDG-F)",MID(Proc[[#This Row],[Obj]],13,10),"")</f>
        <v>KR02Z02182</v>
      </c>
      <c r="I4637" s="149" t="s">
        <v>6827</v>
      </c>
      <c r="J4637" s="150" t="b">
        <f>Proc[[#This Row],[Requested]]=Proc[[#This Row],[CurrentParent]]</f>
        <v>1</v>
      </c>
      <c r="K4637" s="150" t="str">
        <f>IF(Proc[[#This Row],[Author]]="Marcela Urrego",VLOOKUP(LEFT(Proc[[#This Row],[Requested]],1),Table3[#All],2,0),VLOOKUP(Proc[[#This Row],[Author]],Table4[],2,0))</f>
        <v>EL</v>
      </c>
      <c r="L4637" s="150" t="s">
        <v>6435</v>
      </c>
      <c r="M4637" s="169">
        <v>45973</v>
      </c>
      <c r="N4637" s="169"/>
      <c r="O4637" s="169"/>
      <c r="P4637" s="168" t="str">
        <f ca="1">IF(Proc[[#This Row],[DaysAgeing]]&gt;5,"yep","on track")</f>
        <v>yep</v>
      </c>
      <c r="Q4637" s="3">
        <f ca="1">IF(Proc[[#This Row],[DateClosed]]="",ABS(NETWORKDAYS(Proc[[#This Row],[DateOpened]],TODAY()))-1,ABS(NETWORKDAYS(Proc[[#This Row],[DateOpened]],Proc[[#This Row],[DateClosed]]))-1)</f>
        <v>22</v>
      </c>
      <c r="R4637" s="168" t="s">
        <v>5709</v>
      </c>
      <c r="S4637" s="150"/>
    </row>
    <row r="4638" spans="1:19">
      <c r="A4638" s="149" t="s">
        <v>6788</v>
      </c>
      <c r="B4638" s="150" t="str">
        <f>IFERROR(VLOOKUP(Proc[[#This Row],[App]],Table2[],3,0),"open")</f>
        <v>ok</v>
      </c>
      <c r="C4638" s="149" t="s">
        <v>369</v>
      </c>
      <c r="D4638" t="s">
        <v>6809</v>
      </c>
      <c r="E4638" t="s">
        <v>6827</v>
      </c>
      <c r="F4638" s="150" t="s">
        <v>6827</v>
      </c>
      <c r="G4638" s="149" t="s">
        <v>406</v>
      </c>
      <c r="H4638" s="150" t="str">
        <f>IF(Proc[[#This Row],[type]]="LFF (MDG-F)",MID(Proc[[#This Row],[Obj]],13,10),"")</f>
        <v>KR02Z02183</v>
      </c>
      <c r="I4638" s="149" t="s">
        <v>6827</v>
      </c>
      <c r="J4638" s="150" t="b">
        <f>Proc[[#This Row],[Requested]]=Proc[[#This Row],[CurrentParent]]</f>
        <v>1</v>
      </c>
      <c r="K4638" s="150" t="str">
        <f>IF(Proc[[#This Row],[Author]]="Marcela Urrego",VLOOKUP(LEFT(Proc[[#This Row],[Requested]],1),Table3[#All],2,0),VLOOKUP(Proc[[#This Row],[Author]],Table4[],2,0))</f>
        <v>EL</v>
      </c>
      <c r="L4638" s="150" t="s">
        <v>6435</v>
      </c>
      <c r="M4638" s="169">
        <v>45973</v>
      </c>
      <c r="N4638" s="169"/>
      <c r="O4638" s="169"/>
      <c r="P4638" s="168" t="str">
        <f ca="1">IF(Proc[[#This Row],[DaysAgeing]]&gt;5,"yep","on track")</f>
        <v>yep</v>
      </c>
      <c r="Q4638" s="3">
        <f ca="1">IF(Proc[[#This Row],[DateClosed]]="",ABS(NETWORKDAYS(Proc[[#This Row],[DateOpened]],TODAY()))-1,ABS(NETWORKDAYS(Proc[[#This Row],[DateOpened]],Proc[[#This Row],[DateClosed]]))-1)</f>
        <v>22</v>
      </c>
      <c r="R4638" s="168" t="s">
        <v>5709</v>
      </c>
      <c r="S4638" s="150"/>
    </row>
    <row r="4639" spans="1:19">
      <c r="A4639" s="149" t="s">
        <v>6788</v>
      </c>
      <c r="B4639" s="150" t="str">
        <f>IFERROR(VLOOKUP(Proc[[#This Row],[App]],Table2[],3,0),"open")</f>
        <v>ok</v>
      </c>
      <c r="C4639" s="149" t="s">
        <v>369</v>
      </c>
      <c r="D4639" t="s">
        <v>6810</v>
      </c>
      <c r="E4639" t="s">
        <v>6827</v>
      </c>
      <c r="F4639" s="150" t="s">
        <v>6827</v>
      </c>
      <c r="G4639" s="149" t="s">
        <v>406</v>
      </c>
      <c r="H4639" s="150" t="str">
        <f>IF(Proc[[#This Row],[type]]="LFF (MDG-F)",MID(Proc[[#This Row],[Obj]],13,10),"")</f>
        <v>KR02Z02184</v>
      </c>
      <c r="I4639" s="149" t="s">
        <v>6827</v>
      </c>
      <c r="J4639" s="150" t="b">
        <f>Proc[[#This Row],[Requested]]=Proc[[#This Row],[CurrentParent]]</f>
        <v>1</v>
      </c>
      <c r="K4639" s="150" t="str">
        <f>IF(Proc[[#This Row],[Author]]="Marcela Urrego",VLOOKUP(LEFT(Proc[[#This Row],[Requested]],1),Table3[#All],2,0),VLOOKUP(Proc[[#This Row],[Author]],Table4[],2,0))</f>
        <v>EL</v>
      </c>
      <c r="L4639" s="150" t="s">
        <v>6435</v>
      </c>
      <c r="M4639" s="169">
        <v>45973</v>
      </c>
      <c r="N4639" s="169"/>
      <c r="O4639" s="169"/>
      <c r="P4639" s="168" t="str">
        <f ca="1">IF(Proc[[#This Row],[DaysAgeing]]&gt;5,"yep","on track")</f>
        <v>yep</v>
      </c>
      <c r="Q4639" s="3">
        <f ca="1">IF(Proc[[#This Row],[DateClosed]]="",ABS(NETWORKDAYS(Proc[[#This Row],[DateOpened]],TODAY()))-1,ABS(NETWORKDAYS(Proc[[#This Row],[DateOpened]],Proc[[#This Row],[DateClosed]]))-1)</f>
        <v>22</v>
      </c>
      <c r="R4639" s="168" t="s">
        <v>5709</v>
      </c>
      <c r="S4639" s="150"/>
    </row>
    <row r="4640" spans="1:19">
      <c r="A4640" s="149" t="s">
        <v>6788</v>
      </c>
      <c r="B4640" s="150" t="str">
        <f>IFERROR(VLOOKUP(Proc[[#This Row],[App]],Table2[],3,0),"open")</f>
        <v>ok</v>
      </c>
      <c r="C4640" s="149" t="s">
        <v>369</v>
      </c>
      <c r="D4640" t="s">
        <v>6811</v>
      </c>
      <c r="E4640" t="s">
        <v>6827</v>
      </c>
      <c r="F4640" s="150" t="s">
        <v>6827</v>
      </c>
      <c r="G4640" s="149" t="s">
        <v>406</v>
      </c>
      <c r="H4640" s="150" t="str">
        <f>IF(Proc[[#This Row],[type]]="LFF (MDG-F)",MID(Proc[[#This Row],[Obj]],13,10),"")</f>
        <v>SG09Z02181</v>
      </c>
      <c r="I4640" s="149" t="s">
        <v>6827</v>
      </c>
      <c r="J4640" s="150" t="b">
        <f>Proc[[#This Row],[Requested]]=Proc[[#This Row],[CurrentParent]]</f>
        <v>1</v>
      </c>
      <c r="K4640" s="150" t="str">
        <f>IF(Proc[[#This Row],[Author]]="Marcela Urrego",VLOOKUP(LEFT(Proc[[#This Row],[Requested]],1),Table3[#All],2,0),VLOOKUP(Proc[[#This Row],[Author]],Table4[],2,0))</f>
        <v>EL</v>
      </c>
      <c r="L4640" s="150" t="s">
        <v>6435</v>
      </c>
      <c r="M4640" s="169">
        <v>45973</v>
      </c>
      <c r="N4640" s="169"/>
      <c r="O4640" s="169"/>
      <c r="P4640" s="168" t="str">
        <f ca="1">IF(Proc[[#This Row],[DaysAgeing]]&gt;5,"yep","on track")</f>
        <v>yep</v>
      </c>
      <c r="Q4640" s="3">
        <f ca="1">IF(Proc[[#This Row],[DateClosed]]="",ABS(NETWORKDAYS(Proc[[#This Row],[DateOpened]],TODAY()))-1,ABS(NETWORKDAYS(Proc[[#This Row],[DateOpened]],Proc[[#This Row],[DateClosed]]))-1)</f>
        <v>22</v>
      </c>
      <c r="R4640" s="168" t="s">
        <v>5709</v>
      </c>
      <c r="S4640" s="150"/>
    </row>
    <row r="4641" spans="1:19">
      <c r="A4641" s="149" t="s">
        <v>6788</v>
      </c>
      <c r="B4641" s="150" t="str">
        <f>IFERROR(VLOOKUP(Proc[[#This Row],[App]],Table2[],3,0),"open")</f>
        <v>ok</v>
      </c>
      <c r="C4641" s="149" t="s">
        <v>369</v>
      </c>
      <c r="D4641" t="s">
        <v>6812</v>
      </c>
      <c r="E4641" t="s">
        <v>6827</v>
      </c>
      <c r="F4641" s="150" t="s">
        <v>6827</v>
      </c>
      <c r="G4641" s="149" t="s">
        <v>406</v>
      </c>
      <c r="H4641" s="150" t="str">
        <f>IF(Proc[[#This Row],[type]]="LFF (MDG-F)",MID(Proc[[#This Row],[Obj]],13,10),"")</f>
        <v>SG09Z02182</v>
      </c>
      <c r="I4641" s="149" t="s">
        <v>6827</v>
      </c>
      <c r="J4641" s="150" t="b">
        <f>Proc[[#This Row],[Requested]]=Proc[[#This Row],[CurrentParent]]</f>
        <v>1</v>
      </c>
      <c r="K4641" s="150" t="str">
        <f>IF(Proc[[#This Row],[Author]]="Marcela Urrego",VLOOKUP(LEFT(Proc[[#This Row],[Requested]],1),Table3[#All],2,0),VLOOKUP(Proc[[#This Row],[Author]],Table4[],2,0))</f>
        <v>EL</v>
      </c>
      <c r="L4641" s="150" t="s">
        <v>6435</v>
      </c>
      <c r="M4641" s="169">
        <v>45973</v>
      </c>
      <c r="N4641" s="169"/>
      <c r="O4641" s="169"/>
      <c r="P4641" s="168" t="str">
        <f ca="1">IF(Proc[[#This Row],[DaysAgeing]]&gt;5,"yep","on track")</f>
        <v>yep</v>
      </c>
      <c r="Q4641" s="3">
        <f ca="1">IF(Proc[[#This Row],[DateClosed]]="",ABS(NETWORKDAYS(Proc[[#This Row],[DateOpened]],TODAY()))-1,ABS(NETWORKDAYS(Proc[[#This Row],[DateOpened]],Proc[[#This Row],[DateClosed]]))-1)</f>
        <v>22</v>
      </c>
      <c r="R4641" s="168" t="s">
        <v>5709</v>
      </c>
      <c r="S4641" s="150"/>
    </row>
    <row r="4642" spans="1:19">
      <c r="A4642" s="149" t="s">
        <v>6788</v>
      </c>
      <c r="B4642" s="150" t="str">
        <f>IFERROR(VLOOKUP(Proc[[#This Row],[App]],Table2[],3,0),"open")</f>
        <v>ok</v>
      </c>
      <c r="C4642" s="149" t="s">
        <v>369</v>
      </c>
      <c r="D4642" t="s">
        <v>6813</v>
      </c>
      <c r="E4642" t="s">
        <v>6827</v>
      </c>
      <c r="F4642" s="150" t="s">
        <v>6827</v>
      </c>
      <c r="G4642" s="149" t="s">
        <v>406</v>
      </c>
      <c r="H4642" s="150" t="str">
        <f>IF(Proc[[#This Row],[type]]="LFF (MDG-F)",MID(Proc[[#This Row],[Obj]],13,10),"")</f>
        <v>SG09Z02183</v>
      </c>
      <c r="I4642" s="149" t="s">
        <v>6827</v>
      </c>
      <c r="J4642" s="150" t="b">
        <f>Proc[[#This Row],[Requested]]=Proc[[#This Row],[CurrentParent]]</f>
        <v>1</v>
      </c>
      <c r="K4642" s="150" t="str">
        <f>IF(Proc[[#This Row],[Author]]="Marcela Urrego",VLOOKUP(LEFT(Proc[[#This Row],[Requested]],1),Table3[#All],2,0),VLOOKUP(Proc[[#This Row],[Author]],Table4[],2,0))</f>
        <v>EL</v>
      </c>
      <c r="L4642" s="150" t="s">
        <v>6435</v>
      </c>
      <c r="M4642" s="169">
        <v>45973</v>
      </c>
      <c r="N4642" s="169"/>
      <c r="O4642" s="169"/>
      <c r="P4642" s="168" t="str">
        <f ca="1">IF(Proc[[#This Row],[DaysAgeing]]&gt;5,"yep","on track")</f>
        <v>yep</v>
      </c>
      <c r="Q4642" s="3">
        <f ca="1">IF(Proc[[#This Row],[DateClosed]]="",ABS(NETWORKDAYS(Proc[[#This Row],[DateOpened]],TODAY()))-1,ABS(NETWORKDAYS(Proc[[#This Row],[DateOpened]],Proc[[#This Row],[DateClosed]]))-1)</f>
        <v>22</v>
      </c>
      <c r="R4642" s="168" t="s">
        <v>5709</v>
      </c>
      <c r="S4642" s="150"/>
    </row>
    <row r="4643" spans="1:19">
      <c r="A4643" s="149" t="s">
        <v>6788</v>
      </c>
      <c r="B4643" s="150" t="str">
        <f>IFERROR(VLOOKUP(Proc[[#This Row],[App]],Table2[],3,0),"open")</f>
        <v>ok</v>
      </c>
      <c r="C4643" s="149" t="s">
        <v>369</v>
      </c>
      <c r="D4643" t="s">
        <v>6814</v>
      </c>
      <c r="E4643" t="s">
        <v>6827</v>
      </c>
      <c r="F4643" s="150" t="s">
        <v>6827</v>
      </c>
      <c r="G4643" s="149" t="s">
        <v>406</v>
      </c>
      <c r="H4643" s="150" t="str">
        <f>IF(Proc[[#This Row],[type]]="LFF (MDG-F)",MID(Proc[[#This Row],[Obj]],13,10),"")</f>
        <v>SG09Z02184</v>
      </c>
      <c r="I4643" s="149" t="s">
        <v>6827</v>
      </c>
      <c r="J4643" s="150" t="b">
        <f>Proc[[#This Row],[Requested]]=Proc[[#This Row],[CurrentParent]]</f>
        <v>1</v>
      </c>
      <c r="K4643" s="150" t="str">
        <f>IF(Proc[[#This Row],[Author]]="Marcela Urrego",VLOOKUP(LEFT(Proc[[#This Row],[Requested]],1),Table3[#All],2,0),VLOOKUP(Proc[[#This Row],[Author]],Table4[],2,0))</f>
        <v>EL</v>
      </c>
      <c r="L4643" s="150" t="s">
        <v>6435</v>
      </c>
      <c r="M4643" s="169">
        <v>45973</v>
      </c>
      <c r="N4643" s="169"/>
      <c r="O4643" s="169"/>
      <c r="P4643" s="168" t="str">
        <f ca="1">IF(Proc[[#This Row],[DaysAgeing]]&gt;5,"yep","on track")</f>
        <v>yep</v>
      </c>
      <c r="Q4643" s="3">
        <f ca="1">IF(Proc[[#This Row],[DateClosed]]="",ABS(NETWORKDAYS(Proc[[#This Row],[DateOpened]],TODAY()))-1,ABS(NETWORKDAYS(Proc[[#This Row],[DateOpened]],Proc[[#This Row],[DateClosed]]))-1)</f>
        <v>22</v>
      </c>
      <c r="R4643" s="168" t="s">
        <v>5709</v>
      </c>
      <c r="S4643" s="150"/>
    </row>
    <row r="4644" spans="1:19">
      <c r="A4644" s="149" t="s">
        <v>6788</v>
      </c>
      <c r="B4644" s="150" t="str">
        <f>IFERROR(VLOOKUP(Proc[[#This Row],[App]],Table2[],3,0),"open")</f>
        <v>ok</v>
      </c>
      <c r="C4644" s="149" t="s">
        <v>369</v>
      </c>
      <c r="D4644" t="s">
        <v>6815</v>
      </c>
      <c r="E4644" t="s">
        <v>6827</v>
      </c>
      <c r="F4644" s="150" t="s">
        <v>6827</v>
      </c>
      <c r="G4644" s="149" t="s">
        <v>406</v>
      </c>
      <c r="H4644" s="150" t="str">
        <f>IF(Proc[[#This Row],[type]]="LFF (MDG-F)",MID(Proc[[#This Row],[Obj]],13,10),"")</f>
        <v>TW02Z02183</v>
      </c>
      <c r="I4644" s="149" t="s">
        <v>6827</v>
      </c>
      <c r="J4644" s="150" t="b">
        <f>Proc[[#This Row],[Requested]]=Proc[[#This Row],[CurrentParent]]</f>
        <v>1</v>
      </c>
      <c r="K4644" s="150" t="str">
        <f>IF(Proc[[#This Row],[Author]]="Marcela Urrego",VLOOKUP(LEFT(Proc[[#This Row],[Requested]],1),Table3[#All],2,0),VLOOKUP(Proc[[#This Row],[Author]],Table4[],2,0))</f>
        <v>EL</v>
      </c>
      <c r="L4644" s="150" t="s">
        <v>6435</v>
      </c>
      <c r="M4644" s="169">
        <v>45973</v>
      </c>
      <c r="N4644" s="169"/>
      <c r="O4644" s="169"/>
      <c r="P4644" s="168" t="str">
        <f ca="1">IF(Proc[[#This Row],[DaysAgeing]]&gt;5,"yep","on track")</f>
        <v>yep</v>
      </c>
      <c r="Q4644" s="3">
        <f ca="1">IF(Proc[[#This Row],[DateClosed]]="",ABS(NETWORKDAYS(Proc[[#This Row],[DateOpened]],TODAY()))-1,ABS(NETWORKDAYS(Proc[[#This Row],[DateOpened]],Proc[[#This Row],[DateClosed]]))-1)</f>
        <v>22</v>
      </c>
      <c r="R4644" s="168" t="s">
        <v>5709</v>
      </c>
      <c r="S4644" s="150"/>
    </row>
    <row r="4645" spans="1:19">
      <c r="A4645" s="149" t="s">
        <v>6788</v>
      </c>
      <c r="B4645" s="150" t="str">
        <f>IFERROR(VLOOKUP(Proc[[#This Row],[App]],Table2[],3,0),"open")</f>
        <v>ok</v>
      </c>
      <c r="C4645" s="149" t="s">
        <v>369</v>
      </c>
      <c r="D4645" t="s">
        <v>6816</v>
      </c>
      <c r="E4645" t="s">
        <v>6827</v>
      </c>
      <c r="F4645" s="150" t="s">
        <v>6827</v>
      </c>
      <c r="G4645" s="149" t="s">
        <v>406</v>
      </c>
      <c r="H4645" s="150" t="str">
        <f>IF(Proc[[#This Row],[type]]="LFF (MDG-F)",MID(Proc[[#This Row],[Obj]],13,10),"")</f>
        <v>TW02Z02184</v>
      </c>
      <c r="I4645" s="149" t="s">
        <v>6827</v>
      </c>
      <c r="J4645" s="150" t="b">
        <f>Proc[[#This Row],[Requested]]=Proc[[#This Row],[CurrentParent]]</f>
        <v>1</v>
      </c>
      <c r="K4645" s="150" t="str">
        <f>IF(Proc[[#This Row],[Author]]="Marcela Urrego",VLOOKUP(LEFT(Proc[[#This Row],[Requested]],1),Table3[#All],2,0),VLOOKUP(Proc[[#This Row],[Author]],Table4[],2,0))</f>
        <v>EL</v>
      </c>
      <c r="L4645" s="150" t="s">
        <v>6435</v>
      </c>
      <c r="M4645" s="169">
        <v>45973</v>
      </c>
      <c r="N4645" s="169"/>
      <c r="O4645" s="169"/>
      <c r="P4645" s="168" t="str">
        <f ca="1">IF(Proc[[#This Row],[DaysAgeing]]&gt;5,"yep","on track")</f>
        <v>yep</v>
      </c>
      <c r="Q4645" s="3">
        <f ca="1">IF(Proc[[#This Row],[DateClosed]]="",ABS(NETWORKDAYS(Proc[[#This Row],[DateOpened]],TODAY()))-1,ABS(NETWORKDAYS(Proc[[#This Row],[DateOpened]],Proc[[#This Row],[DateClosed]]))-1)</f>
        <v>22</v>
      </c>
      <c r="R4645" s="168" t="s">
        <v>5709</v>
      </c>
      <c r="S4645" s="150"/>
    </row>
    <row r="4646" spans="1:19">
      <c r="A4646" s="149" t="s">
        <v>6788</v>
      </c>
      <c r="B4646" s="150" t="str">
        <f>IFERROR(VLOOKUP(Proc[[#This Row],[App]],Table2[],3,0),"open")</f>
        <v>ok</v>
      </c>
      <c r="C4646" s="149" t="s">
        <v>369</v>
      </c>
      <c r="D4646" t="s">
        <v>6817</v>
      </c>
      <c r="E4646" t="s">
        <v>6827</v>
      </c>
      <c r="F4646" s="150" t="s">
        <v>6827</v>
      </c>
      <c r="G4646" s="149" t="s">
        <v>406</v>
      </c>
      <c r="H4646" s="150" t="str">
        <f>IF(Proc[[#This Row],[type]]="LFF (MDG-F)",MID(Proc[[#This Row],[Obj]],13,10),"")</f>
        <v>TW03Z02184</v>
      </c>
      <c r="I4646" s="149" t="s">
        <v>6827</v>
      </c>
      <c r="J4646" s="150" t="b">
        <f>Proc[[#This Row],[Requested]]=Proc[[#This Row],[CurrentParent]]</f>
        <v>1</v>
      </c>
      <c r="K4646" s="150" t="str">
        <f>IF(Proc[[#This Row],[Author]]="Marcela Urrego",VLOOKUP(LEFT(Proc[[#This Row],[Requested]],1),Table3[#All],2,0),VLOOKUP(Proc[[#This Row],[Author]],Table4[],2,0))</f>
        <v>EL</v>
      </c>
      <c r="L4646" s="150" t="s">
        <v>6435</v>
      </c>
      <c r="M4646" s="169">
        <v>45973</v>
      </c>
      <c r="N4646" s="169"/>
      <c r="O4646" s="169"/>
      <c r="P4646" s="168" t="str">
        <f ca="1">IF(Proc[[#This Row],[DaysAgeing]]&gt;5,"yep","on track")</f>
        <v>yep</v>
      </c>
      <c r="Q4646" s="3">
        <f ca="1">IF(Proc[[#This Row],[DateClosed]]="",ABS(NETWORKDAYS(Proc[[#This Row],[DateOpened]],TODAY()))-1,ABS(NETWORKDAYS(Proc[[#This Row],[DateOpened]],Proc[[#This Row],[DateClosed]]))-1)</f>
        <v>22</v>
      </c>
      <c r="R4646" s="168" t="s">
        <v>5709</v>
      </c>
      <c r="S4646" s="150"/>
    </row>
    <row r="4647" spans="1:19">
      <c r="A4647" s="149" t="s">
        <v>6788</v>
      </c>
      <c r="B4647" s="150" t="str">
        <f>IFERROR(VLOOKUP(Proc[[#This Row],[App]],Table2[],3,0),"open")</f>
        <v>ok</v>
      </c>
      <c r="C4647" s="149" t="s">
        <v>369</v>
      </c>
      <c r="D4647" t="s">
        <v>6818</v>
      </c>
      <c r="E4647" t="s">
        <v>6827</v>
      </c>
      <c r="F4647" s="150" t="s">
        <v>6827</v>
      </c>
      <c r="G4647" s="149" t="s">
        <v>406</v>
      </c>
      <c r="H4647" s="150" t="str">
        <f>IF(Proc[[#This Row],[type]]="LFF (MDG-F)",MID(Proc[[#This Row],[Obj]],13,10),"")</f>
        <v>KR03Z02181</v>
      </c>
      <c r="I4647" s="149" t="s">
        <v>6827</v>
      </c>
      <c r="J4647" s="150" t="b">
        <f>Proc[[#This Row],[Requested]]=Proc[[#This Row],[CurrentParent]]</f>
        <v>1</v>
      </c>
      <c r="K4647" s="150" t="str">
        <f>IF(Proc[[#This Row],[Author]]="Marcela Urrego",VLOOKUP(LEFT(Proc[[#This Row],[Requested]],1),Table3[#All],2,0),VLOOKUP(Proc[[#This Row],[Author]],Table4[],2,0))</f>
        <v>EL</v>
      </c>
      <c r="L4647" s="150" t="s">
        <v>6435</v>
      </c>
      <c r="M4647" s="169">
        <v>45973</v>
      </c>
      <c r="N4647" s="169"/>
      <c r="O4647" s="169"/>
      <c r="P4647" s="168" t="str">
        <f ca="1">IF(Proc[[#This Row],[DaysAgeing]]&gt;5,"yep","on track")</f>
        <v>yep</v>
      </c>
      <c r="Q4647" s="3">
        <f ca="1">IF(Proc[[#This Row],[DateClosed]]="",ABS(NETWORKDAYS(Proc[[#This Row],[DateOpened]],TODAY()))-1,ABS(NETWORKDAYS(Proc[[#This Row],[DateOpened]],Proc[[#This Row],[DateClosed]]))-1)</f>
        <v>22</v>
      </c>
      <c r="R4647" s="168" t="s">
        <v>5709</v>
      </c>
      <c r="S4647" s="150"/>
    </row>
    <row r="4648" spans="1:19">
      <c r="A4648" s="149" t="s">
        <v>6788</v>
      </c>
      <c r="B4648" s="150" t="str">
        <f>IFERROR(VLOOKUP(Proc[[#This Row],[App]],Table2[],3,0),"open")</f>
        <v>ok</v>
      </c>
      <c r="C4648" s="149" t="s">
        <v>369</v>
      </c>
      <c r="D4648" t="s">
        <v>6819</v>
      </c>
      <c r="E4648" t="s">
        <v>6827</v>
      </c>
      <c r="F4648" s="150" t="s">
        <v>6827</v>
      </c>
      <c r="G4648" s="149" t="s">
        <v>406</v>
      </c>
      <c r="H4648" s="150" t="str">
        <f>IF(Proc[[#This Row],[type]]="LFF (MDG-F)",MID(Proc[[#This Row],[Obj]],13,10),"")</f>
        <v>KR03Z02182</v>
      </c>
      <c r="I4648" s="149" t="s">
        <v>6827</v>
      </c>
      <c r="J4648" s="150" t="b">
        <f>Proc[[#This Row],[Requested]]=Proc[[#This Row],[CurrentParent]]</f>
        <v>1</v>
      </c>
      <c r="K4648" s="150" t="str">
        <f>IF(Proc[[#This Row],[Author]]="Marcela Urrego",VLOOKUP(LEFT(Proc[[#This Row],[Requested]],1),Table3[#All],2,0),VLOOKUP(Proc[[#This Row],[Author]],Table4[],2,0))</f>
        <v>EL</v>
      </c>
      <c r="L4648" s="150" t="s">
        <v>6435</v>
      </c>
      <c r="M4648" s="169">
        <v>45973</v>
      </c>
      <c r="N4648" s="169"/>
      <c r="O4648" s="169"/>
      <c r="P4648" s="168" t="str">
        <f ca="1">IF(Proc[[#This Row],[DaysAgeing]]&gt;5,"yep","on track")</f>
        <v>yep</v>
      </c>
      <c r="Q4648" s="3">
        <f ca="1">IF(Proc[[#This Row],[DateClosed]]="",ABS(NETWORKDAYS(Proc[[#This Row],[DateOpened]],TODAY()))-1,ABS(NETWORKDAYS(Proc[[#This Row],[DateOpened]],Proc[[#This Row],[DateClosed]]))-1)</f>
        <v>22</v>
      </c>
      <c r="R4648" s="168" t="s">
        <v>5709</v>
      </c>
      <c r="S4648" s="150"/>
    </row>
    <row r="4649" spans="1:19">
      <c r="A4649" s="149" t="s">
        <v>6788</v>
      </c>
      <c r="B4649" s="150" t="str">
        <f>IFERROR(VLOOKUP(Proc[[#This Row],[App]],Table2[],3,0),"open")</f>
        <v>ok</v>
      </c>
      <c r="C4649" s="149" t="s">
        <v>369</v>
      </c>
      <c r="D4649" t="s">
        <v>6820</v>
      </c>
      <c r="E4649" t="s">
        <v>6827</v>
      </c>
      <c r="F4649" s="150" t="s">
        <v>6827</v>
      </c>
      <c r="G4649" s="149" t="s">
        <v>406</v>
      </c>
      <c r="H4649" s="150" t="str">
        <f>IF(Proc[[#This Row],[type]]="LFF (MDG-F)",MID(Proc[[#This Row],[Obj]],13,10),"")</f>
        <v>KR03Z02183</v>
      </c>
      <c r="I4649" s="149" t="s">
        <v>6827</v>
      </c>
      <c r="J4649" s="150" t="b">
        <f>Proc[[#This Row],[Requested]]=Proc[[#This Row],[CurrentParent]]</f>
        <v>1</v>
      </c>
      <c r="K4649" s="150" t="str">
        <f>IF(Proc[[#This Row],[Author]]="Marcela Urrego",VLOOKUP(LEFT(Proc[[#This Row],[Requested]],1),Table3[#All],2,0),VLOOKUP(Proc[[#This Row],[Author]],Table4[],2,0))</f>
        <v>EL</v>
      </c>
      <c r="L4649" s="150" t="s">
        <v>6435</v>
      </c>
      <c r="M4649" s="169">
        <v>45973</v>
      </c>
      <c r="N4649" s="169"/>
      <c r="O4649" s="169"/>
      <c r="P4649" s="168" t="str">
        <f ca="1">IF(Proc[[#This Row],[DaysAgeing]]&gt;5,"yep","on track")</f>
        <v>yep</v>
      </c>
      <c r="Q4649" s="3">
        <f ca="1">IF(Proc[[#This Row],[DateClosed]]="",ABS(NETWORKDAYS(Proc[[#This Row],[DateOpened]],TODAY()))-1,ABS(NETWORKDAYS(Proc[[#This Row],[DateOpened]],Proc[[#This Row],[DateClosed]]))-1)</f>
        <v>22</v>
      </c>
      <c r="R4649" s="168" t="s">
        <v>5709</v>
      </c>
      <c r="S4649" s="150"/>
    </row>
    <row r="4650" spans="1:19">
      <c r="A4650" s="149" t="s">
        <v>6788</v>
      </c>
      <c r="B4650" s="150" t="str">
        <f>IFERROR(VLOOKUP(Proc[[#This Row],[App]],Table2[],3,0),"open")</f>
        <v>ok</v>
      </c>
      <c r="C4650" s="149" t="s">
        <v>369</v>
      </c>
      <c r="D4650" t="s">
        <v>6821</v>
      </c>
      <c r="E4650" t="s">
        <v>6827</v>
      </c>
      <c r="F4650" s="150" t="s">
        <v>6827</v>
      </c>
      <c r="G4650" s="149" t="s">
        <v>406</v>
      </c>
      <c r="H4650" s="150" t="str">
        <f>IF(Proc[[#This Row],[type]]="LFF (MDG-F)",MID(Proc[[#This Row],[Obj]],13,10),"")</f>
        <v>KR03Z02184</v>
      </c>
      <c r="I4650" s="149" t="s">
        <v>6827</v>
      </c>
      <c r="J4650" s="150" t="b">
        <f>Proc[[#This Row],[Requested]]=Proc[[#This Row],[CurrentParent]]</f>
        <v>1</v>
      </c>
      <c r="K4650" s="150" t="str">
        <f>IF(Proc[[#This Row],[Author]]="Marcela Urrego",VLOOKUP(LEFT(Proc[[#This Row],[Requested]],1),Table3[#All],2,0),VLOOKUP(Proc[[#This Row],[Author]],Table4[],2,0))</f>
        <v>EL</v>
      </c>
      <c r="L4650" s="150" t="s">
        <v>6435</v>
      </c>
      <c r="M4650" s="169">
        <v>45973</v>
      </c>
      <c r="N4650" s="169"/>
      <c r="O4650" s="169"/>
      <c r="P4650" s="168" t="str">
        <f ca="1">IF(Proc[[#This Row],[DaysAgeing]]&gt;5,"yep","on track")</f>
        <v>yep</v>
      </c>
      <c r="Q4650" s="3">
        <f ca="1">IF(Proc[[#This Row],[DateClosed]]="",ABS(NETWORKDAYS(Proc[[#This Row],[DateOpened]],TODAY()))-1,ABS(NETWORKDAYS(Proc[[#This Row],[DateOpened]],Proc[[#This Row],[DateClosed]]))-1)</f>
        <v>22</v>
      </c>
      <c r="R4650" s="168" t="s">
        <v>5709</v>
      </c>
      <c r="S4650" s="150"/>
    </row>
    <row r="4651" spans="1:19">
      <c r="A4651" s="149" t="s">
        <v>6788</v>
      </c>
      <c r="B4651" s="150" t="str">
        <f>IFERROR(VLOOKUP(Proc[[#This Row],[App]],Table2[],3,0),"open")</f>
        <v>ok</v>
      </c>
      <c r="C4651" s="149" t="s">
        <v>369</v>
      </c>
      <c r="D4651" t="s">
        <v>6822</v>
      </c>
      <c r="E4651" t="s">
        <v>6828</v>
      </c>
      <c r="F4651" s="150" t="s">
        <v>6828</v>
      </c>
      <c r="G4651" s="149" t="s">
        <v>406</v>
      </c>
      <c r="H4651" s="150" t="str">
        <f>IF(Proc[[#This Row],[type]]="LFF (MDG-F)",MID(Proc[[#This Row],[Obj]],13,10),"")</f>
        <v>CN01OF0083</v>
      </c>
      <c r="I4651" s="149" t="s">
        <v>6828</v>
      </c>
      <c r="J4651" s="150" t="b">
        <f>Proc[[#This Row],[Requested]]=Proc[[#This Row],[CurrentParent]]</f>
        <v>1</v>
      </c>
      <c r="K4651" s="150" t="str">
        <f>IF(Proc[[#This Row],[Author]]="Marcela Urrego",VLOOKUP(LEFT(Proc[[#This Row],[Requested]],1),Table3[#All],2,0),VLOOKUP(Proc[[#This Row],[Author]],Table4[],2,0))</f>
        <v>EL</v>
      </c>
      <c r="L4651" s="150" t="s">
        <v>6435</v>
      </c>
      <c r="M4651" s="169">
        <v>45973</v>
      </c>
      <c r="N4651" s="169"/>
      <c r="O4651" s="169"/>
      <c r="P4651" s="168" t="str">
        <f ca="1">IF(Proc[[#This Row],[DaysAgeing]]&gt;5,"yep","on track")</f>
        <v>yep</v>
      </c>
      <c r="Q4651" s="3">
        <f ca="1">IF(Proc[[#This Row],[DateClosed]]="",ABS(NETWORKDAYS(Proc[[#This Row],[DateOpened]],TODAY()))-1,ABS(NETWORKDAYS(Proc[[#This Row],[DateOpened]],Proc[[#This Row],[DateClosed]]))-1)</f>
        <v>22</v>
      </c>
      <c r="R4651" s="168" t="s">
        <v>5709</v>
      </c>
      <c r="S4651" s="150"/>
    </row>
    <row r="4652" spans="1:19">
      <c r="A4652" s="149" t="s">
        <v>6788</v>
      </c>
      <c r="B4652" s="150" t="str">
        <f>IFERROR(VLOOKUP(Proc[[#This Row],[App]],Table2[],3,0),"open")</f>
        <v>ok</v>
      </c>
      <c r="C4652" s="149" t="s">
        <v>369</v>
      </c>
      <c r="D4652" t="s">
        <v>6823</v>
      </c>
      <c r="E4652" t="s">
        <v>6828</v>
      </c>
      <c r="F4652" s="150" t="s">
        <v>6828</v>
      </c>
      <c r="G4652" s="149" t="s">
        <v>406</v>
      </c>
      <c r="H4652" s="150" t="str">
        <f>IF(Proc[[#This Row],[type]]="LFF (MDG-F)",MID(Proc[[#This Row],[Obj]],13,10),"")</f>
        <v>US01OF0103</v>
      </c>
      <c r="I4652" s="149" t="s">
        <v>6828</v>
      </c>
      <c r="J4652" s="150" t="b">
        <f>Proc[[#This Row],[Requested]]=Proc[[#This Row],[CurrentParent]]</f>
        <v>1</v>
      </c>
      <c r="K4652" s="150" t="str">
        <f>IF(Proc[[#This Row],[Author]]="Marcela Urrego",VLOOKUP(LEFT(Proc[[#This Row],[Requested]],1),Table3[#All],2,0),VLOOKUP(Proc[[#This Row],[Author]],Table4[],2,0))</f>
        <v>EL</v>
      </c>
      <c r="L4652" s="150" t="s">
        <v>6435</v>
      </c>
      <c r="M4652" s="169">
        <v>45973</v>
      </c>
      <c r="N4652" s="169"/>
      <c r="O4652" s="169"/>
      <c r="P4652" s="168" t="str">
        <f ca="1">IF(Proc[[#This Row],[DaysAgeing]]&gt;5,"yep","on track")</f>
        <v>yep</v>
      </c>
      <c r="Q4652" s="3">
        <f ca="1">IF(Proc[[#This Row],[DateClosed]]="",ABS(NETWORKDAYS(Proc[[#This Row],[DateOpened]],TODAY()))-1,ABS(NETWORKDAYS(Proc[[#This Row],[DateOpened]],Proc[[#This Row],[DateClosed]]))-1)</f>
        <v>22</v>
      </c>
      <c r="R4652" s="168" t="s">
        <v>5709</v>
      </c>
      <c r="S4652" s="150"/>
    </row>
    <row r="4653" spans="1:19">
      <c r="A4653" s="149" t="s">
        <v>6788</v>
      </c>
      <c r="B4653" s="150" t="str">
        <f>IFERROR(VLOOKUP(Proc[[#This Row],[App]],Table2[],3,0),"open")</f>
        <v>ok</v>
      </c>
      <c r="C4653" s="149" t="s">
        <v>369</v>
      </c>
      <c r="D4653" t="s">
        <v>6824</v>
      </c>
      <c r="E4653" t="s">
        <v>6828</v>
      </c>
      <c r="F4653" s="150" t="s">
        <v>6828</v>
      </c>
      <c r="G4653" s="149" t="s">
        <v>406</v>
      </c>
      <c r="H4653" s="150" t="str">
        <f>IF(Proc[[#This Row],[type]]="LFF (MDG-F)",MID(Proc[[#This Row],[Obj]],13,10),"")</f>
        <v>KR03L80000</v>
      </c>
      <c r="I4653" s="149" t="s">
        <v>6828</v>
      </c>
      <c r="J4653" s="150" t="b">
        <f>Proc[[#This Row],[Requested]]=Proc[[#This Row],[CurrentParent]]</f>
        <v>1</v>
      </c>
      <c r="K4653" s="150" t="str">
        <f>IF(Proc[[#This Row],[Author]]="Marcela Urrego",VLOOKUP(LEFT(Proc[[#This Row],[Requested]],1),Table3[#All],2,0),VLOOKUP(Proc[[#This Row],[Author]],Table4[],2,0))</f>
        <v>EL</v>
      </c>
      <c r="L4653" s="150" t="s">
        <v>6435</v>
      </c>
      <c r="M4653" s="169">
        <v>45973</v>
      </c>
      <c r="N4653" s="169"/>
      <c r="O4653" s="169"/>
      <c r="P4653" s="168" t="str">
        <f ca="1">IF(Proc[[#This Row],[DaysAgeing]]&gt;5,"yep","on track")</f>
        <v>yep</v>
      </c>
      <c r="Q4653" s="3">
        <f ca="1">IF(Proc[[#This Row],[DateClosed]]="",ABS(NETWORKDAYS(Proc[[#This Row],[DateOpened]],TODAY()))-1,ABS(NETWORKDAYS(Proc[[#This Row],[DateOpened]],Proc[[#This Row],[DateClosed]]))-1)</f>
        <v>22</v>
      </c>
      <c r="R4653" s="168" t="s">
        <v>5709</v>
      </c>
      <c r="S4653" s="150"/>
    </row>
    <row r="4654" spans="1:19">
      <c r="A4654" s="149" t="s">
        <v>6788</v>
      </c>
      <c r="B4654" s="150" t="str">
        <f>IFERROR(VLOOKUP(Proc[[#This Row],[App]],Table2[],3,0),"open")</f>
        <v>ok</v>
      </c>
      <c r="C4654" s="149" t="s">
        <v>369</v>
      </c>
      <c r="D4654" t="s">
        <v>6825</v>
      </c>
      <c r="E4654" t="s">
        <v>6828</v>
      </c>
      <c r="F4654" s="150" t="s">
        <v>6828</v>
      </c>
      <c r="G4654" s="149" t="s">
        <v>406</v>
      </c>
      <c r="H4654" s="150" t="str">
        <f>IF(Proc[[#This Row],[type]]="LFF (MDG-F)",MID(Proc[[#This Row],[Obj]],13,10),"")</f>
        <v>TW10OF6016</v>
      </c>
      <c r="I4654" s="149" t="s">
        <v>6828</v>
      </c>
      <c r="J4654" s="150" t="b">
        <f>Proc[[#This Row],[Requested]]=Proc[[#This Row],[CurrentParent]]</f>
        <v>1</v>
      </c>
      <c r="K4654" s="150" t="str">
        <f>IF(Proc[[#This Row],[Author]]="Marcela Urrego",VLOOKUP(LEFT(Proc[[#This Row],[Requested]],1),Table3[#All],2,0),VLOOKUP(Proc[[#This Row],[Author]],Table4[],2,0))</f>
        <v>EL</v>
      </c>
      <c r="L4654" s="150" t="s">
        <v>6435</v>
      </c>
      <c r="M4654" s="169">
        <v>45973</v>
      </c>
      <c r="N4654" s="169"/>
      <c r="O4654" s="169"/>
      <c r="P4654" s="168" t="str">
        <f ca="1">IF(Proc[[#This Row],[DaysAgeing]]&gt;5,"yep","on track")</f>
        <v>yep</v>
      </c>
      <c r="Q4654" s="3">
        <f ca="1">IF(Proc[[#This Row],[DateClosed]]="",ABS(NETWORKDAYS(Proc[[#This Row],[DateOpened]],TODAY()))-1,ABS(NETWORKDAYS(Proc[[#This Row],[DateOpened]],Proc[[#This Row],[DateClosed]]))-1)</f>
        <v>22</v>
      </c>
      <c r="R4654" s="168" t="s">
        <v>5709</v>
      </c>
      <c r="S4654" s="150"/>
    </row>
    <row r="4655" spans="1:19">
      <c r="A4655" s="149" t="s">
        <v>6788</v>
      </c>
      <c r="B4655" s="150" t="str">
        <f>IFERROR(VLOOKUP(Proc[[#This Row],[App]],Table2[],3,0),"open")</f>
        <v>ok</v>
      </c>
      <c r="C4655" s="149" t="s">
        <v>369</v>
      </c>
      <c r="D4655" t="s">
        <v>6826</v>
      </c>
      <c r="E4655" t="s">
        <v>6828</v>
      </c>
      <c r="F4655" s="150" t="s">
        <v>6828</v>
      </c>
      <c r="G4655" s="149" t="s">
        <v>406</v>
      </c>
      <c r="H4655" s="150" t="str">
        <f>IF(Proc[[#This Row],[type]]="LFF (MDG-F)",MID(Proc[[#This Row],[Obj]],13,10),"")</f>
        <v>US10OF6070</v>
      </c>
      <c r="I4655" s="149" t="s">
        <v>6828</v>
      </c>
      <c r="J4655" s="150" t="b">
        <f>Proc[[#This Row],[Requested]]=Proc[[#This Row],[CurrentParent]]</f>
        <v>1</v>
      </c>
      <c r="K4655" s="150" t="str">
        <f>IF(Proc[[#This Row],[Author]]="Marcela Urrego",VLOOKUP(LEFT(Proc[[#This Row],[Requested]],1),Table3[#All],2,0),VLOOKUP(Proc[[#This Row],[Author]],Table4[],2,0))</f>
        <v>EL</v>
      </c>
      <c r="L4655" s="150" t="s">
        <v>6435</v>
      </c>
      <c r="M4655" s="169">
        <v>45973</v>
      </c>
      <c r="N4655" s="169"/>
      <c r="O4655" s="169"/>
      <c r="P4655" s="168" t="str">
        <f ca="1">IF(Proc[[#This Row],[DaysAgeing]]&gt;5,"yep","on track")</f>
        <v>yep</v>
      </c>
      <c r="Q4655" s="3">
        <f ca="1">IF(Proc[[#This Row],[DateClosed]]="",ABS(NETWORKDAYS(Proc[[#This Row],[DateOpened]],TODAY()))-1,ABS(NETWORKDAYS(Proc[[#This Row],[DateOpened]],Proc[[#This Row],[DateClosed]]))-1)</f>
        <v>22</v>
      </c>
      <c r="R4655" s="168" t="s">
        <v>5709</v>
      </c>
      <c r="S4655" s="150"/>
    </row>
    <row r="4656" spans="1:19">
      <c r="A4656" t="s">
        <v>6853</v>
      </c>
      <c r="B4656" s="150" t="str">
        <f>IFERROR(VLOOKUP(Proc[[#This Row],[App]],Table2[],3,0),"open")</f>
        <v>ok</v>
      </c>
      <c r="C4656" s="149" t="s">
        <v>369</v>
      </c>
      <c r="D4656" t="s">
        <v>6829</v>
      </c>
      <c r="E4656" t="s">
        <v>2200</v>
      </c>
      <c r="F4656" s="150" t="s">
        <v>2200</v>
      </c>
      <c r="G4656" t="s">
        <v>400</v>
      </c>
      <c r="H4656" s="150" t="str">
        <f>IF(Proc[[#This Row],[type]]="LFF (MDG-F)",MID(Proc[[#This Row],[Obj]],13,10),"")</f>
        <v/>
      </c>
      <c r="J4656" s="150" t="b">
        <f>Proc[[#This Row],[Requested]]=Proc[[#This Row],[CurrentParent]]</f>
        <v>1</v>
      </c>
      <c r="K4656" s="150" t="str">
        <f>IF(Proc[[#This Row],[Author]]="Marcela Urrego",VLOOKUP(LEFT(Proc[[#This Row],[Requested]],1),Table3[#All],2,0),VLOOKUP(Proc[[#This Row],[Author]],Table4[],2,0))</f>
        <v>LS</v>
      </c>
      <c r="L4656" s="150" t="s">
        <v>6435</v>
      </c>
      <c r="M4656" s="169">
        <v>45973</v>
      </c>
      <c r="N4656" s="169"/>
      <c r="O4656" s="169"/>
      <c r="P4656" s="168" t="str">
        <f ca="1">IF(Proc[[#This Row],[DaysAgeing]]&gt;5,"yep","on track")</f>
        <v>yep</v>
      </c>
      <c r="Q4656" s="3">
        <f ca="1">IF(Proc[[#This Row],[DateClosed]]="",ABS(NETWORKDAYS(Proc[[#This Row],[DateOpened]],TODAY()))-1,ABS(NETWORKDAYS(Proc[[#This Row],[DateOpened]],Proc[[#This Row],[DateClosed]]))-1)</f>
        <v>22</v>
      </c>
      <c r="R4656" s="168" t="s">
        <v>489</v>
      </c>
      <c r="S4656" s="150"/>
    </row>
    <row r="4657" spans="1:19">
      <c r="A4657" s="149" t="s">
        <v>6853</v>
      </c>
      <c r="B4657" s="150" t="str">
        <f>IFERROR(VLOOKUP(Proc[[#This Row],[App]],Table2[],3,0),"open")</f>
        <v>ok</v>
      </c>
      <c r="C4657" s="149" t="s">
        <v>369</v>
      </c>
      <c r="D4657" t="s">
        <v>6830</v>
      </c>
      <c r="E4657" t="s">
        <v>2206</v>
      </c>
      <c r="F4657" s="150" t="s">
        <v>2206</v>
      </c>
      <c r="G4657" s="149" t="s">
        <v>400</v>
      </c>
      <c r="H4657" s="150" t="str">
        <f>IF(Proc[[#This Row],[type]]="LFF (MDG-F)",MID(Proc[[#This Row],[Obj]],13,10),"")</f>
        <v/>
      </c>
      <c r="J4657" s="150" t="b">
        <f>Proc[[#This Row],[Requested]]=Proc[[#This Row],[CurrentParent]]</f>
        <v>1</v>
      </c>
      <c r="K4657" s="150" t="str">
        <f>IF(Proc[[#This Row],[Author]]="Marcela Urrego",VLOOKUP(LEFT(Proc[[#This Row],[Requested]],1),Table3[#All],2,0),VLOOKUP(Proc[[#This Row],[Author]],Table4[],2,0))</f>
        <v>LS</v>
      </c>
      <c r="L4657" s="150" t="s">
        <v>6435</v>
      </c>
      <c r="M4657" s="169">
        <v>45973</v>
      </c>
      <c r="N4657" s="169"/>
      <c r="O4657" s="169"/>
      <c r="P4657" s="168" t="str">
        <f ca="1">IF(Proc[[#This Row],[DaysAgeing]]&gt;5,"yep","on track")</f>
        <v>yep</v>
      </c>
      <c r="Q4657" s="3">
        <f ca="1">IF(Proc[[#This Row],[DateClosed]]="",ABS(NETWORKDAYS(Proc[[#This Row],[DateOpened]],TODAY()))-1,ABS(NETWORKDAYS(Proc[[#This Row],[DateOpened]],Proc[[#This Row],[DateClosed]]))-1)</f>
        <v>22</v>
      </c>
      <c r="R4657" s="168" t="s">
        <v>489</v>
      </c>
      <c r="S4657" s="150"/>
    </row>
    <row r="4658" spans="1:19">
      <c r="A4658" s="149" t="s">
        <v>6853</v>
      </c>
      <c r="B4658" s="150" t="str">
        <f>IFERROR(VLOOKUP(Proc[[#This Row],[App]],Table2[],3,0),"open")</f>
        <v>ok</v>
      </c>
      <c r="C4658" s="149" t="s">
        <v>369</v>
      </c>
      <c r="D4658" t="s">
        <v>6831</v>
      </c>
      <c r="E4658" t="s">
        <v>2206</v>
      </c>
      <c r="F4658" s="150" t="s">
        <v>2206</v>
      </c>
      <c r="G4658" s="149" t="s">
        <v>400</v>
      </c>
      <c r="H4658" s="150" t="str">
        <f>IF(Proc[[#This Row],[type]]="LFF (MDG-F)",MID(Proc[[#This Row],[Obj]],13,10),"")</f>
        <v/>
      </c>
      <c r="J4658" s="150" t="b">
        <f>Proc[[#This Row],[Requested]]=Proc[[#This Row],[CurrentParent]]</f>
        <v>1</v>
      </c>
      <c r="K4658" s="150" t="str">
        <f>IF(Proc[[#This Row],[Author]]="Marcela Urrego",VLOOKUP(LEFT(Proc[[#This Row],[Requested]],1),Table3[#All],2,0),VLOOKUP(Proc[[#This Row],[Author]],Table4[],2,0))</f>
        <v>LS</v>
      </c>
      <c r="L4658" s="150" t="s">
        <v>6435</v>
      </c>
      <c r="M4658" s="169">
        <v>45973</v>
      </c>
      <c r="N4658" s="169"/>
      <c r="O4658" s="169"/>
      <c r="P4658" s="168" t="str">
        <f ca="1">IF(Proc[[#This Row],[DaysAgeing]]&gt;5,"yep","on track")</f>
        <v>yep</v>
      </c>
      <c r="Q4658" s="3">
        <f ca="1">IF(Proc[[#This Row],[DateClosed]]="",ABS(NETWORKDAYS(Proc[[#This Row],[DateOpened]],TODAY()))-1,ABS(NETWORKDAYS(Proc[[#This Row],[DateOpened]],Proc[[#This Row],[DateClosed]]))-1)</f>
        <v>22</v>
      </c>
      <c r="R4658" s="168" t="s">
        <v>489</v>
      </c>
      <c r="S4658" s="150"/>
    </row>
    <row r="4659" spans="1:19">
      <c r="A4659" s="149" t="s">
        <v>6853</v>
      </c>
      <c r="B4659" s="150" t="str">
        <f>IFERROR(VLOOKUP(Proc[[#This Row],[App]],Table2[],3,0),"open")</f>
        <v>ok</v>
      </c>
      <c r="C4659" s="149" t="s">
        <v>369</v>
      </c>
      <c r="D4659" t="s">
        <v>6832</v>
      </c>
      <c r="E4659" t="s">
        <v>2206</v>
      </c>
      <c r="F4659" s="150" t="s">
        <v>2206</v>
      </c>
      <c r="G4659" s="149" t="s">
        <v>400</v>
      </c>
      <c r="H4659" s="150" t="str">
        <f>IF(Proc[[#This Row],[type]]="LFF (MDG-F)",MID(Proc[[#This Row],[Obj]],13,10),"")</f>
        <v/>
      </c>
      <c r="J4659" s="150" t="b">
        <f>Proc[[#This Row],[Requested]]=Proc[[#This Row],[CurrentParent]]</f>
        <v>1</v>
      </c>
      <c r="K4659" s="150" t="str">
        <f>IF(Proc[[#This Row],[Author]]="Marcela Urrego",VLOOKUP(LEFT(Proc[[#This Row],[Requested]],1),Table3[#All],2,0),VLOOKUP(Proc[[#This Row],[Author]],Table4[],2,0))</f>
        <v>LS</v>
      </c>
      <c r="L4659" s="150" t="s">
        <v>6435</v>
      </c>
      <c r="M4659" s="169">
        <v>45973</v>
      </c>
      <c r="N4659" s="169"/>
      <c r="O4659" s="169"/>
      <c r="P4659" s="168" t="str">
        <f ca="1">IF(Proc[[#This Row],[DaysAgeing]]&gt;5,"yep","on track")</f>
        <v>yep</v>
      </c>
      <c r="Q4659" s="3">
        <f ca="1">IF(Proc[[#This Row],[DateClosed]]="",ABS(NETWORKDAYS(Proc[[#This Row],[DateOpened]],TODAY()))-1,ABS(NETWORKDAYS(Proc[[#This Row],[DateOpened]],Proc[[#This Row],[DateClosed]]))-1)</f>
        <v>22</v>
      </c>
      <c r="R4659" s="168" t="s">
        <v>489</v>
      </c>
      <c r="S4659" s="150"/>
    </row>
    <row r="4660" spans="1:19">
      <c r="A4660" s="149" t="s">
        <v>6853</v>
      </c>
      <c r="B4660" s="150" t="str">
        <f>IFERROR(VLOOKUP(Proc[[#This Row],[App]],Table2[],3,0),"open")</f>
        <v>ok</v>
      </c>
      <c r="C4660" s="149" t="s">
        <v>369</v>
      </c>
      <c r="D4660" t="s">
        <v>6833</v>
      </c>
      <c r="E4660" t="s">
        <v>2206</v>
      </c>
      <c r="F4660" s="150" t="s">
        <v>2206</v>
      </c>
      <c r="G4660" s="149" t="s">
        <v>400</v>
      </c>
      <c r="H4660" s="150" t="str">
        <f>IF(Proc[[#This Row],[type]]="LFF (MDG-F)",MID(Proc[[#This Row],[Obj]],13,10),"")</f>
        <v/>
      </c>
      <c r="J4660" s="150" t="b">
        <f>Proc[[#This Row],[Requested]]=Proc[[#This Row],[CurrentParent]]</f>
        <v>1</v>
      </c>
      <c r="K4660" s="150" t="str">
        <f>IF(Proc[[#This Row],[Author]]="Marcela Urrego",VLOOKUP(LEFT(Proc[[#This Row],[Requested]],1),Table3[#All],2,0),VLOOKUP(Proc[[#This Row],[Author]],Table4[],2,0))</f>
        <v>LS</v>
      </c>
      <c r="L4660" s="150" t="s">
        <v>6435</v>
      </c>
      <c r="M4660" s="169">
        <v>45973</v>
      </c>
      <c r="N4660" s="169"/>
      <c r="O4660" s="169"/>
      <c r="P4660" s="168" t="str">
        <f ca="1">IF(Proc[[#This Row],[DaysAgeing]]&gt;5,"yep","on track")</f>
        <v>yep</v>
      </c>
      <c r="Q4660" s="3">
        <f ca="1">IF(Proc[[#This Row],[DateClosed]]="",ABS(NETWORKDAYS(Proc[[#This Row],[DateOpened]],TODAY()))-1,ABS(NETWORKDAYS(Proc[[#This Row],[DateOpened]],Proc[[#This Row],[DateClosed]]))-1)</f>
        <v>22</v>
      </c>
      <c r="R4660" s="168" t="s">
        <v>489</v>
      </c>
      <c r="S4660" s="150"/>
    </row>
    <row r="4661" spans="1:19">
      <c r="A4661" s="149" t="s">
        <v>6853</v>
      </c>
      <c r="B4661" s="150" t="str">
        <f>IFERROR(VLOOKUP(Proc[[#This Row],[App]],Table2[],3,0),"open")</f>
        <v>ok</v>
      </c>
      <c r="C4661" s="149" t="s">
        <v>369</v>
      </c>
      <c r="D4661" t="s">
        <v>6834</v>
      </c>
      <c r="E4661" t="s">
        <v>2205</v>
      </c>
      <c r="F4661" s="150" t="s">
        <v>2205</v>
      </c>
      <c r="G4661" s="149" t="s">
        <v>400</v>
      </c>
      <c r="H4661" s="150" t="str">
        <f>IF(Proc[[#This Row],[type]]="LFF (MDG-F)",MID(Proc[[#This Row],[Obj]],13,10),"")</f>
        <v/>
      </c>
      <c r="J4661" s="150" t="b">
        <f>Proc[[#This Row],[Requested]]=Proc[[#This Row],[CurrentParent]]</f>
        <v>1</v>
      </c>
      <c r="K4661" s="150" t="str">
        <f>IF(Proc[[#This Row],[Author]]="Marcela Urrego",VLOOKUP(LEFT(Proc[[#This Row],[Requested]],1),Table3[#All],2,0),VLOOKUP(Proc[[#This Row],[Author]],Table4[],2,0))</f>
        <v>LS</v>
      </c>
      <c r="L4661" s="150" t="s">
        <v>6435</v>
      </c>
      <c r="M4661" s="169">
        <v>45973</v>
      </c>
      <c r="N4661" s="169"/>
      <c r="O4661" s="169"/>
      <c r="P4661" s="168" t="str">
        <f ca="1">IF(Proc[[#This Row],[DaysAgeing]]&gt;5,"yep","on track")</f>
        <v>yep</v>
      </c>
      <c r="Q4661" s="3">
        <f ca="1">IF(Proc[[#This Row],[DateClosed]]="",ABS(NETWORKDAYS(Proc[[#This Row],[DateOpened]],TODAY()))-1,ABS(NETWORKDAYS(Proc[[#This Row],[DateOpened]],Proc[[#This Row],[DateClosed]]))-1)</f>
        <v>22</v>
      </c>
      <c r="R4661" s="168" t="s">
        <v>489</v>
      </c>
      <c r="S4661" s="150"/>
    </row>
    <row r="4662" spans="1:19">
      <c r="A4662" s="149" t="s">
        <v>6853</v>
      </c>
      <c r="B4662" s="150" t="str">
        <f>IFERROR(VLOOKUP(Proc[[#This Row],[App]],Table2[],3,0),"open")</f>
        <v>ok</v>
      </c>
      <c r="C4662" s="149" t="s">
        <v>369</v>
      </c>
      <c r="D4662" t="s">
        <v>6835</v>
      </c>
      <c r="E4662" t="s">
        <v>2368</v>
      </c>
      <c r="F4662" s="150" t="s">
        <v>2368</v>
      </c>
      <c r="G4662" s="149" t="s">
        <v>400</v>
      </c>
      <c r="H4662" s="150" t="str">
        <f>IF(Proc[[#This Row],[type]]="LFF (MDG-F)",MID(Proc[[#This Row],[Obj]],13,10),"")</f>
        <v/>
      </c>
      <c r="J4662" s="150" t="b">
        <f>Proc[[#This Row],[Requested]]=Proc[[#This Row],[CurrentParent]]</f>
        <v>1</v>
      </c>
      <c r="K4662" s="150" t="str">
        <f>IF(Proc[[#This Row],[Author]]="Marcela Urrego",VLOOKUP(LEFT(Proc[[#This Row],[Requested]],1),Table3[#All],2,0),VLOOKUP(Proc[[#This Row],[Author]],Table4[],2,0))</f>
        <v>LS</v>
      </c>
      <c r="L4662" s="150" t="s">
        <v>6435</v>
      </c>
      <c r="M4662" s="169">
        <v>45973</v>
      </c>
      <c r="N4662" s="169"/>
      <c r="O4662" s="169"/>
      <c r="P4662" s="168" t="str">
        <f ca="1">IF(Proc[[#This Row],[DaysAgeing]]&gt;5,"yep","on track")</f>
        <v>yep</v>
      </c>
      <c r="Q4662" s="3">
        <f ca="1">IF(Proc[[#This Row],[DateClosed]]="",ABS(NETWORKDAYS(Proc[[#This Row],[DateOpened]],TODAY()))-1,ABS(NETWORKDAYS(Proc[[#This Row],[DateOpened]],Proc[[#This Row],[DateClosed]]))-1)</f>
        <v>22</v>
      </c>
      <c r="R4662" s="168" t="s">
        <v>489</v>
      </c>
      <c r="S4662" s="150"/>
    </row>
    <row r="4663" spans="1:19">
      <c r="A4663" s="149" t="s">
        <v>6853</v>
      </c>
      <c r="B4663" s="150" t="str">
        <f>IFERROR(VLOOKUP(Proc[[#This Row],[App]],Table2[],3,0),"open")</f>
        <v>ok</v>
      </c>
      <c r="C4663" s="149" t="s">
        <v>369</v>
      </c>
      <c r="D4663" t="s">
        <v>6836</v>
      </c>
      <c r="E4663" t="s">
        <v>2368</v>
      </c>
      <c r="F4663" s="150" t="s">
        <v>2368</v>
      </c>
      <c r="G4663" s="149" t="s">
        <v>400</v>
      </c>
      <c r="H4663" s="150" t="str">
        <f>IF(Proc[[#This Row],[type]]="LFF (MDG-F)",MID(Proc[[#This Row],[Obj]],13,10),"")</f>
        <v/>
      </c>
      <c r="J4663" s="150" t="b">
        <f>Proc[[#This Row],[Requested]]=Proc[[#This Row],[CurrentParent]]</f>
        <v>1</v>
      </c>
      <c r="K4663" s="150" t="str">
        <f>IF(Proc[[#This Row],[Author]]="Marcela Urrego",VLOOKUP(LEFT(Proc[[#This Row],[Requested]],1),Table3[#All],2,0),VLOOKUP(Proc[[#This Row],[Author]],Table4[],2,0))</f>
        <v>LS</v>
      </c>
      <c r="L4663" s="150" t="s">
        <v>6435</v>
      </c>
      <c r="M4663" s="169">
        <v>45973</v>
      </c>
      <c r="N4663" s="169"/>
      <c r="O4663" s="169"/>
      <c r="P4663" s="168" t="str">
        <f ca="1">IF(Proc[[#This Row],[DaysAgeing]]&gt;5,"yep","on track")</f>
        <v>yep</v>
      </c>
      <c r="Q4663" s="3">
        <f ca="1">IF(Proc[[#This Row],[DateClosed]]="",ABS(NETWORKDAYS(Proc[[#This Row],[DateOpened]],TODAY()))-1,ABS(NETWORKDAYS(Proc[[#This Row],[DateOpened]],Proc[[#This Row],[DateClosed]]))-1)</f>
        <v>22</v>
      </c>
      <c r="R4663" s="168" t="s">
        <v>489</v>
      </c>
      <c r="S4663" s="150"/>
    </row>
    <row r="4664" spans="1:19">
      <c r="A4664" s="149" t="s">
        <v>6853</v>
      </c>
      <c r="B4664" s="150" t="str">
        <f>IFERROR(VLOOKUP(Proc[[#This Row],[App]],Table2[],3,0),"open")</f>
        <v>ok</v>
      </c>
      <c r="C4664" s="149" t="s">
        <v>369</v>
      </c>
      <c r="D4664" t="s">
        <v>6837</v>
      </c>
      <c r="E4664" t="s">
        <v>2368</v>
      </c>
      <c r="F4664" s="150" t="s">
        <v>2368</v>
      </c>
      <c r="G4664" s="149" t="s">
        <v>400</v>
      </c>
      <c r="H4664" s="150" t="str">
        <f>IF(Proc[[#This Row],[type]]="LFF (MDG-F)",MID(Proc[[#This Row],[Obj]],13,10),"")</f>
        <v/>
      </c>
      <c r="J4664" s="150" t="b">
        <f>Proc[[#This Row],[Requested]]=Proc[[#This Row],[CurrentParent]]</f>
        <v>1</v>
      </c>
      <c r="K4664" s="150" t="str">
        <f>IF(Proc[[#This Row],[Author]]="Marcela Urrego",VLOOKUP(LEFT(Proc[[#This Row],[Requested]],1),Table3[#All],2,0),VLOOKUP(Proc[[#This Row],[Author]],Table4[],2,0))</f>
        <v>LS</v>
      </c>
      <c r="L4664" s="150" t="s">
        <v>6435</v>
      </c>
      <c r="M4664" s="169">
        <v>45973</v>
      </c>
      <c r="N4664" s="169"/>
      <c r="O4664" s="169"/>
      <c r="P4664" s="168" t="str">
        <f ca="1">IF(Proc[[#This Row],[DaysAgeing]]&gt;5,"yep","on track")</f>
        <v>yep</v>
      </c>
      <c r="Q4664" s="3">
        <f ca="1">IF(Proc[[#This Row],[DateClosed]]="",ABS(NETWORKDAYS(Proc[[#This Row],[DateOpened]],TODAY()))-1,ABS(NETWORKDAYS(Proc[[#This Row],[DateOpened]],Proc[[#This Row],[DateClosed]]))-1)</f>
        <v>22</v>
      </c>
      <c r="R4664" s="168" t="s">
        <v>489</v>
      </c>
      <c r="S4664" s="150"/>
    </row>
    <row r="4665" spans="1:19">
      <c r="A4665" s="149" t="s">
        <v>6853</v>
      </c>
      <c r="B4665" s="150" t="str">
        <f>IFERROR(VLOOKUP(Proc[[#This Row],[App]],Table2[],3,0),"open")</f>
        <v>ok</v>
      </c>
      <c r="C4665" s="149" t="s">
        <v>369</v>
      </c>
      <c r="D4665" t="s">
        <v>6838</v>
      </c>
      <c r="E4665" t="s">
        <v>2368</v>
      </c>
      <c r="F4665" s="150" t="s">
        <v>2368</v>
      </c>
      <c r="G4665" s="149" t="s">
        <v>400</v>
      </c>
      <c r="H4665" s="150" t="str">
        <f>IF(Proc[[#This Row],[type]]="LFF (MDG-F)",MID(Proc[[#This Row],[Obj]],13,10),"")</f>
        <v/>
      </c>
      <c r="J4665" s="150" t="b">
        <f>Proc[[#This Row],[Requested]]=Proc[[#This Row],[CurrentParent]]</f>
        <v>1</v>
      </c>
      <c r="K4665" s="150" t="str">
        <f>IF(Proc[[#This Row],[Author]]="Marcela Urrego",VLOOKUP(LEFT(Proc[[#This Row],[Requested]],1),Table3[#All],2,0),VLOOKUP(Proc[[#This Row],[Author]],Table4[],2,0))</f>
        <v>LS</v>
      </c>
      <c r="L4665" s="150" t="s">
        <v>6435</v>
      </c>
      <c r="M4665" s="169">
        <v>45973</v>
      </c>
      <c r="N4665" s="169"/>
      <c r="O4665" s="169"/>
      <c r="P4665" s="168" t="str">
        <f ca="1">IF(Proc[[#This Row],[DaysAgeing]]&gt;5,"yep","on track")</f>
        <v>yep</v>
      </c>
      <c r="Q4665" s="3">
        <f ca="1">IF(Proc[[#This Row],[DateClosed]]="",ABS(NETWORKDAYS(Proc[[#This Row],[DateOpened]],TODAY()))-1,ABS(NETWORKDAYS(Proc[[#This Row],[DateOpened]],Proc[[#This Row],[DateClosed]]))-1)</f>
        <v>22</v>
      </c>
      <c r="R4665" s="168" t="s">
        <v>489</v>
      </c>
      <c r="S4665" s="150"/>
    </row>
    <row r="4666" spans="1:19">
      <c r="A4666" s="149" t="s">
        <v>6853</v>
      </c>
      <c r="B4666" s="150" t="str">
        <f>IFERROR(VLOOKUP(Proc[[#This Row],[App]],Table2[],3,0),"open")</f>
        <v>ok</v>
      </c>
      <c r="C4666" s="149" t="s">
        <v>369</v>
      </c>
      <c r="D4666" t="s">
        <v>6839</v>
      </c>
      <c r="E4666" t="s">
        <v>2368</v>
      </c>
      <c r="F4666" s="150" t="s">
        <v>2368</v>
      </c>
      <c r="G4666" s="149" t="s">
        <v>400</v>
      </c>
      <c r="H4666" s="150" t="str">
        <f>IF(Proc[[#This Row],[type]]="LFF (MDG-F)",MID(Proc[[#This Row],[Obj]],13,10),"")</f>
        <v/>
      </c>
      <c r="J4666" s="150" t="b">
        <f>Proc[[#This Row],[Requested]]=Proc[[#This Row],[CurrentParent]]</f>
        <v>1</v>
      </c>
      <c r="K4666" s="150" t="str">
        <f>IF(Proc[[#This Row],[Author]]="Marcela Urrego",VLOOKUP(LEFT(Proc[[#This Row],[Requested]],1),Table3[#All],2,0),VLOOKUP(Proc[[#This Row],[Author]],Table4[],2,0))</f>
        <v>LS</v>
      </c>
      <c r="L4666" s="150" t="s">
        <v>6435</v>
      </c>
      <c r="M4666" s="169">
        <v>45973</v>
      </c>
      <c r="N4666" s="169"/>
      <c r="O4666" s="169"/>
      <c r="P4666" s="168" t="str">
        <f ca="1">IF(Proc[[#This Row],[DaysAgeing]]&gt;5,"yep","on track")</f>
        <v>yep</v>
      </c>
      <c r="Q4666" s="3">
        <f ca="1">IF(Proc[[#This Row],[DateClosed]]="",ABS(NETWORKDAYS(Proc[[#This Row],[DateOpened]],TODAY()))-1,ABS(NETWORKDAYS(Proc[[#This Row],[DateOpened]],Proc[[#This Row],[DateClosed]]))-1)</f>
        <v>22</v>
      </c>
      <c r="R4666" s="168" t="s">
        <v>489</v>
      </c>
      <c r="S4666" s="150"/>
    </row>
    <row r="4667" spans="1:19">
      <c r="A4667" s="149" t="s">
        <v>6853</v>
      </c>
      <c r="B4667" s="150" t="str">
        <f>IFERROR(VLOOKUP(Proc[[#This Row],[App]],Table2[],3,0),"open")</f>
        <v>ok</v>
      </c>
      <c r="C4667" s="149" t="s">
        <v>369</v>
      </c>
      <c r="D4667" t="s">
        <v>6840</v>
      </c>
      <c r="E4667" t="s">
        <v>6848</v>
      </c>
      <c r="F4667" s="150" t="s">
        <v>6848</v>
      </c>
      <c r="G4667" s="149" t="s">
        <v>400</v>
      </c>
      <c r="H4667" s="150" t="str">
        <f>IF(Proc[[#This Row],[type]]="LFF (MDG-F)",MID(Proc[[#This Row],[Obj]],13,10),"")</f>
        <v/>
      </c>
      <c r="J4667" s="150" t="b">
        <f>Proc[[#This Row],[Requested]]=Proc[[#This Row],[CurrentParent]]</f>
        <v>1</v>
      </c>
      <c r="K4667" s="150" t="str">
        <f>IF(Proc[[#This Row],[Author]]="Marcela Urrego",VLOOKUP(LEFT(Proc[[#This Row],[Requested]],1),Table3[#All],2,0),VLOOKUP(Proc[[#This Row],[Author]],Table4[],2,0))</f>
        <v>LS</v>
      </c>
      <c r="L4667" s="150" t="s">
        <v>6435</v>
      </c>
      <c r="M4667" s="169">
        <v>45973</v>
      </c>
      <c r="N4667" s="169"/>
      <c r="O4667" s="169"/>
      <c r="P4667" s="168" t="str">
        <f ca="1">IF(Proc[[#This Row],[DaysAgeing]]&gt;5,"yep","on track")</f>
        <v>yep</v>
      </c>
      <c r="Q4667" s="3">
        <f ca="1">IF(Proc[[#This Row],[DateClosed]]="",ABS(NETWORKDAYS(Proc[[#This Row],[DateOpened]],TODAY()))-1,ABS(NETWORKDAYS(Proc[[#This Row],[DateOpened]],Proc[[#This Row],[DateClosed]]))-1)</f>
        <v>22</v>
      </c>
      <c r="R4667" s="168" t="s">
        <v>489</v>
      </c>
      <c r="S4667" s="150"/>
    </row>
    <row r="4668" spans="1:19">
      <c r="A4668" s="149" t="s">
        <v>6853</v>
      </c>
      <c r="B4668" s="150" t="str">
        <f>IFERROR(VLOOKUP(Proc[[#This Row],[App]],Table2[],3,0),"open")</f>
        <v>ok</v>
      </c>
      <c r="C4668" s="149" t="s">
        <v>369</v>
      </c>
      <c r="D4668" t="s">
        <v>6841</v>
      </c>
      <c r="E4668" t="s">
        <v>6849</v>
      </c>
      <c r="F4668" s="150" t="s">
        <v>6849</v>
      </c>
      <c r="G4668" s="149" t="s">
        <v>400</v>
      </c>
      <c r="H4668" s="150" t="str">
        <f>IF(Proc[[#This Row],[type]]="LFF (MDG-F)",MID(Proc[[#This Row],[Obj]],13,10),"")</f>
        <v/>
      </c>
      <c r="J4668" s="150" t="b">
        <f>Proc[[#This Row],[Requested]]=Proc[[#This Row],[CurrentParent]]</f>
        <v>1</v>
      </c>
      <c r="K4668" s="150" t="str">
        <f>IF(Proc[[#This Row],[Author]]="Marcela Urrego",VLOOKUP(LEFT(Proc[[#This Row],[Requested]],1),Table3[#All],2,0),VLOOKUP(Proc[[#This Row],[Author]],Table4[],2,0))</f>
        <v>LS</v>
      </c>
      <c r="L4668" s="150" t="s">
        <v>6435</v>
      </c>
      <c r="M4668" s="169">
        <v>45973</v>
      </c>
      <c r="N4668" s="169"/>
      <c r="O4668" s="169"/>
      <c r="P4668" s="168" t="str">
        <f ca="1">IF(Proc[[#This Row],[DaysAgeing]]&gt;5,"yep","on track")</f>
        <v>yep</v>
      </c>
      <c r="Q4668" s="3">
        <f ca="1">IF(Proc[[#This Row],[DateClosed]]="",ABS(NETWORKDAYS(Proc[[#This Row],[DateOpened]],TODAY()))-1,ABS(NETWORKDAYS(Proc[[#This Row],[DateOpened]],Proc[[#This Row],[DateClosed]]))-1)</f>
        <v>22</v>
      </c>
      <c r="R4668" s="168" t="s">
        <v>489</v>
      </c>
      <c r="S4668" s="150"/>
    </row>
    <row r="4669" spans="1:19">
      <c r="A4669" s="149" t="s">
        <v>6853</v>
      </c>
      <c r="B4669" s="150" t="str">
        <f>IFERROR(VLOOKUP(Proc[[#This Row],[App]],Table2[],3,0),"open")</f>
        <v>ok</v>
      </c>
      <c r="C4669" s="149" t="s">
        <v>369</v>
      </c>
      <c r="D4669" t="s">
        <v>6842</v>
      </c>
      <c r="E4669" t="s">
        <v>6531</v>
      </c>
      <c r="F4669" s="150" t="s">
        <v>6531</v>
      </c>
      <c r="G4669" s="149" t="s">
        <v>400</v>
      </c>
      <c r="H4669" s="150" t="str">
        <f>IF(Proc[[#This Row],[type]]="LFF (MDG-F)",MID(Proc[[#This Row],[Obj]],13,10),"")</f>
        <v/>
      </c>
      <c r="J4669" s="150" t="b">
        <f>Proc[[#This Row],[Requested]]=Proc[[#This Row],[CurrentParent]]</f>
        <v>1</v>
      </c>
      <c r="K4669" s="150" t="str">
        <f>IF(Proc[[#This Row],[Author]]="Marcela Urrego",VLOOKUP(LEFT(Proc[[#This Row],[Requested]],1),Table3[#All],2,0),VLOOKUP(Proc[[#This Row],[Author]],Table4[],2,0))</f>
        <v>LS</v>
      </c>
      <c r="L4669" s="150" t="s">
        <v>6435</v>
      </c>
      <c r="M4669" s="169">
        <v>45973</v>
      </c>
      <c r="N4669" s="169"/>
      <c r="O4669" s="169"/>
      <c r="P4669" s="168" t="str">
        <f ca="1">IF(Proc[[#This Row],[DaysAgeing]]&gt;5,"yep","on track")</f>
        <v>yep</v>
      </c>
      <c r="Q4669" s="3">
        <f ca="1">IF(Proc[[#This Row],[DateClosed]]="",ABS(NETWORKDAYS(Proc[[#This Row],[DateOpened]],TODAY()))-1,ABS(NETWORKDAYS(Proc[[#This Row],[DateOpened]],Proc[[#This Row],[DateClosed]]))-1)</f>
        <v>22</v>
      </c>
      <c r="R4669" s="168" t="s">
        <v>489</v>
      </c>
      <c r="S4669" s="150"/>
    </row>
    <row r="4670" spans="1:19">
      <c r="A4670" s="149" t="s">
        <v>6853</v>
      </c>
      <c r="B4670" s="150" t="str">
        <f>IFERROR(VLOOKUP(Proc[[#This Row],[App]],Table2[],3,0),"open")</f>
        <v>ok</v>
      </c>
      <c r="C4670" s="149" t="s">
        <v>369</v>
      </c>
      <c r="D4670" t="s">
        <v>6843</v>
      </c>
      <c r="E4670" t="s">
        <v>6850</v>
      </c>
      <c r="F4670" s="150" t="s">
        <v>6850</v>
      </c>
      <c r="G4670" s="149" t="s">
        <v>400</v>
      </c>
      <c r="H4670" s="150" t="str">
        <f>IF(Proc[[#This Row],[type]]="LFF (MDG-F)",MID(Proc[[#This Row],[Obj]],13,10),"")</f>
        <v/>
      </c>
      <c r="J4670" s="150" t="b">
        <f>Proc[[#This Row],[Requested]]=Proc[[#This Row],[CurrentParent]]</f>
        <v>1</v>
      </c>
      <c r="K4670" s="150" t="str">
        <f>IF(Proc[[#This Row],[Author]]="Marcela Urrego",VLOOKUP(LEFT(Proc[[#This Row],[Requested]],1),Table3[#All],2,0),VLOOKUP(Proc[[#This Row],[Author]],Table4[],2,0))</f>
        <v>LS</v>
      </c>
      <c r="L4670" s="150" t="s">
        <v>6435</v>
      </c>
      <c r="M4670" s="169">
        <v>45973</v>
      </c>
      <c r="N4670" s="169"/>
      <c r="O4670" s="169"/>
      <c r="P4670" s="168" t="str">
        <f ca="1">IF(Proc[[#This Row],[DaysAgeing]]&gt;5,"yep","on track")</f>
        <v>yep</v>
      </c>
      <c r="Q4670" s="3">
        <f ca="1">IF(Proc[[#This Row],[DateClosed]]="",ABS(NETWORKDAYS(Proc[[#This Row],[DateOpened]],TODAY()))-1,ABS(NETWORKDAYS(Proc[[#This Row],[DateOpened]],Proc[[#This Row],[DateClosed]]))-1)</f>
        <v>22</v>
      </c>
      <c r="R4670" s="168" t="s">
        <v>489</v>
      </c>
      <c r="S4670" s="150"/>
    </row>
    <row r="4671" spans="1:19">
      <c r="A4671" s="149" t="s">
        <v>6853</v>
      </c>
      <c r="B4671" s="150" t="str">
        <f>IFERROR(VLOOKUP(Proc[[#This Row],[App]],Table2[],3,0),"open")</f>
        <v>ok</v>
      </c>
      <c r="C4671" s="149" t="s">
        <v>369</v>
      </c>
      <c r="D4671" t="s">
        <v>6844</v>
      </c>
      <c r="E4671" t="s">
        <v>447</v>
      </c>
      <c r="F4671" s="149" t="s">
        <v>447</v>
      </c>
      <c r="G4671" s="149" t="s">
        <v>400</v>
      </c>
      <c r="H4671" s="150" t="str">
        <f>IF(Proc[[#This Row],[type]]="LFF (MDG-F)",MID(Proc[[#This Row],[Obj]],13,10),"")</f>
        <v/>
      </c>
      <c r="J4671" s="150" t="b">
        <f>Proc[[#This Row],[Requested]]=Proc[[#This Row],[CurrentParent]]</f>
        <v>1</v>
      </c>
      <c r="K4671" s="150" t="str">
        <f>IF(Proc[[#This Row],[Author]]="Marcela Urrego",VLOOKUP(LEFT(Proc[[#This Row],[Requested]],1),Table3[#All],2,0),VLOOKUP(Proc[[#This Row],[Author]],Table4[],2,0))</f>
        <v>LS</v>
      </c>
      <c r="L4671" s="150" t="s">
        <v>6435</v>
      </c>
      <c r="M4671" s="169">
        <v>45973</v>
      </c>
      <c r="N4671" s="169"/>
      <c r="O4671" s="169"/>
      <c r="P4671" s="168" t="str">
        <f ca="1">IF(Proc[[#This Row],[DaysAgeing]]&gt;5,"yep","on track")</f>
        <v>yep</v>
      </c>
      <c r="Q4671" s="3">
        <f ca="1">IF(Proc[[#This Row],[DateClosed]]="",ABS(NETWORKDAYS(Proc[[#This Row],[DateOpened]],TODAY()))-1,ABS(NETWORKDAYS(Proc[[#This Row],[DateOpened]],Proc[[#This Row],[DateClosed]]))-1)</f>
        <v>22</v>
      </c>
      <c r="R4671" s="168" t="s">
        <v>489</v>
      </c>
      <c r="S4671" s="150"/>
    </row>
    <row r="4672" spans="1:19">
      <c r="A4672" s="149" t="s">
        <v>6853</v>
      </c>
      <c r="B4672" s="150" t="str">
        <f>IFERROR(VLOOKUP(Proc[[#This Row],[App]],Table2[],3,0),"open")</f>
        <v>ok</v>
      </c>
      <c r="C4672" s="149" t="s">
        <v>369</v>
      </c>
      <c r="D4672" t="s">
        <v>6845</v>
      </c>
      <c r="E4672" t="s">
        <v>496</v>
      </c>
      <c r="F4672" s="150" t="s">
        <v>496</v>
      </c>
      <c r="G4672" s="149" t="s">
        <v>400</v>
      </c>
      <c r="H4672" s="150" t="str">
        <f>IF(Proc[[#This Row],[type]]="LFF (MDG-F)",MID(Proc[[#This Row],[Obj]],13,10),"")</f>
        <v/>
      </c>
      <c r="J4672" s="150" t="b">
        <f>Proc[[#This Row],[Requested]]=Proc[[#This Row],[CurrentParent]]</f>
        <v>1</v>
      </c>
      <c r="K4672" s="150" t="str">
        <f>IF(Proc[[#This Row],[Author]]="Marcela Urrego",VLOOKUP(LEFT(Proc[[#This Row],[Requested]],1),Table3[#All],2,0),VLOOKUP(Proc[[#This Row],[Author]],Table4[],2,0))</f>
        <v>LS</v>
      </c>
      <c r="L4672" s="150" t="s">
        <v>6435</v>
      </c>
      <c r="M4672" s="169">
        <v>45973</v>
      </c>
      <c r="N4672" s="169"/>
      <c r="O4672" s="169"/>
      <c r="P4672" s="168" t="str">
        <f ca="1">IF(Proc[[#This Row],[DaysAgeing]]&gt;5,"yep","on track")</f>
        <v>yep</v>
      </c>
      <c r="Q4672" s="3">
        <f ca="1">IF(Proc[[#This Row],[DateClosed]]="",ABS(NETWORKDAYS(Proc[[#This Row],[DateOpened]],TODAY()))-1,ABS(NETWORKDAYS(Proc[[#This Row],[DateOpened]],Proc[[#This Row],[DateClosed]]))-1)</f>
        <v>22</v>
      </c>
      <c r="R4672" s="168" t="s">
        <v>489</v>
      </c>
      <c r="S4672" s="150"/>
    </row>
    <row r="4673" spans="1:19">
      <c r="A4673" s="149" t="s">
        <v>6853</v>
      </c>
      <c r="B4673" s="150" t="str">
        <f>IFERROR(VLOOKUP(Proc[[#This Row],[App]],Table2[],3,0),"open")</f>
        <v>ok</v>
      </c>
      <c r="C4673" s="149" t="s">
        <v>369</v>
      </c>
      <c r="D4673" t="s">
        <v>6846</v>
      </c>
      <c r="E4673" t="s">
        <v>6851</v>
      </c>
      <c r="F4673" s="150" t="s">
        <v>6851</v>
      </c>
      <c r="G4673" s="149" t="s">
        <v>400</v>
      </c>
      <c r="H4673" s="150" t="str">
        <f>IF(Proc[[#This Row],[type]]="LFF (MDG-F)",MID(Proc[[#This Row],[Obj]],13,10),"")</f>
        <v/>
      </c>
      <c r="J4673" s="150" t="b">
        <f>Proc[[#This Row],[Requested]]=Proc[[#This Row],[CurrentParent]]</f>
        <v>1</v>
      </c>
      <c r="K4673" s="150" t="str">
        <f>IF(Proc[[#This Row],[Author]]="Marcela Urrego",VLOOKUP(LEFT(Proc[[#This Row],[Requested]],1),Table3[#All],2,0),VLOOKUP(Proc[[#This Row],[Author]],Table4[],2,0))</f>
        <v>LS</v>
      </c>
      <c r="L4673" s="150" t="s">
        <v>6435</v>
      </c>
      <c r="M4673" s="169">
        <v>45973</v>
      </c>
      <c r="N4673" s="169"/>
      <c r="O4673" s="169"/>
      <c r="P4673" s="168" t="str">
        <f ca="1">IF(Proc[[#This Row],[DaysAgeing]]&gt;5,"yep","on track")</f>
        <v>yep</v>
      </c>
      <c r="Q4673" s="3">
        <f ca="1">IF(Proc[[#This Row],[DateClosed]]="",ABS(NETWORKDAYS(Proc[[#This Row],[DateOpened]],TODAY()))-1,ABS(NETWORKDAYS(Proc[[#This Row],[DateOpened]],Proc[[#This Row],[DateClosed]]))-1)</f>
        <v>22</v>
      </c>
      <c r="R4673" s="168" t="s">
        <v>489</v>
      </c>
      <c r="S4673" s="150"/>
    </row>
    <row r="4674" spans="1:19">
      <c r="A4674" s="149" t="s">
        <v>6853</v>
      </c>
      <c r="B4674" s="150" t="str">
        <f>IFERROR(VLOOKUP(Proc[[#This Row],[App]],Table2[],3,0),"open")</f>
        <v>ok</v>
      </c>
      <c r="C4674" s="149" t="s">
        <v>369</v>
      </c>
      <c r="D4674" t="s">
        <v>6847</v>
      </c>
      <c r="E4674" t="s">
        <v>6852</v>
      </c>
      <c r="F4674" s="149" t="s">
        <v>6852</v>
      </c>
      <c r="G4674" s="149" t="s">
        <v>400</v>
      </c>
      <c r="H4674" s="150" t="str">
        <f>IF(Proc[[#This Row],[type]]="LFF (MDG-F)",MID(Proc[[#This Row],[Obj]],13,10),"")</f>
        <v/>
      </c>
      <c r="J4674" s="150" t="b">
        <f>Proc[[#This Row],[Requested]]=Proc[[#This Row],[CurrentParent]]</f>
        <v>1</v>
      </c>
      <c r="K4674" s="150" t="str">
        <f>IF(Proc[[#This Row],[Author]]="Marcela Urrego",VLOOKUP(LEFT(Proc[[#This Row],[Requested]],1),Table3[#All],2,0),VLOOKUP(Proc[[#This Row],[Author]],Table4[],2,0))</f>
        <v>LS</v>
      </c>
      <c r="L4674" s="150" t="s">
        <v>6435</v>
      </c>
      <c r="M4674" s="169">
        <v>45973</v>
      </c>
      <c r="N4674" s="169"/>
      <c r="O4674" s="169"/>
      <c r="P4674" s="168" t="str">
        <f ca="1">IF(Proc[[#This Row],[DaysAgeing]]&gt;5,"yep","on track")</f>
        <v>yep</v>
      </c>
      <c r="Q4674" s="3">
        <f ca="1">IF(Proc[[#This Row],[DateClosed]]="",ABS(NETWORKDAYS(Proc[[#This Row],[DateOpened]],TODAY()))-1,ABS(NETWORKDAYS(Proc[[#This Row],[DateOpened]],Proc[[#This Row],[DateClosed]]))-1)</f>
        <v>22</v>
      </c>
      <c r="R4674" s="168" t="s">
        <v>489</v>
      </c>
      <c r="S4674" s="150"/>
    </row>
    <row r="4675" spans="1:19">
      <c r="A4675" s="149" t="s">
        <v>6853</v>
      </c>
      <c r="B4675" s="150" t="str">
        <f>IFERROR(VLOOKUP(Proc[[#This Row],[App]],Table2[],3,0),"open")</f>
        <v>ok</v>
      </c>
      <c r="C4675" s="149" t="s">
        <v>369</v>
      </c>
      <c r="D4675" t="s">
        <v>6831</v>
      </c>
      <c r="E4675" t="s">
        <v>2206</v>
      </c>
      <c r="F4675" s="150" t="s">
        <v>2206</v>
      </c>
      <c r="G4675" s="149" t="s">
        <v>400</v>
      </c>
      <c r="H4675" s="150" t="str">
        <f>IF(Proc[[#This Row],[type]]="LFF (MDG-F)",MID(Proc[[#This Row],[Obj]],13,10),"")</f>
        <v/>
      </c>
      <c r="J4675" s="150" t="b">
        <f>Proc[[#This Row],[Requested]]=Proc[[#This Row],[CurrentParent]]</f>
        <v>1</v>
      </c>
      <c r="K4675" s="150" t="str">
        <f>IF(Proc[[#This Row],[Author]]="Marcela Urrego",VLOOKUP(LEFT(Proc[[#This Row],[Requested]],1),Table3[#All],2,0),VLOOKUP(Proc[[#This Row],[Author]],Table4[],2,0))</f>
        <v>LS</v>
      </c>
      <c r="L4675" s="150" t="s">
        <v>6435</v>
      </c>
      <c r="M4675" s="169">
        <v>45973</v>
      </c>
      <c r="N4675" s="169"/>
      <c r="O4675" s="169"/>
      <c r="P4675" s="168" t="str">
        <f ca="1">IF(Proc[[#This Row],[DaysAgeing]]&gt;5,"yep","on track")</f>
        <v>yep</v>
      </c>
      <c r="Q4675" s="3">
        <f ca="1">IF(Proc[[#This Row],[DateClosed]]="",ABS(NETWORKDAYS(Proc[[#This Row],[DateOpened]],TODAY()))-1,ABS(NETWORKDAYS(Proc[[#This Row],[DateOpened]],Proc[[#This Row],[DateClosed]]))-1)</f>
        <v>22</v>
      </c>
      <c r="R4675" s="168" t="s">
        <v>489</v>
      </c>
      <c r="S4675" s="150"/>
    </row>
    <row r="4676" spans="1:19">
      <c r="A4676" s="149" t="s">
        <v>6853</v>
      </c>
      <c r="B4676" s="150" t="str">
        <f>IFERROR(VLOOKUP(Proc[[#This Row],[App]],Table2[],3,0),"open")</f>
        <v>ok</v>
      </c>
      <c r="C4676" s="149" t="s">
        <v>369</v>
      </c>
      <c r="D4676" t="s">
        <v>6832</v>
      </c>
      <c r="E4676" t="s">
        <v>2206</v>
      </c>
      <c r="F4676" s="150" t="s">
        <v>2206</v>
      </c>
      <c r="G4676" s="149" t="s">
        <v>400</v>
      </c>
      <c r="H4676" s="150" t="str">
        <f>IF(Proc[[#This Row],[type]]="LFF (MDG-F)",MID(Proc[[#This Row],[Obj]],13,10),"")</f>
        <v/>
      </c>
      <c r="J4676" s="150" t="b">
        <f>Proc[[#This Row],[Requested]]=Proc[[#This Row],[CurrentParent]]</f>
        <v>1</v>
      </c>
      <c r="K4676" s="150" t="str">
        <f>IF(Proc[[#This Row],[Author]]="Marcela Urrego",VLOOKUP(LEFT(Proc[[#This Row],[Requested]],1),Table3[#All],2,0),VLOOKUP(Proc[[#This Row],[Author]],Table4[],2,0))</f>
        <v>LS</v>
      </c>
      <c r="L4676" s="150" t="s">
        <v>6435</v>
      </c>
      <c r="M4676" s="169">
        <v>45973</v>
      </c>
      <c r="N4676" s="169"/>
      <c r="O4676" s="169"/>
      <c r="P4676" s="168" t="str">
        <f ca="1">IF(Proc[[#This Row],[DaysAgeing]]&gt;5,"yep","on track")</f>
        <v>yep</v>
      </c>
      <c r="Q4676" s="3">
        <f ca="1">IF(Proc[[#This Row],[DateClosed]]="",ABS(NETWORKDAYS(Proc[[#This Row],[DateOpened]],TODAY()))-1,ABS(NETWORKDAYS(Proc[[#This Row],[DateOpened]],Proc[[#This Row],[DateClosed]]))-1)</f>
        <v>22</v>
      </c>
      <c r="R4676" s="168" t="s">
        <v>489</v>
      </c>
      <c r="S4676" s="150"/>
    </row>
    <row r="4677" spans="1:19">
      <c r="A4677" t="s">
        <v>6854</v>
      </c>
      <c r="B4677" s="150" t="str">
        <f>IFERROR(VLOOKUP(Proc[[#This Row],[App]],Table2[],3,0),"open")</f>
        <v>ok</v>
      </c>
      <c r="C4677" s="149" t="s">
        <v>369</v>
      </c>
      <c r="D4677" t="s">
        <v>6855</v>
      </c>
      <c r="E4677" t="s">
        <v>6914</v>
      </c>
      <c r="F4677" s="150" t="s">
        <v>6914</v>
      </c>
      <c r="G4677" s="149" t="s">
        <v>400</v>
      </c>
      <c r="H4677" s="150" t="str">
        <f>IF(Proc[[#This Row],[type]]="LFF (MDG-F)",MID(Proc[[#This Row],[Obj]],13,10),"")</f>
        <v/>
      </c>
      <c r="J4677" s="150" t="b">
        <f>Proc[[#This Row],[Requested]]=Proc[[#This Row],[CurrentParent]]</f>
        <v>1</v>
      </c>
      <c r="K4677" s="150" t="str">
        <f>IF(Proc[[#This Row],[Author]]="Marcela Urrego",VLOOKUP(LEFT(Proc[[#This Row],[Requested]],1),Table3[#All],2,0),VLOOKUP(Proc[[#This Row],[Author]],Table4[],2,0))</f>
        <v>HC</v>
      </c>
      <c r="L4677" s="150" t="s">
        <v>6435</v>
      </c>
      <c r="M4677" s="169">
        <v>45978</v>
      </c>
      <c r="N4677" s="169"/>
      <c r="O4677" s="169"/>
      <c r="P4677" s="170" t="str">
        <f ca="1">IF(Proc[[#This Row],[DaysAgeing]]&gt;5,"yep","on track")</f>
        <v>yep</v>
      </c>
      <c r="Q4677" s="3">
        <f ca="1">IF(Proc[[#This Row],[DateClosed]]="",ABS(NETWORKDAYS(Proc[[#This Row],[DateOpened]],TODAY()))-1,ABS(NETWORKDAYS(Proc[[#This Row],[DateOpened]],Proc[[#This Row],[DateClosed]]))-1)</f>
        <v>19</v>
      </c>
      <c r="R4677" s="170" t="s">
        <v>6862</v>
      </c>
      <c r="S4677" s="150"/>
    </row>
    <row r="4678" spans="1:19">
      <c r="A4678" t="s">
        <v>6854</v>
      </c>
      <c r="B4678" s="150" t="str">
        <f>IFERROR(VLOOKUP(Proc[[#This Row],[App]],Table2[],3,0),"open")</f>
        <v>ok</v>
      </c>
      <c r="C4678" s="149" t="s">
        <v>369</v>
      </c>
      <c r="D4678" t="s">
        <v>6856</v>
      </c>
      <c r="E4678" t="s">
        <v>6915</v>
      </c>
      <c r="F4678" s="150" t="s">
        <v>6915</v>
      </c>
      <c r="G4678" s="149" t="s">
        <v>400</v>
      </c>
      <c r="H4678" s="150" t="str">
        <f>IF(Proc[[#This Row],[type]]="LFF (MDG-F)",MID(Proc[[#This Row],[Obj]],13,10),"")</f>
        <v/>
      </c>
      <c r="J4678" s="150" t="b">
        <f>Proc[[#This Row],[Requested]]=Proc[[#This Row],[CurrentParent]]</f>
        <v>1</v>
      </c>
      <c r="K4678" s="150" t="str">
        <f>IF(Proc[[#This Row],[Author]]="Marcela Urrego",VLOOKUP(LEFT(Proc[[#This Row],[Requested]],1),Table3[#All],2,0),VLOOKUP(Proc[[#This Row],[Author]],Table4[],2,0))</f>
        <v>HC</v>
      </c>
      <c r="L4678" s="150" t="s">
        <v>6435</v>
      </c>
      <c r="M4678" s="169">
        <v>45978</v>
      </c>
      <c r="N4678" s="169"/>
      <c r="O4678" s="169"/>
      <c r="P4678" s="170" t="str">
        <f ca="1">IF(Proc[[#This Row],[DaysAgeing]]&gt;5,"yep","on track")</f>
        <v>yep</v>
      </c>
      <c r="Q4678" s="3">
        <f ca="1">IF(Proc[[#This Row],[DateClosed]]="",ABS(NETWORKDAYS(Proc[[#This Row],[DateOpened]],TODAY()))-1,ABS(NETWORKDAYS(Proc[[#This Row],[DateOpened]],Proc[[#This Row],[DateClosed]]))-1)</f>
        <v>19</v>
      </c>
      <c r="R4678" s="170" t="s">
        <v>6862</v>
      </c>
      <c r="S4678" s="150"/>
    </row>
    <row r="4679" spans="1:19">
      <c r="A4679" s="149" t="s">
        <v>6854</v>
      </c>
      <c r="B4679" s="150" t="str">
        <f>IFERROR(VLOOKUP(Proc[[#This Row],[App]],Table2[],3,0),"open")</f>
        <v>ok</v>
      </c>
      <c r="C4679" s="149" t="s">
        <v>369</v>
      </c>
      <c r="D4679" t="s">
        <v>6857</v>
      </c>
      <c r="E4679" t="s">
        <v>6914</v>
      </c>
      <c r="F4679" s="150" t="s">
        <v>6914</v>
      </c>
      <c r="G4679" s="149" t="s">
        <v>400</v>
      </c>
      <c r="H4679" s="150" t="str">
        <f>IF(Proc[[#This Row],[type]]="LFF (MDG-F)",MID(Proc[[#This Row],[Obj]],13,10),"")</f>
        <v/>
      </c>
      <c r="J4679" s="150" t="b">
        <f>Proc[[#This Row],[Requested]]=Proc[[#This Row],[CurrentParent]]</f>
        <v>1</v>
      </c>
      <c r="K4679" s="150" t="str">
        <f>IF(Proc[[#This Row],[Author]]="Marcela Urrego",VLOOKUP(LEFT(Proc[[#This Row],[Requested]],1),Table3[#All],2,0),VLOOKUP(Proc[[#This Row],[Author]],Table4[],2,0))</f>
        <v>HC</v>
      </c>
      <c r="L4679" s="150" t="s">
        <v>6435</v>
      </c>
      <c r="M4679" s="169">
        <v>45978</v>
      </c>
      <c r="N4679" s="169"/>
      <c r="O4679" s="169"/>
      <c r="P4679" s="170" t="str">
        <f ca="1">IF(Proc[[#This Row],[DaysAgeing]]&gt;5,"yep","on track")</f>
        <v>yep</v>
      </c>
      <c r="Q4679" s="3">
        <f ca="1">IF(Proc[[#This Row],[DateClosed]]="",ABS(NETWORKDAYS(Proc[[#This Row],[DateOpened]],TODAY()))-1,ABS(NETWORKDAYS(Proc[[#This Row],[DateOpened]],Proc[[#This Row],[DateClosed]]))-1)</f>
        <v>19</v>
      </c>
      <c r="R4679" s="170" t="s">
        <v>6862</v>
      </c>
      <c r="S4679" s="150"/>
    </row>
    <row r="4680" spans="1:19">
      <c r="A4680" s="149" t="s">
        <v>6854</v>
      </c>
      <c r="B4680" s="150" t="str">
        <f>IFERROR(VLOOKUP(Proc[[#This Row],[App]],Table2[],3,0),"open")</f>
        <v>ok</v>
      </c>
      <c r="C4680" s="149" t="s">
        <v>369</v>
      </c>
      <c r="D4680" t="s">
        <v>6858</v>
      </c>
      <c r="E4680" t="s">
        <v>6914</v>
      </c>
      <c r="F4680" s="150" t="s">
        <v>6914</v>
      </c>
      <c r="G4680" s="149" t="s">
        <v>400</v>
      </c>
      <c r="H4680" s="150" t="str">
        <f>IF(Proc[[#This Row],[type]]="LFF (MDG-F)",MID(Proc[[#This Row],[Obj]],13,10),"")</f>
        <v/>
      </c>
      <c r="J4680" s="150" t="b">
        <f>Proc[[#This Row],[Requested]]=Proc[[#This Row],[CurrentParent]]</f>
        <v>1</v>
      </c>
      <c r="K4680" s="150" t="str">
        <f>IF(Proc[[#This Row],[Author]]="Marcela Urrego",VLOOKUP(LEFT(Proc[[#This Row],[Requested]],1),Table3[#All],2,0),VLOOKUP(Proc[[#This Row],[Author]],Table4[],2,0))</f>
        <v>HC</v>
      </c>
      <c r="L4680" s="150" t="s">
        <v>6435</v>
      </c>
      <c r="M4680" s="169">
        <v>45978</v>
      </c>
      <c r="N4680" s="169"/>
      <c r="O4680" s="169"/>
      <c r="P4680" s="170" t="str">
        <f ca="1">IF(Proc[[#This Row],[DaysAgeing]]&gt;5,"yep","on track")</f>
        <v>yep</v>
      </c>
      <c r="Q4680" s="3">
        <f ca="1">IF(Proc[[#This Row],[DateClosed]]="",ABS(NETWORKDAYS(Proc[[#This Row],[DateOpened]],TODAY()))-1,ABS(NETWORKDAYS(Proc[[#This Row],[DateOpened]],Proc[[#This Row],[DateClosed]]))-1)</f>
        <v>19</v>
      </c>
      <c r="R4680" s="170" t="s">
        <v>6862</v>
      </c>
      <c r="S4680" s="150"/>
    </row>
    <row r="4681" spans="1:19">
      <c r="A4681" s="149" t="s">
        <v>6854</v>
      </c>
      <c r="B4681" s="150" t="str">
        <f>IFERROR(VLOOKUP(Proc[[#This Row],[App]],Table2[],3,0),"open")</f>
        <v>ok</v>
      </c>
      <c r="C4681" s="149" t="s">
        <v>369</v>
      </c>
      <c r="D4681" t="s">
        <v>6859</v>
      </c>
      <c r="E4681" t="s">
        <v>6916</v>
      </c>
      <c r="F4681" s="150" t="s">
        <v>6916</v>
      </c>
      <c r="G4681" s="149" t="s">
        <v>400</v>
      </c>
      <c r="H4681" s="150" t="str">
        <f>IF(Proc[[#This Row],[type]]="LFF (MDG-F)",MID(Proc[[#This Row],[Obj]],13,10),"")</f>
        <v/>
      </c>
      <c r="J4681" s="150" t="b">
        <f>Proc[[#This Row],[Requested]]=Proc[[#This Row],[CurrentParent]]</f>
        <v>1</v>
      </c>
      <c r="K4681" s="150" t="str">
        <f>IF(Proc[[#This Row],[Author]]="Marcela Urrego",VLOOKUP(LEFT(Proc[[#This Row],[Requested]],1),Table3[#All],2,0),VLOOKUP(Proc[[#This Row],[Author]],Table4[],2,0))</f>
        <v>HC</v>
      </c>
      <c r="L4681" s="150" t="s">
        <v>6435</v>
      </c>
      <c r="M4681" s="169">
        <v>45978</v>
      </c>
      <c r="N4681" s="169"/>
      <c r="O4681" s="169"/>
      <c r="P4681" s="170" t="str">
        <f ca="1">IF(Proc[[#This Row],[DaysAgeing]]&gt;5,"yep","on track")</f>
        <v>yep</v>
      </c>
      <c r="Q4681" s="3">
        <f ca="1">IF(Proc[[#This Row],[DateClosed]]="",ABS(NETWORKDAYS(Proc[[#This Row],[DateOpened]],TODAY()))-1,ABS(NETWORKDAYS(Proc[[#This Row],[DateOpened]],Proc[[#This Row],[DateClosed]]))-1)</f>
        <v>19</v>
      </c>
      <c r="R4681" s="170" t="s">
        <v>6862</v>
      </c>
      <c r="S4681" s="150"/>
    </row>
    <row r="4682" spans="1:19">
      <c r="A4682" s="149" t="s">
        <v>6854</v>
      </c>
      <c r="B4682" s="150" t="str">
        <f>IFERROR(VLOOKUP(Proc[[#This Row],[App]],Table2[],3,0),"open")</f>
        <v>ok</v>
      </c>
      <c r="C4682" s="149" t="s">
        <v>369</v>
      </c>
      <c r="D4682" t="s">
        <v>6860</v>
      </c>
      <c r="E4682" t="s">
        <v>6917</v>
      </c>
      <c r="F4682" s="150" t="s">
        <v>6917</v>
      </c>
      <c r="G4682" s="149" t="s">
        <v>400</v>
      </c>
      <c r="H4682" s="150" t="str">
        <f>IF(Proc[[#This Row],[type]]="LFF (MDG-F)",MID(Proc[[#This Row],[Obj]],13,10),"")</f>
        <v/>
      </c>
      <c r="J4682" s="150" t="b">
        <f>Proc[[#This Row],[Requested]]=Proc[[#This Row],[CurrentParent]]</f>
        <v>1</v>
      </c>
      <c r="K4682" s="150" t="str">
        <f>IF(Proc[[#This Row],[Author]]="Marcela Urrego",VLOOKUP(LEFT(Proc[[#This Row],[Requested]],1),Table3[#All],2,0),VLOOKUP(Proc[[#This Row],[Author]],Table4[],2,0))</f>
        <v>HC</v>
      </c>
      <c r="L4682" s="150" t="s">
        <v>6435</v>
      </c>
      <c r="M4682" s="169">
        <v>45978</v>
      </c>
      <c r="N4682" s="169"/>
      <c r="O4682" s="169"/>
      <c r="P4682" s="170" t="str">
        <f ca="1">IF(Proc[[#This Row],[DaysAgeing]]&gt;5,"yep","on track")</f>
        <v>yep</v>
      </c>
      <c r="Q4682" s="3">
        <f ca="1">IF(Proc[[#This Row],[DateClosed]]="",ABS(NETWORKDAYS(Proc[[#This Row],[DateOpened]],TODAY()))-1,ABS(NETWORKDAYS(Proc[[#This Row],[DateOpened]],Proc[[#This Row],[DateClosed]]))-1)</f>
        <v>19</v>
      </c>
      <c r="R4682" s="170" t="s">
        <v>6862</v>
      </c>
      <c r="S4682" s="150"/>
    </row>
    <row r="4683" spans="1:19">
      <c r="A4683" s="149" t="s">
        <v>6854</v>
      </c>
      <c r="B4683" s="150" t="str">
        <f>IFERROR(VLOOKUP(Proc[[#This Row],[App]],Table2[],3,0),"open")</f>
        <v>ok</v>
      </c>
      <c r="C4683" s="149" t="s">
        <v>369</v>
      </c>
      <c r="D4683" t="s">
        <v>6861</v>
      </c>
      <c r="E4683" t="s">
        <v>6914</v>
      </c>
      <c r="F4683" s="149" t="s">
        <v>6914</v>
      </c>
      <c r="G4683" s="149" t="s">
        <v>400</v>
      </c>
      <c r="H4683" s="150" t="str">
        <f>IF(Proc[[#This Row],[type]]="LFF (MDG-F)",MID(Proc[[#This Row],[Obj]],13,10),"")</f>
        <v/>
      </c>
      <c r="J4683" s="150" t="b">
        <f>Proc[[#This Row],[Requested]]=Proc[[#This Row],[CurrentParent]]</f>
        <v>1</v>
      </c>
      <c r="K4683" s="150" t="str">
        <f>IF(Proc[[#This Row],[Author]]="Marcela Urrego",VLOOKUP(LEFT(Proc[[#This Row],[Requested]],1),Table3[#All],2,0),VLOOKUP(Proc[[#This Row],[Author]],Table4[],2,0))</f>
        <v>HC</v>
      </c>
      <c r="L4683" s="150" t="s">
        <v>6435</v>
      </c>
      <c r="M4683" s="169">
        <v>45978</v>
      </c>
      <c r="N4683" s="169"/>
      <c r="O4683" s="169"/>
      <c r="P4683" s="170" t="str">
        <f ca="1">IF(Proc[[#This Row],[DaysAgeing]]&gt;5,"yep","on track")</f>
        <v>yep</v>
      </c>
      <c r="Q4683" s="3">
        <f ca="1">IF(Proc[[#This Row],[DateClosed]]="",ABS(NETWORKDAYS(Proc[[#This Row],[DateOpened]],TODAY()))-1,ABS(NETWORKDAYS(Proc[[#This Row],[DateOpened]],Proc[[#This Row],[DateClosed]]))-1)</f>
        <v>19</v>
      </c>
      <c r="R4683" s="170" t="s">
        <v>6862</v>
      </c>
      <c r="S4683" s="150"/>
    </row>
    <row r="4684" spans="1:19">
      <c r="A4684" t="s">
        <v>6864</v>
      </c>
      <c r="B4684" s="150" t="str">
        <f>IFERROR(VLOOKUP(Proc[[#This Row],[App]],Table2[],3,0),"open")</f>
        <v>ok</v>
      </c>
      <c r="C4684" s="149" t="s">
        <v>369</v>
      </c>
      <c r="D4684" t="s">
        <v>6863</v>
      </c>
      <c r="E4684" t="s">
        <v>540</v>
      </c>
      <c r="F4684" s="150" t="s">
        <v>540</v>
      </c>
      <c r="G4684" s="149" t="s">
        <v>400</v>
      </c>
      <c r="H4684" s="150" t="str">
        <f>IF(Proc[[#This Row],[type]]="LFF (MDG-F)",MID(Proc[[#This Row],[Obj]],13,10),"")</f>
        <v/>
      </c>
      <c r="J4684" s="150" t="b">
        <f>Proc[[#This Row],[Requested]]=Proc[[#This Row],[CurrentParent]]</f>
        <v>1</v>
      </c>
      <c r="K4684" s="150" t="str">
        <f>IF(Proc[[#This Row],[Author]]="Marcela Urrego",VLOOKUP(LEFT(Proc[[#This Row],[Requested]],1),Table3[#All],2,0),VLOOKUP(Proc[[#This Row],[Author]],Table4[],2,0))</f>
        <v>MGF</v>
      </c>
      <c r="L4684" s="150" t="s">
        <v>6435</v>
      </c>
      <c r="M4684" s="169">
        <v>45978</v>
      </c>
      <c r="N4684" s="169"/>
      <c r="O4684" s="169"/>
      <c r="P4684" s="170" t="str">
        <f ca="1">IF(Proc[[#This Row],[DaysAgeing]]&gt;5,"yep","on track")</f>
        <v>yep</v>
      </c>
      <c r="Q4684" s="3">
        <f ca="1">IF(Proc[[#This Row],[DateClosed]]="",ABS(NETWORKDAYS(Proc[[#This Row],[DateOpened]],TODAY()))-1,ABS(NETWORKDAYS(Proc[[#This Row],[DateOpened]],Proc[[#This Row],[DateClosed]]))-1)</f>
        <v>19</v>
      </c>
      <c r="R4684" s="170" t="s">
        <v>515</v>
      </c>
      <c r="S4684" s="150"/>
    </row>
    <row r="4685" spans="1:19">
      <c r="A4685" t="s">
        <v>6866</v>
      </c>
      <c r="B4685" s="150" t="str">
        <f>IFERROR(VLOOKUP(Proc[[#This Row],[App]],Table2[],3,0),"open")</f>
        <v>ok</v>
      </c>
      <c r="C4685" s="149" t="s">
        <v>369</v>
      </c>
      <c r="D4685" t="s">
        <v>6865</v>
      </c>
      <c r="E4685" t="s">
        <v>6872</v>
      </c>
      <c r="F4685" s="150" t="s">
        <v>6872</v>
      </c>
      <c r="G4685" s="149" t="s">
        <v>400</v>
      </c>
      <c r="H4685" s="150" t="str">
        <f>IF(Proc[[#This Row],[type]]="LFF (MDG-F)",MID(Proc[[#This Row],[Obj]],13,10),"")</f>
        <v/>
      </c>
      <c r="I4685" t="s">
        <v>6919</v>
      </c>
      <c r="J4685" s="150" t="b">
        <f>Proc[[#This Row],[Requested]]=Proc[[#This Row],[CurrentParent]]</f>
        <v>1</v>
      </c>
      <c r="K4685" s="150" t="str">
        <f>IF(Proc[[#This Row],[Author]]="Marcela Urrego",VLOOKUP(LEFT(Proc[[#This Row],[Requested]],1),Table3[#All],2,0),VLOOKUP(Proc[[#This Row],[Author]],Table4[],2,0))</f>
        <v>HC</v>
      </c>
      <c r="L4685" s="150" t="s">
        <v>6435</v>
      </c>
      <c r="M4685" s="169">
        <v>45978</v>
      </c>
      <c r="N4685" s="169"/>
      <c r="O4685" s="169"/>
      <c r="P4685" s="170" t="str">
        <f ca="1">IF(Proc[[#This Row],[DaysAgeing]]&gt;5,"yep","on track")</f>
        <v>yep</v>
      </c>
      <c r="Q4685" s="3">
        <f ca="1">IF(Proc[[#This Row],[DateClosed]]="",ABS(NETWORKDAYS(Proc[[#This Row],[DateOpened]],TODAY()))-1,ABS(NETWORKDAYS(Proc[[#This Row],[DateOpened]],Proc[[#This Row],[DateClosed]]))-1)</f>
        <v>19</v>
      </c>
      <c r="R4685" s="170" t="s">
        <v>5682</v>
      </c>
      <c r="S4685" s="150"/>
    </row>
    <row r="4686" spans="1:19">
      <c r="A4686" t="s">
        <v>6868</v>
      </c>
      <c r="B4686" s="150" t="str">
        <f>IFERROR(VLOOKUP(Proc[[#This Row],[App]],Table2[],3,0),"open")</f>
        <v>ok</v>
      </c>
      <c r="C4686" s="149" t="s">
        <v>369</v>
      </c>
      <c r="D4686" t="s">
        <v>6867</v>
      </c>
      <c r="E4686" t="s">
        <v>6920</v>
      </c>
      <c r="F4686" s="150" t="s">
        <v>6920</v>
      </c>
      <c r="G4686" s="149" t="s">
        <v>400</v>
      </c>
      <c r="H4686" s="150" t="str">
        <f>IF(Proc[[#This Row],[type]]="LFF (MDG-F)",MID(Proc[[#This Row],[Obj]],13,10),"")</f>
        <v/>
      </c>
      <c r="I4686" s="149" t="s">
        <v>6919</v>
      </c>
      <c r="J4686" s="150" t="b">
        <f>Proc[[#This Row],[Requested]]=Proc[[#This Row],[CurrentParent]]</f>
        <v>1</v>
      </c>
      <c r="K4686" s="150" t="str">
        <f>IF(Proc[[#This Row],[Author]]="Marcela Urrego",VLOOKUP(LEFT(Proc[[#This Row],[Requested]],1),Table3[#All],2,0),VLOOKUP(Proc[[#This Row],[Author]],Table4[],2,0))</f>
        <v>HC</v>
      </c>
      <c r="L4686" s="150" t="s">
        <v>6435</v>
      </c>
      <c r="M4686" s="169">
        <v>45978</v>
      </c>
      <c r="N4686" s="169"/>
      <c r="O4686" s="169"/>
      <c r="P4686" s="170" t="str">
        <f ca="1">IF(Proc[[#This Row],[DaysAgeing]]&gt;5,"yep","on track")</f>
        <v>yep</v>
      </c>
      <c r="Q4686" s="3">
        <f ca="1">IF(Proc[[#This Row],[DateClosed]]="",ABS(NETWORKDAYS(Proc[[#This Row],[DateOpened]],TODAY()))-1,ABS(NETWORKDAYS(Proc[[#This Row],[DateOpened]],Proc[[#This Row],[DateClosed]]))-1)</f>
        <v>19</v>
      </c>
      <c r="R4686" s="170" t="s">
        <v>478</v>
      </c>
      <c r="S4686" s="150"/>
    </row>
    <row r="4687" spans="1:19">
      <c r="A4687" t="s">
        <v>6870</v>
      </c>
      <c r="B4687" s="150" t="str">
        <f>IFERROR(VLOOKUP(Proc[[#This Row],[App]],Table2[],3,0),"open")</f>
        <v>ok</v>
      </c>
      <c r="C4687" s="149" t="s">
        <v>369</v>
      </c>
      <c r="D4687" t="s">
        <v>6869</v>
      </c>
      <c r="E4687" t="s">
        <v>6871</v>
      </c>
      <c r="F4687" s="150" t="s">
        <v>6871</v>
      </c>
      <c r="G4687" s="149" t="s">
        <v>400</v>
      </c>
      <c r="H4687" s="150" t="str">
        <f>IF(Proc[[#This Row],[type]]="LFF (MDG-F)",MID(Proc[[#This Row],[Obj]],13,10),"")</f>
        <v/>
      </c>
      <c r="J4687" s="150" t="b">
        <f>Proc[[#This Row],[Requested]]=Proc[[#This Row],[CurrentParent]]</f>
        <v>1</v>
      </c>
      <c r="K4687" s="150" t="str">
        <f>IF(Proc[[#This Row],[Author]]="Marcela Urrego",VLOOKUP(LEFT(Proc[[#This Row],[Requested]],1),Table3[#All],2,0),VLOOKUP(Proc[[#This Row],[Author]],Table4[],2,0))</f>
        <v>HC</v>
      </c>
      <c r="L4687" s="150" t="s">
        <v>6435</v>
      </c>
      <c r="M4687" s="169">
        <v>45978</v>
      </c>
      <c r="N4687" s="169"/>
      <c r="O4687" s="169"/>
      <c r="P4687" s="170" t="str">
        <f ca="1">IF(Proc[[#This Row],[DaysAgeing]]&gt;5,"yep","on track")</f>
        <v>yep</v>
      </c>
      <c r="Q4687" s="3">
        <f ca="1">IF(Proc[[#This Row],[DateClosed]]="",ABS(NETWORKDAYS(Proc[[#This Row],[DateOpened]],TODAY()))-1,ABS(NETWORKDAYS(Proc[[#This Row],[DateOpened]],Proc[[#This Row],[DateClosed]]))-1)</f>
        <v>19</v>
      </c>
      <c r="R4687" s="170" t="s">
        <v>5682</v>
      </c>
      <c r="S4687" s="150"/>
    </row>
    <row r="4688" spans="1:19">
      <c r="A4688" t="s">
        <v>6884</v>
      </c>
      <c r="B4688" s="150" t="str">
        <f>IFERROR(VLOOKUP(Proc[[#This Row],[App]],Table2[],3,0),"open")</f>
        <v>ok</v>
      </c>
      <c r="C4688" s="149" t="s">
        <v>369</v>
      </c>
      <c r="D4688" t="s">
        <v>6873</v>
      </c>
      <c r="E4688" t="s">
        <v>2883</v>
      </c>
      <c r="F4688" s="150" t="s">
        <v>2883</v>
      </c>
      <c r="G4688" s="149" t="s">
        <v>400</v>
      </c>
      <c r="H4688" s="150" t="str">
        <f>IF(Proc[[#This Row],[type]]="LFF (MDG-F)",MID(Proc[[#This Row],[Obj]],13,10),"")</f>
        <v/>
      </c>
      <c r="J4688" s="150" t="b">
        <f>Proc[[#This Row],[Requested]]=Proc[[#This Row],[CurrentParent]]</f>
        <v>1</v>
      </c>
      <c r="K4688" s="150" t="str">
        <f>IF(Proc[[#This Row],[Author]]="Marcela Urrego",VLOOKUP(LEFT(Proc[[#This Row],[Requested]],1),Table3[#All],2,0),VLOOKUP(Proc[[#This Row],[Author]],Table4[],2,0))</f>
        <v>HC</v>
      </c>
      <c r="L4688" s="150" t="s">
        <v>6435</v>
      </c>
      <c r="M4688" s="169">
        <v>45978</v>
      </c>
      <c r="N4688" s="169"/>
      <c r="O4688" s="169"/>
      <c r="P4688" s="170" t="str">
        <f ca="1">IF(Proc[[#This Row],[DaysAgeing]]&gt;5,"yep","on track")</f>
        <v>yep</v>
      </c>
      <c r="Q4688" s="3">
        <f ca="1">IF(Proc[[#This Row],[DateClosed]]="",ABS(NETWORKDAYS(Proc[[#This Row],[DateOpened]],TODAY()))-1,ABS(NETWORKDAYS(Proc[[#This Row],[DateOpened]],Proc[[#This Row],[DateClosed]]))-1)</f>
        <v>19</v>
      </c>
      <c r="R4688" s="170" t="s">
        <v>738</v>
      </c>
      <c r="S4688" s="150"/>
    </row>
    <row r="4689" spans="1:19">
      <c r="A4689" t="s">
        <v>6884</v>
      </c>
      <c r="B4689" s="150" t="str">
        <f>IFERROR(VLOOKUP(Proc[[#This Row],[App]],Table2[],3,0),"open")</f>
        <v>ok</v>
      </c>
      <c r="C4689" s="149" t="s">
        <v>369</v>
      </c>
      <c r="D4689" t="s">
        <v>6874</v>
      </c>
      <c r="E4689" t="s">
        <v>2117</v>
      </c>
      <c r="F4689" s="150" t="s">
        <v>2117</v>
      </c>
      <c r="G4689" s="149" t="s">
        <v>400</v>
      </c>
      <c r="H4689" s="150" t="str">
        <f>IF(Proc[[#This Row],[type]]="LFF (MDG-F)",MID(Proc[[#This Row],[Obj]],13,10),"")</f>
        <v/>
      </c>
      <c r="J4689" s="150" t="b">
        <f>Proc[[#This Row],[Requested]]=Proc[[#This Row],[CurrentParent]]</f>
        <v>1</v>
      </c>
      <c r="K4689" s="150" t="str">
        <f>IF(Proc[[#This Row],[Author]]="Marcela Urrego",VLOOKUP(LEFT(Proc[[#This Row],[Requested]],1),Table3[#All],2,0),VLOOKUP(Proc[[#This Row],[Author]],Table4[],2,0))</f>
        <v>HC</v>
      </c>
      <c r="L4689" s="150" t="s">
        <v>6435</v>
      </c>
      <c r="M4689" s="169">
        <v>45978</v>
      </c>
      <c r="N4689" s="169"/>
      <c r="O4689" s="169"/>
      <c r="P4689" s="170" t="str">
        <f ca="1">IF(Proc[[#This Row],[DaysAgeing]]&gt;5,"yep","on track")</f>
        <v>yep</v>
      </c>
      <c r="Q4689" s="3">
        <f ca="1">IF(Proc[[#This Row],[DateClosed]]="",ABS(NETWORKDAYS(Proc[[#This Row],[DateOpened]],TODAY()))-1,ABS(NETWORKDAYS(Proc[[#This Row],[DateOpened]],Proc[[#This Row],[DateClosed]]))-1)</f>
        <v>19</v>
      </c>
      <c r="R4689" s="170" t="s">
        <v>738</v>
      </c>
      <c r="S4689" s="150"/>
    </row>
    <row r="4690" spans="1:19">
      <c r="A4690" s="149" t="s">
        <v>6884</v>
      </c>
      <c r="B4690" s="150" t="str">
        <f>IFERROR(VLOOKUP(Proc[[#This Row],[App]],Table2[],3,0),"open")</f>
        <v>ok</v>
      </c>
      <c r="C4690" s="149" t="s">
        <v>369</v>
      </c>
      <c r="D4690" t="s">
        <v>6875</v>
      </c>
      <c r="E4690" s="149" t="s">
        <v>2117</v>
      </c>
      <c r="F4690" s="150" t="s">
        <v>2117</v>
      </c>
      <c r="G4690" s="149" t="s">
        <v>400</v>
      </c>
      <c r="H4690" s="150" t="str">
        <f>IF(Proc[[#This Row],[type]]="LFF (MDG-F)",MID(Proc[[#This Row],[Obj]],13,10),"")</f>
        <v/>
      </c>
      <c r="J4690" s="150" t="b">
        <f>Proc[[#This Row],[Requested]]=Proc[[#This Row],[CurrentParent]]</f>
        <v>1</v>
      </c>
      <c r="K4690" s="150" t="str">
        <f>IF(Proc[[#This Row],[Author]]="Marcela Urrego",VLOOKUP(LEFT(Proc[[#This Row],[Requested]],1),Table3[#All],2,0),VLOOKUP(Proc[[#This Row],[Author]],Table4[],2,0))</f>
        <v>HC</v>
      </c>
      <c r="L4690" s="150" t="s">
        <v>6435</v>
      </c>
      <c r="M4690" s="169">
        <v>45978</v>
      </c>
      <c r="N4690" s="169"/>
      <c r="O4690" s="169"/>
      <c r="P4690" s="170" t="str">
        <f ca="1">IF(Proc[[#This Row],[DaysAgeing]]&gt;5,"yep","on track")</f>
        <v>yep</v>
      </c>
      <c r="Q4690" s="3">
        <f ca="1">IF(Proc[[#This Row],[DateClosed]]="",ABS(NETWORKDAYS(Proc[[#This Row],[DateOpened]],TODAY()))-1,ABS(NETWORKDAYS(Proc[[#This Row],[DateOpened]],Proc[[#This Row],[DateClosed]]))-1)</f>
        <v>19</v>
      </c>
      <c r="R4690" s="170" t="s">
        <v>738</v>
      </c>
      <c r="S4690" s="150"/>
    </row>
    <row r="4691" spans="1:19">
      <c r="A4691" s="149" t="s">
        <v>6884</v>
      </c>
      <c r="B4691" s="150" t="str">
        <f>IFERROR(VLOOKUP(Proc[[#This Row],[App]],Table2[],3,0),"open")</f>
        <v>ok</v>
      </c>
      <c r="C4691" s="149" t="s">
        <v>369</v>
      </c>
      <c r="D4691" t="s">
        <v>6876</v>
      </c>
      <c r="E4691" s="149" t="s">
        <v>2117</v>
      </c>
      <c r="F4691" s="150" t="s">
        <v>2117</v>
      </c>
      <c r="G4691" s="149" t="s">
        <v>400</v>
      </c>
      <c r="H4691" s="150" t="str">
        <f>IF(Proc[[#This Row],[type]]="LFF (MDG-F)",MID(Proc[[#This Row],[Obj]],13,10),"")</f>
        <v/>
      </c>
      <c r="J4691" s="150" t="b">
        <f>Proc[[#This Row],[Requested]]=Proc[[#This Row],[CurrentParent]]</f>
        <v>1</v>
      </c>
      <c r="K4691" s="150" t="str">
        <f>IF(Proc[[#This Row],[Author]]="Marcela Urrego",VLOOKUP(LEFT(Proc[[#This Row],[Requested]],1),Table3[#All],2,0),VLOOKUP(Proc[[#This Row],[Author]],Table4[],2,0))</f>
        <v>HC</v>
      </c>
      <c r="L4691" s="150" t="s">
        <v>6435</v>
      </c>
      <c r="M4691" s="169">
        <v>45978</v>
      </c>
      <c r="N4691" s="169"/>
      <c r="O4691" s="169"/>
      <c r="P4691" s="170" t="str">
        <f ca="1">IF(Proc[[#This Row],[DaysAgeing]]&gt;5,"yep","on track")</f>
        <v>yep</v>
      </c>
      <c r="Q4691" s="3">
        <f ca="1">IF(Proc[[#This Row],[DateClosed]]="",ABS(NETWORKDAYS(Proc[[#This Row],[DateOpened]],TODAY()))-1,ABS(NETWORKDAYS(Proc[[#This Row],[DateOpened]],Proc[[#This Row],[DateClosed]]))-1)</f>
        <v>19</v>
      </c>
      <c r="R4691" s="170" t="s">
        <v>738</v>
      </c>
      <c r="S4691" s="150"/>
    </row>
    <row r="4692" spans="1:19">
      <c r="A4692" s="149" t="s">
        <v>6884</v>
      </c>
      <c r="B4692" s="150" t="str">
        <f>IFERROR(VLOOKUP(Proc[[#This Row],[App]],Table2[],3,0),"open")</f>
        <v>ok</v>
      </c>
      <c r="C4692" s="149" t="s">
        <v>369</v>
      </c>
      <c r="D4692" t="s">
        <v>6877</v>
      </c>
      <c r="E4692" s="149" t="s">
        <v>2117</v>
      </c>
      <c r="F4692" s="150" t="s">
        <v>2117</v>
      </c>
      <c r="G4692" s="149" t="s">
        <v>400</v>
      </c>
      <c r="H4692" s="150" t="str">
        <f>IF(Proc[[#This Row],[type]]="LFF (MDG-F)",MID(Proc[[#This Row],[Obj]],13,10),"")</f>
        <v/>
      </c>
      <c r="J4692" s="150" t="b">
        <f>Proc[[#This Row],[Requested]]=Proc[[#This Row],[CurrentParent]]</f>
        <v>1</v>
      </c>
      <c r="K4692" s="150" t="str">
        <f>IF(Proc[[#This Row],[Author]]="Marcela Urrego",VLOOKUP(LEFT(Proc[[#This Row],[Requested]],1),Table3[#All],2,0),VLOOKUP(Proc[[#This Row],[Author]],Table4[],2,0))</f>
        <v>HC</v>
      </c>
      <c r="L4692" s="150" t="s">
        <v>6435</v>
      </c>
      <c r="M4692" s="169">
        <v>45978</v>
      </c>
      <c r="N4692" s="169"/>
      <c r="O4692" s="169"/>
      <c r="P4692" s="170" t="str">
        <f ca="1">IF(Proc[[#This Row],[DaysAgeing]]&gt;5,"yep","on track")</f>
        <v>yep</v>
      </c>
      <c r="Q4692" s="3">
        <f ca="1">IF(Proc[[#This Row],[DateClosed]]="",ABS(NETWORKDAYS(Proc[[#This Row],[DateOpened]],TODAY()))-1,ABS(NETWORKDAYS(Proc[[#This Row],[DateOpened]],Proc[[#This Row],[DateClosed]]))-1)</f>
        <v>19</v>
      </c>
      <c r="R4692" s="170" t="s">
        <v>738</v>
      </c>
      <c r="S4692" s="150"/>
    </row>
    <row r="4693" spans="1:19">
      <c r="A4693" s="149" t="s">
        <v>6884</v>
      </c>
      <c r="B4693" s="150" t="str">
        <f>IFERROR(VLOOKUP(Proc[[#This Row],[App]],Table2[],3,0),"open")</f>
        <v>ok</v>
      </c>
      <c r="C4693" s="149" t="s">
        <v>369</v>
      </c>
      <c r="D4693" t="s">
        <v>6878</v>
      </c>
      <c r="E4693" s="149" t="s">
        <v>2117</v>
      </c>
      <c r="F4693" s="150" t="s">
        <v>2117</v>
      </c>
      <c r="G4693" s="149" t="s">
        <v>400</v>
      </c>
      <c r="H4693" s="150" t="str">
        <f>IF(Proc[[#This Row],[type]]="LFF (MDG-F)",MID(Proc[[#This Row],[Obj]],13,10),"")</f>
        <v/>
      </c>
      <c r="J4693" s="150" t="b">
        <f>Proc[[#This Row],[Requested]]=Proc[[#This Row],[CurrentParent]]</f>
        <v>1</v>
      </c>
      <c r="K4693" s="150" t="str">
        <f>IF(Proc[[#This Row],[Author]]="Marcela Urrego",VLOOKUP(LEFT(Proc[[#This Row],[Requested]],1),Table3[#All],2,0),VLOOKUP(Proc[[#This Row],[Author]],Table4[],2,0))</f>
        <v>HC</v>
      </c>
      <c r="L4693" s="150" t="s">
        <v>6435</v>
      </c>
      <c r="M4693" s="169">
        <v>45978</v>
      </c>
      <c r="N4693" s="169"/>
      <c r="O4693" s="169"/>
      <c r="P4693" s="170" t="str">
        <f ca="1">IF(Proc[[#This Row],[DaysAgeing]]&gt;5,"yep","on track")</f>
        <v>yep</v>
      </c>
      <c r="Q4693" s="3">
        <f ca="1">IF(Proc[[#This Row],[DateClosed]]="",ABS(NETWORKDAYS(Proc[[#This Row],[DateOpened]],TODAY()))-1,ABS(NETWORKDAYS(Proc[[#This Row],[DateOpened]],Proc[[#This Row],[DateClosed]]))-1)</f>
        <v>19</v>
      </c>
      <c r="R4693" s="170" t="s">
        <v>738</v>
      </c>
      <c r="S4693" s="150"/>
    </row>
    <row r="4694" spans="1:19">
      <c r="A4694" s="149" t="s">
        <v>6884</v>
      </c>
      <c r="B4694" s="150" t="str">
        <f>IFERROR(VLOOKUP(Proc[[#This Row],[App]],Table2[],3,0),"open")</f>
        <v>ok</v>
      </c>
      <c r="C4694" s="149" t="s">
        <v>369</v>
      </c>
      <c r="D4694" t="s">
        <v>6879</v>
      </c>
      <c r="E4694" s="149" t="s">
        <v>2117</v>
      </c>
      <c r="F4694" s="150" t="s">
        <v>2117</v>
      </c>
      <c r="G4694" s="149" t="s">
        <v>400</v>
      </c>
      <c r="H4694" s="150" t="str">
        <f>IF(Proc[[#This Row],[type]]="LFF (MDG-F)",MID(Proc[[#This Row],[Obj]],13,10),"")</f>
        <v/>
      </c>
      <c r="J4694" s="150" t="b">
        <f>Proc[[#This Row],[Requested]]=Proc[[#This Row],[CurrentParent]]</f>
        <v>1</v>
      </c>
      <c r="K4694" s="150" t="str">
        <f>IF(Proc[[#This Row],[Author]]="Marcela Urrego",VLOOKUP(LEFT(Proc[[#This Row],[Requested]],1),Table3[#All],2,0),VLOOKUP(Proc[[#This Row],[Author]],Table4[],2,0))</f>
        <v>HC</v>
      </c>
      <c r="L4694" s="150" t="s">
        <v>6435</v>
      </c>
      <c r="M4694" s="169">
        <v>45978</v>
      </c>
      <c r="N4694" s="169"/>
      <c r="O4694" s="169"/>
      <c r="P4694" s="170" t="str">
        <f ca="1">IF(Proc[[#This Row],[DaysAgeing]]&gt;5,"yep","on track")</f>
        <v>yep</v>
      </c>
      <c r="Q4694" s="3">
        <f ca="1">IF(Proc[[#This Row],[DateClosed]]="",ABS(NETWORKDAYS(Proc[[#This Row],[DateOpened]],TODAY()))-1,ABS(NETWORKDAYS(Proc[[#This Row],[DateOpened]],Proc[[#This Row],[DateClosed]]))-1)</f>
        <v>19</v>
      </c>
      <c r="R4694" s="170" t="s">
        <v>738</v>
      </c>
      <c r="S4694" s="150"/>
    </row>
    <row r="4695" spans="1:19">
      <c r="A4695" s="149" t="s">
        <v>6884</v>
      </c>
      <c r="B4695" s="150" t="str">
        <f>IFERROR(VLOOKUP(Proc[[#This Row],[App]],Table2[],3,0),"open")</f>
        <v>ok</v>
      </c>
      <c r="C4695" s="149" t="s">
        <v>369</v>
      </c>
      <c r="D4695" t="s">
        <v>6880</v>
      </c>
      <c r="E4695" t="s">
        <v>2155</v>
      </c>
      <c r="F4695" s="150" t="s">
        <v>2155</v>
      </c>
      <c r="G4695" s="149" t="s">
        <v>400</v>
      </c>
      <c r="H4695" s="150" t="str">
        <f>IF(Proc[[#This Row],[type]]="LFF (MDG-F)",MID(Proc[[#This Row],[Obj]],13,10),"")</f>
        <v/>
      </c>
      <c r="J4695" s="150" t="b">
        <f>Proc[[#This Row],[Requested]]=Proc[[#This Row],[CurrentParent]]</f>
        <v>1</v>
      </c>
      <c r="K4695" s="150" t="str">
        <f>IF(Proc[[#This Row],[Author]]="Marcela Urrego",VLOOKUP(LEFT(Proc[[#This Row],[Requested]],1),Table3[#All],2,0),VLOOKUP(Proc[[#This Row],[Author]],Table4[],2,0))</f>
        <v>HC</v>
      </c>
      <c r="L4695" s="150" t="s">
        <v>6435</v>
      </c>
      <c r="M4695" s="169">
        <v>45978</v>
      </c>
      <c r="N4695" s="169"/>
      <c r="O4695" s="169"/>
      <c r="P4695" s="170" t="str">
        <f ca="1">IF(Proc[[#This Row],[DaysAgeing]]&gt;5,"yep","on track")</f>
        <v>yep</v>
      </c>
      <c r="Q4695" s="3">
        <f ca="1">IF(Proc[[#This Row],[DateClosed]]="",ABS(NETWORKDAYS(Proc[[#This Row],[DateOpened]],TODAY()))-1,ABS(NETWORKDAYS(Proc[[#This Row],[DateOpened]],Proc[[#This Row],[DateClosed]]))-1)</f>
        <v>19</v>
      </c>
      <c r="R4695" s="170" t="s">
        <v>738</v>
      </c>
      <c r="S4695" s="150"/>
    </row>
    <row r="4696" spans="1:19">
      <c r="A4696" s="149" t="s">
        <v>6884</v>
      </c>
      <c r="B4696" s="150" t="str">
        <f>IFERROR(VLOOKUP(Proc[[#This Row],[App]],Table2[],3,0),"open")</f>
        <v>ok</v>
      </c>
      <c r="C4696" s="149" t="s">
        <v>369</v>
      </c>
      <c r="D4696" t="s">
        <v>6881</v>
      </c>
      <c r="E4696" t="s">
        <v>2144</v>
      </c>
      <c r="F4696" s="150" t="s">
        <v>2144</v>
      </c>
      <c r="G4696" s="149" t="s">
        <v>400</v>
      </c>
      <c r="H4696" s="150" t="str">
        <f>IF(Proc[[#This Row],[type]]="LFF (MDG-F)",MID(Proc[[#This Row],[Obj]],13,10),"")</f>
        <v/>
      </c>
      <c r="J4696" s="150" t="b">
        <f>Proc[[#This Row],[Requested]]=Proc[[#This Row],[CurrentParent]]</f>
        <v>1</v>
      </c>
      <c r="K4696" s="150" t="str">
        <f>IF(Proc[[#This Row],[Author]]="Marcela Urrego",VLOOKUP(LEFT(Proc[[#This Row],[Requested]],1),Table3[#All],2,0),VLOOKUP(Proc[[#This Row],[Author]],Table4[],2,0))</f>
        <v>HC</v>
      </c>
      <c r="L4696" s="150" t="s">
        <v>6435</v>
      </c>
      <c r="M4696" s="169">
        <v>45978</v>
      </c>
      <c r="N4696" s="169"/>
      <c r="O4696" s="169"/>
      <c r="P4696" s="170" t="str">
        <f ca="1">IF(Proc[[#This Row],[DaysAgeing]]&gt;5,"yep","on track")</f>
        <v>yep</v>
      </c>
      <c r="Q4696" s="3">
        <f ca="1">IF(Proc[[#This Row],[DateClosed]]="",ABS(NETWORKDAYS(Proc[[#This Row],[DateOpened]],TODAY()))-1,ABS(NETWORKDAYS(Proc[[#This Row],[DateOpened]],Proc[[#This Row],[DateClosed]]))-1)</f>
        <v>19</v>
      </c>
      <c r="R4696" s="170" t="s">
        <v>738</v>
      </c>
      <c r="S4696" s="150"/>
    </row>
    <row r="4697" spans="1:19">
      <c r="A4697" s="149" t="s">
        <v>6884</v>
      </c>
      <c r="B4697" s="150" t="str">
        <f>IFERROR(VLOOKUP(Proc[[#This Row],[App]],Table2[],3,0),"open")</f>
        <v>ok</v>
      </c>
      <c r="C4697" s="149" t="s">
        <v>369</v>
      </c>
      <c r="D4697" t="s">
        <v>2115</v>
      </c>
      <c r="E4697" t="s">
        <v>2109</v>
      </c>
      <c r="F4697" s="150" t="s">
        <v>2109</v>
      </c>
      <c r="G4697" s="149" t="s">
        <v>400</v>
      </c>
      <c r="H4697" s="150" t="str">
        <f>IF(Proc[[#This Row],[type]]="LFF (MDG-F)",MID(Proc[[#This Row],[Obj]],13,10),"")</f>
        <v/>
      </c>
      <c r="J4697" s="150" t="b">
        <f>Proc[[#This Row],[Requested]]=Proc[[#This Row],[CurrentParent]]</f>
        <v>1</v>
      </c>
      <c r="K4697" s="150" t="str">
        <f>IF(Proc[[#This Row],[Author]]="Marcela Urrego",VLOOKUP(LEFT(Proc[[#This Row],[Requested]],1),Table3[#All],2,0),VLOOKUP(Proc[[#This Row],[Author]],Table4[],2,0))</f>
        <v>HC</v>
      </c>
      <c r="L4697" s="150" t="s">
        <v>6435</v>
      </c>
      <c r="M4697" s="169">
        <v>45978</v>
      </c>
      <c r="N4697" s="169"/>
      <c r="O4697" s="169"/>
      <c r="P4697" s="170" t="str">
        <f ca="1">IF(Proc[[#This Row],[DaysAgeing]]&gt;5,"yep","on track")</f>
        <v>yep</v>
      </c>
      <c r="Q4697" s="3">
        <f ca="1">IF(Proc[[#This Row],[DateClosed]]="",ABS(NETWORKDAYS(Proc[[#This Row],[DateOpened]],TODAY()))-1,ABS(NETWORKDAYS(Proc[[#This Row],[DateOpened]],Proc[[#This Row],[DateClosed]]))-1)</f>
        <v>19</v>
      </c>
      <c r="R4697" s="170" t="s">
        <v>738</v>
      </c>
      <c r="S4697" s="150"/>
    </row>
    <row r="4698" spans="1:19">
      <c r="A4698" s="149" t="s">
        <v>6884</v>
      </c>
      <c r="B4698" s="150" t="str">
        <f>IFERROR(VLOOKUP(Proc[[#This Row],[App]],Table2[],3,0),"open")</f>
        <v>ok</v>
      </c>
      <c r="C4698" s="149" t="s">
        <v>369</v>
      </c>
      <c r="D4698" t="s">
        <v>6882</v>
      </c>
      <c r="E4698" t="s">
        <v>5720</v>
      </c>
      <c r="F4698" s="150" t="s">
        <v>5720</v>
      </c>
      <c r="G4698" s="149" t="s">
        <v>400</v>
      </c>
      <c r="H4698" s="150" t="str">
        <f>IF(Proc[[#This Row],[type]]="LFF (MDG-F)",MID(Proc[[#This Row],[Obj]],13,10),"")</f>
        <v/>
      </c>
      <c r="J4698" s="150" t="b">
        <f>Proc[[#This Row],[Requested]]=Proc[[#This Row],[CurrentParent]]</f>
        <v>1</v>
      </c>
      <c r="K4698" s="150" t="str">
        <f>IF(Proc[[#This Row],[Author]]="Marcela Urrego",VLOOKUP(LEFT(Proc[[#This Row],[Requested]],1),Table3[#All],2,0),VLOOKUP(Proc[[#This Row],[Author]],Table4[],2,0))</f>
        <v>HC</v>
      </c>
      <c r="L4698" s="150" t="s">
        <v>6435</v>
      </c>
      <c r="M4698" s="169">
        <v>45978</v>
      </c>
      <c r="N4698" s="169"/>
      <c r="O4698" s="169"/>
      <c r="P4698" s="170" t="str">
        <f ca="1">IF(Proc[[#This Row],[DaysAgeing]]&gt;5,"yep","on track")</f>
        <v>yep</v>
      </c>
      <c r="Q4698" s="3">
        <f ca="1">IF(Proc[[#This Row],[DateClosed]]="",ABS(NETWORKDAYS(Proc[[#This Row],[DateOpened]],TODAY()))-1,ABS(NETWORKDAYS(Proc[[#This Row],[DateOpened]],Proc[[#This Row],[DateClosed]]))-1)</f>
        <v>19</v>
      </c>
      <c r="R4698" s="170" t="s">
        <v>738</v>
      </c>
      <c r="S4698" s="150"/>
    </row>
    <row r="4699" spans="1:19">
      <c r="A4699" s="149" t="s">
        <v>6884</v>
      </c>
      <c r="B4699" s="150" t="str">
        <f>IFERROR(VLOOKUP(Proc[[#This Row],[App]],Table2[],3,0),"open")</f>
        <v>ok</v>
      </c>
      <c r="C4699" s="149" t="s">
        <v>369</v>
      </c>
      <c r="D4699" t="s">
        <v>6883</v>
      </c>
      <c r="E4699" t="s">
        <v>6918</v>
      </c>
      <c r="F4699" s="150" t="s">
        <v>6918</v>
      </c>
      <c r="G4699" s="149" t="s">
        <v>400</v>
      </c>
      <c r="H4699" s="150" t="str">
        <f>IF(Proc[[#This Row],[type]]="LFF (MDG-F)",MID(Proc[[#This Row],[Obj]],13,10),"")</f>
        <v/>
      </c>
      <c r="J4699" s="150" t="b">
        <f>Proc[[#This Row],[Requested]]=Proc[[#This Row],[CurrentParent]]</f>
        <v>1</v>
      </c>
      <c r="K4699" s="150" t="str">
        <f>IF(Proc[[#This Row],[Author]]="Marcela Urrego",VLOOKUP(LEFT(Proc[[#This Row],[Requested]],1),Table3[#All],2,0),VLOOKUP(Proc[[#This Row],[Author]],Table4[],2,0))</f>
        <v>HC</v>
      </c>
      <c r="L4699" s="150" t="s">
        <v>6435</v>
      </c>
      <c r="M4699" s="169">
        <v>45978</v>
      </c>
      <c r="N4699" s="169"/>
      <c r="O4699" s="169"/>
      <c r="P4699" s="170" t="str">
        <f ca="1">IF(Proc[[#This Row],[DaysAgeing]]&gt;5,"yep","on track")</f>
        <v>yep</v>
      </c>
      <c r="Q4699" s="3">
        <f ca="1">IF(Proc[[#This Row],[DateClosed]]="",ABS(NETWORKDAYS(Proc[[#This Row],[DateOpened]],TODAY()))-1,ABS(NETWORKDAYS(Proc[[#This Row],[DateOpened]],Proc[[#This Row],[DateClosed]]))-1)</f>
        <v>19</v>
      </c>
      <c r="R4699" s="170" t="s">
        <v>738</v>
      </c>
      <c r="S4699" s="150"/>
    </row>
    <row r="4700" spans="1:19">
      <c r="A4700" t="s">
        <v>6885</v>
      </c>
      <c r="B4700" s="150" t="str">
        <f>IFERROR(VLOOKUP(Proc[[#This Row],[App]],Table2[],3,0),"open")</f>
        <v>ok</v>
      </c>
      <c r="C4700" s="149" t="s">
        <v>369</v>
      </c>
      <c r="D4700" t="s">
        <v>6886</v>
      </c>
      <c r="E4700" t="s">
        <v>6887</v>
      </c>
      <c r="F4700" s="150" t="s">
        <v>6887</v>
      </c>
      <c r="G4700" t="s">
        <v>400</v>
      </c>
      <c r="H4700" s="150" t="str">
        <f>IF(Proc[[#This Row],[type]]="LFF (MDG-F)",MID(Proc[[#This Row],[Obj]],13,10),"")</f>
        <v/>
      </c>
      <c r="J4700" s="150" t="b">
        <f>Proc[[#This Row],[Requested]]=Proc[[#This Row],[CurrentParent]]</f>
        <v>1</v>
      </c>
      <c r="K4700" s="150" t="str">
        <f>IF(Proc[[#This Row],[Author]]="Marcela Urrego",VLOOKUP(LEFT(Proc[[#This Row],[Requested]],1),Table3[#All],2,0),VLOOKUP(Proc[[#This Row],[Author]],Table4[],2,0))</f>
        <v>HC</v>
      </c>
      <c r="L4700" s="150" t="s">
        <v>6435</v>
      </c>
      <c r="M4700" s="169">
        <v>45978</v>
      </c>
      <c r="N4700" s="169"/>
      <c r="O4700" s="169"/>
      <c r="P4700" s="170" t="str">
        <f ca="1">IF(Proc[[#This Row],[DaysAgeing]]&gt;5,"yep","on track")</f>
        <v>yep</v>
      </c>
      <c r="Q4700" s="3">
        <f ca="1">IF(Proc[[#This Row],[DateClosed]]="",ABS(NETWORKDAYS(Proc[[#This Row],[DateOpened]],TODAY()))-1,ABS(NETWORKDAYS(Proc[[#This Row],[DateOpened]],Proc[[#This Row],[DateClosed]]))-1)</f>
        <v>19</v>
      </c>
      <c r="R4700" s="170" t="s">
        <v>484</v>
      </c>
      <c r="S4700" s="150"/>
    </row>
    <row r="4701" spans="1:19">
      <c r="A4701" t="s">
        <v>6888</v>
      </c>
      <c r="B4701" s="150" t="str">
        <f>IFERROR(VLOOKUP(Proc[[#This Row],[App]],Table2[],3,0),"open")</f>
        <v>ok</v>
      </c>
      <c r="C4701" s="149" t="s">
        <v>369</v>
      </c>
      <c r="D4701" t="s">
        <v>6889</v>
      </c>
      <c r="E4701" t="s">
        <v>3280</v>
      </c>
      <c r="F4701" s="150" t="s">
        <v>3280</v>
      </c>
      <c r="G4701" s="149" t="s">
        <v>400</v>
      </c>
      <c r="H4701" s="150" t="str">
        <f>IF(Proc[[#This Row],[type]]="LFF (MDG-F)",MID(Proc[[#This Row],[Obj]],13,10),"")</f>
        <v/>
      </c>
      <c r="J4701" s="150" t="b">
        <f>Proc[[#This Row],[Requested]]=Proc[[#This Row],[CurrentParent]]</f>
        <v>1</v>
      </c>
      <c r="K4701" s="150" t="str">
        <f>IF(Proc[[#This Row],[Author]]="Marcela Urrego",VLOOKUP(LEFT(Proc[[#This Row],[Requested]],1),Table3[#All],2,0),VLOOKUP(Proc[[#This Row],[Author]],Table4[],2,0))</f>
        <v>HC</v>
      </c>
      <c r="L4701" s="150" t="s">
        <v>6435</v>
      </c>
      <c r="M4701" s="169">
        <v>45979</v>
      </c>
      <c r="N4701" s="169"/>
      <c r="O4701" s="169"/>
      <c r="P4701" s="170" t="str">
        <f ca="1">IF(Proc[[#This Row],[DaysAgeing]]&gt;5,"yep","on track")</f>
        <v>yep</v>
      </c>
      <c r="Q4701" s="3">
        <f ca="1">IF(Proc[[#This Row],[DateClosed]]="",ABS(NETWORKDAYS(Proc[[#This Row],[DateOpened]],TODAY()))-1,ABS(NETWORKDAYS(Proc[[#This Row],[DateOpened]],Proc[[#This Row],[DateClosed]]))-1)</f>
        <v>18</v>
      </c>
      <c r="R4701" s="170" t="s">
        <v>484</v>
      </c>
      <c r="S4701" s="150"/>
    </row>
    <row r="4702" spans="1:19">
      <c r="A4702" t="s">
        <v>6888</v>
      </c>
      <c r="B4702" s="150" t="str">
        <f>IFERROR(VLOOKUP(Proc[[#This Row],[App]],Table2[],3,0),"open")</f>
        <v>ok</v>
      </c>
      <c r="C4702" s="149" t="s">
        <v>369</v>
      </c>
      <c r="D4702" t="s">
        <v>6890</v>
      </c>
      <c r="E4702" t="s">
        <v>3280</v>
      </c>
      <c r="F4702" s="150" t="s">
        <v>3280</v>
      </c>
      <c r="G4702" s="149" t="s">
        <v>400</v>
      </c>
      <c r="H4702" s="150" t="str">
        <f>IF(Proc[[#This Row],[type]]="LFF (MDG-F)",MID(Proc[[#This Row],[Obj]],13,10),"")</f>
        <v/>
      </c>
      <c r="J4702" s="150" t="b">
        <f>Proc[[#This Row],[Requested]]=Proc[[#This Row],[CurrentParent]]</f>
        <v>1</v>
      </c>
      <c r="K4702" s="150" t="str">
        <f>IF(Proc[[#This Row],[Author]]="Marcela Urrego",VLOOKUP(LEFT(Proc[[#This Row],[Requested]],1),Table3[#All],2,0),VLOOKUP(Proc[[#This Row],[Author]],Table4[],2,0))</f>
        <v>HC</v>
      </c>
      <c r="L4702" s="150" t="s">
        <v>6435</v>
      </c>
      <c r="M4702" s="169">
        <v>45979</v>
      </c>
      <c r="N4702" s="169"/>
      <c r="O4702" s="169"/>
      <c r="P4702" s="170" t="str">
        <f ca="1">IF(Proc[[#This Row],[DaysAgeing]]&gt;5,"yep","on track")</f>
        <v>yep</v>
      </c>
      <c r="Q4702" s="3">
        <f ca="1">IF(Proc[[#This Row],[DateClosed]]="",ABS(NETWORKDAYS(Proc[[#This Row],[DateOpened]],TODAY()))-1,ABS(NETWORKDAYS(Proc[[#This Row],[DateOpened]],Proc[[#This Row],[DateClosed]]))-1)</f>
        <v>18</v>
      </c>
      <c r="R4702" s="170" t="s">
        <v>484</v>
      </c>
      <c r="S4702" s="150"/>
    </row>
    <row r="4703" spans="1:19">
      <c r="A4703" t="s">
        <v>6892</v>
      </c>
      <c r="B4703" s="150" t="str">
        <f>IFERROR(VLOOKUP(Proc[[#This Row],[App]],Table2[],3,0),"open")</f>
        <v>ok</v>
      </c>
      <c r="C4703" s="149" t="s">
        <v>369</v>
      </c>
      <c r="D4703" t="s">
        <v>6891</v>
      </c>
      <c r="E4703" t="s">
        <v>2161</v>
      </c>
      <c r="F4703" s="150" t="s">
        <v>2161</v>
      </c>
      <c r="G4703" s="149" t="s">
        <v>400</v>
      </c>
      <c r="H4703" s="150" t="str">
        <f>IF(Proc[[#This Row],[type]]="LFF (MDG-F)",MID(Proc[[#This Row],[Obj]],13,10),"")</f>
        <v/>
      </c>
      <c r="J4703" s="150" t="b">
        <f>Proc[[#This Row],[Requested]]=Proc[[#This Row],[CurrentParent]]</f>
        <v>1</v>
      </c>
      <c r="K4703" s="150" t="str">
        <f>IF(Proc[[#This Row],[Author]]="Marcela Urrego",VLOOKUP(LEFT(Proc[[#This Row],[Requested]],1),Table3[#All],2,0),VLOOKUP(Proc[[#This Row],[Author]],Table4[],2,0))</f>
        <v>HC</v>
      </c>
      <c r="L4703" s="150" t="s">
        <v>6435</v>
      </c>
      <c r="M4703" s="169">
        <v>45979</v>
      </c>
      <c r="N4703" s="169"/>
      <c r="O4703" s="169"/>
      <c r="P4703" s="170" t="str">
        <f ca="1">IF(Proc[[#This Row],[DaysAgeing]]&gt;5,"yep","on track")</f>
        <v>yep</v>
      </c>
      <c r="Q4703" s="3">
        <f ca="1">IF(Proc[[#This Row],[DateClosed]]="",ABS(NETWORKDAYS(Proc[[#This Row],[DateOpened]],TODAY()))-1,ABS(NETWORKDAYS(Proc[[#This Row],[DateOpened]],Proc[[#This Row],[DateClosed]]))-1)</f>
        <v>18</v>
      </c>
      <c r="R4703" s="170" t="s">
        <v>478</v>
      </c>
      <c r="S4703" s="150"/>
    </row>
    <row r="4704" spans="1:19">
      <c r="A4704" t="s">
        <v>6893</v>
      </c>
      <c r="B4704" s="150" t="str">
        <f>IFERROR(VLOOKUP(Proc[[#This Row],[App]],Table2[],3,0),"open")</f>
        <v>ok</v>
      </c>
      <c r="C4704" s="149" t="s">
        <v>369</v>
      </c>
      <c r="D4704" t="s">
        <v>6894</v>
      </c>
      <c r="E4704" t="s">
        <v>2161</v>
      </c>
      <c r="F4704" s="150" t="s">
        <v>2161</v>
      </c>
      <c r="G4704" s="149" t="s">
        <v>400</v>
      </c>
      <c r="H4704" s="150" t="str">
        <f>IF(Proc[[#This Row],[type]]="LFF (MDG-F)",MID(Proc[[#This Row],[Obj]],13,10),"")</f>
        <v/>
      </c>
      <c r="J4704" s="150" t="b">
        <f>Proc[[#This Row],[Requested]]=Proc[[#This Row],[CurrentParent]]</f>
        <v>1</v>
      </c>
      <c r="K4704" s="150" t="str">
        <f>IF(Proc[[#This Row],[Author]]="Marcela Urrego",VLOOKUP(LEFT(Proc[[#This Row],[Requested]],1),Table3[#All],2,0),VLOOKUP(Proc[[#This Row],[Author]],Table4[],2,0))</f>
        <v>HC</v>
      </c>
      <c r="L4704" s="150" t="s">
        <v>6435</v>
      </c>
      <c r="M4704" s="169">
        <v>45979</v>
      </c>
      <c r="N4704" s="169"/>
      <c r="O4704" s="169"/>
      <c r="P4704" s="170" t="str">
        <f ca="1">IF(Proc[[#This Row],[DaysAgeing]]&gt;5,"yep","on track")</f>
        <v>yep</v>
      </c>
      <c r="Q4704" s="3">
        <f ca="1">IF(Proc[[#This Row],[DateClosed]]="",ABS(NETWORKDAYS(Proc[[#This Row],[DateOpened]],TODAY()))-1,ABS(NETWORKDAYS(Proc[[#This Row],[DateOpened]],Proc[[#This Row],[DateClosed]]))-1)</f>
        <v>18</v>
      </c>
      <c r="R4704" s="170" t="s">
        <v>478</v>
      </c>
      <c r="S4704" s="150"/>
    </row>
    <row r="4705" spans="1:19">
      <c r="A4705" t="s">
        <v>6896</v>
      </c>
      <c r="B4705" s="150" t="str">
        <f>IFERROR(VLOOKUP(Proc[[#This Row],[App]],Table2[],3,0),"open")</f>
        <v>ok</v>
      </c>
      <c r="C4705" s="149" t="s">
        <v>369</v>
      </c>
      <c r="D4705" t="s">
        <v>6895</v>
      </c>
      <c r="E4705" t="s">
        <v>2161</v>
      </c>
      <c r="F4705" s="150" t="s">
        <v>2161</v>
      </c>
      <c r="G4705" s="149" t="s">
        <v>400</v>
      </c>
      <c r="H4705" s="150" t="str">
        <f>IF(Proc[[#This Row],[type]]="LFF (MDG-F)",MID(Proc[[#This Row],[Obj]],13,10),"")</f>
        <v/>
      </c>
      <c r="J4705" s="150" t="b">
        <f>Proc[[#This Row],[Requested]]=Proc[[#This Row],[CurrentParent]]</f>
        <v>1</v>
      </c>
      <c r="K4705" s="150" t="str">
        <f>IF(Proc[[#This Row],[Author]]="Marcela Urrego",VLOOKUP(LEFT(Proc[[#This Row],[Requested]],1),Table3[#All],2,0),VLOOKUP(Proc[[#This Row],[Author]],Table4[],2,0))</f>
        <v>HC</v>
      </c>
      <c r="L4705" s="150" t="s">
        <v>6435</v>
      </c>
      <c r="M4705" s="169">
        <v>45979</v>
      </c>
      <c r="N4705" s="169"/>
      <c r="O4705" s="169"/>
      <c r="P4705" s="170" t="str">
        <f ca="1">IF(Proc[[#This Row],[DaysAgeing]]&gt;5,"yep","on track")</f>
        <v>yep</v>
      </c>
      <c r="Q4705" s="3">
        <f ca="1">IF(Proc[[#This Row],[DateClosed]]="",ABS(NETWORKDAYS(Proc[[#This Row],[DateOpened]],TODAY()))-1,ABS(NETWORKDAYS(Proc[[#This Row],[DateOpened]],Proc[[#This Row],[DateClosed]]))-1)</f>
        <v>18</v>
      </c>
      <c r="R4705" s="170" t="s">
        <v>478</v>
      </c>
      <c r="S4705" s="150"/>
    </row>
    <row r="4706" spans="1:19">
      <c r="A4706" t="s">
        <v>6898</v>
      </c>
      <c r="B4706" s="150" t="str">
        <f>IFERROR(VLOOKUP(Proc[[#This Row],[App]],Table2[],3,0),"open")</f>
        <v>ok</v>
      </c>
      <c r="C4706" s="149" t="s">
        <v>369</v>
      </c>
      <c r="D4706" t="s">
        <v>6897</v>
      </c>
      <c r="E4706" t="s">
        <v>2161</v>
      </c>
      <c r="F4706" s="150" t="s">
        <v>2161</v>
      </c>
      <c r="G4706" s="149" t="s">
        <v>400</v>
      </c>
      <c r="H4706" s="150" t="str">
        <f>IF(Proc[[#This Row],[type]]="LFF (MDG-F)",MID(Proc[[#This Row],[Obj]],13,10),"")</f>
        <v/>
      </c>
      <c r="J4706" s="150" t="b">
        <f>Proc[[#This Row],[Requested]]=Proc[[#This Row],[CurrentParent]]</f>
        <v>1</v>
      </c>
      <c r="K4706" s="150" t="str">
        <f>IF(Proc[[#This Row],[Author]]="Marcela Urrego",VLOOKUP(LEFT(Proc[[#This Row],[Requested]],1),Table3[#All],2,0),VLOOKUP(Proc[[#This Row],[Author]],Table4[],2,0))</f>
        <v>HC</v>
      </c>
      <c r="L4706" s="150" t="s">
        <v>6435</v>
      </c>
      <c r="M4706" s="169">
        <v>45979</v>
      </c>
      <c r="N4706" s="169"/>
      <c r="O4706" s="169"/>
      <c r="P4706" s="170" t="str">
        <f ca="1">IF(Proc[[#This Row],[DaysAgeing]]&gt;5,"yep","on track")</f>
        <v>yep</v>
      </c>
      <c r="Q4706" s="3">
        <f ca="1">IF(Proc[[#This Row],[DateClosed]]="",ABS(NETWORKDAYS(Proc[[#This Row],[DateOpened]],TODAY()))-1,ABS(NETWORKDAYS(Proc[[#This Row],[DateOpened]],Proc[[#This Row],[DateClosed]]))-1)</f>
        <v>18</v>
      </c>
      <c r="R4706" s="170" t="s">
        <v>478</v>
      </c>
      <c r="S4706" s="150"/>
    </row>
    <row r="4707" spans="1:19">
      <c r="A4707" t="s">
        <v>6899</v>
      </c>
      <c r="B4707" s="150" t="str">
        <f>IFERROR(VLOOKUP(Proc[[#This Row],[App]],Table2[],3,0),"open")</f>
        <v>ok</v>
      </c>
      <c r="C4707" s="149" t="s">
        <v>369</v>
      </c>
      <c r="D4707" t="s">
        <v>6900</v>
      </c>
      <c r="E4707" t="s">
        <v>2161</v>
      </c>
      <c r="F4707" s="150" t="s">
        <v>2161</v>
      </c>
      <c r="G4707" s="149" t="s">
        <v>400</v>
      </c>
      <c r="H4707" s="150" t="str">
        <f>IF(Proc[[#This Row],[type]]="LFF (MDG-F)",MID(Proc[[#This Row],[Obj]],13,10),"")</f>
        <v/>
      </c>
      <c r="J4707" s="150" t="b">
        <f>Proc[[#This Row],[Requested]]=Proc[[#This Row],[CurrentParent]]</f>
        <v>1</v>
      </c>
      <c r="K4707" s="150" t="str">
        <f>IF(Proc[[#This Row],[Author]]="Marcela Urrego",VLOOKUP(LEFT(Proc[[#This Row],[Requested]],1),Table3[#All],2,0),VLOOKUP(Proc[[#This Row],[Author]],Table4[],2,0))</f>
        <v>HC</v>
      </c>
      <c r="L4707" s="150" t="s">
        <v>6435</v>
      </c>
      <c r="M4707" s="169">
        <v>45979</v>
      </c>
      <c r="N4707" s="169"/>
      <c r="O4707" s="169"/>
      <c r="P4707" s="170" t="str">
        <f ca="1">IF(Proc[[#This Row],[DaysAgeing]]&gt;5,"yep","on track")</f>
        <v>yep</v>
      </c>
      <c r="Q4707" s="3">
        <f ca="1">IF(Proc[[#This Row],[DateClosed]]="",ABS(NETWORKDAYS(Proc[[#This Row],[DateOpened]],TODAY()))-1,ABS(NETWORKDAYS(Proc[[#This Row],[DateOpened]],Proc[[#This Row],[DateClosed]]))-1)</f>
        <v>18</v>
      </c>
      <c r="R4707" s="170" t="s">
        <v>478</v>
      </c>
      <c r="S4707" s="150"/>
    </row>
    <row r="4708" spans="1:19">
      <c r="A4708" t="s">
        <v>6902</v>
      </c>
      <c r="B4708" s="150" t="str">
        <f>IFERROR(VLOOKUP(Proc[[#This Row],[App]],Table2[],3,0),"open")</f>
        <v>ok</v>
      </c>
      <c r="C4708" s="149" t="s">
        <v>369</v>
      </c>
      <c r="D4708" t="s">
        <v>6901</v>
      </c>
      <c r="E4708" t="s">
        <v>2161</v>
      </c>
      <c r="F4708" s="150" t="s">
        <v>2161</v>
      </c>
      <c r="G4708" s="149" t="s">
        <v>400</v>
      </c>
      <c r="H4708" s="150" t="str">
        <f>IF(Proc[[#This Row],[type]]="LFF (MDG-F)",MID(Proc[[#This Row],[Obj]],13,10),"")</f>
        <v/>
      </c>
      <c r="J4708" s="150" t="b">
        <f>Proc[[#This Row],[Requested]]=Proc[[#This Row],[CurrentParent]]</f>
        <v>1</v>
      </c>
      <c r="K4708" s="150" t="str">
        <f>IF(Proc[[#This Row],[Author]]="Marcela Urrego",VLOOKUP(LEFT(Proc[[#This Row],[Requested]],1),Table3[#All],2,0),VLOOKUP(Proc[[#This Row],[Author]],Table4[],2,0))</f>
        <v>HC</v>
      </c>
      <c r="L4708" s="150" t="s">
        <v>6435</v>
      </c>
      <c r="M4708" s="169">
        <v>45979</v>
      </c>
      <c r="N4708" s="169"/>
      <c r="O4708" s="169"/>
      <c r="P4708" s="170" t="str">
        <f ca="1">IF(Proc[[#This Row],[DaysAgeing]]&gt;5,"yep","on track")</f>
        <v>yep</v>
      </c>
      <c r="Q4708" s="3">
        <f ca="1">IF(Proc[[#This Row],[DateClosed]]="",ABS(NETWORKDAYS(Proc[[#This Row],[DateOpened]],TODAY()))-1,ABS(NETWORKDAYS(Proc[[#This Row],[DateOpened]],Proc[[#This Row],[DateClosed]]))-1)</f>
        <v>18</v>
      </c>
      <c r="R4708" s="170" t="s">
        <v>478</v>
      </c>
      <c r="S4708" s="150"/>
    </row>
    <row r="4709" spans="1:19">
      <c r="A4709" t="s">
        <v>6904</v>
      </c>
      <c r="B4709" s="150" t="str">
        <f>IFERROR(VLOOKUP(Proc[[#This Row],[App]],Table2[],3,0),"open")</f>
        <v>ok</v>
      </c>
      <c r="C4709" s="149" t="s">
        <v>369</v>
      </c>
      <c r="D4709" t="s">
        <v>6903</v>
      </c>
      <c r="E4709" t="s">
        <v>2161</v>
      </c>
      <c r="F4709" s="150" t="s">
        <v>2161</v>
      </c>
      <c r="G4709" s="149" t="s">
        <v>400</v>
      </c>
      <c r="H4709" s="150" t="str">
        <f>IF(Proc[[#This Row],[type]]="LFF (MDG-F)",MID(Proc[[#This Row],[Obj]],13,10),"")</f>
        <v/>
      </c>
      <c r="J4709" s="150" t="b">
        <f>Proc[[#This Row],[Requested]]=Proc[[#This Row],[CurrentParent]]</f>
        <v>1</v>
      </c>
      <c r="K4709" s="150" t="str">
        <f>IF(Proc[[#This Row],[Author]]="Marcela Urrego",VLOOKUP(LEFT(Proc[[#This Row],[Requested]],1),Table3[#All],2,0),VLOOKUP(Proc[[#This Row],[Author]],Table4[],2,0))</f>
        <v>HC</v>
      </c>
      <c r="L4709" s="150" t="s">
        <v>6435</v>
      </c>
      <c r="M4709" s="169">
        <v>45979</v>
      </c>
      <c r="N4709" s="169"/>
      <c r="O4709" s="169"/>
      <c r="P4709" s="170" t="str">
        <f ca="1">IF(Proc[[#This Row],[DaysAgeing]]&gt;5,"yep","on track")</f>
        <v>yep</v>
      </c>
      <c r="Q4709" s="3">
        <f ca="1">IF(Proc[[#This Row],[DateClosed]]="",ABS(NETWORKDAYS(Proc[[#This Row],[DateOpened]],TODAY()))-1,ABS(NETWORKDAYS(Proc[[#This Row],[DateOpened]],Proc[[#This Row],[DateClosed]]))-1)</f>
        <v>18</v>
      </c>
      <c r="R4709" s="170" t="s">
        <v>478</v>
      </c>
      <c r="S4709" s="150"/>
    </row>
    <row r="4710" spans="1:19">
      <c r="A4710" t="s">
        <v>6905</v>
      </c>
      <c r="B4710" s="150" t="str">
        <f>IFERROR(VLOOKUP(Proc[[#This Row],[App]],Table2[],3,0),"open")</f>
        <v>ok</v>
      </c>
      <c r="C4710" s="149" t="s">
        <v>369</v>
      </c>
      <c r="D4710" t="s">
        <v>6906</v>
      </c>
      <c r="E4710" t="s">
        <v>2161</v>
      </c>
      <c r="F4710" s="150" t="s">
        <v>2161</v>
      </c>
      <c r="G4710" s="149" t="s">
        <v>400</v>
      </c>
      <c r="H4710" s="150" t="str">
        <f>IF(Proc[[#This Row],[type]]="LFF (MDG-F)",MID(Proc[[#This Row],[Obj]],13,10),"")</f>
        <v/>
      </c>
      <c r="I4710" s="149"/>
      <c r="J4710" s="150" t="b">
        <f>Proc[[#This Row],[Requested]]=Proc[[#This Row],[CurrentParent]]</f>
        <v>1</v>
      </c>
      <c r="K4710" s="150" t="str">
        <f>IF(Proc[[#This Row],[Author]]="Marcela Urrego",VLOOKUP(LEFT(Proc[[#This Row],[Requested]],1),Table3[#All],2,0),VLOOKUP(Proc[[#This Row],[Author]],Table4[],2,0))</f>
        <v>HC</v>
      </c>
      <c r="L4710" s="150" t="s">
        <v>6435</v>
      </c>
      <c r="M4710" s="169">
        <v>45979</v>
      </c>
      <c r="N4710" s="169"/>
      <c r="O4710" s="169"/>
      <c r="P4710" s="170" t="str">
        <f ca="1">IF(Proc[[#This Row],[DaysAgeing]]&gt;5,"yep","on track")</f>
        <v>yep</v>
      </c>
      <c r="Q4710" s="3">
        <f ca="1">IF(Proc[[#This Row],[DateClosed]]="",ABS(NETWORKDAYS(Proc[[#This Row],[DateOpened]],TODAY()))-1,ABS(NETWORKDAYS(Proc[[#This Row],[DateOpened]],Proc[[#This Row],[DateClosed]]))-1)</f>
        <v>18</v>
      </c>
      <c r="R4710" s="170" t="s">
        <v>478</v>
      </c>
      <c r="S4710" s="150"/>
    </row>
    <row r="4711" spans="1:19">
      <c r="A4711" t="s">
        <v>6908</v>
      </c>
      <c r="B4711" s="150" t="str">
        <f>IFERROR(VLOOKUP(Proc[[#This Row],[App]],Table2[],3,0),"open")</f>
        <v>ok</v>
      </c>
      <c r="C4711" s="149" t="s">
        <v>369</v>
      </c>
      <c r="D4711" t="s">
        <v>6907</v>
      </c>
      <c r="E4711" t="s">
        <v>2161</v>
      </c>
      <c r="F4711" s="150" t="s">
        <v>2161</v>
      </c>
      <c r="G4711" s="149" t="s">
        <v>400</v>
      </c>
      <c r="H4711" s="150" t="str">
        <f>IF(Proc[[#This Row],[type]]="LFF (MDG-F)",MID(Proc[[#This Row],[Obj]],13,10),"")</f>
        <v/>
      </c>
      <c r="I4711" s="149"/>
      <c r="J4711" s="150" t="b">
        <f>Proc[[#This Row],[Requested]]=Proc[[#This Row],[CurrentParent]]</f>
        <v>1</v>
      </c>
      <c r="K4711" s="150" t="str">
        <f>IF(Proc[[#This Row],[Author]]="Marcela Urrego",VLOOKUP(LEFT(Proc[[#This Row],[Requested]],1),Table3[#All],2,0),VLOOKUP(Proc[[#This Row],[Author]],Table4[],2,0))</f>
        <v>HC</v>
      </c>
      <c r="L4711" s="150" t="s">
        <v>6435</v>
      </c>
      <c r="M4711" s="169">
        <v>45979</v>
      </c>
      <c r="N4711" s="169"/>
      <c r="O4711" s="169"/>
      <c r="P4711" s="170" t="str">
        <f ca="1">IF(Proc[[#This Row],[DaysAgeing]]&gt;5,"yep","on track")</f>
        <v>yep</v>
      </c>
      <c r="Q4711" s="3">
        <f ca="1">IF(Proc[[#This Row],[DateClosed]]="",ABS(NETWORKDAYS(Proc[[#This Row],[DateOpened]],TODAY()))-1,ABS(NETWORKDAYS(Proc[[#This Row],[DateOpened]],Proc[[#This Row],[DateClosed]]))-1)</f>
        <v>18</v>
      </c>
      <c r="R4711" s="170" t="s">
        <v>478</v>
      </c>
      <c r="S4711" s="150"/>
    </row>
    <row r="4712" spans="1:19">
      <c r="A4712" t="s">
        <v>6910</v>
      </c>
      <c r="B4712" s="150" t="str">
        <f>IFERROR(VLOOKUP(Proc[[#This Row],[App]],Table2[],3,0),"open")</f>
        <v>ok</v>
      </c>
      <c r="C4712" s="149" t="s">
        <v>369</v>
      </c>
      <c r="D4712" t="s">
        <v>6909</v>
      </c>
      <c r="E4712" t="s">
        <v>6911</v>
      </c>
      <c r="F4712" s="150" t="s">
        <v>6911</v>
      </c>
      <c r="G4712" s="149" t="s">
        <v>400</v>
      </c>
      <c r="H4712" s="150" t="str">
        <f>IF(Proc[[#This Row],[type]]="LFF (MDG-F)",MID(Proc[[#This Row],[Obj]],13,10),"")</f>
        <v/>
      </c>
      <c r="I4712" s="149"/>
      <c r="J4712" s="150" t="b">
        <f>Proc[[#This Row],[Requested]]=Proc[[#This Row],[CurrentParent]]</f>
        <v>1</v>
      </c>
      <c r="K4712" s="150" t="str">
        <f>IF(Proc[[#This Row],[Author]]="Marcela Urrego",VLOOKUP(LEFT(Proc[[#This Row],[Requested]],1),Table3[#All],2,0),VLOOKUP(Proc[[#This Row],[Author]],Table4[],2,0))</f>
        <v>HC</v>
      </c>
      <c r="L4712" s="150" t="s">
        <v>6435</v>
      </c>
      <c r="M4712" s="169">
        <v>45979</v>
      </c>
      <c r="N4712" s="169"/>
      <c r="O4712" s="169"/>
      <c r="P4712" s="170" t="str">
        <f ca="1">IF(Proc[[#This Row],[DaysAgeing]]&gt;5,"yep","on track")</f>
        <v>yep</v>
      </c>
      <c r="Q4712" s="3">
        <f ca="1">IF(Proc[[#This Row],[DateClosed]]="",ABS(NETWORKDAYS(Proc[[#This Row],[DateOpened]],TODAY()))-1,ABS(NETWORKDAYS(Proc[[#This Row],[DateOpened]],Proc[[#This Row],[DateClosed]]))-1)</f>
        <v>18</v>
      </c>
      <c r="R4712" s="170" t="s">
        <v>478</v>
      </c>
      <c r="S4712" s="150"/>
    </row>
    <row r="4713" spans="1:19">
      <c r="A4713" t="s">
        <v>6912</v>
      </c>
      <c r="B4713" s="150" t="str">
        <f>IFERROR(VLOOKUP(Proc[[#This Row],[App]],Table2[],3,0),"open")</f>
        <v>ok</v>
      </c>
      <c r="C4713" s="149" t="s">
        <v>369</v>
      </c>
      <c r="D4713" t="s">
        <v>6865</v>
      </c>
      <c r="E4713" t="s">
        <v>6872</v>
      </c>
      <c r="F4713" s="150" t="s">
        <v>6872</v>
      </c>
      <c r="G4713" s="149" t="s">
        <v>400</v>
      </c>
      <c r="H4713" s="150" t="str">
        <f>IF(Proc[[#This Row],[type]]="LFF (MDG-F)",MID(Proc[[#This Row],[Obj]],13,10),"")</f>
        <v/>
      </c>
      <c r="J4713" s="150" t="b">
        <f>Proc[[#This Row],[Requested]]=Proc[[#This Row],[CurrentParent]]</f>
        <v>1</v>
      </c>
      <c r="K4713" s="150" t="str">
        <f>IF(Proc[[#This Row],[Author]]="Marcela Urrego",VLOOKUP(LEFT(Proc[[#This Row],[Requested]],1),Table3[#All],2,0),VLOOKUP(Proc[[#This Row],[Author]],Table4[],2,0))</f>
        <v>HC</v>
      </c>
      <c r="L4713" s="150" t="s">
        <v>6435</v>
      </c>
      <c r="M4713" s="169">
        <v>45979</v>
      </c>
      <c r="N4713" s="169"/>
      <c r="O4713" s="169"/>
      <c r="P4713" s="170" t="str">
        <f ca="1">IF(Proc[[#This Row],[DaysAgeing]]&gt;5,"yep","on track")</f>
        <v>yep</v>
      </c>
      <c r="Q4713" s="3">
        <f ca="1">IF(Proc[[#This Row],[DateClosed]]="",ABS(NETWORKDAYS(Proc[[#This Row],[DateOpened]],TODAY()))-1,ABS(NETWORKDAYS(Proc[[#This Row],[DateOpened]],Proc[[#This Row],[DateClosed]]))-1)</f>
        <v>18</v>
      </c>
      <c r="R4713" s="170" t="s">
        <v>478</v>
      </c>
      <c r="S4713" s="150"/>
    </row>
    <row r="4714" spans="1:19">
      <c r="A4714" t="s">
        <v>6868</v>
      </c>
      <c r="B4714" s="150" t="str">
        <f>IFERROR(VLOOKUP(Proc[[#This Row],[App]],Table2[],3,0),"open")</f>
        <v>ok</v>
      </c>
      <c r="C4714" s="149" t="s">
        <v>369</v>
      </c>
      <c r="D4714" t="s">
        <v>6867</v>
      </c>
      <c r="E4714" t="s">
        <v>6920</v>
      </c>
      <c r="F4714" s="150" t="s">
        <v>6920</v>
      </c>
      <c r="G4714" s="149" t="s">
        <v>400</v>
      </c>
      <c r="H4714" s="150" t="str">
        <f>IF(Proc[[#This Row],[type]]="LFF (MDG-F)",MID(Proc[[#This Row],[Obj]],13,10),"")</f>
        <v/>
      </c>
      <c r="J4714" s="150" t="b">
        <f>Proc[[#This Row],[Requested]]=Proc[[#This Row],[CurrentParent]]</f>
        <v>1</v>
      </c>
      <c r="K4714" s="150" t="str">
        <f>IF(Proc[[#This Row],[Author]]="Marcela Urrego",VLOOKUP(LEFT(Proc[[#This Row],[Requested]],1),Table3[#All],2,0),VLOOKUP(Proc[[#This Row],[Author]],Table4[],2,0))</f>
        <v>HC</v>
      </c>
      <c r="L4714" s="150" t="s">
        <v>6435</v>
      </c>
      <c r="M4714" s="169">
        <v>45979</v>
      </c>
      <c r="N4714" s="169"/>
      <c r="O4714" s="169"/>
      <c r="P4714" s="170" t="str">
        <f ca="1">IF(Proc[[#This Row],[DaysAgeing]]&gt;5,"yep","on track")</f>
        <v>yep</v>
      </c>
      <c r="Q4714" s="3">
        <f ca="1">IF(Proc[[#This Row],[DateClosed]]="",ABS(NETWORKDAYS(Proc[[#This Row],[DateOpened]],TODAY()))-1,ABS(NETWORKDAYS(Proc[[#This Row],[DateOpened]],Proc[[#This Row],[DateClosed]]))-1)</f>
        <v>18</v>
      </c>
      <c r="R4714" s="170" t="s">
        <v>478</v>
      </c>
      <c r="S4714" s="150"/>
    </row>
    <row r="4715" spans="1:19">
      <c r="A4715" t="s">
        <v>6928</v>
      </c>
      <c r="B4715" s="150" t="str">
        <f>IFERROR(VLOOKUP(Proc[[#This Row],[App]],Table2[],3,0),"open")</f>
        <v>ok</v>
      </c>
      <c r="C4715" s="149" t="s">
        <v>369</v>
      </c>
      <c r="D4715" t="s">
        <v>6921</v>
      </c>
      <c r="E4715" t="s">
        <v>6926</v>
      </c>
      <c r="F4715" s="150" t="s">
        <v>6926</v>
      </c>
      <c r="G4715" t="s">
        <v>400</v>
      </c>
      <c r="H4715" s="150" t="str">
        <f>IF(Proc[[#This Row],[type]]="LFF (MDG-F)",MID(Proc[[#This Row],[Obj]],13,10),"")</f>
        <v/>
      </c>
      <c r="J4715" s="150" t="b">
        <f>Proc[[#This Row],[Requested]]=Proc[[#This Row],[CurrentParent]]</f>
        <v>1</v>
      </c>
      <c r="K4715" s="150" t="str">
        <f>IF(Proc[[#This Row],[Author]]="Marcela Urrego",VLOOKUP(LEFT(Proc[[#This Row],[Requested]],1),Table3[#All],2,0),VLOOKUP(Proc[[#This Row],[Author]],Table4[],2,0))</f>
        <v>MGF</v>
      </c>
      <c r="L4715" s="150" t="s">
        <v>6435</v>
      </c>
      <c r="M4715" s="170">
        <v>45981</v>
      </c>
      <c r="N4715" s="171"/>
      <c r="O4715" s="171"/>
      <c r="P4715" s="170" t="str">
        <f ca="1">IF(Proc[[#This Row],[DaysAgeing]]&gt;5,"yep","on track")</f>
        <v>yep</v>
      </c>
      <c r="Q4715" s="3">
        <f ca="1">IF(Proc[[#This Row],[DateClosed]]="",ABS(NETWORKDAYS(Proc[[#This Row],[DateOpened]],TODAY()))-1,ABS(NETWORKDAYS(Proc[[#This Row],[DateOpened]],Proc[[#This Row],[DateClosed]]))-1)</f>
        <v>16</v>
      </c>
      <c r="R4715" s="170" t="s">
        <v>515</v>
      </c>
      <c r="S4715" s="150"/>
    </row>
    <row r="4716" spans="1:19">
      <c r="A4716" s="149" t="s">
        <v>6928</v>
      </c>
      <c r="B4716" s="150" t="str">
        <f>IFERROR(VLOOKUP(Proc[[#This Row],[App]],Table2[],3,0),"open")</f>
        <v>ok</v>
      </c>
      <c r="C4716" s="149" t="s">
        <v>369</v>
      </c>
      <c r="D4716" t="s">
        <v>6922</v>
      </c>
      <c r="E4716" t="s">
        <v>6927</v>
      </c>
      <c r="F4716" s="150" t="s">
        <v>6927</v>
      </c>
      <c r="G4716" s="149" t="s">
        <v>400</v>
      </c>
      <c r="H4716" s="150" t="str">
        <f>IF(Proc[[#This Row],[type]]="LFF (MDG-F)",MID(Proc[[#This Row],[Obj]],13,10),"")</f>
        <v/>
      </c>
      <c r="J4716" s="150" t="b">
        <f>Proc[[#This Row],[Requested]]=Proc[[#This Row],[CurrentParent]]</f>
        <v>1</v>
      </c>
      <c r="K4716" s="150" t="str">
        <f>IF(Proc[[#This Row],[Author]]="Marcela Urrego",VLOOKUP(LEFT(Proc[[#This Row],[Requested]],1),Table3[#All],2,0),VLOOKUP(Proc[[#This Row],[Author]],Table4[],2,0))</f>
        <v>MGF</v>
      </c>
      <c r="L4716" s="150" t="s">
        <v>6435</v>
      </c>
      <c r="M4716" s="170">
        <v>45981</v>
      </c>
      <c r="N4716" s="171"/>
      <c r="O4716" s="171"/>
      <c r="P4716" s="170" t="str">
        <f ca="1">IF(Proc[[#This Row],[DaysAgeing]]&gt;5,"yep","on track")</f>
        <v>yep</v>
      </c>
      <c r="Q4716" s="3">
        <f ca="1">IF(Proc[[#This Row],[DateClosed]]="",ABS(NETWORKDAYS(Proc[[#This Row],[DateOpened]],TODAY()))-1,ABS(NETWORKDAYS(Proc[[#This Row],[DateOpened]],Proc[[#This Row],[DateClosed]]))-1)</f>
        <v>16</v>
      </c>
      <c r="R4716" s="170" t="s">
        <v>515</v>
      </c>
      <c r="S4716" s="150"/>
    </row>
    <row r="4717" spans="1:19">
      <c r="A4717" s="149" t="s">
        <v>6928</v>
      </c>
      <c r="B4717" s="150" t="str">
        <f>IFERROR(VLOOKUP(Proc[[#This Row],[App]],Table2[],3,0),"open")</f>
        <v>ok</v>
      </c>
      <c r="C4717" s="149" t="s">
        <v>369</v>
      </c>
      <c r="D4717" t="s">
        <v>6923</v>
      </c>
      <c r="E4717" t="s">
        <v>6926</v>
      </c>
      <c r="F4717" s="150" t="s">
        <v>6926</v>
      </c>
      <c r="G4717" s="149" t="s">
        <v>400</v>
      </c>
      <c r="H4717" s="150" t="str">
        <f>IF(Proc[[#This Row],[type]]="LFF (MDG-F)",MID(Proc[[#This Row],[Obj]],13,10),"")</f>
        <v/>
      </c>
      <c r="J4717" s="150" t="b">
        <f>Proc[[#This Row],[Requested]]=Proc[[#This Row],[CurrentParent]]</f>
        <v>1</v>
      </c>
      <c r="K4717" s="150" t="str">
        <f>IF(Proc[[#This Row],[Author]]="Marcela Urrego",VLOOKUP(LEFT(Proc[[#This Row],[Requested]],1),Table3[#All],2,0),VLOOKUP(Proc[[#This Row],[Author]],Table4[],2,0))</f>
        <v>MGF</v>
      </c>
      <c r="L4717" s="150" t="s">
        <v>6435</v>
      </c>
      <c r="M4717" s="170">
        <v>45981</v>
      </c>
      <c r="N4717" s="171"/>
      <c r="O4717" s="171"/>
      <c r="P4717" s="170" t="str">
        <f ca="1">IF(Proc[[#This Row],[DaysAgeing]]&gt;5,"yep","on track")</f>
        <v>yep</v>
      </c>
      <c r="Q4717" s="3">
        <f ca="1">IF(Proc[[#This Row],[DateClosed]]="",ABS(NETWORKDAYS(Proc[[#This Row],[DateOpened]],TODAY()))-1,ABS(NETWORKDAYS(Proc[[#This Row],[DateOpened]],Proc[[#This Row],[DateClosed]]))-1)</f>
        <v>16</v>
      </c>
      <c r="R4717" s="170" t="s">
        <v>515</v>
      </c>
      <c r="S4717" s="150"/>
    </row>
    <row r="4718" spans="1:19">
      <c r="A4718" s="149" t="s">
        <v>6928</v>
      </c>
      <c r="B4718" s="150" t="str">
        <f>IFERROR(VLOOKUP(Proc[[#This Row],[App]],Table2[],3,0),"open")</f>
        <v>ok</v>
      </c>
      <c r="C4718" s="149" t="s">
        <v>369</v>
      </c>
      <c r="D4718" t="s">
        <v>6924</v>
      </c>
      <c r="E4718" t="s">
        <v>6926</v>
      </c>
      <c r="F4718" s="150" t="s">
        <v>6926</v>
      </c>
      <c r="G4718" s="149" t="s">
        <v>400</v>
      </c>
      <c r="H4718" s="150" t="str">
        <f>IF(Proc[[#This Row],[type]]="LFF (MDG-F)",MID(Proc[[#This Row],[Obj]],13,10),"")</f>
        <v/>
      </c>
      <c r="J4718" s="150" t="b">
        <f>Proc[[#This Row],[Requested]]=Proc[[#This Row],[CurrentParent]]</f>
        <v>1</v>
      </c>
      <c r="K4718" s="150" t="str">
        <f>IF(Proc[[#This Row],[Author]]="Marcela Urrego",VLOOKUP(LEFT(Proc[[#This Row],[Requested]],1),Table3[#All],2,0),VLOOKUP(Proc[[#This Row],[Author]],Table4[],2,0))</f>
        <v>MGF</v>
      </c>
      <c r="L4718" s="150" t="s">
        <v>6435</v>
      </c>
      <c r="M4718" s="170">
        <v>45981</v>
      </c>
      <c r="N4718" s="171"/>
      <c r="O4718" s="171"/>
      <c r="P4718" s="170" t="str">
        <f ca="1">IF(Proc[[#This Row],[DaysAgeing]]&gt;5,"yep","on track")</f>
        <v>yep</v>
      </c>
      <c r="Q4718" s="3">
        <f ca="1">IF(Proc[[#This Row],[DateClosed]]="",ABS(NETWORKDAYS(Proc[[#This Row],[DateOpened]],TODAY()))-1,ABS(NETWORKDAYS(Proc[[#This Row],[DateOpened]],Proc[[#This Row],[DateClosed]]))-1)</f>
        <v>16</v>
      </c>
      <c r="R4718" s="170" t="s">
        <v>515</v>
      </c>
      <c r="S4718" s="150"/>
    </row>
    <row r="4719" spans="1:19">
      <c r="A4719" s="149" t="s">
        <v>6928</v>
      </c>
      <c r="B4719" s="150" t="str">
        <f>IFERROR(VLOOKUP(Proc[[#This Row],[App]],Table2[],3,0),"open")</f>
        <v>ok</v>
      </c>
      <c r="C4719" s="149" t="s">
        <v>369</v>
      </c>
      <c r="D4719" t="s">
        <v>1132</v>
      </c>
      <c r="E4719" t="s">
        <v>6927</v>
      </c>
      <c r="F4719" s="150" t="s">
        <v>6927</v>
      </c>
      <c r="G4719" s="149" t="s">
        <v>400</v>
      </c>
      <c r="H4719" s="150" t="str">
        <f>IF(Proc[[#This Row],[type]]="LFF (MDG-F)",MID(Proc[[#This Row],[Obj]],13,10),"")</f>
        <v/>
      </c>
      <c r="J4719" s="150" t="b">
        <f>Proc[[#This Row],[Requested]]=Proc[[#This Row],[CurrentParent]]</f>
        <v>1</v>
      </c>
      <c r="K4719" s="150" t="str">
        <f>IF(Proc[[#This Row],[Author]]="Marcela Urrego",VLOOKUP(LEFT(Proc[[#This Row],[Requested]],1),Table3[#All],2,0),VLOOKUP(Proc[[#This Row],[Author]],Table4[],2,0))</f>
        <v>MGF</v>
      </c>
      <c r="L4719" s="150" t="s">
        <v>6435</v>
      </c>
      <c r="M4719" s="170">
        <v>45981</v>
      </c>
      <c r="N4719" s="171"/>
      <c r="O4719" s="171"/>
      <c r="P4719" s="170" t="str">
        <f ca="1">IF(Proc[[#This Row],[DaysAgeing]]&gt;5,"yep","on track")</f>
        <v>yep</v>
      </c>
      <c r="Q4719" s="3">
        <f ca="1">IF(Proc[[#This Row],[DateClosed]]="",ABS(NETWORKDAYS(Proc[[#This Row],[DateOpened]],TODAY()))-1,ABS(NETWORKDAYS(Proc[[#This Row],[DateOpened]],Proc[[#This Row],[DateClosed]]))-1)</f>
        <v>16</v>
      </c>
      <c r="R4719" s="170" t="s">
        <v>515</v>
      </c>
      <c r="S4719" s="150"/>
    </row>
    <row r="4720" spans="1:19">
      <c r="A4720" s="149" t="s">
        <v>6928</v>
      </c>
      <c r="B4720" s="150" t="str">
        <f>IFERROR(VLOOKUP(Proc[[#This Row],[App]],Table2[],3,0),"open")</f>
        <v>ok</v>
      </c>
      <c r="C4720" s="149" t="s">
        <v>369</v>
      </c>
      <c r="D4720" t="s">
        <v>1820</v>
      </c>
      <c r="E4720" t="s">
        <v>6927</v>
      </c>
      <c r="F4720" s="150" t="s">
        <v>6927</v>
      </c>
      <c r="G4720" s="149" t="s">
        <v>406</v>
      </c>
      <c r="H4720" s="150" t="str">
        <f>IF(Proc[[#This Row],[type]]="LFF (MDG-F)",MID(Proc[[#This Row],[Obj]],13,10),"")</f>
        <v>DE10G69660</v>
      </c>
      <c r="J4720" s="150" t="b">
        <f>Proc[[#This Row],[Requested]]=Proc[[#This Row],[CurrentParent]]</f>
        <v>1</v>
      </c>
      <c r="K4720" s="150" t="str">
        <f>IF(Proc[[#This Row],[Author]]="Marcela Urrego",VLOOKUP(LEFT(Proc[[#This Row],[Requested]],1),Table3[#All],2,0),VLOOKUP(Proc[[#This Row],[Author]],Table4[],2,0))</f>
        <v>MGF</v>
      </c>
      <c r="L4720" s="150" t="s">
        <v>6435</v>
      </c>
      <c r="M4720" s="170">
        <v>45981</v>
      </c>
      <c r="N4720" s="171"/>
      <c r="O4720" s="171"/>
      <c r="P4720" s="170" t="str">
        <f ca="1">IF(Proc[[#This Row],[DaysAgeing]]&gt;5,"yep","on track")</f>
        <v>yep</v>
      </c>
      <c r="Q4720" s="3">
        <f ca="1">IF(Proc[[#This Row],[DateClosed]]="",ABS(NETWORKDAYS(Proc[[#This Row],[DateOpened]],TODAY()))-1,ABS(NETWORKDAYS(Proc[[#This Row],[DateOpened]],Proc[[#This Row],[DateClosed]]))-1)</f>
        <v>16</v>
      </c>
      <c r="R4720" s="170" t="s">
        <v>515</v>
      </c>
      <c r="S4720" s="150"/>
    </row>
    <row r="4721" spans="1:19">
      <c r="A4721" s="149" t="s">
        <v>6928</v>
      </c>
      <c r="B4721" s="150" t="str">
        <f>IFERROR(VLOOKUP(Proc[[#This Row],[App]],Table2[],3,0),"open")</f>
        <v>ok</v>
      </c>
      <c r="C4721" s="149" t="s">
        <v>369</v>
      </c>
      <c r="D4721" t="s">
        <v>6925</v>
      </c>
      <c r="E4721" t="s">
        <v>6926</v>
      </c>
      <c r="F4721" s="150" t="s">
        <v>6926</v>
      </c>
      <c r="G4721" s="149" t="s">
        <v>400</v>
      </c>
      <c r="H4721" s="150" t="str">
        <f>IF(Proc[[#This Row],[type]]="LFF (MDG-F)",MID(Proc[[#This Row],[Obj]],13,10),"")</f>
        <v/>
      </c>
      <c r="J4721" s="150" t="b">
        <f>Proc[[#This Row],[Requested]]=Proc[[#This Row],[CurrentParent]]</f>
        <v>1</v>
      </c>
      <c r="K4721" s="150" t="str">
        <f>IF(Proc[[#This Row],[Author]]="Marcela Urrego",VLOOKUP(LEFT(Proc[[#This Row],[Requested]],1),Table3[#All],2,0),VLOOKUP(Proc[[#This Row],[Author]],Table4[],2,0))</f>
        <v>MGF</v>
      </c>
      <c r="L4721" s="150" t="s">
        <v>6435</v>
      </c>
      <c r="M4721" s="170">
        <v>45981</v>
      </c>
      <c r="N4721" s="171"/>
      <c r="O4721" s="171"/>
      <c r="P4721" s="170" t="str">
        <f ca="1">IF(Proc[[#This Row],[DaysAgeing]]&gt;5,"yep","on track")</f>
        <v>yep</v>
      </c>
      <c r="Q4721" s="3">
        <f ca="1">IF(Proc[[#This Row],[DateClosed]]="",ABS(NETWORKDAYS(Proc[[#This Row],[DateOpened]],TODAY()))-1,ABS(NETWORKDAYS(Proc[[#This Row],[DateOpened]],Proc[[#This Row],[DateClosed]]))-1)</f>
        <v>16</v>
      </c>
      <c r="R4721" s="170" t="s">
        <v>515</v>
      </c>
      <c r="S4721" s="150"/>
    </row>
    <row r="4722" spans="1:19">
      <c r="A4722" t="s">
        <v>6929</v>
      </c>
      <c r="B4722" s="150" t="str">
        <f>IFERROR(VLOOKUP(Proc[[#This Row],[App]],Table2[],3,0),"open")</f>
        <v>ok</v>
      </c>
      <c r="C4722" s="149" t="s">
        <v>369</v>
      </c>
      <c r="D4722" t="s">
        <v>6847</v>
      </c>
      <c r="E4722" t="s">
        <v>6852</v>
      </c>
      <c r="F4722" s="150" t="s">
        <v>6852</v>
      </c>
      <c r="G4722" t="s">
        <v>400</v>
      </c>
      <c r="H4722" s="150" t="str">
        <f>IF(Proc[[#This Row],[type]]="LFF (MDG-F)",MID(Proc[[#This Row],[Obj]],13,10),"")</f>
        <v/>
      </c>
      <c r="J4722" s="150" t="b">
        <f>Proc[[#This Row],[Requested]]=Proc[[#This Row],[CurrentParent]]</f>
        <v>1</v>
      </c>
      <c r="K4722" s="150" t="str">
        <f>IF(Proc[[#This Row],[Author]]="Marcela Urrego",VLOOKUP(LEFT(Proc[[#This Row],[Requested]],1),Table3[#All],2,0),VLOOKUP(Proc[[#This Row],[Author]],Table4[],2,0))</f>
        <v>LS</v>
      </c>
      <c r="L4722" s="150" t="s">
        <v>6435</v>
      </c>
      <c r="M4722" s="170">
        <v>45983</v>
      </c>
      <c r="N4722" s="171"/>
      <c r="O4722" s="171"/>
      <c r="P4722" s="170" t="str">
        <f ca="1">IF(Proc[[#This Row],[DaysAgeing]]&gt;5,"yep","on track")</f>
        <v>yep</v>
      </c>
      <c r="Q4722" s="3">
        <f ca="1">IF(Proc[[#This Row],[DateClosed]]="",ABS(NETWORKDAYS(Proc[[#This Row],[DateOpened]],TODAY()))-1,ABS(NETWORKDAYS(Proc[[#This Row],[DateOpened]],Proc[[#This Row],[DateClosed]]))-1)</f>
        <v>14</v>
      </c>
      <c r="R4722" s="170" t="s">
        <v>489</v>
      </c>
      <c r="S4722" s="150"/>
    </row>
    <row r="4723" spans="1:19">
      <c r="A4723" s="149" t="s">
        <v>6929</v>
      </c>
      <c r="B4723" s="150" t="str">
        <f>IFERROR(VLOOKUP(Proc[[#This Row],[App]],Table2[],3,0),"open")</f>
        <v>ok</v>
      </c>
      <c r="C4723" s="149" t="s">
        <v>369</v>
      </c>
      <c r="D4723" t="s">
        <v>6831</v>
      </c>
      <c r="E4723" t="s">
        <v>2206</v>
      </c>
      <c r="F4723" s="150" t="s">
        <v>2206</v>
      </c>
      <c r="G4723" s="149" t="s">
        <v>400</v>
      </c>
      <c r="H4723" s="150" t="str">
        <f>IF(Proc[[#This Row],[type]]="LFF (MDG-F)",MID(Proc[[#This Row],[Obj]],13,10),"")</f>
        <v/>
      </c>
      <c r="J4723" s="150" t="b">
        <f>Proc[[#This Row],[Requested]]=Proc[[#This Row],[CurrentParent]]</f>
        <v>1</v>
      </c>
      <c r="K4723" s="150" t="str">
        <f>IF(Proc[[#This Row],[Author]]="Marcela Urrego",VLOOKUP(LEFT(Proc[[#This Row],[Requested]],1),Table3[#All],2,0),VLOOKUP(Proc[[#This Row],[Author]],Table4[],2,0))</f>
        <v>LS</v>
      </c>
      <c r="L4723" s="150" t="s">
        <v>6435</v>
      </c>
      <c r="M4723" s="170">
        <v>45983</v>
      </c>
      <c r="N4723" s="171"/>
      <c r="O4723" s="171"/>
      <c r="P4723" s="170" t="str">
        <f ca="1">IF(Proc[[#This Row],[DaysAgeing]]&gt;5,"yep","on track")</f>
        <v>yep</v>
      </c>
      <c r="Q4723" s="3">
        <f ca="1">IF(Proc[[#This Row],[DateClosed]]="",ABS(NETWORKDAYS(Proc[[#This Row],[DateOpened]],TODAY()))-1,ABS(NETWORKDAYS(Proc[[#This Row],[DateOpened]],Proc[[#This Row],[DateClosed]]))-1)</f>
        <v>14</v>
      </c>
      <c r="R4723" s="170" t="s">
        <v>489</v>
      </c>
      <c r="S4723" s="150"/>
    </row>
    <row r="4724" spans="1:19">
      <c r="A4724" s="149" t="s">
        <v>6929</v>
      </c>
      <c r="B4724" s="150" t="str">
        <f>IFERROR(VLOOKUP(Proc[[#This Row],[App]],Table2[],3,0),"open")</f>
        <v>ok</v>
      </c>
      <c r="C4724" s="149" t="s">
        <v>369</v>
      </c>
      <c r="D4724" t="s">
        <v>6832</v>
      </c>
      <c r="E4724" t="s">
        <v>2206</v>
      </c>
      <c r="F4724" s="150" t="s">
        <v>2206</v>
      </c>
      <c r="G4724" s="149" t="s">
        <v>400</v>
      </c>
      <c r="H4724" s="150" t="str">
        <f>IF(Proc[[#This Row],[type]]="LFF (MDG-F)",MID(Proc[[#This Row],[Obj]],13,10),"")</f>
        <v/>
      </c>
      <c r="J4724" s="150" t="b">
        <f>Proc[[#This Row],[Requested]]=Proc[[#This Row],[CurrentParent]]</f>
        <v>1</v>
      </c>
      <c r="K4724" s="150" t="str">
        <f>IF(Proc[[#This Row],[Author]]="Marcela Urrego",VLOOKUP(LEFT(Proc[[#This Row],[Requested]],1),Table3[#All],2,0),VLOOKUP(Proc[[#This Row],[Author]],Table4[],2,0))</f>
        <v>LS</v>
      </c>
      <c r="L4724" s="150" t="s">
        <v>6435</v>
      </c>
      <c r="M4724" s="170">
        <v>45983</v>
      </c>
      <c r="N4724" s="171"/>
      <c r="O4724" s="171"/>
      <c r="P4724" s="170" t="str">
        <f ca="1">IF(Proc[[#This Row],[DaysAgeing]]&gt;5,"yep","on track")</f>
        <v>yep</v>
      </c>
      <c r="Q4724" s="3">
        <f ca="1">IF(Proc[[#This Row],[DateClosed]]="",ABS(NETWORKDAYS(Proc[[#This Row],[DateOpened]],TODAY()))-1,ABS(NETWORKDAYS(Proc[[#This Row],[DateOpened]],Proc[[#This Row],[DateClosed]]))-1)</f>
        <v>14</v>
      </c>
      <c r="R4724" s="170" t="s">
        <v>489</v>
      </c>
      <c r="S4724" s="150"/>
    </row>
    <row r="4725" spans="1:19">
      <c r="A4725" s="149" t="s">
        <v>6929</v>
      </c>
      <c r="B4725" s="150" t="str">
        <f>IFERROR(VLOOKUP(Proc[[#This Row],[App]],Table2[],3,0),"open")</f>
        <v>ok</v>
      </c>
      <c r="C4725" s="149" t="s">
        <v>369</v>
      </c>
      <c r="D4725" t="s">
        <v>6930</v>
      </c>
      <c r="E4725" t="s">
        <v>2191</v>
      </c>
      <c r="F4725" s="150" t="s">
        <v>2191</v>
      </c>
      <c r="G4725" s="149" t="s">
        <v>400</v>
      </c>
      <c r="H4725" s="150" t="str">
        <f>IF(Proc[[#This Row],[type]]="LFF (MDG-F)",MID(Proc[[#This Row],[Obj]],13,10),"")</f>
        <v/>
      </c>
      <c r="J4725" s="150" t="b">
        <f>Proc[[#This Row],[Requested]]=Proc[[#This Row],[CurrentParent]]</f>
        <v>1</v>
      </c>
      <c r="K4725" s="150" t="str">
        <f>IF(Proc[[#This Row],[Author]]="Marcela Urrego",VLOOKUP(LEFT(Proc[[#This Row],[Requested]],1),Table3[#All],2,0),VLOOKUP(Proc[[#This Row],[Author]],Table4[],2,0))</f>
        <v>LS</v>
      </c>
      <c r="L4725" s="150" t="s">
        <v>6435</v>
      </c>
      <c r="M4725" s="170">
        <v>45983</v>
      </c>
      <c r="N4725" s="171"/>
      <c r="O4725" s="171"/>
      <c r="P4725" s="170" t="str">
        <f ca="1">IF(Proc[[#This Row],[DaysAgeing]]&gt;5,"yep","on track")</f>
        <v>yep</v>
      </c>
      <c r="Q4725" s="3">
        <f ca="1">IF(Proc[[#This Row],[DateClosed]]="",ABS(NETWORKDAYS(Proc[[#This Row],[DateOpened]],TODAY()))-1,ABS(NETWORKDAYS(Proc[[#This Row],[DateOpened]],Proc[[#This Row],[DateClosed]]))-1)</f>
        <v>14</v>
      </c>
      <c r="R4725" s="170" t="s">
        <v>489</v>
      </c>
      <c r="S4725" s="150"/>
    </row>
    <row r="4726" spans="1:19">
      <c r="A4726" s="149" t="s">
        <v>6929</v>
      </c>
      <c r="B4726" s="150" t="str">
        <f>IFERROR(VLOOKUP(Proc[[#This Row],[App]],Table2[],3,0),"open")</f>
        <v>ok</v>
      </c>
      <c r="C4726" s="149" t="s">
        <v>369</v>
      </c>
      <c r="D4726" t="s">
        <v>6967</v>
      </c>
      <c r="E4726" t="s">
        <v>6932</v>
      </c>
      <c r="F4726" s="150" t="s">
        <v>6932</v>
      </c>
      <c r="G4726" s="149" t="s">
        <v>400</v>
      </c>
      <c r="H4726" s="150" t="str">
        <f>IF(Proc[[#This Row],[type]]="LFF (MDG-F)",MID(Proc[[#This Row],[Obj]],13,10),"")</f>
        <v/>
      </c>
      <c r="J4726" s="150" t="b">
        <f>Proc[[#This Row],[Requested]]=Proc[[#This Row],[CurrentParent]]</f>
        <v>1</v>
      </c>
      <c r="K4726" s="150" t="str">
        <f>IF(Proc[[#This Row],[Author]]="Marcela Urrego",VLOOKUP(LEFT(Proc[[#This Row],[Requested]],1),Table3[#All],2,0),VLOOKUP(Proc[[#This Row],[Author]],Table4[],2,0))</f>
        <v>LS</v>
      </c>
      <c r="L4726" s="150" t="s">
        <v>6435</v>
      </c>
      <c r="M4726" s="170">
        <v>45983</v>
      </c>
      <c r="N4726" s="171"/>
      <c r="O4726" s="171"/>
      <c r="P4726" s="170" t="str">
        <f ca="1">IF(Proc[[#This Row],[DaysAgeing]]&gt;5,"yep","on track")</f>
        <v>yep</v>
      </c>
      <c r="Q4726" s="3">
        <f ca="1">IF(Proc[[#This Row],[DateClosed]]="",ABS(NETWORKDAYS(Proc[[#This Row],[DateOpened]],TODAY()))-1,ABS(NETWORKDAYS(Proc[[#This Row],[DateOpened]],Proc[[#This Row],[DateClosed]]))-1)</f>
        <v>14</v>
      </c>
      <c r="R4726" s="170" t="s">
        <v>489</v>
      </c>
      <c r="S4726" s="150"/>
    </row>
    <row r="4727" spans="1:19">
      <c r="A4727" s="149" t="s">
        <v>6929</v>
      </c>
      <c r="B4727" s="150" t="str">
        <f>IFERROR(VLOOKUP(Proc[[#This Row],[App]],Table2[],3,0),"open")</f>
        <v>ok</v>
      </c>
      <c r="C4727" s="149" t="s">
        <v>369</v>
      </c>
      <c r="D4727" t="s">
        <v>6931</v>
      </c>
      <c r="E4727" t="s">
        <v>6933</v>
      </c>
      <c r="F4727" s="150" t="s">
        <v>6933</v>
      </c>
      <c r="G4727" s="149" t="s">
        <v>400</v>
      </c>
      <c r="H4727" s="150" t="str">
        <f>IF(Proc[[#This Row],[type]]="LFF (MDG-F)",MID(Proc[[#This Row],[Obj]],13,10),"")</f>
        <v/>
      </c>
      <c r="J4727" s="150" t="b">
        <f>Proc[[#This Row],[Requested]]=Proc[[#This Row],[CurrentParent]]</f>
        <v>1</v>
      </c>
      <c r="K4727" s="150" t="str">
        <f>IF(Proc[[#This Row],[Author]]="Marcela Urrego",VLOOKUP(LEFT(Proc[[#This Row],[Requested]],1),Table3[#All],2,0),VLOOKUP(Proc[[#This Row],[Author]],Table4[],2,0))</f>
        <v>LS</v>
      </c>
      <c r="L4727" s="150" t="s">
        <v>6435</v>
      </c>
      <c r="M4727" s="170">
        <v>45983</v>
      </c>
      <c r="N4727" s="171"/>
      <c r="O4727" s="171"/>
      <c r="P4727" s="170" t="str">
        <f ca="1">IF(Proc[[#This Row],[DaysAgeing]]&gt;5,"yep","on track")</f>
        <v>yep</v>
      </c>
      <c r="Q4727" s="3">
        <f ca="1">IF(Proc[[#This Row],[DateClosed]]="",ABS(NETWORKDAYS(Proc[[#This Row],[DateOpened]],TODAY()))-1,ABS(NETWORKDAYS(Proc[[#This Row],[DateOpened]],Proc[[#This Row],[DateClosed]]))-1)</f>
        <v>14</v>
      </c>
      <c r="R4727" s="170" t="s">
        <v>489</v>
      </c>
      <c r="S4727" s="150"/>
    </row>
    <row r="4728" spans="1:19">
      <c r="A4728" t="s">
        <v>6934</v>
      </c>
      <c r="B4728" s="150" t="str">
        <f>IFERROR(VLOOKUP(Proc[[#This Row],[App]],Table2[],3,0),"open")</f>
        <v>ok</v>
      </c>
      <c r="C4728" s="149" t="s">
        <v>369</v>
      </c>
      <c r="D4728" t="s">
        <v>3494</v>
      </c>
      <c r="E4728" t="s">
        <v>1974</v>
      </c>
      <c r="F4728" s="150" t="s">
        <v>1974</v>
      </c>
      <c r="G4728" s="149" t="s">
        <v>400</v>
      </c>
      <c r="H4728" s="150" t="str">
        <f>IF(Proc[[#This Row],[type]]="LFF (MDG-F)",MID(Proc[[#This Row],[Obj]],13,10),"")</f>
        <v/>
      </c>
      <c r="J4728" s="150" t="b">
        <f>Proc[[#This Row],[Requested]]=Proc[[#This Row],[CurrentParent]]</f>
        <v>1</v>
      </c>
      <c r="K4728" s="150" t="str">
        <f>IF(Proc[[#This Row],[Author]]="Marcela Urrego",VLOOKUP(LEFT(Proc[[#This Row],[Requested]],1),Table3[#All],2,0),VLOOKUP(Proc[[#This Row],[Author]],Table4[],2,0))</f>
        <v>LS</v>
      </c>
      <c r="L4728" s="150" t="s">
        <v>6435</v>
      </c>
      <c r="M4728" s="170">
        <v>45983</v>
      </c>
      <c r="N4728" s="171"/>
      <c r="O4728" s="171"/>
      <c r="P4728" s="170" t="str">
        <f ca="1">IF(Proc[[#This Row],[DaysAgeing]]&gt;5,"yep","on track")</f>
        <v>yep</v>
      </c>
      <c r="Q4728" s="3">
        <f ca="1">IF(Proc[[#This Row],[DateClosed]]="",ABS(NETWORKDAYS(Proc[[#This Row],[DateOpened]],TODAY()))-1,ABS(NETWORKDAYS(Proc[[#This Row],[DateOpened]],Proc[[#This Row],[DateClosed]]))-1)</f>
        <v>14</v>
      </c>
      <c r="R4728" s="170" t="s">
        <v>489</v>
      </c>
      <c r="S4728" s="150"/>
    </row>
    <row r="4729" spans="1:19">
      <c r="A4729" s="149" t="s">
        <v>6934</v>
      </c>
      <c r="B4729" s="150" t="str">
        <f>IFERROR(VLOOKUP(Proc[[#This Row],[App]],Table2[],3,0),"open")</f>
        <v>ok</v>
      </c>
      <c r="C4729" s="149" t="s">
        <v>369</v>
      </c>
      <c r="D4729" t="s">
        <v>6935</v>
      </c>
      <c r="E4729" t="s">
        <v>6954</v>
      </c>
      <c r="F4729" s="150" t="s">
        <v>6954</v>
      </c>
      <c r="G4729" s="149" t="s">
        <v>400</v>
      </c>
      <c r="H4729" s="150" t="str">
        <f>IF(Proc[[#This Row],[type]]="LFF (MDG-F)",MID(Proc[[#This Row],[Obj]],13,10),"")</f>
        <v/>
      </c>
      <c r="J4729" s="150" t="b">
        <f>Proc[[#This Row],[Requested]]=Proc[[#This Row],[CurrentParent]]</f>
        <v>1</v>
      </c>
      <c r="K4729" s="150" t="str">
        <f>IF(Proc[[#This Row],[Author]]="Marcela Urrego",VLOOKUP(LEFT(Proc[[#This Row],[Requested]],1),Table3[#All],2,0),VLOOKUP(Proc[[#This Row],[Author]],Table4[],2,0))</f>
        <v>LS</v>
      </c>
      <c r="L4729" s="150" t="s">
        <v>6435</v>
      </c>
      <c r="M4729" s="170">
        <v>45983</v>
      </c>
      <c r="N4729" s="171"/>
      <c r="O4729" s="171"/>
      <c r="P4729" s="170" t="str">
        <f ca="1">IF(Proc[[#This Row],[DaysAgeing]]&gt;5,"yep","on track")</f>
        <v>yep</v>
      </c>
      <c r="Q4729" s="3">
        <f ca="1">IF(Proc[[#This Row],[DateClosed]]="",ABS(NETWORKDAYS(Proc[[#This Row],[DateOpened]],TODAY()))-1,ABS(NETWORKDAYS(Proc[[#This Row],[DateOpened]],Proc[[#This Row],[DateClosed]]))-1)</f>
        <v>14</v>
      </c>
      <c r="R4729" s="170" t="s">
        <v>489</v>
      </c>
      <c r="S4729" s="150"/>
    </row>
    <row r="4730" spans="1:19">
      <c r="A4730" s="149" t="s">
        <v>6934</v>
      </c>
      <c r="B4730" s="150" t="str">
        <f>IFERROR(VLOOKUP(Proc[[#This Row],[App]],Table2[],3,0),"open")</f>
        <v>ok</v>
      </c>
      <c r="C4730" s="149" t="s">
        <v>369</v>
      </c>
      <c r="D4730" t="s">
        <v>6936</v>
      </c>
      <c r="E4730" t="s">
        <v>3521</v>
      </c>
      <c r="F4730" s="150" t="s">
        <v>3521</v>
      </c>
      <c r="G4730" s="149" t="s">
        <v>400</v>
      </c>
      <c r="H4730" s="150" t="str">
        <f>IF(Proc[[#This Row],[type]]="LFF (MDG-F)",MID(Proc[[#This Row],[Obj]],13,10),"")</f>
        <v/>
      </c>
      <c r="J4730" s="150" t="b">
        <f>Proc[[#This Row],[Requested]]=Proc[[#This Row],[CurrentParent]]</f>
        <v>1</v>
      </c>
      <c r="K4730" s="150" t="str">
        <f>IF(Proc[[#This Row],[Author]]="Marcela Urrego",VLOOKUP(LEFT(Proc[[#This Row],[Requested]],1),Table3[#All],2,0),VLOOKUP(Proc[[#This Row],[Author]],Table4[],2,0))</f>
        <v>LS</v>
      </c>
      <c r="L4730" s="150" t="s">
        <v>6435</v>
      </c>
      <c r="M4730" s="170">
        <v>45983</v>
      </c>
      <c r="N4730" s="171"/>
      <c r="O4730" s="171"/>
      <c r="P4730" s="170" t="str">
        <f ca="1">IF(Proc[[#This Row],[DaysAgeing]]&gt;5,"yep","on track")</f>
        <v>yep</v>
      </c>
      <c r="Q4730" s="3">
        <f ca="1">IF(Proc[[#This Row],[DateClosed]]="",ABS(NETWORKDAYS(Proc[[#This Row],[DateOpened]],TODAY()))-1,ABS(NETWORKDAYS(Proc[[#This Row],[DateOpened]],Proc[[#This Row],[DateClosed]]))-1)</f>
        <v>14</v>
      </c>
      <c r="R4730" s="170" t="s">
        <v>489</v>
      </c>
      <c r="S4730" s="150"/>
    </row>
    <row r="4731" spans="1:19">
      <c r="A4731" s="149" t="s">
        <v>6934</v>
      </c>
      <c r="B4731" s="150" t="str">
        <f>IFERROR(VLOOKUP(Proc[[#This Row],[App]],Table2[],3,0),"open")</f>
        <v>ok</v>
      </c>
      <c r="C4731" s="149" t="s">
        <v>369</v>
      </c>
      <c r="D4731" t="s">
        <v>6937</v>
      </c>
      <c r="E4731" t="s">
        <v>3521</v>
      </c>
      <c r="F4731" s="150" t="s">
        <v>3521</v>
      </c>
      <c r="G4731" s="149" t="s">
        <v>400</v>
      </c>
      <c r="H4731" s="150" t="str">
        <f>IF(Proc[[#This Row],[type]]="LFF (MDG-F)",MID(Proc[[#This Row],[Obj]],13,10),"")</f>
        <v/>
      </c>
      <c r="J4731" s="150" t="b">
        <f>Proc[[#This Row],[Requested]]=Proc[[#This Row],[CurrentParent]]</f>
        <v>1</v>
      </c>
      <c r="K4731" s="150" t="str">
        <f>IF(Proc[[#This Row],[Author]]="Marcela Urrego",VLOOKUP(LEFT(Proc[[#This Row],[Requested]],1),Table3[#All],2,0),VLOOKUP(Proc[[#This Row],[Author]],Table4[],2,0))</f>
        <v>LS</v>
      </c>
      <c r="L4731" s="150" t="s">
        <v>6435</v>
      </c>
      <c r="M4731" s="170">
        <v>45983</v>
      </c>
      <c r="N4731" s="171"/>
      <c r="O4731" s="171"/>
      <c r="P4731" s="170" t="str">
        <f ca="1">IF(Proc[[#This Row],[DaysAgeing]]&gt;5,"yep","on track")</f>
        <v>yep</v>
      </c>
      <c r="Q4731" s="3">
        <f ca="1">IF(Proc[[#This Row],[DateClosed]]="",ABS(NETWORKDAYS(Proc[[#This Row],[DateOpened]],TODAY()))-1,ABS(NETWORKDAYS(Proc[[#This Row],[DateOpened]],Proc[[#This Row],[DateClosed]]))-1)</f>
        <v>14</v>
      </c>
      <c r="R4731" s="170" t="s">
        <v>489</v>
      </c>
      <c r="S4731" s="150"/>
    </row>
    <row r="4732" spans="1:19">
      <c r="A4732" s="149" t="s">
        <v>6934</v>
      </c>
      <c r="B4732" s="150" t="str">
        <f>IFERROR(VLOOKUP(Proc[[#This Row],[App]],Table2[],3,0),"open")</f>
        <v>ok</v>
      </c>
      <c r="C4732" s="149" t="s">
        <v>369</v>
      </c>
      <c r="D4732" t="s">
        <v>6938</v>
      </c>
      <c r="E4732" t="s">
        <v>3521</v>
      </c>
      <c r="F4732" s="150" t="s">
        <v>3521</v>
      </c>
      <c r="G4732" s="149" t="s">
        <v>400</v>
      </c>
      <c r="H4732" s="150" t="str">
        <f>IF(Proc[[#This Row],[type]]="LFF (MDG-F)",MID(Proc[[#This Row],[Obj]],13,10),"")</f>
        <v/>
      </c>
      <c r="J4732" s="150" t="b">
        <f>Proc[[#This Row],[Requested]]=Proc[[#This Row],[CurrentParent]]</f>
        <v>1</v>
      </c>
      <c r="K4732" s="150" t="str">
        <f>IF(Proc[[#This Row],[Author]]="Marcela Urrego",VLOOKUP(LEFT(Proc[[#This Row],[Requested]],1),Table3[#All],2,0),VLOOKUP(Proc[[#This Row],[Author]],Table4[],2,0))</f>
        <v>LS</v>
      </c>
      <c r="L4732" s="150" t="s">
        <v>6435</v>
      </c>
      <c r="M4732" s="170">
        <v>45983</v>
      </c>
      <c r="N4732" s="171"/>
      <c r="O4732" s="171"/>
      <c r="P4732" s="170" t="str">
        <f ca="1">IF(Proc[[#This Row],[DaysAgeing]]&gt;5,"yep","on track")</f>
        <v>yep</v>
      </c>
      <c r="Q4732" s="3">
        <f ca="1">IF(Proc[[#This Row],[DateClosed]]="",ABS(NETWORKDAYS(Proc[[#This Row],[DateOpened]],TODAY()))-1,ABS(NETWORKDAYS(Proc[[#This Row],[DateOpened]],Proc[[#This Row],[DateClosed]]))-1)</f>
        <v>14</v>
      </c>
      <c r="R4732" s="170" t="s">
        <v>489</v>
      </c>
      <c r="S4732" s="150"/>
    </row>
    <row r="4733" spans="1:19">
      <c r="A4733" s="149" t="s">
        <v>6934</v>
      </c>
      <c r="B4733" s="150" t="str">
        <f>IFERROR(VLOOKUP(Proc[[#This Row],[App]],Table2[],3,0),"open")</f>
        <v>ok</v>
      </c>
      <c r="C4733" s="149" t="s">
        <v>369</v>
      </c>
      <c r="D4733" t="s">
        <v>5789</v>
      </c>
      <c r="E4733" t="s">
        <v>6955</v>
      </c>
      <c r="F4733" s="150" t="s">
        <v>6955</v>
      </c>
      <c r="G4733" s="149" t="s">
        <v>400</v>
      </c>
      <c r="H4733" s="150" t="str">
        <f>IF(Proc[[#This Row],[type]]="LFF (MDG-F)",MID(Proc[[#This Row],[Obj]],13,10),"")</f>
        <v/>
      </c>
      <c r="J4733" s="150" t="b">
        <f>Proc[[#This Row],[Requested]]=Proc[[#This Row],[CurrentParent]]</f>
        <v>1</v>
      </c>
      <c r="K4733" s="150" t="str">
        <f>IF(Proc[[#This Row],[Author]]="Marcela Urrego",VLOOKUP(LEFT(Proc[[#This Row],[Requested]],1),Table3[#All],2,0),VLOOKUP(Proc[[#This Row],[Author]],Table4[],2,0))</f>
        <v>LS</v>
      </c>
      <c r="L4733" s="150" t="s">
        <v>6435</v>
      </c>
      <c r="M4733" s="170">
        <v>45983</v>
      </c>
      <c r="N4733" s="171"/>
      <c r="O4733" s="171"/>
      <c r="P4733" s="170" t="str">
        <f ca="1">IF(Proc[[#This Row],[DaysAgeing]]&gt;5,"yep","on track")</f>
        <v>yep</v>
      </c>
      <c r="Q4733" s="3">
        <f ca="1">IF(Proc[[#This Row],[DateClosed]]="",ABS(NETWORKDAYS(Proc[[#This Row],[DateOpened]],TODAY()))-1,ABS(NETWORKDAYS(Proc[[#This Row],[DateOpened]],Proc[[#This Row],[DateClosed]]))-1)</f>
        <v>14</v>
      </c>
      <c r="R4733" s="170" t="s">
        <v>489</v>
      </c>
      <c r="S4733" s="150"/>
    </row>
    <row r="4734" spans="1:19">
      <c r="A4734" s="149" t="s">
        <v>6934</v>
      </c>
      <c r="B4734" s="150" t="str">
        <f>IFERROR(VLOOKUP(Proc[[#This Row],[App]],Table2[],3,0),"open")</f>
        <v>ok</v>
      </c>
      <c r="C4734" s="149" t="s">
        <v>369</v>
      </c>
      <c r="D4734" t="s">
        <v>3485</v>
      </c>
      <c r="E4734" t="s">
        <v>3532</v>
      </c>
      <c r="F4734" s="150" t="s">
        <v>3532</v>
      </c>
      <c r="G4734" s="149" t="s">
        <v>400</v>
      </c>
      <c r="H4734" s="150" t="str">
        <f>IF(Proc[[#This Row],[type]]="LFF (MDG-F)",MID(Proc[[#This Row],[Obj]],13,10),"")</f>
        <v/>
      </c>
      <c r="J4734" s="150" t="b">
        <f>Proc[[#This Row],[Requested]]=Proc[[#This Row],[CurrentParent]]</f>
        <v>1</v>
      </c>
      <c r="K4734" s="150" t="str">
        <f>IF(Proc[[#This Row],[Author]]="Marcela Urrego",VLOOKUP(LEFT(Proc[[#This Row],[Requested]],1),Table3[#All],2,0),VLOOKUP(Proc[[#This Row],[Author]],Table4[],2,0))</f>
        <v>LS</v>
      </c>
      <c r="L4734" s="150" t="s">
        <v>6435</v>
      </c>
      <c r="M4734" s="170">
        <v>45983</v>
      </c>
      <c r="N4734" s="171"/>
      <c r="O4734" s="171"/>
      <c r="P4734" s="170" t="str">
        <f ca="1">IF(Proc[[#This Row],[DaysAgeing]]&gt;5,"yep","on track")</f>
        <v>yep</v>
      </c>
      <c r="Q4734" s="3">
        <f ca="1">IF(Proc[[#This Row],[DateClosed]]="",ABS(NETWORKDAYS(Proc[[#This Row],[DateOpened]],TODAY()))-1,ABS(NETWORKDAYS(Proc[[#This Row],[DateOpened]],Proc[[#This Row],[DateClosed]]))-1)</f>
        <v>14</v>
      </c>
      <c r="R4734" s="170" t="s">
        <v>489</v>
      </c>
      <c r="S4734" s="150"/>
    </row>
    <row r="4735" spans="1:19">
      <c r="A4735" s="149" t="s">
        <v>6934</v>
      </c>
      <c r="B4735" s="150" t="str">
        <f>IFERROR(VLOOKUP(Proc[[#This Row],[App]],Table2[],3,0),"open")</f>
        <v>ok</v>
      </c>
      <c r="C4735" s="149" t="s">
        <v>369</v>
      </c>
      <c r="D4735" t="s">
        <v>3454</v>
      </c>
      <c r="E4735" t="s">
        <v>6956</v>
      </c>
      <c r="F4735" s="150" t="s">
        <v>6956</v>
      </c>
      <c r="G4735" s="149" t="s">
        <v>400</v>
      </c>
      <c r="H4735" s="150" t="str">
        <f>IF(Proc[[#This Row],[type]]="LFF (MDG-F)",MID(Proc[[#This Row],[Obj]],13,10),"")</f>
        <v/>
      </c>
      <c r="J4735" s="150" t="b">
        <f>Proc[[#This Row],[Requested]]=Proc[[#This Row],[CurrentParent]]</f>
        <v>1</v>
      </c>
      <c r="K4735" s="150" t="str">
        <f>IF(Proc[[#This Row],[Author]]="Marcela Urrego",VLOOKUP(LEFT(Proc[[#This Row],[Requested]],1),Table3[#All],2,0),VLOOKUP(Proc[[#This Row],[Author]],Table4[],2,0))</f>
        <v>LS</v>
      </c>
      <c r="L4735" s="150" t="s">
        <v>6435</v>
      </c>
      <c r="M4735" s="170">
        <v>45983</v>
      </c>
      <c r="N4735" s="171"/>
      <c r="O4735" s="171"/>
      <c r="P4735" s="170" t="str">
        <f ca="1">IF(Proc[[#This Row],[DaysAgeing]]&gt;5,"yep","on track")</f>
        <v>yep</v>
      </c>
      <c r="Q4735" s="3">
        <f ca="1">IF(Proc[[#This Row],[DateClosed]]="",ABS(NETWORKDAYS(Proc[[#This Row],[DateOpened]],TODAY()))-1,ABS(NETWORKDAYS(Proc[[#This Row],[DateOpened]],Proc[[#This Row],[DateClosed]]))-1)</f>
        <v>14</v>
      </c>
      <c r="R4735" s="170" t="s">
        <v>489</v>
      </c>
      <c r="S4735" s="150"/>
    </row>
    <row r="4736" spans="1:19">
      <c r="A4736" s="149" t="s">
        <v>6934</v>
      </c>
      <c r="B4736" s="150" t="str">
        <f>IFERROR(VLOOKUP(Proc[[#This Row],[App]],Table2[],3,0),"open")</f>
        <v>ok</v>
      </c>
      <c r="C4736" s="149" t="s">
        <v>369</v>
      </c>
      <c r="D4736" t="s">
        <v>6939</v>
      </c>
      <c r="E4736" t="s">
        <v>6957</v>
      </c>
      <c r="F4736" s="150" t="s">
        <v>6957</v>
      </c>
      <c r="G4736" s="149" t="s">
        <v>400</v>
      </c>
      <c r="H4736" s="150" t="str">
        <f>IF(Proc[[#This Row],[type]]="LFF (MDG-F)",MID(Proc[[#This Row],[Obj]],13,10),"")</f>
        <v/>
      </c>
      <c r="J4736" s="150" t="b">
        <f>Proc[[#This Row],[Requested]]=Proc[[#This Row],[CurrentParent]]</f>
        <v>1</v>
      </c>
      <c r="K4736" s="150" t="str">
        <f>IF(Proc[[#This Row],[Author]]="Marcela Urrego",VLOOKUP(LEFT(Proc[[#This Row],[Requested]],1),Table3[#All],2,0),VLOOKUP(Proc[[#This Row],[Author]],Table4[],2,0))</f>
        <v>LS</v>
      </c>
      <c r="L4736" s="150" t="s">
        <v>6435</v>
      </c>
      <c r="M4736" s="170">
        <v>45983</v>
      </c>
      <c r="N4736" s="171"/>
      <c r="O4736" s="171"/>
      <c r="P4736" s="170" t="str">
        <f ca="1">IF(Proc[[#This Row],[DaysAgeing]]&gt;5,"yep","on track")</f>
        <v>yep</v>
      </c>
      <c r="Q4736" s="3">
        <f ca="1">IF(Proc[[#This Row],[DateClosed]]="",ABS(NETWORKDAYS(Proc[[#This Row],[DateOpened]],TODAY()))-1,ABS(NETWORKDAYS(Proc[[#This Row],[DateOpened]],Proc[[#This Row],[DateClosed]]))-1)</f>
        <v>14</v>
      </c>
      <c r="R4736" s="170" t="s">
        <v>489</v>
      </c>
      <c r="S4736" s="150"/>
    </row>
    <row r="4737" spans="1:19">
      <c r="A4737" s="149" t="s">
        <v>6934</v>
      </c>
      <c r="B4737" s="150" t="str">
        <f>IFERROR(VLOOKUP(Proc[[#This Row],[App]],Table2[],3,0),"open")</f>
        <v>ok</v>
      </c>
      <c r="C4737" s="149" t="s">
        <v>369</v>
      </c>
      <c r="D4737" t="s">
        <v>3427</v>
      </c>
      <c r="E4737" t="s">
        <v>6958</v>
      </c>
      <c r="F4737" s="150" t="s">
        <v>6958</v>
      </c>
      <c r="G4737" s="149" t="s">
        <v>400</v>
      </c>
      <c r="H4737" s="150" t="str">
        <f>IF(Proc[[#This Row],[type]]="LFF (MDG-F)",MID(Proc[[#This Row],[Obj]],13,10),"")</f>
        <v/>
      </c>
      <c r="J4737" s="150" t="b">
        <f>Proc[[#This Row],[Requested]]=Proc[[#This Row],[CurrentParent]]</f>
        <v>1</v>
      </c>
      <c r="K4737" s="150" t="str">
        <f>IF(Proc[[#This Row],[Author]]="Marcela Urrego",VLOOKUP(LEFT(Proc[[#This Row],[Requested]],1),Table3[#All],2,0),VLOOKUP(Proc[[#This Row],[Author]],Table4[],2,0))</f>
        <v>LS</v>
      </c>
      <c r="L4737" s="150" t="s">
        <v>6435</v>
      </c>
      <c r="M4737" s="170">
        <v>45983</v>
      </c>
      <c r="N4737" s="171"/>
      <c r="O4737" s="171"/>
      <c r="P4737" s="170" t="str">
        <f ca="1">IF(Proc[[#This Row],[DaysAgeing]]&gt;5,"yep","on track")</f>
        <v>yep</v>
      </c>
      <c r="Q4737" s="3">
        <f ca="1">IF(Proc[[#This Row],[DateClosed]]="",ABS(NETWORKDAYS(Proc[[#This Row],[DateOpened]],TODAY()))-1,ABS(NETWORKDAYS(Proc[[#This Row],[DateOpened]],Proc[[#This Row],[DateClosed]]))-1)</f>
        <v>14</v>
      </c>
      <c r="R4737" s="170" t="s">
        <v>489</v>
      </c>
      <c r="S4737" s="150"/>
    </row>
    <row r="4738" spans="1:19">
      <c r="A4738" s="149" t="s">
        <v>6934</v>
      </c>
      <c r="B4738" s="150" t="str">
        <f>IFERROR(VLOOKUP(Proc[[#This Row],[App]],Table2[],3,0),"open")</f>
        <v>ok</v>
      </c>
      <c r="C4738" s="149" t="s">
        <v>369</v>
      </c>
      <c r="D4738" t="s">
        <v>6940</v>
      </c>
      <c r="E4738" t="s">
        <v>6959</v>
      </c>
      <c r="F4738" s="150" t="s">
        <v>6959</v>
      </c>
      <c r="G4738" s="149" t="s">
        <v>400</v>
      </c>
      <c r="H4738" s="150" t="str">
        <f>IF(Proc[[#This Row],[type]]="LFF (MDG-F)",MID(Proc[[#This Row],[Obj]],13,10),"")</f>
        <v/>
      </c>
      <c r="J4738" s="150" t="b">
        <f>Proc[[#This Row],[Requested]]=Proc[[#This Row],[CurrentParent]]</f>
        <v>1</v>
      </c>
      <c r="K4738" s="150" t="str">
        <f>IF(Proc[[#This Row],[Author]]="Marcela Urrego",VLOOKUP(LEFT(Proc[[#This Row],[Requested]],1),Table3[#All],2,0),VLOOKUP(Proc[[#This Row],[Author]],Table4[],2,0))</f>
        <v>LS</v>
      </c>
      <c r="L4738" s="150" t="s">
        <v>6435</v>
      </c>
      <c r="M4738" s="170">
        <v>45983</v>
      </c>
      <c r="N4738" s="171"/>
      <c r="O4738" s="171"/>
      <c r="P4738" s="170" t="str">
        <f ca="1">IF(Proc[[#This Row],[DaysAgeing]]&gt;5,"yep","on track")</f>
        <v>yep</v>
      </c>
      <c r="Q4738" s="3">
        <f ca="1">IF(Proc[[#This Row],[DateClosed]]="",ABS(NETWORKDAYS(Proc[[#This Row],[DateOpened]],TODAY()))-1,ABS(NETWORKDAYS(Proc[[#This Row],[DateOpened]],Proc[[#This Row],[DateClosed]]))-1)</f>
        <v>14</v>
      </c>
      <c r="R4738" s="170" t="s">
        <v>489</v>
      </c>
      <c r="S4738" s="150"/>
    </row>
    <row r="4739" spans="1:19">
      <c r="A4739" s="149" t="s">
        <v>6934</v>
      </c>
      <c r="B4739" s="150" t="str">
        <f>IFERROR(VLOOKUP(Proc[[#This Row],[App]],Table2[],3,0),"open")</f>
        <v>ok</v>
      </c>
      <c r="C4739" s="149" t="s">
        <v>369</v>
      </c>
      <c r="D4739" t="s">
        <v>6941</v>
      </c>
      <c r="E4739" t="s">
        <v>6960</v>
      </c>
      <c r="F4739" s="150" t="s">
        <v>6960</v>
      </c>
      <c r="G4739" s="149" t="s">
        <v>400</v>
      </c>
      <c r="H4739" s="150" t="str">
        <f>IF(Proc[[#This Row],[type]]="LFF (MDG-F)",MID(Proc[[#This Row],[Obj]],13,10),"")</f>
        <v/>
      </c>
      <c r="J4739" s="150" t="b">
        <f>Proc[[#This Row],[Requested]]=Proc[[#This Row],[CurrentParent]]</f>
        <v>1</v>
      </c>
      <c r="K4739" s="150" t="str">
        <f>IF(Proc[[#This Row],[Author]]="Marcela Urrego",VLOOKUP(LEFT(Proc[[#This Row],[Requested]],1),Table3[#All],2,0),VLOOKUP(Proc[[#This Row],[Author]],Table4[],2,0))</f>
        <v>LS</v>
      </c>
      <c r="L4739" s="150" t="s">
        <v>6435</v>
      </c>
      <c r="M4739" s="170">
        <v>45983</v>
      </c>
      <c r="N4739" s="171"/>
      <c r="O4739" s="171"/>
      <c r="P4739" s="170" t="str">
        <f ca="1">IF(Proc[[#This Row],[DaysAgeing]]&gt;5,"yep","on track")</f>
        <v>yep</v>
      </c>
      <c r="Q4739" s="3">
        <f ca="1">IF(Proc[[#This Row],[DateClosed]]="",ABS(NETWORKDAYS(Proc[[#This Row],[DateOpened]],TODAY()))-1,ABS(NETWORKDAYS(Proc[[#This Row],[DateOpened]],Proc[[#This Row],[DateClosed]]))-1)</f>
        <v>14</v>
      </c>
      <c r="R4739" s="170" t="s">
        <v>489</v>
      </c>
      <c r="S4739" s="150"/>
    </row>
    <row r="4740" spans="1:19">
      <c r="A4740" s="149" t="s">
        <v>6934</v>
      </c>
      <c r="B4740" s="150" t="str">
        <f>IFERROR(VLOOKUP(Proc[[#This Row],[App]],Table2[],3,0),"open")</f>
        <v>ok</v>
      </c>
      <c r="C4740" s="149" t="s">
        <v>369</v>
      </c>
      <c r="D4740" t="s">
        <v>6942</v>
      </c>
      <c r="E4740" t="s">
        <v>2385</v>
      </c>
      <c r="F4740" s="150" t="s">
        <v>2385</v>
      </c>
      <c r="G4740" s="149" t="s">
        <v>400</v>
      </c>
      <c r="H4740" s="150" t="str">
        <f>IF(Proc[[#This Row],[type]]="LFF (MDG-F)",MID(Proc[[#This Row],[Obj]],13,10),"")</f>
        <v/>
      </c>
      <c r="J4740" s="150" t="b">
        <f>Proc[[#This Row],[Requested]]=Proc[[#This Row],[CurrentParent]]</f>
        <v>1</v>
      </c>
      <c r="K4740" s="150" t="str">
        <f>IF(Proc[[#This Row],[Author]]="Marcela Urrego",VLOOKUP(LEFT(Proc[[#This Row],[Requested]],1),Table3[#All],2,0),VLOOKUP(Proc[[#This Row],[Author]],Table4[],2,0))</f>
        <v>LS</v>
      </c>
      <c r="L4740" s="150" t="s">
        <v>6435</v>
      </c>
      <c r="M4740" s="170">
        <v>45983</v>
      </c>
      <c r="N4740" s="171"/>
      <c r="O4740" s="171"/>
      <c r="P4740" s="170" t="str">
        <f ca="1">IF(Proc[[#This Row],[DaysAgeing]]&gt;5,"yep","on track")</f>
        <v>yep</v>
      </c>
      <c r="Q4740" s="3">
        <f ca="1">IF(Proc[[#This Row],[DateClosed]]="",ABS(NETWORKDAYS(Proc[[#This Row],[DateOpened]],TODAY()))-1,ABS(NETWORKDAYS(Proc[[#This Row],[DateOpened]],Proc[[#This Row],[DateClosed]]))-1)</f>
        <v>14</v>
      </c>
      <c r="R4740" s="170" t="s">
        <v>489</v>
      </c>
      <c r="S4740" s="150"/>
    </row>
    <row r="4741" spans="1:19">
      <c r="A4741" s="149" t="s">
        <v>6934</v>
      </c>
      <c r="B4741" s="150" t="str">
        <f>IFERROR(VLOOKUP(Proc[[#This Row],[App]],Table2[],3,0),"open")</f>
        <v>ok</v>
      </c>
      <c r="C4741" s="149" t="s">
        <v>369</v>
      </c>
      <c r="D4741" t="s">
        <v>6943</v>
      </c>
      <c r="E4741" t="s">
        <v>6961</v>
      </c>
      <c r="F4741" s="150" t="s">
        <v>6961</v>
      </c>
      <c r="G4741" s="149" t="s">
        <v>400</v>
      </c>
      <c r="H4741" s="150" t="str">
        <f>IF(Proc[[#This Row],[type]]="LFF (MDG-F)",MID(Proc[[#This Row],[Obj]],13,10),"")</f>
        <v/>
      </c>
      <c r="J4741" s="150" t="b">
        <f>Proc[[#This Row],[Requested]]=Proc[[#This Row],[CurrentParent]]</f>
        <v>1</v>
      </c>
      <c r="K4741" s="150" t="str">
        <f>IF(Proc[[#This Row],[Author]]="Marcela Urrego",VLOOKUP(LEFT(Proc[[#This Row],[Requested]],1),Table3[#All],2,0),VLOOKUP(Proc[[#This Row],[Author]],Table4[],2,0))</f>
        <v>LS</v>
      </c>
      <c r="L4741" s="150" t="s">
        <v>6435</v>
      </c>
      <c r="M4741" s="170">
        <v>45983</v>
      </c>
      <c r="N4741" s="171"/>
      <c r="O4741" s="171"/>
      <c r="P4741" s="170" t="str">
        <f ca="1">IF(Proc[[#This Row],[DaysAgeing]]&gt;5,"yep","on track")</f>
        <v>yep</v>
      </c>
      <c r="Q4741" s="3">
        <f ca="1">IF(Proc[[#This Row],[DateClosed]]="",ABS(NETWORKDAYS(Proc[[#This Row],[DateOpened]],TODAY()))-1,ABS(NETWORKDAYS(Proc[[#This Row],[DateOpened]],Proc[[#This Row],[DateClosed]]))-1)</f>
        <v>14</v>
      </c>
      <c r="R4741" s="170" t="s">
        <v>489</v>
      </c>
      <c r="S4741" s="150"/>
    </row>
    <row r="4742" spans="1:19">
      <c r="A4742" s="149" t="s">
        <v>6934</v>
      </c>
      <c r="B4742" s="150" t="str">
        <f>IFERROR(VLOOKUP(Proc[[#This Row],[App]],Table2[],3,0),"open")</f>
        <v>ok</v>
      </c>
      <c r="C4742" s="149" t="s">
        <v>369</v>
      </c>
      <c r="D4742" t="s">
        <v>6944</v>
      </c>
      <c r="E4742" t="s">
        <v>6962</v>
      </c>
      <c r="F4742" s="150" t="s">
        <v>6962</v>
      </c>
      <c r="G4742" s="149" t="s">
        <v>400</v>
      </c>
      <c r="H4742" s="150" t="str">
        <f>IF(Proc[[#This Row],[type]]="LFF (MDG-F)",MID(Proc[[#This Row],[Obj]],13,10),"")</f>
        <v/>
      </c>
      <c r="J4742" s="150" t="b">
        <f>Proc[[#This Row],[Requested]]=Proc[[#This Row],[CurrentParent]]</f>
        <v>1</v>
      </c>
      <c r="K4742" s="150" t="str">
        <f>IF(Proc[[#This Row],[Author]]="Marcela Urrego",VLOOKUP(LEFT(Proc[[#This Row],[Requested]],1),Table3[#All],2,0),VLOOKUP(Proc[[#This Row],[Author]],Table4[],2,0))</f>
        <v>LS</v>
      </c>
      <c r="L4742" s="150" t="s">
        <v>6435</v>
      </c>
      <c r="M4742" s="170">
        <v>45983</v>
      </c>
      <c r="N4742" s="171"/>
      <c r="O4742" s="171"/>
      <c r="P4742" s="170" t="str">
        <f ca="1">IF(Proc[[#This Row],[DaysAgeing]]&gt;5,"yep","on track")</f>
        <v>yep</v>
      </c>
      <c r="Q4742" s="3">
        <f ca="1">IF(Proc[[#This Row],[DateClosed]]="",ABS(NETWORKDAYS(Proc[[#This Row],[DateOpened]],TODAY()))-1,ABS(NETWORKDAYS(Proc[[#This Row],[DateOpened]],Proc[[#This Row],[DateClosed]]))-1)</f>
        <v>14</v>
      </c>
      <c r="R4742" s="170" t="s">
        <v>489</v>
      </c>
      <c r="S4742" s="150"/>
    </row>
    <row r="4743" spans="1:19">
      <c r="A4743" s="149" t="s">
        <v>6934</v>
      </c>
      <c r="B4743" s="150" t="str">
        <f>IFERROR(VLOOKUP(Proc[[#This Row],[App]],Table2[],3,0),"open")</f>
        <v>ok</v>
      </c>
      <c r="C4743" s="149" t="s">
        <v>369</v>
      </c>
      <c r="D4743" t="s">
        <v>6945</v>
      </c>
      <c r="E4743" t="s">
        <v>6963</v>
      </c>
      <c r="F4743" s="150" t="s">
        <v>6963</v>
      </c>
      <c r="G4743" s="149" t="s">
        <v>400</v>
      </c>
      <c r="H4743" s="150" t="str">
        <f>IF(Proc[[#This Row],[type]]="LFF (MDG-F)",MID(Proc[[#This Row],[Obj]],13,10),"")</f>
        <v/>
      </c>
      <c r="J4743" s="150" t="b">
        <f>Proc[[#This Row],[Requested]]=Proc[[#This Row],[CurrentParent]]</f>
        <v>1</v>
      </c>
      <c r="K4743" s="150" t="str">
        <f>IF(Proc[[#This Row],[Author]]="Marcela Urrego",VLOOKUP(LEFT(Proc[[#This Row],[Requested]],1),Table3[#All],2,0),VLOOKUP(Proc[[#This Row],[Author]],Table4[],2,0))</f>
        <v>LS</v>
      </c>
      <c r="L4743" s="150" t="s">
        <v>6435</v>
      </c>
      <c r="M4743" s="170">
        <v>45983</v>
      </c>
      <c r="N4743" s="171"/>
      <c r="O4743" s="171"/>
      <c r="P4743" s="170" t="str">
        <f ca="1">IF(Proc[[#This Row],[DaysAgeing]]&gt;5,"yep","on track")</f>
        <v>yep</v>
      </c>
      <c r="Q4743" s="3">
        <f ca="1">IF(Proc[[#This Row],[DateClosed]]="",ABS(NETWORKDAYS(Proc[[#This Row],[DateOpened]],TODAY()))-1,ABS(NETWORKDAYS(Proc[[#This Row],[DateOpened]],Proc[[#This Row],[DateClosed]]))-1)</f>
        <v>14</v>
      </c>
      <c r="R4743" s="170" t="s">
        <v>489</v>
      </c>
      <c r="S4743" s="150"/>
    </row>
    <row r="4744" spans="1:19">
      <c r="A4744" s="149" t="s">
        <v>6934</v>
      </c>
      <c r="B4744" s="150" t="str">
        <f>IFERROR(VLOOKUP(Proc[[#This Row],[App]],Table2[],3,0),"open")</f>
        <v>ok</v>
      </c>
      <c r="C4744" s="149" t="s">
        <v>369</v>
      </c>
      <c r="D4744" t="s">
        <v>6946</v>
      </c>
      <c r="E4744" t="s">
        <v>6963</v>
      </c>
      <c r="F4744" s="150" t="s">
        <v>6963</v>
      </c>
      <c r="G4744" s="149" t="s">
        <v>400</v>
      </c>
      <c r="H4744" s="150" t="str">
        <f>IF(Proc[[#This Row],[type]]="LFF (MDG-F)",MID(Proc[[#This Row],[Obj]],13,10),"")</f>
        <v/>
      </c>
      <c r="J4744" s="150" t="b">
        <f>Proc[[#This Row],[Requested]]=Proc[[#This Row],[CurrentParent]]</f>
        <v>1</v>
      </c>
      <c r="K4744" s="150" t="str">
        <f>IF(Proc[[#This Row],[Author]]="Marcela Urrego",VLOOKUP(LEFT(Proc[[#This Row],[Requested]],1),Table3[#All],2,0),VLOOKUP(Proc[[#This Row],[Author]],Table4[],2,0))</f>
        <v>LS</v>
      </c>
      <c r="L4744" s="150" t="s">
        <v>6435</v>
      </c>
      <c r="M4744" s="170">
        <v>45983</v>
      </c>
      <c r="N4744" s="171"/>
      <c r="O4744" s="171"/>
      <c r="P4744" s="170" t="str">
        <f ca="1">IF(Proc[[#This Row],[DaysAgeing]]&gt;5,"yep","on track")</f>
        <v>yep</v>
      </c>
      <c r="Q4744" s="3">
        <f ca="1">IF(Proc[[#This Row],[DateClosed]]="",ABS(NETWORKDAYS(Proc[[#This Row],[DateOpened]],TODAY()))-1,ABS(NETWORKDAYS(Proc[[#This Row],[DateOpened]],Proc[[#This Row],[DateClosed]]))-1)</f>
        <v>14</v>
      </c>
      <c r="R4744" s="170" t="s">
        <v>489</v>
      </c>
      <c r="S4744" s="150"/>
    </row>
    <row r="4745" spans="1:19">
      <c r="A4745" s="149" t="s">
        <v>6934</v>
      </c>
      <c r="B4745" s="150" t="str">
        <f>IFERROR(VLOOKUP(Proc[[#This Row],[App]],Table2[],3,0),"open")</f>
        <v>ok</v>
      </c>
      <c r="C4745" s="149" t="s">
        <v>369</v>
      </c>
      <c r="D4745" t="s">
        <v>6947</v>
      </c>
      <c r="E4745" t="s">
        <v>6964</v>
      </c>
      <c r="F4745" s="150" t="s">
        <v>6964</v>
      </c>
      <c r="G4745" s="149" t="s">
        <v>406</v>
      </c>
      <c r="H4745" s="150" t="str">
        <f>IF(Proc[[#This Row],[type]]="LFF (MDG-F)",MID(Proc[[#This Row],[Obj]],13,10),"")</f>
        <v>2125C03326</v>
      </c>
      <c r="J4745" s="150" t="b">
        <f>Proc[[#This Row],[Requested]]=Proc[[#This Row],[CurrentParent]]</f>
        <v>1</v>
      </c>
      <c r="K4745" s="150" t="str">
        <f>IF(Proc[[#This Row],[Author]]="Marcela Urrego",VLOOKUP(LEFT(Proc[[#This Row],[Requested]],1),Table3[#All],2,0),VLOOKUP(Proc[[#This Row],[Author]],Table4[],2,0))</f>
        <v>LS</v>
      </c>
      <c r="L4745" s="150" t="s">
        <v>6435</v>
      </c>
      <c r="M4745" s="170">
        <v>45983</v>
      </c>
      <c r="N4745" s="171"/>
      <c r="O4745" s="171"/>
      <c r="P4745" s="170" t="str">
        <f ca="1">IF(Proc[[#This Row],[DaysAgeing]]&gt;5,"yep","on track")</f>
        <v>yep</v>
      </c>
      <c r="Q4745" s="3">
        <f ca="1">IF(Proc[[#This Row],[DateClosed]]="",ABS(NETWORKDAYS(Proc[[#This Row],[DateOpened]],TODAY()))-1,ABS(NETWORKDAYS(Proc[[#This Row],[DateOpened]],Proc[[#This Row],[DateClosed]]))-1)</f>
        <v>14</v>
      </c>
      <c r="R4745" s="170" t="s">
        <v>489</v>
      </c>
      <c r="S4745" s="150"/>
    </row>
    <row r="4746" spans="1:19">
      <c r="A4746" s="149" t="s">
        <v>6934</v>
      </c>
      <c r="B4746" s="150" t="str">
        <f>IFERROR(VLOOKUP(Proc[[#This Row],[App]],Table2[],3,0),"open")</f>
        <v>ok</v>
      </c>
      <c r="C4746" s="149" t="s">
        <v>369</v>
      </c>
      <c r="D4746" t="s">
        <v>6948</v>
      </c>
      <c r="E4746" t="s">
        <v>6965</v>
      </c>
      <c r="F4746" s="150" t="s">
        <v>6965</v>
      </c>
      <c r="G4746" s="149" t="s">
        <v>406</v>
      </c>
      <c r="H4746" s="150" t="str">
        <f>IF(Proc[[#This Row],[type]]="LFF (MDG-F)",MID(Proc[[#This Row],[Obj]],13,10),"")</f>
        <v>2022TQAZ93</v>
      </c>
      <c r="J4746" s="150" t="b">
        <f>Proc[[#This Row],[Requested]]=Proc[[#This Row],[CurrentParent]]</f>
        <v>1</v>
      </c>
      <c r="K4746" s="150" t="str">
        <f>IF(Proc[[#This Row],[Author]]="Marcela Urrego",VLOOKUP(LEFT(Proc[[#This Row],[Requested]],1),Table3[#All],2,0),VLOOKUP(Proc[[#This Row],[Author]],Table4[],2,0))</f>
        <v>LS</v>
      </c>
      <c r="L4746" s="150" t="s">
        <v>6435</v>
      </c>
      <c r="M4746" s="170">
        <v>45983</v>
      </c>
      <c r="N4746" s="171"/>
      <c r="O4746" s="171"/>
      <c r="P4746" s="170" t="str">
        <f ca="1">IF(Proc[[#This Row],[DaysAgeing]]&gt;5,"yep","on track")</f>
        <v>yep</v>
      </c>
      <c r="Q4746" s="3">
        <f ca="1">IF(Proc[[#This Row],[DateClosed]]="",ABS(NETWORKDAYS(Proc[[#This Row],[DateOpened]],TODAY()))-1,ABS(NETWORKDAYS(Proc[[#This Row],[DateOpened]],Proc[[#This Row],[DateClosed]]))-1)</f>
        <v>14</v>
      </c>
      <c r="R4746" s="170" t="s">
        <v>489</v>
      </c>
      <c r="S4746" s="150"/>
    </row>
    <row r="4747" spans="1:19">
      <c r="A4747" s="149" t="s">
        <v>6934</v>
      </c>
      <c r="B4747" s="150" t="str">
        <f>IFERROR(VLOOKUP(Proc[[#This Row],[App]],Table2[],3,0),"open")</f>
        <v>ok</v>
      </c>
      <c r="C4747" s="149" t="s">
        <v>369</v>
      </c>
      <c r="D4747" t="s">
        <v>6949</v>
      </c>
      <c r="E4747" t="s">
        <v>6966</v>
      </c>
      <c r="F4747" s="150" t="s">
        <v>6966</v>
      </c>
      <c r="G4747" s="149" t="s">
        <v>400</v>
      </c>
      <c r="H4747" s="150" t="str">
        <f>IF(Proc[[#This Row],[type]]="LFF (MDG-F)",MID(Proc[[#This Row],[Obj]],13,10),"")</f>
        <v/>
      </c>
      <c r="J4747" s="150" t="b">
        <f>Proc[[#This Row],[Requested]]=Proc[[#This Row],[CurrentParent]]</f>
        <v>1</v>
      </c>
      <c r="K4747" s="150" t="str">
        <f>IF(Proc[[#This Row],[Author]]="Marcela Urrego",VLOOKUP(LEFT(Proc[[#This Row],[Requested]],1),Table3[#All],2,0),VLOOKUP(Proc[[#This Row],[Author]],Table4[],2,0))</f>
        <v>LS</v>
      </c>
      <c r="L4747" s="150" t="s">
        <v>6435</v>
      </c>
      <c r="M4747" s="170">
        <v>45983</v>
      </c>
      <c r="N4747" s="171"/>
      <c r="O4747" s="171"/>
      <c r="P4747" s="170" t="str">
        <f ca="1">IF(Proc[[#This Row],[DaysAgeing]]&gt;5,"yep","on track")</f>
        <v>yep</v>
      </c>
      <c r="Q4747" s="3">
        <f ca="1">IF(Proc[[#This Row],[DateClosed]]="",ABS(NETWORKDAYS(Proc[[#This Row],[DateOpened]],TODAY()))-1,ABS(NETWORKDAYS(Proc[[#This Row],[DateOpened]],Proc[[#This Row],[DateClosed]]))-1)</f>
        <v>14</v>
      </c>
      <c r="R4747" s="170" t="s">
        <v>489</v>
      </c>
      <c r="S4747" s="150"/>
    </row>
    <row r="4748" spans="1:19">
      <c r="A4748" s="149" t="s">
        <v>6934</v>
      </c>
      <c r="B4748" s="150" t="str">
        <f>IFERROR(VLOOKUP(Proc[[#This Row],[App]],Table2[],3,0),"open")</f>
        <v>ok</v>
      </c>
      <c r="C4748" s="149" t="s">
        <v>369</v>
      </c>
      <c r="D4748" t="s">
        <v>6950</v>
      </c>
      <c r="E4748" t="s">
        <v>6966</v>
      </c>
      <c r="F4748" s="150" t="s">
        <v>6966</v>
      </c>
      <c r="G4748" s="149" t="s">
        <v>400</v>
      </c>
      <c r="H4748" s="150" t="str">
        <f>IF(Proc[[#This Row],[type]]="LFF (MDG-F)",MID(Proc[[#This Row],[Obj]],13,10),"")</f>
        <v/>
      </c>
      <c r="J4748" s="150" t="b">
        <f>Proc[[#This Row],[Requested]]=Proc[[#This Row],[CurrentParent]]</f>
        <v>1</v>
      </c>
      <c r="K4748" s="150" t="str">
        <f>IF(Proc[[#This Row],[Author]]="Marcela Urrego",VLOOKUP(LEFT(Proc[[#This Row],[Requested]],1),Table3[#All],2,0),VLOOKUP(Proc[[#This Row],[Author]],Table4[],2,0))</f>
        <v>LS</v>
      </c>
      <c r="L4748" s="150" t="s">
        <v>6435</v>
      </c>
      <c r="M4748" s="170">
        <v>45983</v>
      </c>
      <c r="N4748" s="171"/>
      <c r="O4748" s="171"/>
      <c r="P4748" s="170" t="str">
        <f ca="1">IF(Proc[[#This Row],[DaysAgeing]]&gt;5,"yep","on track")</f>
        <v>yep</v>
      </c>
      <c r="Q4748" s="3">
        <f ca="1">IF(Proc[[#This Row],[DateClosed]]="",ABS(NETWORKDAYS(Proc[[#This Row],[DateOpened]],TODAY()))-1,ABS(NETWORKDAYS(Proc[[#This Row],[DateOpened]],Proc[[#This Row],[DateClosed]]))-1)</f>
        <v>14</v>
      </c>
      <c r="R4748" s="170" t="s">
        <v>489</v>
      </c>
      <c r="S4748" s="150"/>
    </row>
    <row r="4749" spans="1:19">
      <c r="A4749" s="149" t="s">
        <v>6934</v>
      </c>
      <c r="B4749" s="150" t="str">
        <f>IFERROR(VLOOKUP(Proc[[#This Row],[App]],Table2[],3,0),"open")</f>
        <v>ok</v>
      </c>
      <c r="C4749" s="149" t="s">
        <v>369</v>
      </c>
      <c r="D4749" t="s">
        <v>6951</v>
      </c>
      <c r="E4749" t="s">
        <v>4797</v>
      </c>
      <c r="F4749" s="150" t="s">
        <v>4797</v>
      </c>
      <c r="G4749" s="149" t="s">
        <v>406</v>
      </c>
      <c r="H4749" s="150" t="str">
        <f>IF(Proc[[#This Row],[type]]="LFF (MDG-F)",MID(Proc[[#This Row],[Obj]],13,10),"")</f>
        <v>1937TQCZ91</v>
      </c>
      <c r="J4749" s="150" t="b">
        <f>Proc[[#This Row],[Requested]]=Proc[[#This Row],[CurrentParent]]</f>
        <v>1</v>
      </c>
      <c r="K4749" s="150" t="str">
        <f>IF(Proc[[#This Row],[Author]]="Marcela Urrego",VLOOKUP(LEFT(Proc[[#This Row],[Requested]],1),Table3[#All],2,0),VLOOKUP(Proc[[#This Row],[Author]],Table4[],2,0))</f>
        <v>LS</v>
      </c>
      <c r="L4749" s="150" t="s">
        <v>6435</v>
      </c>
      <c r="M4749" s="170">
        <v>45983</v>
      </c>
      <c r="N4749" s="171"/>
      <c r="O4749" s="171"/>
      <c r="P4749" s="170" t="str">
        <f ca="1">IF(Proc[[#This Row],[DaysAgeing]]&gt;5,"yep","on track")</f>
        <v>yep</v>
      </c>
      <c r="Q4749" s="3">
        <f ca="1">IF(Proc[[#This Row],[DateClosed]]="",ABS(NETWORKDAYS(Proc[[#This Row],[DateOpened]],TODAY()))-1,ABS(NETWORKDAYS(Proc[[#This Row],[DateOpened]],Proc[[#This Row],[DateClosed]]))-1)</f>
        <v>14</v>
      </c>
      <c r="R4749" s="170" t="s">
        <v>489</v>
      </c>
      <c r="S4749" s="150"/>
    </row>
    <row r="4750" spans="1:19">
      <c r="A4750" s="149" t="s">
        <v>6934</v>
      </c>
      <c r="B4750" s="150" t="str">
        <f>IFERROR(VLOOKUP(Proc[[#This Row],[App]],Table2[],3,0),"open")</f>
        <v>ok</v>
      </c>
      <c r="C4750" s="149" t="s">
        <v>369</v>
      </c>
      <c r="D4750" t="s">
        <v>6952</v>
      </c>
      <c r="E4750" t="s">
        <v>3615</v>
      </c>
      <c r="F4750" s="150" t="s">
        <v>3615</v>
      </c>
      <c r="G4750" s="149" t="s">
        <v>400</v>
      </c>
      <c r="H4750" s="150" t="str">
        <f>IF(Proc[[#This Row],[type]]="LFF (MDG-F)",MID(Proc[[#This Row],[Obj]],13,10),"")</f>
        <v/>
      </c>
      <c r="J4750" s="150" t="b">
        <f>Proc[[#This Row],[Requested]]=Proc[[#This Row],[CurrentParent]]</f>
        <v>1</v>
      </c>
      <c r="K4750" s="150" t="str">
        <f>IF(Proc[[#This Row],[Author]]="Marcela Urrego",VLOOKUP(LEFT(Proc[[#This Row],[Requested]],1),Table3[#All],2,0),VLOOKUP(Proc[[#This Row],[Author]],Table4[],2,0))</f>
        <v>LS</v>
      </c>
      <c r="L4750" s="150" t="s">
        <v>6435</v>
      </c>
      <c r="M4750" s="170">
        <v>45983</v>
      </c>
      <c r="N4750" s="171"/>
      <c r="O4750" s="171"/>
      <c r="P4750" s="170" t="str">
        <f ca="1">IF(Proc[[#This Row],[DaysAgeing]]&gt;5,"yep","on track")</f>
        <v>yep</v>
      </c>
      <c r="Q4750" s="3">
        <f ca="1">IF(Proc[[#This Row],[DateClosed]]="",ABS(NETWORKDAYS(Proc[[#This Row],[DateOpened]],TODAY()))-1,ABS(NETWORKDAYS(Proc[[#This Row],[DateOpened]],Proc[[#This Row],[DateClosed]]))-1)</f>
        <v>14</v>
      </c>
      <c r="R4750" s="170" t="s">
        <v>489</v>
      </c>
      <c r="S4750" s="150"/>
    </row>
    <row r="4751" spans="1:19">
      <c r="A4751" s="149" t="s">
        <v>6934</v>
      </c>
      <c r="B4751" s="150" t="str">
        <f>IFERROR(VLOOKUP(Proc[[#This Row],[App]],Table2[],3,0),"open")</f>
        <v>ok</v>
      </c>
      <c r="C4751" s="149" t="s">
        <v>369</v>
      </c>
      <c r="D4751" t="s">
        <v>6953</v>
      </c>
      <c r="E4751" t="s">
        <v>6473</v>
      </c>
      <c r="F4751" s="150" t="s">
        <v>6473</v>
      </c>
      <c r="G4751" s="149" t="s">
        <v>406</v>
      </c>
      <c r="H4751" s="150" t="str">
        <f>IF(Proc[[#This Row],[type]]="LFF (MDG-F)",MID(Proc[[#This Row],[Obj]],13,10),"")</f>
        <v>1937TMCZ9J</v>
      </c>
      <c r="J4751" s="150" t="b">
        <f>Proc[[#This Row],[Requested]]=Proc[[#This Row],[CurrentParent]]</f>
        <v>1</v>
      </c>
      <c r="K4751" s="150" t="str">
        <f>IF(Proc[[#This Row],[Author]]="Marcela Urrego",VLOOKUP(LEFT(Proc[[#This Row],[Requested]],1),Table3[#All],2,0),VLOOKUP(Proc[[#This Row],[Author]],Table4[],2,0))</f>
        <v>LS</v>
      </c>
      <c r="L4751" s="150" t="s">
        <v>6435</v>
      </c>
      <c r="M4751" s="170">
        <v>45983</v>
      </c>
      <c r="N4751" s="171"/>
      <c r="O4751" s="171"/>
      <c r="P4751" s="170" t="str">
        <f ca="1">IF(Proc[[#This Row],[DaysAgeing]]&gt;5,"yep","on track")</f>
        <v>yep</v>
      </c>
      <c r="Q4751" s="3">
        <f ca="1">IF(Proc[[#This Row],[DateClosed]]="",ABS(NETWORKDAYS(Proc[[#This Row],[DateOpened]],TODAY()))-1,ABS(NETWORKDAYS(Proc[[#This Row],[DateOpened]],Proc[[#This Row],[DateClosed]]))-1)</f>
        <v>14</v>
      </c>
      <c r="R4751" s="170" t="s">
        <v>489</v>
      </c>
      <c r="S4751" s="150"/>
    </row>
    <row r="4752" spans="1:19">
      <c r="A4752" t="s">
        <v>6968</v>
      </c>
      <c r="B4752" s="150" t="str">
        <f>IFERROR(VLOOKUP(Proc[[#This Row],[App]],Table2[],3,0),"open")</f>
        <v>ok</v>
      </c>
      <c r="C4752" s="149" t="s">
        <v>369</v>
      </c>
      <c r="D4752" t="s">
        <v>6969</v>
      </c>
      <c r="E4752" t="s">
        <v>6972</v>
      </c>
      <c r="F4752" s="150" t="s">
        <v>6972</v>
      </c>
      <c r="G4752" t="s">
        <v>400</v>
      </c>
      <c r="H4752" s="150" t="str">
        <f>IF(Proc[[#This Row],[type]]="LFF (MDG-F)",MID(Proc[[#This Row],[Obj]],13,10),"")</f>
        <v/>
      </c>
      <c r="J4752" s="150" t="b">
        <f>Proc[[#This Row],[Requested]]=Proc[[#This Row],[CurrentParent]]</f>
        <v>1</v>
      </c>
      <c r="K4752" s="150" t="str">
        <f>IF(Proc[[#This Row],[Author]]="Marcela Urrego",VLOOKUP(LEFT(Proc[[#This Row],[Requested]],1),Table3[#All],2,0),VLOOKUP(Proc[[#This Row],[Author]],Table4[],2,0))</f>
        <v>MGF</v>
      </c>
      <c r="L4752" s="150" t="s">
        <v>6435</v>
      </c>
      <c r="M4752" s="171">
        <v>45985</v>
      </c>
      <c r="N4752" s="171"/>
      <c r="O4752" s="171"/>
      <c r="P4752" s="172" t="str">
        <f ca="1">IF(Proc[[#This Row],[DaysAgeing]]&gt;5,"yep","on track")</f>
        <v>yep</v>
      </c>
      <c r="Q4752" s="3">
        <f ca="1">IF(Proc[[#This Row],[DateClosed]]="",ABS(NETWORKDAYS(Proc[[#This Row],[DateOpened]],TODAY()))-1,ABS(NETWORKDAYS(Proc[[#This Row],[DateOpened]],Proc[[#This Row],[DateClosed]]))-1)</f>
        <v>14</v>
      </c>
      <c r="R4752" s="172" t="s">
        <v>515</v>
      </c>
      <c r="S4752" s="150"/>
    </row>
    <row r="4753" spans="1:19">
      <c r="A4753" t="s">
        <v>6968</v>
      </c>
      <c r="B4753" s="150" t="str">
        <f>IFERROR(VLOOKUP(Proc[[#This Row],[App]],Table2[],3,0),"open")</f>
        <v>ok</v>
      </c>
      <c r="C4753" s="149" t="s">
        <v>369</v>
      </c>
      <c r="D4753" t="s">
        <v>6970</v>
      </c>
      <c r="E4753" t="s">
        <v>6973</v>
      </c>
      <c r="F4753" s="150" t="s">
        <v>6973</v>
      </c>
      <c r="G4753" t="s">
        <v>400</v>
      </c>
      <c r="H4753" s="150" t="str">
        <f>IF(Proc[[#This Row],[type]]="LFF (MDG-F)",MID(Proc[[#This Row],[Obj]],13,10),"")</f>
        <v/>
      </c>
      <c r="J4753" s="150" t="b">
        <f>Proc[[#This Row],[Requested]]=Proc[[#This Row],[CurrentParent]]</f>
        <v>1</v>
      </c>
      <c r="K4753" s="150" t="str">
        <f>IF(Proc[[#This Row],[Author]]="Marcela Urrego",VLOOKUP(LEFT(Proc[[#This Row],[Requested]],1),Table3[#All],2,0),VLOOKUP(Proc[[#This Row],[Author]],Table4[],2,0))</f>
        <v>MGF</v>
      </c>
      <c r="L4753" s="150" t="s">
        <v>6435</v>
      </c>
      <c r="M4753" s="171">
        <v>45985</v>
      </c>
      <c r="N4753" s="171"/>
      <c r="O4753" s="171"/>
      <c r="P4753" s="172" t="str">
        <f ca="1">IF(Proc[[#This Row],[DaysAgeing]]&gt;5,"yep","on track")</f>
        <v>yep</v>
      </c>
      <c r="Q4753" s="3">
        <f ca="1">IF(Proc[[#This Row],[DateClosed]]="",ABS(NETWORKDAYS(Proc[[#This Row],[DateOpened]],TODAY()))-1,ABS(NETWORKDAYS(Proc[[#This Row],[DateOpened]],Proc[[#This Row],[DateClosed]]))-1)</f>
        <v>14</v>
      </c>
      <c r="R4753" s="172" t="s">
        <v>515</v>
      </c>
      <c r="S4753" s="150"/>
    </row>
    <row r="4754" spans="1:19">
      <c r="A4754" t="s">
        <v>6968</v>
      </c>
      <c r="B4754" s="150" t="str">
        <f>IFERROR(VLOOKUP(Proc[[#This Row],[App]],Table2[],3,0),"open")</f>
        <v>ok</v>
      </c>
      <c r="C4754" s="149" t="s">
        <v>369</v>
      </c>
      <c r="D4754" t="s">
        <v>6971</v>
      </c>
      <c r="E4754" t="s">
        <v>6973</v>
      </c>
      <c r="F4754" s="150" t="s">
        <v>6973</v>
      </c>
      <c r="G4754" t="s">
        <v>400</v>
      </c>
      <c r="H4754" s="150" t="str">
        <f>IF(Proc[[#This Row],[type]]="LFF (MDG-F)",MID(Proc[[#This Row],[Obj]],13,10),"")</f>
        <v/>
      </c>
      <c r="J4754" s="150" t="b">
        <f>Proc[[#This Row],[Requested]]=Proc[[#This Row],[CurrentParent]]</f>
        <v>1</v>
      </c>
      <c r="K4754" s="150" t="str">
        <f>IF(Proc[[#This Row],[Author]]="Marcela Urrego",VLOOKUP(LEFT(Proc[[#This Row],[Requested]],1),Table3[#All],2,0),VLOOKUP(Proc[[#This Row],[Author]],Table4[],2,0))</f>
        <v>MGF</v>
      </c>
      <c r="L4754" s="150" t="s">
        <v>6435</v>
      </c>
      <c r="M4754" s="171">
        <v>45985</v>
      </c>
      <c r="N4754" s="171"/>
      <c r="O4754" s="171"/>
      <c r="P4754" s="172" t="str">
        <f ca="1">IF(Proc[[#This Row],[DaysAgeing]]&gt;5,"yep","on track")</f>
        <v>yep</v>
      </c>
      <c r="Q4754" s="3">
        <f ca="1">IF(Proc[[#This Row],[DateClosed]]="",ABS(NETWORKDAYS(Proc[[#This Row],[DateOpened]],TODAY()))-1,ABS(NETWORKDAYS(Proc[[#This Row],[DateOpened]],Proc[[#This Row],[DateClosed]]))-1)</f>
        <v>14</v>
      </c>
      <c r="R4754" s="172" t="s">
        <v>515</v>
      </c>
      <c r="S4754" s="150"/>
    </row>
    <row r="4755" spans="1:19">
      <c r="A4755" t="s">
        <v>6974</v>
      </c>
      <c r="B4755" s="150" t="str">
        <f>IFERROR(VLOOKUP(Proc[[#This Row],[App]],Table2[],3,0),"open")</f>
        <v>ok</v>
      </c>
      <c r="C4755" s="149" t="s">
        <v>369</v>
      </c>
      <c r="D4755" t="s">
        <v>6751</v>
      </c>
      <c r="E4755" t="s">
        <v>6983</v>
      </c>
      <c r="F4755" s="150" t="s">
        <v>6983</v>
      </c>
      <c r="G4755" t="s">
        <v>406</v>
      </c>
      <c r="H4755" s="150" t="str">
        <f>IF(Proc[[#This Row],[type]]="LFF (MDG-F)",MID(Proc[[#This Row],[Obj]],13,10),"")</f>
        <v>CN01TPAZ08</v>
      </c>
      <c r="J4755" s="150" t="b">
        <f>Proc[[#This Row],[Requested]]=Proc[[#This Row],[CurrentParent]]</f>
        <v>1</v>
      </c>
      <c r="K4755" s="150" t="str">
        <f>IF(Proc[[#This Row],[Author]]="Marcela Urrego",VLOOKUP(LEFT(Proc[[#This Row],[Requested]],1),Table3[#All],2,0),VLOOKUP(Proc[[#This Row],[Author]],Table4[],2,0))</f>
        <v>EL</v>
      </c>
      <c r="L4755" s="150" t="s">
        <v>6435</v>
      </c>
      <c r="M4755" s="171">
        <v>45985</v>
      </c>
      <c r="N4755" s="171"/>
      <c r="O4755" s="171"/>
      <c r="P4755" s="172" t="str">
        <f ca="1">IF(Proc[[#This Row],[DaysAgeing]]&gt;5,"yep","on track")</f>
        <v>yep</v>
      </c>
      <c r="Q4755" s="3">
        <f ca="1">IF(Proc[[#This Row],[DateClosed]]="",ABS(NETWORKDAYS(Proc[[#This Row],[DateOpened]],TODAY()))-1,ABS(NETWORKDAYS(Proc[[#This Row],[DateOpened]],Proc[[#This Row],[DateClosed]]))-1)</f>
        <v>14</v>
      </c>
      <c r="R4755" s="172" t="s">
        <v>5709</v>
      </c>
      <c r="S4755" s="150"/>
    </row>
    <row r="4756" spans="1:19">
      <c r="A4756" t="s">
        <v>6974</v>
      </c>
      <c r="B4756" s="150" t="str">
        <f>IFERROR(VLOOKUP(Proc[[#This Row],[App]],Table2[],3,0),"open")</f>
        <v>ok</v>
      </c>
      <c r="C4756" s="149" t="s">
        <v>369</v>
      </c>
      <c r="D4756" t="s">
        <v>6752</v>
      </c>
      <c r="E4756" s="149" t="s">
        <v>6983</v>
      </c>
      <c r="F4756" s="150" t="s">
        <v>6983</v>
      </c>
      <c r="G4756" t="s">
        <v>406</v>
      </c>
      <c r="H4756" s="150" t="str">
        <f>IF(Proc[[#This Row],[type]]="LFF (MDG-F)",MID(Proc[[#This Row],[Obj]],13,10),"")</f>
        <v>CN01OF0161</v>
      </c>
      <c r="J4756" s="150" t="b">
        <f>Proc[[#This Row],[Requested]]=Proc[[#This Row],[CurrentParent]]</f>
        <v>1</v>
      </c>
      <c r="K4756" s="150" t="str">
        <f>IF(Proc[[#This Row],[Author]]="Marcela Urrego",VLOOKUP(LEFT(Proc[[#This Row],[Requested]],1),Table3[#All],2,0),VLOOKUP(Proc[[#This Row],[Author]],Table4[],2,0))</f>
        <v>EL</v>
      </c>
      <c r="L4756" s="150" t="s">
        <v>6435</v>
      </c>
      <c r="M4756" s="171">
        <v>45985</v>
      </c>
      <c r="N4756" s="171"/>
      <c r="O4756" s="171"/>
      <c r="P4756" s="172" t="str">
        <f ca="1">IF(Proc[[#This Row],[DaysAgeing]]&gt;5,"yep","on track")</f>
        <v>yep</v>
      </c>
      <c r="Q4756" s="3">
        <f ca="1">IF(Proc[[#This Row],[DateClosed]]="",ABS(NETWORKDAYS(Proc[[#This Row],[DateOpened]],TODAY()))-1,ABS(NETWORKDAYS(Proc[[#This Row],[DateOpened]],Proc[[#This Row],[DateClosed]]))-1)</f>
        <v>14</v>
      </c>
      <c r="R4756" s="172" t="s">
        <v>5709</v>
      </c>
      <c r="S4756" s="150"/>
    </row>
    <row r="4757" spans="1:19">
      <c r="A4757" s="149" t="s">
        <v>6974</v>
      </c>
      <c r="B4757" s="150" t="str">
        <f>IFERROR(VLOOKUP(Proc[[#This Row],[App]],Table2[],3,0),"open")</f>
        <v>ok</v>
      </c>
      <c r="C4757" s="149" t="s">
        <v>369</v>
      </c>
      <c r="D4757" t="s">
        <v>6753</v>
      </c>
      <c r="E4757" s="149" t="s">
        <v>6983</v>
      </c>
      <c r="F4757" s="150" t="s">
        <v>6983</v>
      </c>
      <c r="G4757" s="149" t="s">
        <v>406</v>
      </c>
      <c r="H4757" s="150" t="str">
        <f>IF(Proc[[#This Row],[type]]="LFF (MDG-F)",MID(Proc[[#This Row],[Obj]],13,10),"")</f>
        <v>CN01TPAZ06</v>
      </c>
      <c r="J4757" s="150" t="b">
        <f>Proc[[#This Row],[Requested]]=Proc[[#This Row],[CurrentParent]]</f>
        <v>1</v>
      </c>
      <c r="K4757" s="150" t="str">
        <f>IF(Proc[[#This Row],[Author]]="Marcela Urrego",VLOOKUP(LEFT(Proc[[#This Row],[Requested]],1),Table3[#All],2,0),VLOOKUP(Proc[[#This Row],[Author]],Table4[],2,0))</f>
        <v>EL</v>
      </c>
      <c r="L4757" s="150" t="s">
        <v>6435</v>
      </c>
      <c r="M4757" s="171">
        <v>45985</v>
      </c>
      <c r="N4757" s="171"/>
      <c r="O4757" s="171"/>
      <c r="P4757" s="172" t="str">
        <f ca="1">IF(Proc[[#This Row],[DaysAgeing]]&gt;5,"yep","on track")</f>
        <v>yep</v>
      </c>
      <c r="Q4757" s="3">
        <f ca="1">IF(Proc[[#This Row],[DateClosed]]="",ABS(NETWORKDAYS(Proc[[#This Row],[DateOpened]],TODAY()))-1,ABS(NETWORKDAYS(Proc[[#This Row],[DateOpened]],Proc[[#This Row],[DateClosed]]))-1)</f>
        <v>14</v>
      </c>
      <c r="R4757" s="172" t="s">
        <v>5709</v>
      </c>
      <c r="S4757" s="150"/>
    </row>
    <row r="4758" spans="1:19">
      <c r="A4758" s="149" t="s">
        <v>6974</v>
      </c>
      <c r="B4758" s="150" t="str">
        <f>IFERROR(VLOOKUP(Proc[[#This Row],[App]],Table2[],3,0),"open")</f>
        <v>ok</v>
      </c>
      <c r="C4758" s="149" t="s">
        <v>369</v>
      </c>
      <c r="D4758" t="s">
        <v>6754</v>
      </c>
      <c r="E4758" s="149" t="s">
        <v>6983</v>
      </c>
      <c r="F4758" s="150" t="s">
        <v>6983</v>
      </c>
      <c r="G4758" s="149" t="s">
        <v>406</v>
      </c>
      <c r="H4758" s="150" t="str">
        <f>IF(Proc[[#This Row],[type]]="LFF (MDG-F)",MID(Proc[[#This Row],[Obj]],13,10),"")</f>
        <v>CN02TPZZ05</v>
      </c>
      <c r="J4758" s="150" t="b">
        <f>Proc[[#This Row],[Requested]]=Proc[[#This Row],[CurrentParent]]</f>
        <v>1</v>
      </c>
      <c r="K4758" s="150" t="str">
        <f>IF(Proc[[#This Row],[Author]]="Marcela Urrego",VLOOKUP(LEFT(Proc[[#This Row],[Requested]],1),Table3[#All],2,0),VLOOKUP(Proc[[#This Row],[Author]],Table4[],2,0))</f>
        <v>EL</v>
      </c>
      <c r="L4758" s="150" t="s">
        <v>6435</v>
      </c>
      <c r="M4758" s="171">
        <v>45985</v>
      </c>
      <c r="N4758" s="171"/>
      <c r="O4758" s="171"/>
      <c r="P4758" s="172" t="str">
        <f ca="1">IF(Proc[[#This Row],[DaysAgeing]]&gt;5,"yep","on track")</f>
        <v>yep</v>
      </c>
      <c r="Q4758" s="3">
        <f ca="1">IF(Proc[[#This Row],[DateClosed]]="",ABS(NETWORKDAYS(Proc[[#This Row],[DateOpened]],TODAY()))-1,ABS(NETWORKDAYS(Proc[[#This Row],[DateOpened]],Proc[[#This Row],[DateClosed]]))-1)</f>
        <v>14</v>
      </c>
      <c r="R4758" s="172" t="s">
        <v>5709</v>
      </c>
      <c r="S4758" s="150"/>
    </row>
    <row r="4759" spans="1:19">
      <c r="A4759" s="149" t="s">
        <v>6974</v>
      </c>
      <c r="B4759" s="150" t="str">
        <f>IFERROR(VLOOKUP(Proc[[#This Row],[App]],Table2[],3,0),"open")</f>
        <v>ok</v>
      </c>
      <c r="C4759" s="149" t="s">
        <v>369</v>
      </c>
      <c r="D4759" t="s">
        <v>6755</v>
      </c>
      <c r="E4759" s="149" t="s">
        <v>6983</v>
      </c>
      <c r="F4759" s="150" t="s">
        <v>6983</v>
      </c>
      <c r="G4759" s="149" t="s">
        <v>406</v>
      </c>
      <c r="H4759" s="150" t="str">
        <f>IF(Proc[[#This Row],[type]]="LFF (MDG-F)",MID(Proc[[#This Row],[Obj]],13,10),"")</f>
        <v>CN02TPZZ08</v>
      </c>
      <c r="J4759" s="150" t="b">
        <f>Proc[[#This Row],[Requested]]=Proc[[#This Row],[CurrentParent]]</f>
        <v>1</v>
      </c>
      <c r="K4759" s="150" t="str">
        <f>IF(Proc[[#This Row],[Author]]="Marcela Urrego",VLOOKUP(LEFT(Proc[[#This Row],[Requested]],1),Table3[#All],2,0),VLOOKUP(Proc[[#This Row],[Author]],Table4[],2,0))</f>
        <v>EL</v>
      </c>
      <c r="L4759" s="150" t="s">
        <v>6435</v>
      </c>
      <c r="M4759" s="171">
        <v>45985</v>
      </c>
      <c r="N4759" s="171"/>
      <c r="O4759" s="171"/>
      <c r="P4759" s="172" t="str">
        <f ca="1">IF(Proc[[#This Row],[DaysAgeing]]&gt;5,"yep","on track")</f>
        <v>yep</v>
      </c>
      <c r="Q4759" s="3">
        <f ca="1">IF(Proc[[#This Row],[DateClosed]]="",ABS(NETWORKDAYS(Proc[[#This Row],[DateOpened]],TODAY()))-1,ABS(NETWORKDAYS(Proc[[#This Row],[DateOpened]],Proc[[#This Row],[DateClosed]]))-1)</f>
        <v>14</v>
      </c>
      <c r="R4759" s="172" t="s">
        <v>5709</v>
      </c>
      <c r="S4759" s="150"/>
    </row>
    <row r="4760" spans="1:19">
      <c r="A4760" s="149" t="s">
        <v>6974</v>
      </c>
      <c r="B4760" s="150" t="str">
        <f>IFERROR(VLOOKUP(Proc[[#This Row],[App]],Table2[],3,0),"open")</f>
        <v>ok</v>
      </c>
      <c r="C4760" s="149" t="s">
        <v>369</v>
      </c>
      <c r="D4760" t="s">
        <v>6756</v>
      </c>
      <c r="E4760" s="149" t="s">
        <v>6983</v>
      </c>
      <c r="F4760" s="150" t="s">
        <v>6983</v>
      </c>
      <c r="G4760" s="149" t="s">
        <v>406</v>
      </c>
      <c r="H4760" s="150" t="str">
        <f>IF(Proc[[#This Row],[type]]="LFF (MDG-F)",MID(Proc[[#This Row],[Obj]],13,10),"")</f>
        <v>CN03TPZZ01</v>
      </c>
      <c r="J4760" s="150" t="b">
        <f>Proc[[#This Row],[Requested]]=Proc[[#This Row],[CurrentParent]]</f>
        <v>1</v>
      </c>
      <c r="K4760" s="150" t="str">
        <f>IF(Proc[[#This Row],[Author]]="Marcela Urrego",VLOOKUP(LEFT(Proc[[#This Row],[Requested]],1),Table3[#All],2,0),VLOOKUP(Proc[[#This Row],[Author]],Table4[],2,0))</f>
        <v>EL</v>
      </c>
      <c r="L4760" s="150" t="s">
        <v>6435</v>
      </c>
      <c r="M4760" s="171">
        <v>45985</v>
      </c>
      <c r="N4760" s="171"/>
      <c r="O4760" s="171"/>
      <c r="P4760" s="172" t="str">
        <f ca="1">IF(Proc[[#This Row],[DaysAgeing]]&gt;5,"yep","on track")</f>
        <v>yep</v>
      </c>
      <c r="Q4760" s="3">
        <f ca="1">IF(Proc[[#This Row],[DateClosed]]="",ABS(NETWORKDAYS(Proc[[#This Row],[DateOpened]],TODAY()))-1,ABS(NETWORKDAYS(Proc[[#This Row],[DateOpened]],Proc[[#This Row],[DateClosed]]))-1)</f>
        <v>14</v>
      </c>
      <c r="R4760" s="172" t="s">
        <v>5709</v>
      </c>
      <c r="S4760" s="150"/>
    </row>
    <row r="4761" spans="1:19">
      <c r="A4761" s="149" t="s">
        <v>6974</v>
      </c>
      <c r="B4761" s="150" t="str">
        <f>IFERROR(VLOOKUP(Proc[[#This Row],[App]],Table2[],3,0),"open")</f>
        <v>ok</v>
      </c>
      <c r="C4761" s="149" t="s">
        <v>369</v>
      </c>
      <c r="D4761" t="s">
        <v>6757</v>
      </c>
      <c r="E4761" s="149" t="s">
        <v>6983</v>
      </c>
      <c r="F4761" s="150" t="s">
        <v>6983</v>
      </c>
      <c r="G4761" s="149" t="s">
        <v>406</v>
      </c>
      <c r="H4761" s="150" t="str">
        <f>IF(Proc[[#This Row],[type]]="LFF (MDG-F)",MID(Proc[[#This Row],[Obj]],13,10),"")</f>
        <v>CN03TPZZ03</v>
      </c>
      <c r="J4761" s="150" t="b">
        <f>Proc[[#This Row],[Requested]]=Proc[[#This Row],[CurrentParent]]</f>
        <v>1</v>
      </c>
      <c r="K4761" s="150" t="str">
        <f>IF(Proc[[#This Row],[Author]]="Marcela Urrego",VLOOKUP(LEFT(Proc[[#This Row],[Requested]],1),Table3[#All],2,0),VLOOKUP(Proc[[#This Row],[Author]],Table4[],2,0))</f>
        <v>EL</v>
      </c>
      <c r="L4761" s="150" t="s">
        <v>6435</v>
      </c>
      <c r="M4761" s="171">
        <v>45985</v>
      </c>
      <c r="N4761" s="171"/>
      <c r="O4761" s="171"/>
      <c r="P4761" s="172" t="str">
        <f ca="1">IF(Proc[[#This Row],[DaysAgeing]]&gt;5,"yep","on track")</f>
        <v>yep</v>
      </c>
      <c r="Q4761" s="3">
        <f ca="1">IF(Proc[[#This Row],[DateClosed]]="",ABS(NETWORKDAYS(Proc[[#This Row],[DateOpened]],TODAY()))-1,ABS(NETWORKDAYS(Proc[[#This Row],[DateOpened]],Proc[[#This Row],[DateClosed]]))-1)</f>
        <v>14</v>
      </c>
      <c r="R4761" s="172" t="s">
        <v>5709</v>
      </c>
      <c r="S4761" s="150"/>
    </row>
    <row r="4762" spans="1:19">
      <c r="A4762" s="149" t="s">
        <v>6974</v>
      </c>
      <c r="B4762" s="150" t="str">
        <f>IFERROR(VLOOKUP(Proc[[#This Row],[App]],Table2[],3,0),"open")</f>
        <v>ok</v>
      </c>
      <c r="C4762" s="149" t="s">
        <v>369</v>
      </c>
      <c r="D4762" t="s">
        <v>6758</v>
      </c>
      <c r="E4762" s="149" t="s">
        <v>6983</v>
      </c>
      <c r="F4762" s="150" t="s">
        <v>6983</v>
      </c>
      <c r="G4762" s="149" t="s">
        <v>406</v>
      </c>
      <c r="H4762" s="150" t="str">
        <f>IF(Proc[[#This Row],[type]]="LFF (MDG-F)",MID(Proc[[#This Row],[Obj]],13,10),"")</f>
        <v>CN02TPZZ02</v>
      </c>
      <c r="J4762" s="150" t="b">
        <f>Proc[[#This Row],[Requested]]=Proc[[#This Row],[CurrentParent]]</f>
        <v>1</v>
      </c>
      <c r="K4762" s="150" t="str">
        <f>IF(Proc[[#This Row],[Author]]="Marcela Urrego",VLOOKUP(LEFT(Proc[[#This Row],[Requested]],1),Table3[#All],2,0),VLOOKUP(Proc[[#This Row],[Author]],Table4[],2,0))</f>
        <v>EL</v>
      </c>
      <c r="L4762" s="150" t="s">
        <v>6435</v>
      </c>
      <c r="M4762" s="171">
        <v>45985</v>
      </c>
      <c r="N4762" s="171"/>
      <c r="O4762" s="171"/>
      <c r="P4762" s="172" t="str">
        <f ca="1">IF(Proc[[#This Row],[DaysAgeing]]&gt;5,"yep","on track")</f>
        <v>yep</v>
      </c>
      <c r="Q4762" s="3">
        <f ca="1">IF(Proc[[#This Row],[DateClosed]]="",ABS(NETWORKDAYS(Proc[[#This Row],[DateOpened]],TODAY()))-1,ABS(NETWORKDAYS(Proc[[#This Row],[DateOpened]],Proc[[#This Row],[DateClosed]]))-1)</f>
        <v>14</v>
      </c>
      <c r="R4762" s="172" t="s">
        <v>5709</v>
      </c>
      <c r="S4762" s="150"/>
    </row>
    <row r="4763" spans="1:19">
      <c r="A4763" s="149" t="s">
        <v>6974</v>
      </c>
      <c r="B4763" s="150" t="str">
        <f>IFERROR(VLOOKUP(Proc[[#This Row],[App]],Table2[],3,0),"open")</f>
        <v>ok</v>
      </c>
      <c r="C4763" s="149" t="s">
        <v>369</v>
      </c>
      <c r="D4763" t="s">
        <v>6759</v>
      </c>
      <c r="E4763" s="149" t="s">
        <v>6983</v>
      </c>
      <c r="F4763" s="150" t="s">
        <v>6983</v>
      </c>
      <c r="G4763" s="149" t="s">
        <v>406</v>
      </c>
      <c r="H4763" s="150" t="str">
        <f>IF(Proc[[#This Row],[type]]="LFF (MDG-F)",MID(Proc[[#This Row],[Obj]],13,10),"")</f>
        <v>CN02TQ1001</v>
      </c>
      <c r="J4763" s="150" t="b">
        <f>Proc[[#This Row],[Requested]]=Proc[[#This Row],[CurrentParent]]</f>
        <v>1</v>
      </c>
      <c r="K4763" s="150" t="str">
        <f>IF(Proc[[#This Row],[Author]]="Marcela Urrego",VLOOKUP(LEFT(Proc[[#This Row],[Requested]],1),Table3[#All],2,0),VLOOKUP(Proc[[#This Row],[Author]],Table4[],2,0))</f>
        <v>EL</v>
      </c>
      <c r="L4763" s="150" t="s">
        <v>6435</v>
      </c>
      <c r="M4763" s="171">
        <v>45985</v>
      </c>
      <c r="N4763" s="171"/>
      <c r="O4763" s="171"/>
      <c r="P4763" s="172" t="str">
        <f ca="1">IF(Proc[[#This Row],[DaysAgeing]]&gt;5,"yep","on track")</f>
        <v>yep</v>
      </c>
      <c r="Q4763" s="3">
        <f ca="1">IF(Proc[[#This Row],[DateClosed]]="",ABS(NETWORKDAYS(Proc[[#This Row],[DateOpened]],TODAY()))-1,ABS(NETWORKDAYS(Proc[[#This Row],[DateOpened]],Proc[[#This Row],[DateClosed]]))-1)</f>
        <v>14</v>
      </c>
      <c r="R4763" s="172" t="s">
        <v>5709</v>
      </c>
      <c r="S4763" s="150"/>
    </row>
    <row r="4764" spans="1:19">
      <c r="A4764" s="149" t="s">
        <v>6974</v>
      </c>
      <c r="B4764" s="150" t="str">
        <f>IFERROR(VLOOKUP(Proc[[#This Row],[App]],Table2[],3,0),"open")</f>
        <v>ok</v>
      </c>
      <c r="C4764" s="149" t="s">
        <v>369</v>
      </c>
      <c r="D4764" t="s">
        <v>6760</v>
      </c>
      <c r="E4764" s="149" t="s">
        <v>6983</v>
      </c>
      <c r="F4764" s="150" t="s">
        <v>6983</v>
      </c>
      <c r="G4764" s="149" t="s">
        <v>406</v>
      </c>
      <c r="H4764" s="150" t="str">
        <f>IF(Proc[[#This Row],[type]]="LFF (MDG-F)",MID(Proc[[#This Row],[Obj]],13,10),"")</f>
        <v>CN02TQ1002</v>
      </c>
      <c r="J4764" s="150" t="b">
        <f>Proc[[#This Row],[Requested]]=Proc[[#This Row],[CurrentParent]]</f>
        <v>1</v>
      </c>
      <c r="K4764" s="150" t="str">
        <f>IF(Proc[[#This Row],[Author]]="Marcela Urrego",VLOOKUP(LEFT(Proc[[#This Row],[Requested]],1),Table3[#All],2,0),VLOOKUP(Proc[[#This Row],[Author]],Table4[],2,0))</f>
        <v>EL</v>
      </c>
      <c r="L4764" s="150" t="s">
        <v>6435</v>
      </c>
      <c r="M4764" s="171">
        <v>45985</v>
      </c>
      <c r="N4764" s="171"/>
      <c r="O4764" s="171"/>
      <c r="P4764" s="172" t="str">
        <f ca="1">IF(Proc[[#This Row],[DaysAgeing]]&gt;5,"yep","on track")</f>
        <v>yep</v>
      </c>
      <c r="Q4764" s="3">
        <f ca="1">IF(Proc[[#This Row],[DateClosed]]="",ABS(NETWORKDAYS(Proc[[#This Row],[DateOpened]],TODAY()))-1,ABS(NETWORKDAYS(Proc[[#This Row],[DateOpened]],Proc[[#This Row],[DateClosed]]))-1)</f>
        <v>14</v>
      </c>
      <c r="R4764" s="172" t="s">
        <v>5709</v>
      </c>
      <c r="S4764" s="150"/>
    </row>
    <row r="4765" spans="1:19">
      <c r="A4765" s="149" t="s">
        <v>6974</v>
      </c>
      <c r="B4765" s="150" t="str">
        <f>IFERROR(VLOOKUP(Proc[[#This Row],[App]],Table2[],3,0),"open")</f>
        <v>ok</v>
      </c>
      <c r="C4765" s="149" t="s">
        <v>369</v>
      </c>
      <c r="D4765" t="s">
        <v>6761</v>
      </c>
      <c r="E4765" s="149" t="s">
        <v>6983</v>
      </c>
      <c r="F4765" s="150" t="s">
        <v>6983</v>
      </c>
      <c r="G4765" s="149" t="s">
        <v>406</v>
      </c>
      <c r="H4765" s="150" t="str">
        <f>IF(Proc[[#This Row],[type]]="LFF (MDG-F)",MID(Proc[[#This Row],[Obj]],13,10),"")</f>
        <v>CN02TQ1003</v>
      </c>
      <c r="J4765" s="150" t="b">
        <f>Proc[[#This Row],[Requested]]=Proc[[#This Row],[CurrentParent]]</f>
        <v>1</v>
      </c>
      <c r="K4765" s="150" t="str">
        <f>IF(Proc[[#This Row],[Author]]="Marcela Urrego",VLOOKUP(LEFT(Proc[[#This Row],[Requested]],1),Table3[#All],2,0),VLOOKUP(Proc[[#This Row],[Author]],Table4[],2,0))</f>
        <v>EL</v>
      </c>
      <c r="L4765" s="150" t="s">
        <v>6435</v>
      </c>
      <c r="M4765" s="171">
        <v>45985</v>
      </c>
      <c r="N4765" s="171"/>
      <c r="O4765" s="171"/>
      <c r="P4765" s="172" t="str">
        <f ca="1">IF(Proc[[#This Row],[DaysAgeing]]&gt;5,"yep","on track")</f>
        <v>yep</v>
      </c>
      <c r="Q4765" s="3">
        <f ca="1">IF(Proc[[#This Row],[DateClosed]]="",ABS(NETWORKDAYS(Proc[[#This Row],[DateOpened]],TODAY()))-1,ABS(NETWORKDAYS(Proc[[#This Row],[DateOpened]],Proc[[#This Row],[DateClosed]]))-1)</f>
        <v>14</v>
      </c>
      <c r="R4765" s="172" t="s">
        <v>5709</v>
      </c>
      <c r="S4765" s="150"/>
    </row>
    <row r="4766" spans="1:19">
      <c r="A4766" s="149" t="s">
        <v>6974</v>
      </c>
      <c r="B4766" s="150" t="str">
        <f>IFERROR(VLOOKUP(Proc[[#This Row],[App]],Table2[],3,0),"open")</f>
        <v>ok</v>
      </c>
      <c r="C4766" s="149" t="s">
        <v>369</v>
      </c>
      <c r="D4766" t="s">
        <v>6762</v>
      </c>
      <c r="E4766" s="149" t="s">
        <v>6983</v>
      </c>
      <c r="F4766" s="150" t="s">
        <v>6983</v>
      </c>
      <c r="G4766" s="149" t="s">
        <v>406</v>
      </c>
      <c r="H4766" s="150" t="str">
        <f>IF(Proc[[#This Row],[type]]="LFF (MDG-F)",MID(Proc[[#This Row],[Obj]],13,10),"")</f>
        <v>CN03TPZZ02</v>
      </c>
      <c r="J4766" s="150" t="b">
        <f>Proc[[#This Row],[Requested]]=Proc[[#This Row],[CurrentParent]]</f>
        <v>1</v>
      </c>
      <c r="K4766" s="150" t="str">
        <f>IF(Proc[[#This Row],[Author]]="Marcela Urrego",VLOOKUP(LEFT(Proc[[#This Row],[Requested]],1),Table3[#All],2,0),VLOOKUP(Proc[[#This Row],[Author]],Table4[],2,0))</f>
        <v>EL</v>
      </c>
      <c r="L4766" s="150" t="s">
        <v>6435</v>
      </c>
      <c r="M4766" s="171">
        <v>45985</v>
      </c>
      <c r="N4766" s="171"/>
      <c r="O4766" s="171"/>
      <c r="P4766" s="172" t="str">
        <f ca="1">IF(Proc[[#This Row],[DaysAgeing]]&gt;5,"yep","on track")</f>
        <v>yep</v>
      </c>
      <c r="Q4766" s="3">
        <f ca="1">IF(Proc[[#This Row],[DateClosed]]="",ABS(NETWORKDAYS(Proc[[#This Row],[DateOpened]],TODAY()))-1,ABS(NETWORKDAYS(Proc[[#This Row],[DateOpened]],Proc[[#This Row],[DateClosed]]))-1)</f>
        <v>14</v>
      </c>
      <c r="R4766" s="172" t="s">
        <v>5709</v>
      </c>
      <c r="S4766" s="150"/>
    </row>
    <row r="4767" spans="1:19">
      <c r="A4767" s="149" t="s">
        <v>6974</v>
      </c>
      <c r="B4767" s="150" t="str">
        <f>IFERROR(VLOOKUP(Proc[[#This Row],[App]],Table2[],3,0),"open")</f>
        <v>ok</v>
      </c>
      <c r="C4767" s="149" t="s">
        <v>369</v>
      </c>
      <c r="D4767" t="s">
        <v>6763</v>
      </c>
      <c r="E4767" s="149" t="s">
        <v>6983</v>
      </c>
      <c r="F4767" s="150" t="s">
        <v>6983</v>
      </c>
      <c r="G4767" s="149" t="s">
        <v>406</v>
      </c>
      <c r="H4767" s="150" t="str">
        <f>IF(Proc[[#This Row],[type]]="LFF (MDG-F)",MID(Proc[[#This Row],[Obj]],13,10),"")</f>
        <v>CN10DB1001</v>
      </c>
      <c r="J4767" s="150" t="b">
        <f>Proc[[#This Row],[Requested]]=Proc[[#This Row],[CurrentParent]]</f>
        <v>1</v>
      </c>
      <c r="K4767" s="150" t="str">
        <f>IF(Proc[[#This Row],[Author]]="Marcela Urrego",VLOOKUP(LEFT(Proc[[#This Row],[Requested]],1),Table3[#All],2,0),VLOOKUP(Proc[[#This Row],[Author]],Table4[],2,0))</f>
        <v>EL</v>
      </c>
      <c r="L4767" s="150" t="s">
        <v>6435</v>
      </c>
      <c r="M4767" s="171">
        <v>45985</v>
      </c>
      <c r="N4767" s="171"/>
      <c r="O4767" s="171"/>
      <c r="P4767" s="172" t="str">
        <f ca="1">IF(Proc[[#This Row],[DaysAgeing]]&gt;5,"yep","on track")</f>
        <v>yep</v>
      </c>
      <c r="Q4767" s="3">
        <f ca="1">IF(Proc[[#This Row],[DateClosed]]="",ABS(NETWORKDAYS(Proc[[#This Row],[DateOpened]],TODAY()))-1,ABS(NETWORKDAYS(Proc[[#This Row],[DateOpened]],Proc[[#This Row],[DateClosed]]))-1)</f>
        <v>14</v>
      </c>
      <c r="R4767" s="172" t="s">
        <v>5709</v>
      </c>
      <c r="S4767" s="150"/>
    </row>
    <row r="4768" spans="1:19">
      <c r="A4768" s="149" t="s">
        <v>6974</v>
      </c>
      <c r="B4768" s="150" t="str">
        <f>IFERROR(VLOOKUP(Proc[[#This Row],[App]],Table2[],3,0),"open")</f>
        <v>ok</v>
      </c>
      <c r="C4768" s="149" t="s">
        <v>369</v>
      </c>
      <c r="D4768" t="s">
        <v>6764</v>
      </c>
      <c r="E4768" s="149" t="s">
        <v>6983</v>
      </c>
      <c r="F4768" s="150" t="s">
        <v>6983</v>
      </c>
      <c r="G4768" s="149" t="s">
        <v>406</v>
      </c>
      <c r="H4768" s="150" t="str">
        <f>IF(Proc[[#This Row],[type]]="LFF (MDG-F)",MID(Proc[[#This Row],[Obj]],13,10),"")</f>
        <v>CN10DB1002</v>
      </c>
      <c r="J4768" s="150" t="b">
        <f>Proc[[#This Row],[Requested]]=Proc[[#This Row],[CurrentParent]]</f>
        <v>1</v>
      </c>
      <c r="K4768" s="150" t="str">
        <f>IF(Proc[[#This Row],[Author]]="Marcela Urrego",VLOOKUP(LEFT(Proc[[#This Row],[Requested]],1),Table3[#All],2,0),VLOOKUP(Proc[[#This Row],[Author]],Table4[],2,0))</f>
        <v>EL</v>
      </c>
      <c r="L4768" s="150" t="s">
        <v>6435</v>
      </c>
      <c r="M4768" s="171">
        <v>45985</v>
      </c>
      <c r="N4768" s="171"/>
      <c r="O4768" s="171"/>
      <c r="P4768" s="172" t="str">
        <f ca="1">IF(Proc[[#This Row],[DaysAgeing]]&gt;5,"yep","on track")</f>
        <v>yep</v>
      </c>
      <c r="Q4768" s="3">
        <f ca="1">IF(Proc[[#This Row],[DateClosed]]="",ABS(NETWORKDAYS(Proc[[#This Row],[DateOpened]],TODAY()))-1,ABS(NETWORKDAYS(Proc[[#This Row],[DateOpened]],Proc[[#This Row],[DateClosed]]))-1)</f>
        <v>14</v>
      </c>
      <c r="R4768" s="172" t="s">
        <v>5709</v>
      </c>
      <c r="S4768" s="150"/>
    </row>
    <row r="4769" spans="1:19">
      <c r="A4769" s="149" t="s">
        <v>6974</v>
      </c>
      <c r="B4769" s="150" t="str">
        <f>IFERROR(VLOOKUP(Proc[[#This Row],[App]],Table2[],3,0),"open")</f>
        <v>ok</v>
      </c>
      <c r="C4769" s="149" t="s">
        <v>369</v>
      </c>
      <c r="D4769" t="s">
        <v>6765</v>
      </c>
      <c r="E4769" s="149" t="s">
        <v>6983</v>
      </c>
      <c r="F4769" s="150" t="s">
        <v>6983</v>
      </c>
      <c r="G4769" s="149" t="s">
        <v>406</v>
      </c>
      <c r="H4769" s="150" t="str">
        <f>IF(Proc[[#This Row],[type]]="LFF (MDG-F)",MID(Proc[[#This Row],[Obj]],13,10),"")</f>
        <v>CN10DB1004</v>
      </c>
      <c r="J4769" s="150" t="b">
        <f>Proc[[#This Row],[Requested]]=Proc[[#This Row],[CurrentParent]]</f>
        <v>1</v>
      </c>
      <c r="K4769" s="150" t="str">
        <f>IF(Proc[[#This Row],[Author]]="Marcela Urrego",VLOOKUP(LEFT(Proc[[#This Row],[Requested]],1),Table3[#All],2,0),VLOOKUP(Proc[[#This Row],[Author]],Table4[],2,0))</f>
        <v>EL</v>
      </c>
      <c r="L4769" s="150" t="s">
        <v>6435</v>
      </c>
      <c r="M4769" s="171">
        <v>45985</v>
      </c>
      <c r="N4769" s="171"/>
      <c r="O4769" s="171"/>
      <c r="P4769" s="172" t="str">
        <f ca="1">IF(Proc[[#This Row],[DaysAgeing]]&gt;5,"yep","on track")</f>
        <v>yep</v>
      </c>
      <c r="Q4769" s="3">
        <f ca="1">IF(Proc[[#This Row],[DateClosed]]="",ABS(NETWORKDAYS(Proc[[#This Row],[DateOpened]],TODAY()))-1,ABS(NETWORKDAYS(Proc[[#This Row],[DateOpened]],Proc[[#This Row],[DateClosed]]))-1)</f>
        <v>14</v>
      </c>
      <c r="R4769" s="172" t="s">
        <v>5709</v>
      </c>
      <c r="S4769" s="150"/>
    </row>
    <row r="4770" spans="1:19">
      <c r="A4770" s="149" t="s">
        <v>6974</v>
      </c>
      <c r="B4770" s="150" t="str">
        <f>IFERROR(VLOOKUP(Proc[[#This Row],[App]],Table2[],3,0),"open")</f>
        <v>ok</v>
      </c>
      <c r="C4770" s="149" t="s">
        <v>369</v>
      </c>
      <c r="D4770" t="s">
        <v>6766</v>
      </c>
      <c r="E4770" s="149" t="s">
        <v>6983</v>
      </c>
      <c r="F4770" s="150" t="s">
        <v>6983</v>
      </c>
      <c r="G4770" s="149" t="s">
        <v>406</v>
      </c>
      <c r="H4770" s="150" t="str">
        <f>IF(Proc[[#This Row],[type]]="LFF (MDG-F)",MID(Proc[[#This Row],[Obj]],13,10),"")</f>
        <v>CN09DB3303</v>
      </c>
      <c r="J4770" s="150" t="b">
        <f>Proc[[#This Row],[Requested]]=Proc[[#This Row],[CurrentParent]]</f>
        <v>1</v>
      </c>
      <c r="K4770" s="150" t="str">
        <f>IF(Proc[[#This Row],[Author]]="Marcela Urrego",VLOOKUP(LEFT(Proc[[#This Row],[Requested]],1),Table3[#All],2,0),VLOOKUP(Proc[[#This Row],[Author]],Table4[],2,0))</f>
        <v>EL</v>
      </c>
      <c r="L4770" s="150" t="s">
        <v>6435</v>
      </c>
      <c r="M4770" s="171">
        <v>45985</v>
      </c>
      <c r="N4770" s="171"/>
      <c r="O4770" s="171"/>
      <c r="P4770" s="172" t="str">
        <f ca="1">IF(Proc[[#This Row],[DaysAgeing]]&gt;5,"yep","on track")</f>
        <v>yep</v>
      </c>
      <c r="Q4770" s="3">
        <f ca="1">IF(Proc[[#This Row],[DateClosed]]="",ABS(NETWORKDAYS(Proc[[#This Row],[DateOpened]],TODAY()))-1,ABS(NETWORKDAYS(Proc[[#This Row],[DateOpened]],Proc[[#This Row],[DateClosed]]))-1)</f>
        <v>14</v>
      </c>
      <c r="R4770" s="172" t="s">
        <v>5709</v>
      </c>
      <c r="S4770" s="150"/>
    </row>
    <row r="4771" spans="1:19">
      <c r="A4771" s="149" t="s">
        <v>6974</v>
      </c>
      <c r="B4771" s="150" t="str">
        <f>IFERROR(VLOOKUP(Proc[[#This Row],[App]],Table2[],3,0),"open")</f>
        <v>ok</v>
      </c>
      <c r="C4771" s="149" t="s">
        <v>369</v>
      </c>
      <c r="D4771" t="s">
        <v>6767</v>
      </c>
      <c r="E4771" s="149" t="s">
        <v>6983</v>
      </c>
      <c r="F4771" s="150" t="s">
        <v>6983</v>
      </c>
      <c r="G4771" s="149" t="s">
        <v>406</v>
      </c>
      <c r="H4771" s="150" t="str">
        <f>IF(Proc[[#This Row],[type]]="LFF (MDG-F)",MID(Proc[[#This Row],[Obj]],13,10),"")</f>
        <v>CN09DB3305</v>
      </c>
      <c r="J4771" s="150" t="b">
        <f>Proc[[#This Row],[Requested]]=Proc[[#This Row],[CurrentParent]]</f>
        <v>1</v>
      </c>
      <c r="K4771" s="150" t="str">
        <f>IF(Proc[[#This Row],[Author]]="Marcela Urrego",VLOOKUP(LEFT(Proc[[#This Row],[Requested]],1),Table3[#All],2,0),VLOOKUP(Proc[[#This Row],[Author]],Table4[],2,0))</f>
        <v>EL</v>
      </c>
      <c r="L4771" s="150" t="s">
        <v>6435</v>
      </c>
      <c r="M4771" s="171">
        <v>45985</v>
      </c>
      <c r="N4771" s="171"/>
      <c r="O4771" s="171"/>
      <c r="P4771" s="172" t="str">
        <f ca="1">IF(Proc[[#This Row],[DaysAgeing]]&gt;5,"yep","on track")</f>
        <v>yep</v>
      </c>
      <c r="Q4771" s="3">
        <f ca="1">IF(Proc[[#This Row],[DateClosed]]="",ABS(NETWORKDAYS(Proc[[#This Row],[DateOpened]],TODAY()))-1,ABS(NETWORKDAYS(Proc[[#This Row],[DateOpened]],Proc[[#This Row],[DateClosed]]))-1)</f>
        <v>14</v>
      </c>
      <c r="R4771" s="172" t="s">
        <v>5709</v>
      </c>
      <c r="S4771" s="150"/>
    </row>
    <row r="4772" spans="1:19">
      <c r="A4772" s="149" t="s">
        <v>6974</v>
      </c>
      <c r="B4772" s="150" t="str">
        <f>IFERROR(VLOOKUP(Proc[[#This Row],[App]],Table2[],3,0),"open")</f>
        <v>ok</v>
      </c>
      <c r="C4772" s="149" t="s">
        <v>369</v>
      </c>
      <c r="D4772" t="s">
        <v>6768</v>
      </c>
      <c r="E4772" s="149" t="s">
        <v>6983</v>
      </c>
      <c r="F4772" s="150" t="s">
        <v>6983</v>
      </c>
      <c r="G4772" s="149" t="s">
        <v>406</v>
      </c>
      <c r="H4772" s="150" t="str">
        <f>IF(Proc[[#This Row],[type]]="LFF (MDG-F)",MID(Proc[[#This Row],[Obj]],13,10),"")</f>
        <v>CN09TQ1001</v>
      </c>
      <c r="J4772" s="150" t="b">
        <f>Proc[[#This Row],[Requested]]=Proc[[#This Row],[CurrentParent]]</f>
        <v>1</v>
      </c>
      <c r="K4772" s="150" t="str">
        <f>IF(Proc[[#This Row],[Author]]="Marcela Urrego",VLOOKUP(LEFT(Proc[[#This Row],[Requested]],1),Table3[#All],2,0),VLOOKUP(Proc[[#This Row],[Author]],Table4[],2,0))</f>
        <v>EL</v>
      </c>
      <c r="L4772" s="150" t="s">
        <v>6435</v>
      </c>
      <c r="M4772" s="171">
        <v>45985</v>
      </c>
      <c r="N4772" s="171"/>
      <c r="O4772" s="171"/>
      <c r="P4772" s="172" t="str">
        <f ca="1">IF(Proc[[#This Row],[DaysAgeing]]&gt;5,"yep","on track")</f>
        <v>yep</v>
      </c>
      <c r="Q4772" s="3">
        <f ca="1">IF(Proc[[#This Row],[DateClosed]]="",ABS(NETWORKDAYS(Proc[[#This Row],[DateOpened]],TODAY()))-1,ABS(NETWORKDAYS(Proc[[#This Row],[DateOpened]],Proc[[#This Row],[DateClosed]]))-1)</f>
        <v>14</v>
      </c>
      <c r="R4772" s="172" t="s">
        <v>5709</v>
      </c>
      <c r="S4772" s="150"/>
    </row>
    <row r="4773" spans="1:19">
      <c r="A4773" s="149" t="s">
        <v>6974</v>
      </c>
      <c r="B4773" s="150" t="str">
        <f>IFERROR(VLOOKUP(Proc[[#This Row],[App]],Table2[],3,0),"open")</f>
        <v>ok</v>
      </c>
      <c r="C4773" s="149" t="s">
        <v>369</v>
      </c>
      <c r="D4773" t="s">
        <v>6769</v>
      </c>
      <c r="E4773" s="149" t="s">
        <v>6983</v>
      </c>
      <c r="F4773" s="150" t="s">
        <v>6983</v>
      </c>
      <c r="G4773" s="149" t="s">
        <v>406</v>
      </c>
      <c r="H4773" s="150" t="str">
        <f>IF(Proc[[#This Row],[type]]="LFF (MDG-F)",MID(Proc[[#This Row],[Obj]],13,10),"")</f>
        <v>CN09TQ1002</v>
      </c>
      <c r="J4773" s="150" t="b">
        <f>Proc[[#This Row],[Requested]]=Proc[[#This Row],[CurrentParent]]</f>
        <v>1</v>
      </c>
      <c r="K4773" s="150" t="str">
        <f>IF(Proc[[#This Row],[Author]]="Marcela Urrego",VLOOKUP(LEFT(Proc[[#This Row],[Requested]],1),Table3[#All],2,0),VLOOKUP(Proc[[#This Row],[Author]],Table4[],2,0))</f>
        <v>EL</v>
      </c>
      <c r="L4773" s="150" t="s">
        <v>6435</v>
      </c>
      <c r="M4773" s="171">
        <v>45985</v>
      </c>
      <c r="N4773" s="171"/>
      <c r="O4773" s="171"/>
      <c r="P4773" s="172" t="str">
        <f ca="1">IF(Proc[[#This Row],[DaysAgeing]]&gt;5,"yep","on track")</f>
        <v>yep</v>
      </c>
      <c r="Q4773" s="3">
        <f ca="1">IF(Proc[[#This Row],[DateClosed]]="",ABS(NETWORKDAYS(Proc[[#This Row],[DateOpened]],TODAY()))-1,ABS(NETWORKDAYS(Proc[[#This Row],[DateOpened]],Proc[[#This Row],[DateClosed]]))-1)</f>
        <v>14</v>
      </c>
      <c r="R4773" s="172" t="s">
        <v>5709</v>
      </c>
      <c r="S4773" s="150"/>
    </row>
    <row r="4774" spans="1:19">
      <c r="A4774" s="149" t="s">
        <v>6974</v>
      </c>
      <c r="B4774" s="150" t="str">
        <f>IFERROR(VLOOKUP(Proc[[#This Row],[App]],Table2[],3,0),"open")</f>
        <v>ok</v>
      </c>
      <c r="C4774" s="149" t="s">
        <v>369</v>
      </c>
      <c r="D4774" t="s">
        <v>6770</v>
      </c>
      <c r="E4774" s="149" t="s">
        <v>6983</v>
      </c>
      <c r="F4774" s="150" t="s">
        <v>6983</v>
      </c>
      <c r="G4774" s="149" t="s">
        <v>406</v>
      </c>
      <c r="H4774" s="150" t="str">
        <f>IF(Proc[[#This Row],[type]]="LFF (MDG-F)",MID(Proc[[#This Row],[Obj]],13,10),"")</f>
        <v>CN09TQ1003</v>
      </c>
      <c r="J4774" s="150" t="b">
        <f>Proc[[#This Row],[Requested]]=Proc[[#This Row],[CurrentParent]]</f>
        <v>1</v>
      </c>
      <c r="K4774" s="150" t="str">
        <f>IF(Proc[[#This Row],[Author]]="Marcela Urrego",VLOOKUP(LEFT(Proc[[#This Row],[Requested]],1),Table3[#All],2,0),VLOOKUP(Proc[[#This Row],[Author]],Table4[],2,0))</f>
        <v>EL</v>
      </c>
      <c r="L4774" s="150" t="s">
        <v>6435</v>
      </c>
      <c r="M4774" s="171">
        <v>45985</v>
      </c>
      <c r="N4774" s="171"/>
      <c r="O4774" s="171"/>
      <c r="P4774" s="172" t="str">
        <f ca="1">IF(Proc[[#This Row],[DaysAgeing]]&gt;5,"yep","on track")</f>
        <v>yep</v>
      </c>
      <c r="Q4774" s="3">
        <f ca="1">IF(Proc[[#This Row],[DateClosed]]="",ABS(NETWORKDAYS(Proc[[#This Row],[DateOpened]],TODAY()))-1,ABS(NETWORKDAYS(Proc[[#This Row],[DateOpened]],Proc[[#This Row],[DateClosed]]))-1)</f>
        <v>14</v>
      </c>
      <c r="R4774" s="172" t="s">
        <v>5709</v>
      </c>
      <c r="S4774" s="150"/>
    </row>
    <row r="4775" spans="1:19">
      <c r="A4775" s="149" t="s">
        <v>6974</v>
      </c>
      <c r="B4775" s="150" t="str">
        <f>IFERROR(VLOOKUP(Proc[[#This Row],[App]],Table2[],3,0),"open")</f>
        <v>ok</v>
      </c>
      <c r="C4775" s="149" t="s">
        <v>369</v>
      </c>
      <c r="D4775" t="s">
        <v>6771</v>
      </c>
      <c r="E4775" s="149" t="s">
        <v>6983</v>
      </c>
      <c r="F4775" s="150" t="s">
        <v>6983</v>
      </c>
      <c r="G4775" s="149" t="s">
        <v>406</v>
      </c>
      <c r="H4775" s="150" t="str">
        <f>IF(Proc[[#This Row],[type]]="LFF (MDG-F)",MID(Proc[[#This Row],[Obj]],13,10),"")</f>
        <v>CN09DB3309</v>
      </c>
      <c r="J4775" s="150" t="b">
        <f>Proc[[#This Row],[Requested]]=Proc[[#This Row],[CurrentParent]]</f>
        <v>1</v>
      </c>
      <c r="K4775" s="150" t="str">
        <f>IF(Proc[[#This Row],[Author]]="Marcela Urrego",VLOOKUP(LEFT(Proc[[#This Row],[Requested]],1),Table3[#All],2,0),VLOOKUP(Proc[[#This Row],[Author]],Table4[],2,0))</f>
        <v>EL</v>
      </c>
      <c r="L4775" s="150" t="s">
        <v>6435</v>
      </c>
      <c r="M4775" s="171">
        <v>45985</v>
      </c>
      <c r="N4775" s="171"/>
      <c r="O4775" s="171"/>
      <c r="P4775" s="172" t="str">
        <f ca="1">IF(Proc[[#This Row],[DaysAgeing]]&gt;5,"yep","on track")</f>
        <v>yep</v>
      </c>
      <c r="Q4775" s="3">
        <f ca="1">IF(Proc[[#This Row],[DateClosed]]="",ABS(NETWORKDAYS(Proc[[#This Row],[DateOpened]],TODAY()))-1,ABS(NETWORKDAYS(Proc[[#This Row],[DateOpened]],Proc[[#This Row],[DateClosed]]))-1)</f>
        <v>14</v>
      </c>
      <c r="R4775" s="172" t="s">
        <v>5709</v>
      </c>
      <c r="S4775" s="150"/>
    </row>
    <row r="4776" spans="1:19">
      <c r="A4776" s="149" t="s">
        <v>6974</v>
      </c>
      <c r="B4776" s="150" t="str">
        <f>IFERROR(VLOOKUP(Proc[[#This Row],[App]],Table2[],3,0),"open")</f>
        <v>ok</v>
      </c>
      <c r="C4776" s="149" t="s">
        <v>369</v>
      </c>
      <c r="D4776" t="s">
        <v>6772</v>
      </c>
      <c r="E4776" s="149" t="s">
        <v>6983</v>
      </c>
      <c r="F4776" s="150" t="s">
        <v>6983</v>
      </c>
      <c r="G4776" s="149" t="s">
        <v>406</v>
      </c>
      <c r="H4776" s="150" t="str">
        <f>IF(Proc[[#This Row],[type]]="LFF (MDG-F)",MID(Proc[[#This Row],[Obj]],13,10),"")</f>
        <v>CN09DB3300</v>
      </c>
      <c r="J4776" s="150" t="b">
        <f>Proc[[#This Row],[Requested]]=Proc[[#This Row],[CurrentParent]]</f>
        <v>1</v>
      </c>
      <c r="K4776" s="150" t="str">
        <f>IF(Proc[[#This Row],[Author]]="Marcela Urrego",VLOOKUP(LEFT(Proc[[#This Row],[Requested]],1),Table3[#All],2,0),VLOOKUP(Proc[[#This Row],[Author]],Table4[],2,0))</f>
        <v>EL</v>
      </c>
      <c r="L4776" s="150" t="s">
        <v>6435</v>
      </c>
      <c r="M4776" s="171">
        <v>45985</v>
      </c>
      <c r="N4776" s="171"/>
      <c r="O4776" s="171"/>
      <c r="P4776" s="172" t="str">
        <f ca="1">IF(Proc[[#This Row],[DaysAgeing]]&gt;5,"yep","on track")</f>
        <v>yep</v>
      </c>
      <c r="Q4776" s="3">
        <f ca="1">IF(Proc[[#This Row],[DateClosed]]="",ABS(NETWORKDAYS(Proc[[#This Row],[DateOpened]],TODAY()))-1,ABS(NETWORKDAYS(Proc[[#This Row],[DateOpened]],Proc[[#This Row],[DateClosed]]))-1)</f>
        <v>14</v>
      </c>
      <c r="R4776" s="172" t="s">
        <v>5709</v>
      </c>
      <c r="S4776" s="150"/>
    </row>
    <row r="4777" spans="1:19">
      <c r="A4777" s="149" t="s">
        <v>6974</v>
      </c>
      <c r="B4777" s="150" t="str">
        <f>IFERROR(VLOOKUP(Proc[[#This Row],[App]],Table2[],3,0),"open")</f>
        <v>ok</v>
      </c>
      <c r="C4777" s="149" t="s">
        <v>369</v>
      </c>
      <c r="D4777" t="s">
        <v>6773</v>
      </c>
      <c r="E4777" s="149" t="s">
        <v>6983</v>
      </c>
      <c r="F4777" s="150" t="s">
        <v>6983</v>
      </c>
      <c r="G4777" s="149" t="s">
        <v>406</v>
      </c>
      <c r="H4777" s="150" t="str">
        <f>IF(Proc[[#This Row],[type]]="LFF (MDG-F)",MID(Proc[[#This Row],[Obj]],13,10),"")</f>
        <v>CN09TM3000</v>
      </c>
      <c r="J4777" s="150" t="b">
        <f>Proc[[#This Row],[Requested]]=Proc[[#This Row],[CurrentParent]]</f>
        <v>1</v>
      </c>
      <c r="K4777" s="150" t="str">
        <f>IF(Proc[[#This Row],[Author]]="Marcela Urrego",VLOOKUP(LEFT(Proc[[#This Row],[Requested]],1),Table3[#All],2,0),VLOOKUP(Proc[[#This Row],[Author]],Table4[],2,0))</f>
        <v>EL</v>
      </c>
      <c r="L4777" s="150" t="s">
        <v>6435</v>
      </c>
      <c r="M4777" s="171">
        <v>45985</v>
      </c>
      <c r="N4777" s="171"/>
      <c r="O4777" s="171"/>
      <c r="P4777" s="172" t="str">
        <f ca="1">IF(Proc[[#This Row],[DaysAgeing]]&gt;5,"yep","on track")</f>
        <v>yep</v>
      </c>
      <c r="Q4777" s="3">
        <f ca="1">IF(Proc[[#This Row],[DateClosed]]="",ABS(NETWORKDAYS(Proc[[#This Row],[DateOpened]],TODAY()))-1,ABS(NETWORKDAYS(Proc[[#This Row],[DateOpened]],Proc[[#This Row],[DateClosed]]))-1)</f>
        <v>14</v>
      </c>
      <c r="R4777" s="172" t="s">
        <v>5709</v>
      </c>
      <c r="S4777" s="150"/>
    </row>
    <row r="4778" spans="1:19">
      <c r="A4778" s="149" t="s">
        <v>6974</v>
      </c>
      <c r="B4778" s="150" t="str">
        <f>IFERROR(VLOOKUP(Proc[[#This Row],[App]],Table2[],3,0),"open")</f>
        <v>ok</v>
      </c>
      <c r="C4778" s="149" t="s">
        <v>369</v>
      </c>
      <c r="D4778" t="s">
        <v>6774</v>
      </c>
      <c r="E4778" s="149" t="s">
        <v>6983</v>
      </c>
      <c r="F4778" s="150" t="s">
        <v>6983</v>
      </c>
      <c r="G4778" s="149" t="s">
        <v>406</v>
      </c>
      <c r="H4778" s="150" t="str">
        <f>IF(Proc[[#This Row],[type]]="LFF (MDG-F)",MID(Proc[[#This Row],[Obj]],13,10),"")</f>
        <v>CN09DB3301</v>
      </c>
      <c r="J4778" s="150" t="b">
        <f>Proc[[#This Row],[Requested]]=Proc[[#This Row],[CurrentParent]]</f>
        <v>1</v>
      </c>
      <c r="K4778" s="150" t="str">
        <f>IF(Proc[[#This Row],[Author]]="Marcela Urrego",VLOOKUP(LEFT(Proc[[#This Row],[Requested]],1),Table3[#All],2,0),VLOOKUP(Proc[[#This Row],[Author]],Table4[],2,0))</f>
        <v>EL</v>
      </c>
      <c r="L4778" s="150" t="s">
        <v>6435</v>
      </c>
      <c r="M4778" s="171">
        <v>45985</v>
      </c>
      <c r="N4778" s="171"/>
      <c r="O4778" s="171"/>
      <c r="P4778" s="172" t="str">
        <f ca="1">IF(Proc[[#This Row],[DaysAgeing]]&gt;5,"yep","on track")</f>
        <v>yep</v>
      </c>
      <c r="Q4778" s="3">
        <f ca="1">IF(Proc[[#This Row],[DateClosed]]="",ABS(NETWORKDAYS(Proc[[#This Row],[DateOpened]],TODAY()))-1,ABS(NETWORKDAYS(Proc[[#This Row],[DateOpened]],Proc[[#This Row],[DateClosed]]))-1)</f>
        <v>14</v>
      </c>
      <c r="R4778" s="172" t="s">
        <v>5709</v>
      </c>
      <c r="S4778" s="150"/>
    </row>
    <row r="4779" spans="1:19">
      <c r="A4779" s="149" t="s">
        <v>6974</v>
      </c>
      <c r="B4779" s="150" t="str">
        <f>IFERROR(VLOOKUP(Proc[[#This Row],[App]],Table2[],3,0),"open")</f>
        <v>ok</v>
      </c>
      <c r="C4779" s="149" t="s">
        <v>369</v>
      </c>
      <c r="D4779" t="s">
        <v>6775</v>
      </c>
      <c r="E4779" s="149" t="s">
        <v>6983</v>
      </c>
      <c r="F4779" s="150" t="s">
        <v>6983</v>
      </c>
      <c r="G4779" s="149" t="s">
        <v>406</v>
      </c>
      <c r="H4779" s="150" t="str">
        <f>IF(Proc[[#This Row],[type]]="LFF (MDG-F)",MID(Proc[[#This Row],[Obj]],13,10),"")</f>
        <v>CN09DB3307</v>
      </c>
      <c r="J4779" s="150" t="b">
        <f>Proc[[#This Row],[Requested]]=Proc[[#This Row],[CurrentParent]]</f>
        <v>1</v>
      </c>
      <c r="K4779" s="150" t="str">
        <f>IF(Proc[[#This Row],[Author]]="Marcela Urrego",VLOOKUP(LEFT(Proc[[#This Row],[Requested]],1),Table3[#All],2,0),VLOOKUP(Proc[[#This Row],[Author]],Table4[],2,0))</f>
        <v>EL</v>
      </c>
      <c r="L4779" s="150" t="s">
        <v>6435</v>
      </c>
      <c r="M4779" s="171">
        <v>45985</v>
      </c>
      <c r="N4779" s="171"/>
      <c r="O4779" s="171"/>
      <c r="P4779" s="172" t="str">
        <f ca="1">IF(Proc[[#This Row],[DaysAgeing]]&gt;5,"yep","on track")</f>
        <v>yep</v>
      </c>
      <c r="Q4779" s="3">
        <f ca="1">IF(Proc[[#This Row],[DateClosed]]="",ABS(NETWORKDAYS(Proc[[#This Row],[DateOpened]],TODAY()))-1,ABS(NETWORKDAYS(Proc[[#This Row],[DateOpened]],Proc[[#This Row],[DateClosed]]))-1)</f>
        <v>14</v>
      </c>
      <c r="R4779" s="172" t="s">
        <v>5709</v>
      </c>
      <c r="S4779" s="150"/>
    </row>
    <row r="4780" spans="1:19">
      <c r="A4780" t="s">
        <v>6975</v>
      </c>
      <c r="B4780" s="150" t="str">
        <f>IFERROR(VLOOKUP(Proc[[#This Row],[App]],Table2[],3,0),"open")</f>
        <v>ok</v>
      </c>
      <c r="C4780" s="149" t="s">
        <v>369</v>
      </c>
      <c r="D4780" t="s">
        <v>6976</v>
      </c>
      <c r="E4780" t="s">
        <v>1012</v>
      </c>
      <c r="F4780" s="150" t="s">
        <v>1012</v>
      </c>
      <c r="G4780" t="s">
        <v>400</v>
      </c>
      <c r="H4780" s="150" t="str">
        <f>IF(Proc[[#This Row],[type]]="LFF (MDG-F)",MID(Proc[[#This Row],[Obj]],13,10),"")</f>
        <v/>
      </c>
      <c r="J4780" s="150" t="b">
        <f>Proc[[#This Row],[Requested]]=Proc[[#This Row],[CurrentParent]]</f>
        <v>1</v>
      </c>
      <c r="K4780" s="150" t="str">
        <f>IF(Proc[[#This Row],[Author]]="Marcela Urrego",VLOOKUP(LEFT(Proc[[#This Row],[Requested]],1),Table3[#All],2,0),VLOOKUP(Proc[[#This Row],[Author]],Table4[],2,0))</f>
        <v>HC</v>
      </c>
      <c r="L4780" s="150" t="s">
        <v>6435</v>
      </c>
      <c r="M4780" s="171">
        <v>45985</v>
      </c>
      <c r="N4780" s="171"/>
      <c r="O4780" s="171"/>
      <c r="P4780" s="172" t="str">
        <f ca="1">IF(Proc[[#This Row],[DaysAgeing]]&gt;5,"yep","on track")</f>
        <v>yep</v>
      </c>
      <c r="Q4780" s="3">
        <f ca="1">IF(Proc[[#This Row],[DateClosed]]="",ABS(NETWORKDAYS(Proc[[#This Row],[DateOpened]],TODAY()))-1,ABS(NETWORKDAYS(Proc[[#This Row],[DateOpened]],Proc[[#This Row],[DateClosed]]))-1)</f>
        <v>14</v>
      </c>
      <c r="R4780" s="172" t="s">
        <v>6982</v>
      </c>
      <c r="S4780" s="150"/>
    </row>
    <row r="4781" spans="1:19">
      <c r="A4781" t="s">
        <v>6975</v>
      </c>
      <c r="B4781" s="150" t="str">
        <f>IFERROR(VLOOKUP(Proc[[#This Row],[App]],Table2[],3,0),"open")</f>
        <v>ok</v>
      </c>
      <c r="C4781" s="149" t="s">
        <v>369</v>
      </c>
      <c r="D4781" t="s">
        <v>6977</v>
      </c>
      <c r="E4781" t="s">
        <v>555</v>
      </c>
      <c r="F4781" s="150" t="s">
        <v>555</v>
      </c>
      <c r="G4781" s="149" t="s">
        <v>400</v>
      </c>
      <c r="H4781" s="150" t="str">
        <f>IF(Proc[[#This Row],[type]]="LFF (MDG-F)",MID(Proc[[#This Row],[Obj]],13,10),"")</f>
        <v/>
      </c>
      <c r="J4781" s="150" t="b">
        <f>Proc[[#This Row],[Requested]]=Proc[[#This Row],[CurrentParent]]</f>
        <v>1</v>
      </c>
      <c r="K4781" s="150" t="str">
        <f>IF(Proc[[#This Row],[Author]]="Marcela Urrego",VLOOKUP(LEFT(Proc[[#This Row],[Requested]],1),Table3[#All],2,0),VLOOKUP(Proc[[#This Row],[Author]],Table4[],2,0))</f>
        <v>HC</v>
      </c>
      <c r="L4781" s="150" t="s">
        <v>6435</v>
      </c>
      <c r="M4781" s="171">
        <v>45985</v>
      </c>
      <c r="N4781" s="171"/>
      <c r="O4781" s="171"/>
      <c r="P4781" s="172" t="str">
        <f ca="1">IF(Proc[[#This Row],[DaysAgeing]]&gt;5,"yep","on track")</f>
        <v>yep</v>
      </c>
      <c r="Q4781" s="3">
        <f ca="1">IF(Proc[[#This Row],[DateClosed]]="",ABS(NETWORKDAYS(Proc[[#This Row],[DateOpened]],TODAY()))-1,ABS(NETWORKDAYS(Proc[[#This Row],[DateOpened]],Proc[[#This Row],[DateClosed]]))-1)</f>
        <v>14</v>
      </c>
      <c r="R4781" s="172" t="s">
        <v>6982</v>
      </c>
      <c r="S4781" s="150"/>
    </row>
    <row r="4782" spans="1:19">
      <c r="A4782" s="149" t="s">
        <v>6975</v>
      </c>
      <c r="B4782" s="150" t="str">
        <f>IFERROR(VLOOKUP(Proc[[#This Row],[App]],Table2[],3,0),"open")</f>
        <v>ok</v>
      </c>
      <c r="C4782" s="149" t="s">
        <v>369</v>
      </c>
      <c r="D4782" t="s">
        <v>6978</v>
      </c>
      <c r="E4782" t="s">
        <v>1012</v>
      </c>
      <c r="F4782" s="150" t="s">
        <v>1012</v>
      </c>
      <c r="G4782" s="149" t="s">
        <v>400</v>
      </c>
      <c r="H4782" s="150" t="str">
        <f>IF(Proc[[#This Row],[type]]="LFF (MDG-F)",MID(Proc[[#This Row],[Obj]],13,10),"")</f>
        <v/>
      </c>
      <c r="J4782" s="150" t="b">
        <f>Proc[[#This Row],[Requested]]=Proc[[#This Row],[CurrentParent]]</f>
        <v>1</v>
      </c>
      <c r="K4782" s="150" t="str">
        <f>IF(Proc[[#This Row],[Author]]="Marcela Urrego",VLOOKUP(LEFT(Proc[[#This Row],[Requested]],1),Table3[#All],2,0),VLOOKUP(Proc[[#This Row],[Author]],Table4[],2,0))</f>
        <v>HC</v>
      </c>
      <c r="L4782" s="150" t="s">
        <v>6435</v>
      </c>
      <c r="M4782" s="171">
        <v>45985</v>
      </c>
      <c r="N4782" s="171"/>
      <c r="O4782" s="171"/>
      <c r="P4782" s="172" t="str">
        <f ca="1">IF(Proc[[#This Row],[DaysAgeing]]&gt;5,"yep","on track")</f>
        <v>yep</v>
      </c>
      <c r="Q4782" s="3">
        <f ca="1">IF(Proc[[#This Row],[DateClosed]]="",ABS(NETWORKDAYS(Proc[[#This Row],[DateOpened]],TODAY()))-1,ABS(NETWORKDAYS(Proc[[#This Row],[DateOpened]],Proc[[#This Row],[DateClosed]]))-1)</f>
        <v>14</v>
      </c>
      <c r="R4782" s="172" t="s">
        <v>6982</v>
      </c>
      <c r="S4782" s="150"/>
    </row>
    <row r="4783" spans="1:19">
      <c r="A4783" s="149" t="s">
        <v>6975</v>
      </c>
      <c r="B4783" s="150" t="str">
        <f>IFERROR(VLOOKUP(Proc[[#This Row],[App]],Table2[],3,0),"open")</f>
        <v>ok</v>
      </c>
      <c r="C4783" s="149" t="s">
        <v>369</v>
      </c>
      <c r="D4783" t="s">
        <v>6979</v>
      </c>
      <c r="E4783" t="s">
        <v>1012</v>
      </c>
      <c r="F4783" s="150" t="s">
        <v>1012</v>
      </c>
      <c r="G4783" s="149" t="s">
        <v>400</v>
      </c>
      <c r="H4783" s="150" t="str">
        <f>IF(Proc[[#This Row],[type]]="LFF (MDG-F)",MID(Proc[[#This Row],[Obj]],13,10),"")</f>
        <v/>
      </c>
      <c r="J4783" s="150" t="b">
        <f>Proc[[#This Row],[Requested]]=Proc[[#This Row],[CurrentParent]]</f>
        <v>1</v>
      </c>
      <c r="K4783" s="150" t="str">
        <f>IF(Proc[[#This Row],[Author]]="Marcela Urrego",VLOOKUP(LEFT(Proc[[#This Row],[Requested]],1),Table3[#All],2,0),VLOOKUP(Proc[[#This Row],[Author]],Table4[],2,0))</f>
        <v>HC</v>
      </c>
      <c r="L4783" s="150" t="s">
        <v>6435</v>
      </c>
      <c r="M4783" s="171">
        <v>45985</v>
      </c>
      <c r="N4783" s="171"/>
      <c r="O4783" s="171"/>
      <c r="P4783" s="172" t="str">
        <f ca="1">IF(Proc[[#This Row],[DaysAgeing]]&gt;5,"yep","on track")</f>
        <v>yep</v>
      </c>
      <c r="Q4783" s="3">
        <f ca="1">IF(Proc[[#This Row],[DateClosed]]="",ABS(NETWORKDAYS(Proc[[#This Row],[DateOpened]],TODAY()))-1,ABS(NETWORKDAYS(Proc[[#This Row],[DateOpened]],Proc[[#This Row],[DateClosed]]))-1)</f>
        <v>14</v>
      </c>
      <c r="R4783" s="172" t="s">
        <v>6982</v>
      </c>
      <c r="S4783" s="150"/>
    </row>
    <row r="4784" spans="1:19">
      <c r="A4784" s="149" t="s">
        <v>6975</v>
      </c>
      <c r="B4784" s="150" t="str">
        <f>IFERROR(VLOOKUP(Proc[[#This Row],[App]],Table2[],3,0),"open")</f>
        <v>ok</v>
      </c>
      <c r="C4784" s="149" t="s">
        <v>369</v>
      </c>
      <c r="D4784" t="s">
        <v>6980</v>
      </c>
      <c r="E4784" t="s">
        <v>1012</v>
      </c>
      <c r="F4784" s="150" t="s">
        <v>1012</v>
      </c>
      <c r="G4784" s="149" t="s">
        <v>400</v>
      </c>
      <c r="H4784" s="150" t="str">
        <f>IF(Proc[[#This Row],[type]]="LFF (MDG-F)",MID(Proc[[#This Row],[Obj]],13,10),"")</f>
        <v/>
      </c>
      <c r="J4784" s="150" t="b">
        <f>Proc[[#This Row],[Requested]]=Proc[[#This Row],[CurrentParent]]</f>
        <v>1</v>
      </c>
      <c r="K4784" s="150" t="str">
        <f>IF(Proc[[#This Row],[Author]]="Marcela Urrego",VLOOKUP(LEFT(Proc[[#This Row],[Requested]],1),Table3[#All],2,0),VLOOKUP(Proc[[#This Row],[Author]],Table4[],2,0))</f>
        <v>HC</v>
      </c>
      <c r="L4784" s="150" t="s">
        <v>6435</v>
      </c>
      <c r="M4784" s="171">
        <v>45985</v>
      </c>
      <c r="N4784" s="171"/>
      <c r="O4784" s="171"/>
      <c r="P4784" s="172" t="str">
        <f ca="1">IF(Proc[[#This Row],[DaysAgeing]]&gt;5,"yep","on track")</f>
        <v>yep</v>
      </c>
      <c r="Q4784" s="3">
        <f ca="1">IF(Proc[[#This Row],[DateClosed]]="",ABS(NETWORKDAYS(Proc[[#This Row],[DateOpened]],TODAY()))-1,ABS(NETWORKDAYS(Proc[[#This Row],[DateOpened]],Proc[[#This Row],[DateClosed]]))-1)</f>
        <v>14</v>
      </c>
      <c r="R4784" s="172" t="s">
        <v>6982</v>
      </c>
      <c r="S4784" s="150"/>
    </row>
    <row r="4785" spans="1:19">
      <c r="A4785" s="149" t="s">
        <v>6975</v>
      </c>
      <c r="B4785" s="150" t="str">
        <f>IFERROR(VLOOKUP(Proc[[#This Row],[App]],Table2[],3,0),"open")</f>
        <v>ok</v>
      </c>
      <c r="C4785" s="149" t="s">
        <v>369</v>
      </c>
      <c r="D4785" t="s">
        <v>6981</v>
      </c>
      <c r="E4785" t="s">
        <v>554</v>
      </c>
      <c r="F4785" s="150" t="s">
        <v>554</v>
      </c>
      <c r="G4785" s="149" t="s">
        <v>400</v>
      </c>
      <c r="H4785" s="150" t="str">
        <f>IF(Proc[[#This Row],[type]]="LFF (MDG-F)",MID(Proc[[#This Row],[Obj]],13,10),"")</f>
        <v/>
      </c>
      <c r="J4785" s="150" t="b">
        <f>Proc[[#This Row],[Requested]]=Proc[[#This Row],[CurrentParent]]</f>
        <v>1</v>
      </c>
      <c r="K4785" s="150" t="str">
        <f>IF(Proc[[#This Row],[Author]]="Marcela Urrego",VLOOKUP(LEFT(Proc[[#This Row],[Requested]],1),Table3[#All],2,0),VLOOKUP(Proc[[#This Row],[Author]],Table4[],2,0))</f>
        <v>HC</v>
      </c>
      <c r="L4785" s="150" t="s">
        <v>6435</v>
      </c>
      <c r="M4785" s="171">
        <v>45985</v>
      </c>
      <c r="N4785" s="171"/>
      <c r="O4785" s="171"/>
      <c r="P4785" s="172" t="str">
        <f ca="1">IF(Proc[[#This Row],[DaysAgeing]]&gt;5,"yep","on track")</f>
        <v>yep</v>
      </c>
      <c r="Q4785" s="3">
        <f ca="1">IF(Proc[[#This Row],[DateClosed]]="",ABS(NETWORKDAYS(Proc[[#This Row],[DateOpened]],TODAY()))-1,ABS(NETWORKDAYS(Proc[[#This Row],[DateOpened]],Proc[[#This Row],[DateClosed]]))-1)</f>
        <v>14</v>
      </c>
      <c r="R4785" s="172" t="s">
        <v>6982</v>
      </c>
      <c r="S4785" s="150"/>
    </row>
    <row r="4786" spans="1:19">
      <c r="A4786" t="s">
        <v>6984</v>
      </c>
      <c r="B4786" s="150" t="str">
        <f>IFERROR(VLOOKUP(Proc[[#This Row],[App]],Table2[],3,0),"open")</f>
        <v>ok</v>
      </c>
      <c r="C4786" s="149" t="s">
        <v>369</v>
      </c>
      <c r="D4786" t="s">
        <v>6985</v>
      </c>
      <c r="E4786" t="s">
        <v>812</v>
      </c>
      <c r="F4786" s="150" t="s">
        <v>812</v>
      </c>
      <c r="G4786" s="149" t="s">
        <v>400</v>
      </c>
      <c r="H4786" s="150" t="str">
        <f>IF(Proc[[#This Row],[type]]="LFF (MDG-F)",MID(Proc[[#This Row],[Obj]],13,10),"")</f>
        <v/>
      </c>
      <c r="J4786" s="150" t="b">
        <f>Proc[[#This Row],[Requested]]=Proc[[#This Row],[CurrentParent]]</f>
        <v>1</v>
      </c>
      <c r="K4786" s="150" t="str">
        <f>IF(Proc[[#This Row],[Author]]="Marcela Urrego",VLOOKUP(LEFT(Proc[[#This Row],[Requested]],1),Table3[#All],2,0),VLOOKUP(Proc[[#This Row],[Author]],Table4[],2,0))</f>
        <v>LS?</v>
      </c>
      <c r="L4786" s="150" t="s">
        <v>6435</v>
      </c>
      <c r="M4786" s="172">
        <v>45986</v>
      </c>
      <c r="N4786" s="172"/>
      <c r="O4786" s="172"/>
      <c r="P4786" s="173" t="str">
        <f ca="1">IF(Proc[[#This Row],[DaysAgeing]]&gt;5,"yep","on track")</f>
        <v>yep</v>
      </c>
      <c r="Q4786" s="3">
        <f ca="1">IF(Proc[[#This Row],[DateClosed]]="",ABS(NETWORKDAYS(Proc[[#This Row],[DateOpened]],TODAY()))-1,ABS(NETWORKDAYS(Proc[[#This Row],[DateOpened]],Proc[[#This Row],[DateClosed]]))-1)</f>
        <v>13</v>
      </c>
      <c r="R4786" s="173" t="s">
        <v>6990</v>
      </c>
      <c r="S4786" s="150"/>
    </row>
    <row r="4787" spans="1:19">
      <c r="A4787" t="s">
        <v>6984</v>
      </c>
      <c r="B4787" s="150" t="str">
        <f>IFERROR(VLOOKUP(Proc[[#This Row],[App]],Table2[],3,0),"open")</f>
        <v>ok</v>
      </c>
      <c r="C4787" s="149" t="s">
        <v>369</v>
      </c>
      <c r="D4787" t="s">
        <v>6986</v>
      </c>
      <c r="E4787" t="s">
        <v>6744</v>
      </c>
      <c r="F4787" s="150" t="s">
        <v>6744</v>
      </c>
      <c r="G4787" s="149" t="s">
        <v>400</v>
      </c>
      <c r="H4787" s="150" t="str">
        <f>IF(Proc[[#This Row],[type]]="LFF (MDG-F)",MID(Proc[[#This Row],[Obj]],13,10),"")</f>
        <v/>
      </c>
      <c r="J4787" s="150" t="b">
        <f>Proc[[#This Row],[Requested]]=Proc[[#This Row],[CurrentParent]]</f>
        <v>1</v>
      </c>
      <c r="K4787" s="150" t="str">
        <f>IF(Proc[[#This Row],[Author]]="Marcela Urrego",VLOOKUP(LEFT(Proc[[#This Row],[Requested]],1),Table3[#All],2,0),VLOOKUP(Proc[[#This Row],[Author]],Table4[],2,0))</f>
        <v>LS?</v>
      </c>
      <c r="L4787" s="150" t="s">
        <v>6435</v>
      </c>
      <c r="M4787" s="172">
        <v>45986</v>
      </c>
      <c r="N4787" s="172"/>
      <c r="O4787" s="172"/>
      <c r="P4787" s="173" t="str">
        <f ca="1">IF(Proc[[#This Row],[DaysAgeing]]&gt;5,"yep","on track")</f>
        <v>yep</v>
      </c>
      <c r="Q4787" s="3">
        <f ca="1">IF(Proc[[#This Row],[DateClosed]]="",ABS(NETWORKDAYS(Proc[[#This Row],[DateOpened]],TODAY()))-1,ABS(NETWORKDAYS(Proc[[#This Row],[DateOpened]],Proc[[#This Row],[DateClosed]]))-1)</f>
        <v>13</v>
      </c>
      <c r="R4787" s="173" t="s">
        <v>6990</v>
      </c>
      <c r="S4787" s="150"/>
    </row>
    <row r="4788" spans="1:19">
      <c r="A4788" s="149" t="s">
        <v>6984</v>
      </c>
      <c r="B4788" s="150" t="str">
        <f>IFERROR(VLOOKUP(Proc[[#This Row],[App]],Table2[],3,0),"open")</f>
        <v>ok</v>
      </c>
      <c r="C4788" s="149" t="s">
        <v>369</v>
      </c>
      <c r="D4788" t="s">
        <v>6987</v>
      </c>
      <c r="E4788" t="s">
        <v>6989</v>
      </c>
      <c r="F4788" s="150" t="s">
        <v>6989</v>
      </c>
      <c r="G4788" s="149" t="s">
        <v>400</v>
      </c>
      <c r="H4788" s="150" t="str">
        <f>IF(Proc[[#This Row],[type]]="LFF (MDG-F)",MID(Proc[[#This Row],[Obj]],13,10),"")</f>
        <v/>
      </c>
      <c r="J4788" s="150" t="b">
        <f>Proc[[#This Row],[Requested]]=Proc[[#This Row],[CurrentParent]]</f>
        <v>1</v>
      </c>
      <c r="K4788" s="150" t="str">
        <f>IF(Proc[[#This Row],[Author]]="Marcela Urrego",VLOOKUP(LEFT(Proc[[#This Row],[Requested]],1),Table3[#All],2,0),VLOOKUP(Proc[[#This Row],[Author]],Table4[],2,0))</f>
        <v>LS?</v>
      </c>
      <c r="L4788" s="150" t="s">
        <v>6435</v>
      </c>
      <c r="M4788" s="172">
        <v>45986</v>
      </c>
      <c r="N4788" s="172"/>
      <c r="O4788" s="172"/>
      <c r="P4788" s="173" t="str">
        <f ca="1">IF(Proc[[#This Row],[DaysAgeing]]&gt;5,"yep","on track")</f>
        <v>yep</v>
      </c>
      <c r="Q4788" s="3">
        <f ca="1">IF(Proc[[#This Row],[DateClosed]]="",ABS(NETWORKDAYS(Proc[[#This Row],[DateOpened]],TODAY()))-1,ABS(NETWORKDAYS(Proc[[#This Row],[DateOpened]],Proc[[#This Row],[DateClosed]]))-1)</f>
        <v>13</v>
      </c>
      <c r="R4788" s="173" t="s">
        <v>6990</v>
      </c>
      <c r="S4788" s="150"/>
    </row>
    <row r="4789" spans="1:19">
      <c r="A4789" s="149" t="s">
        <v>6984</v>
      </c>
      <c r="B4789" s="150" t="str">
        <f>IFERROR(VLOOKUP(Proc[[#This Row],[App]],Table2[],3,0),"open")</f>
        <v>ok</v>
      </c>
      <c r="C4789" s="149" t="s">
        <v>369</v>
      </c>
      <c r="D4789" t="s">
        <v>6988</v>
      </c>
      <c r="E4789" t="s">
        <v>556</v>
      </c>
      <c r="F4789" s="150" t="s">
        <v>556</v>
      </c>
      <c r="G4789" s="149" t="s">
        <v>400</v>
      </c>
      <c r="H4789" s="150" t="str">
        <f>IF(Proc[[#This Row],[type]]="LFF (MDG-F)",MID(Proc[[#This Row],[Obj]],13,10),"")</f>
        <v/>
      </c>
      <c r="J4789" s="150" t="b">
        <f>Proc[[#This Row],[Requested]]=Proc[[#This Row],[CurrentParent]]</f>
        <v>1</v>
      </c>
      <c r="K4789" s="150" t="str">
        <f>IF(Proc[[#This Row],[Author]]="Marcela Urrego",VLOOKUP(LEFT(Proc[[#This Row],[Requested]],1),Table3[#All],2,0),VLOOKUP(Proc[[#This Row],[Author]],Table4[],2,0))</f>
        <v>LS?</v>
      </c>
      <c r="L4789" s="150" t="s">
        <v>6435</v>
      </c>
      <c r="M4789" s="172">
        <v>45986</v>
      </c>
      <c r="N4789" s="172"/>
      <c r="O4789" s="172"/>
      <c r="P4789" s="173" t="str">
        <f ca="1">IF(Proc[[#This Row],[DaysAgeing]]&gt;5,"yep","on track")</f>
        <v>yep</v>
      </c>
      <c r="Q4789" s="3">
        <f ca="1">IF(Proc[[#This Row],[DateClosed]]="",ABS(NETWORKDAYS(Proc[[#This Row],[DateOpened]],TODAY()))-1,ABS(NETWORKDAYS(Proc[[#This Row],[DateOpened]],Proc[[#This Row],[DateClosed]]))-1)</f>
        <v>13</v>
      </c>
      <c r="R4789" s="173" t="s">
        <v>6990</v>
      </c>
      <c r="S4789" s="150"/>
    </row>
    <row r="4790" spans="1:19">
      <c r="A4790" t="s">
        <v>6991</v>
      </c>
      <c r="B4790" s="150" t="str">
        <f>IFERROR(VLOOKUP(Proc[[#This Row],[App]],Table2[],3,0),"open")</f>
        <v>ok</v>
      </c>
      <c r="C4790" s="149" t="s">
        <v>369</v>
      </c>
      <c r="D4790" t="s">
        <v>6992</v>
      </c>
      <c r="E4790" t="s">
        <v>6997</v>
      </c>
      <c r="F4790" s="150" t="s">
        <v>6997</v>
      </c>
      <c r="G4790" t="s">
        <v>406</v>
      </c>
      <c r="H4790" s="150" t="str">
        <f>IF(Proc[[#This Row],[type]]="LFF (MDG-F)",MID(Proc[[#This Row],[Obj]],13,10),"")</f>
        <v>ES50Y54321</v>
      </c>
      <c r="J4790" s="150" t="b">
        <f>Proc[[#This Row],[Requested]]=Proc[[#This Row],[CurrentParent]]</f>
        <v>1</v>
      </c>
      <c r="K4790" s="150" t="str">
        <f>IF(Proc[[#This Row],[Author]]="Marcela Urrego",VLOOKUP(LEFT(Proc[[#This Row],[Requested]],1),Table3[#All],2,0),VLOOKUP(Proc[[#This Row],[Author]],Table4[],2,0))</f>
        <v>MGF</v>
      </c>
      <c r="L4790" s="150" t="s">
        <v>6435</v>
      </c>
      <c r="M4790" s="172">
        <v>45986</v>
      </c>
      <c r="N4790" s="172"/>
      <c r="O4790" s="172"/>
      <c r="P4790" s="173" t="str">
        <f ca="1">IF(Proc[[#This Row],[DaysAgeing]]&gt;5,"yep","on track")</f>
        <v>yep</v>
      </c>
      <c r="Q4790" s="3">
        <f ca="1">IF(Proc[[#This Row],[DateClosed]]="",ABS(NETWORKDAYS(Proc[[#This Row],[DateOpened]],TODAY()))-1,ABS(NETWORKDAYS(Proc[[#This Row],[DateOpened]],Proc[[#This Row],[DateClosed]]))-1)</f>
        <v>13</v>
      </c>
      <c r="R4790" s="172" t="s">
        <v>515</v>
      </c>
      <c r="S4790" s="150"/>
    </row>
    <row r="4791" spans="1:19">
      <c r="A4791" s="149" t="s">
        <v>6991</v>
      </c>
      <c r="B4791" s="150" t="str">
        <f>IFERROR(VLOOKUP(Proc[[#This Row],[App]],Table2[],3,0),"open")</f>
        <v>ok</v>
      </c>
      <c r="C4791" s="149" t="s">
        <v>369</v>
      </c>
      <c r="D4791" t="s">
        <v>6993</v>
      </c>
      <c r="E4791" t="s">
        <v>6997</v>
      </c>
      <c r="F4791" s="150" t="s">
        <v>6997</v>
      </c>
      <c r="G4791" t="s">
        <v>406</v>
      </c>
      <c r="H4791" s="150" t="str">
        <f>IF(Proc[[#This Row],[type]]="LFF (MDG-F)",MID(Proc[[#This Row],[Obj]],13,10),"")</f>
        <v>IT50Y54321</v>
      </c>
      <c r="J4791" s="150" t="b">
        <f>Proc[[#This Row],[Requested]]=Proc[[#This Row],[CurrentParent]]</f>
        <v>1</v>
      </c>
      <c r="K4791" s="150" t="str">
        <f>IF(Proc[[#This Row],[Author]]="Marcela Urrego",VLOOKUP(LEFT(Proc[[#This Row],[Requested]],1),Table3[#All],2,0),VLOOKUP(Proc[[#This Row],[Author]],Table4[],2,0))</f>
        <v>MGF</v>
      </c>
      <c r="L4791" s="150" t="s">
        <v>6435</v>
      </c>
      <c r="M4791" s="172">
        <v>45986</v>
      </c>
      <c r="N4791" s="172"/>
      <c r="O4791" s="172"/>
      <c r="P4791" s="173" t="str">
        <f ca="1">IF(Proc[[#This Row],[DaysAgeing]]&gt;5,"yep","on track")</f>
        <v>yep</v>
      </c>
      <c r="Q4791" s="3">
        <f ca="1">IF(Proc[[#This Row],[DateClosed]]="",ABS(NETWORKDAYS(Proc[[#This Row],[DateOpened]],TODAY()))-1,ABS(NETWORKDAYS(Proc[[#This Row],[DateOpened]],Proc[[#This Row],[DateClosed]]))-1)</f>
        <v>13</v>
      </c>
      <c r="R4791" s="172" t="s">
        <v>515</v>
      </c>
      <c r="S4791" s="150"/>
    </row>
    <row r="4792" spans="1:19">
      <c r="A4792" s="149" t="s">
        <v>6991</v>
      </c>
      <c r="B4792" s="150" t="str">
        <f>IFERROR(VLOOKUP(Proc[[#This Row],[App]],Table2[],3,0),"open")</f>
        <v>ok</v>
      </c>
      <c r="C4792" s="149" t="s">
        <v>369</v>
      </c>
      <c r="D4792" t="s">
        <v>6994</v>
      </c>
      <c r="E4792" t="s">
        <v>6997</v>
      </c>
      <c r="F4792" s="150" t="s">
        <v>6997</v>
      </c>
      <c r="G4792" t="s">
        <v>406</v>
      </c>
      <c r="H4792" s="150" t="str">
        <f>IF(Proc[[#This Row],[type]]="LFF (MDG-F)",MID(Proc[[#This Row],[Obj]],13,10),"")</f>
        <v>2123Y54321</v>
      </c>
      <c r="J4792" s="150" t="b">
        <f>Proc[[#This Row],[Requested]]=Proc[[#This Row],[CurrentParent]]</f>
        <v>1</v>
      </c>
      <c r="K4792" s="150" t="str">
        <f>IF(Proc[[#This Row],[Author]]="Marcela Urrego",VLOOKUP(LEFT(Proc[[#This Row],[Requested]],1),Table3[#All],2,0),VLOOKUP(Proc[[#This Row],[Author]],Table4[],2,0))</f>
        <v>MGF</v>
      </c>
      <c r="L4792" s="150" t="s">
        <v>6435</v>
      </c>
      <c r="M4792" s="172">
        <v>45986</v>
      </c>
      <c r="N4792" s="172"/>
      <c r="O4792" s="172"/>
      <c r="P4792" s="173" t="str">
        <f ca="1">IF(Proc[[#This Row],[DaysAgeing]]&gt;5,"yep","on track")</f>
        <v>yep</v>
      </c>
      <c r="Q4792" s="3">
        <f ca="1">IF(Proc[[#This Row],[DateClosed]]="",ABS(NETWORKDAYS(Proc[[#This Row],[DateOpened]],TODAY()))-1,ABS(NETWORKDAYS(Proc[[#This Row],[DateOpened]],Proc[[#This Row],[DateClosed]]))-1)</f>
        <v>13</v>
      </c>
      <c r="R4792" s="172" t="s">
        <v>515</v>
      </c>
      <c r="S4792" s="150"/>
    </row>
    <row r="4793" spans="1:19">
      <c r="A4793" s="149" t="s">
        <v>6991</v>
      </c>
      <c r="B4793" s="150" t="str">
        <f>IFERROR(VLOOKUP(Proc[[#This Row],[App]],Table2[],3,0),"open")</f>
        <v>ok</v>
      </c>
      <c r="C4793" s="149" t="s">
        <v>369</v>
      </c>
      <c r="D4793" t="s">
        <v>6995</v>
      </c>
      <c r="E4793" t="s">
        <v>6997</v>
      </c>
      <c r="F4793" s="150" t="s">
        <v>6997</v>
      </c>
      <c r="G4793" t="s">
        <v>400</v>
      </c>
      <c r="H4793" s="150" t="str">
        <f>IF(Proc[[#This Row],[type]]="LFF (MDG-F)",MID(Proc[[#This Row],[Obj]],13,10),"")</f>
        <v/>
      </c>
      <c r="J4793" s="150" t="b">
        <f>Proc[[#This Row],[Requested]]=Proc[[#This Row],[CurrentParent]]</f>
        <v>1</v>
      </c>
      <c r="K4793" s="150" t="str">
        <f>IF(Proc[[#This Row],[Author]]="Marcela Urrego",VLOOKUP(LEFT(Proc[[#This Row],[Requested]],1),Table3[#All],2,0),VLOOKUP(Proc[[#This Row],[Author]],Table4[],2,0))</f>
        <v>MGF</v>
      </c>
      <c r="L4793" s="150" t="s">
        <v>6435</v>
      </c>
      <c r="M4793" s="172">
        <v>45986</v>
      </c>
      <c r="N4793" s="172"/>
      <c r="O4793" s="172"/>
      <c r="P4793" s="173" t="str">
        <f ca="1">IF(Proc[[#This Row],[DaysAgeing]]&gt;5,"yep","on track")</f>
        <v>yep</v>
      </c>
      <c r="Q4793" s="3">
        <f ca="1">IF(Proc[[#This Row],[DateClosed]]="",ABS(NETWORKDAYS(Proc[[#This Row],[DateOpened]],TODAY()))-1,ABS(NETWORKDAYS(Proc[[#This Row],[DateOpened]],Proc[[#This Row],[DateClosed]]))-1)</f>
        <v>13</v>
      </c>
      <c r="R4793" s="172" t="s">
        <v>515</v>
      </c>
      <c r="S4793" s="150"/>
    </row>
    <row r="4794" spans="1:19">
      <c r="A4794" s="149" t="s">
        <v>6991</v>
      </c>
      <c r="B4794" s="150" t="str">
        <f>IFERROR(VLOOKUP(Proc[[#This Row],[App]],Table2[],3,0),"open")</f>
        <v>ok</v>
      </c>
      <c r="C4794" s="149" t="s">
        <v>369</v>
      </c>
      <c r="D4794" t="s">
        <v>6996</v>
      </c>
      <c r="E4794" t="s">
        <v>6997</v>
      </c>
      <c r="F4794" s="150" t="s">
        <v>6997</v>
      </c>
      <c r="G4794" t="s">
        <v>400</v>
      </c>
      <c r="H4794" s="150" t="str">
        <f>IF(Proc[[#This Row],[type]]="LFF (MDG-F)",MID(Proc[[#This Row],[Obj]],13,10),"")</f>
        <v/>
      </c>
      <c r="J4794" s="150" t="b">
        <f>Proc[[#This Row],[Requested]]=Proc[[#This Row],[CurrentParent]]</f>
        <v>1</v>
      </c>
      <c r="K4794" s="150" t="str">
        <f>IF(Proc[[#This Row],[Author]]="Marcela Urrego",VLOOKUP(LEFT(Proc[[#This Row],[Requested]],1),Table3[#All],2,0),VLOOKUP(Proc[[#This Row],[Author]],Table4[],2,0))</f>
        <v>MGF</v>
      </c>
      <c r="L4794" s="150" t="s">
        <v>6435</v>
      </c>
      <c r="M4794" s="172">
        <v>45986</v>
      </c>
      <c r="N4794" s="172"/>
      <c r="O4794" s="172"/>
      <c r="P4794" s="173" t="str">
        <f ca="1">IF(Proc[[#This Row],[DaysAgeing]]&gt;5,"yep","on track")</f>
        <v>yep</v>
      </c>
      <c r="Q4794" s="3">
        <f ca="1">IF(Proc[[#This Row],[DateClosed]]="",ABS(NETWORKDAYS(Proc[[#This Row],[DateOpened]],TODAY()))-1,ABS(NETWORKDAYS(Proc[[#This Row],[DateOpened]],Proc[[#This Row],[DateClosed]]))-1)</f>
        <v>13</v>
      </c>
      <c r="R4794" s="172" t="s">
        <v>515</v>
      </c>
      <c r="S4794" s="150"/>
    </row>
    <row r="4795" spans="1:19">
      <c r="A4795" t="s">
        <v>6999</v>
      </c>
      <c r="B4795" s="150" t="str">
        <f>IFERROR(VLOOKUP(Proc[[#This Row],[App]],Table2[],3,0),"open")</f>
        <v>ok</v>
      </c>
      <c r="C4795" s="149" t="s">
        <v>369</v>
      </c>
      <c r="D4795" t="s">
        <v>7000</v>
      </c>
      <c r="E4795" t="s">
        <v>6498</v>
      </c>
      <c r="F4795" s="150" t="s">
        <v>6498</v>
      </c>
      <c r="G4795" t="s">
        <v>400</v>
      </c>
      <c r="H4795" s="150" t="str">
        <f>IF(Proc[[#This Row],[type]]="LFF (MDG-F)",MID(Proc[[#This Row],[Obj]],13,10),"")</f>
        <v/>
      </c>
      <c r="J4795" s="150" t="b">
        <f>Proc[[#This Row],[Requested]]=Proc[[#This Row],[CurrentParent]]</f>
        <v>1</v>
      </c>
      <c r="K4795" s="150" t="str">
        <f>IF(Proc[[#This Row],[Author]]="Marcela Urrego",VLOOKUP(LEFT(Proc[[#This Row],[Requested]],1),Table3[#All],2,0),VLOOKUP(Proc[[#This Row],[Author]],Table4[],2,0))</f>
        <v>LS</v>
      </c>
      <c r="L4795" s="150" t="s">
        <v>6435</v>
      </c>
      <c r="M4795" s="172">
        <v>45986</v>
      </c>
      <c r="N4795" s="173"/>
      <c r="O4795" s="173"/>
      <c r="P4795" s="173" t="str">
        <f ca="1">IF(Proc[[#This Row],[DaysAgeing]]&gt;5,"yep","on track")</f>
        <v>yep</v>
      </c>
      <c r="Q4795" s="3">
        <f ca="1">IF(Proc[[#This Row],[DateClosed]]="",ABS(NETWORKDAYS(Proc[[#This Row],[DateOpened]],TODAY()))-1,ABS(NETWORKDAYS(Proc[[#This Row],[DateOpened]],Proc[[#This Row],[DateClosed]]))-1)</f>
        <v>13</v>
      </c>
      <c r="R4795" s="173" t="s">
        <v>489</v>
      </c>
      <c r="S4795" s="150"/>
    </row>
    <row r="4796" spans="1:19">
      <c r="A4796" t="s">
        <v>7001</v>
      </c>
      <c r="B4796" s="150" t="str">
        <f>IFERROR(VLOOKUP(Proc[[#This Row],[App]],Table2[],3,0),"open")</f>
        <v>ok</v>
      </c>
      <c r="C4796" s="149" t="s">
        <v>369</v>
      </c>
      <c r="D4796" t="s">
        <v>7005</v>
      </c>
      <c r="E4796" t="s">
        <v>7002</v>
      </c>
      <c r="F4796" s="150" t="s">
        <v>7002</v>
      </c>
      <c r="G4796" s="149" t="s">
        <v>406</v>
      </c>
      <c r="H4796" s="150" t="str">
        <f>IF(Proc[[#This Row],[type]]="LFF (MDG-F)",MID(Proc[[#This Row],[Obj]],13,10),"")</f>
        <v>DE10F27300</v>
      </c>
      <c r="I4796" s="149"/>
      <c r="J4796" s="150" t="b">
        <f>Proc[[#This Row],[Requested]]=Proc[[#This Row],[CurrentParent]]</f>
        <v>1</v>
      </c>
      <c r="K4796" s="150" t="str">
        <f>IF(Proc[[#This Row],[Author]]="Marcela Urrego",VLOOKUP(LEFT(Proc[[#This Row],[Requested]],1),Table3[#All],2,0),VLOOKUP(Proc[[#This Row],[Author]],Table4[],2,0))</f>
        <v>MGF</v>
      </c>
      <c r="L4796" s="150" t="s">
        <v>6435</v>
      </c>
      <c r="M4796" s="173">
        <v>45988</v>
      </c>
      <c r="N4796" s="174"/>
      <c r="O4796" s="174"/>
      <c r="P4796" s="174" t="str">
        <f ca="1">IF(Proc[[#This Row],[DaysAgeing]]&gt;5,"yep","on track")</f>
        <v>yep</v>
      </c>
      <c r="Q4796" s="3">
        <f ca="1">IF(Proc[[#This Row],[DateClosed]]="",ABS(NETWORKDAYS(Proc[[#This Row],[DateOpened]],TODAY()))-1,ABS(NETWORKDAYS(Proc[[#This Row],[DateOpened]],Proc[[#This Row],[DateClosed]]))-1)</f>
        <v>11</v>
      </c>
      <c r="R4796" s="174" t="s">
        <v>485</v>
      </c>
      <c r="S4796" s="150"/>
    </row>
    <row r="4797" spans="1:19">
      <c r="A4797" t="s">
        <v>7001</v>
      </c>
      <c r="B4797" s="150" t="str">
        <f>IFERROR(VLOOKUP(Proc[[#This Row],[App]],Table2[],3,0),"open")</f>
        <v>ok</v>
      </c>
      <c r="C4797" s="149" t="s">
        <v>369</v>
      </c>
      <c r="D4797" t="s">
        <v>7006</v>
      </c>
      <c r="E4797" t="s">
        <v>7003</v>
      </c>
      <c r="F4797" s="150" t="s">
        <v>7003</v>
      </c>
      <c r="G4797" s="149" t="s">
        <v>406</v>
      </c>
      <c r="H4797" s="150" t="str">
        <f>IF(Proc[[#This Row],[type]]="LFF (MDG-F)",MID(Proc[[#This Row],[Obj]],13,10),"")</f>
        <v>DE10566115</v>
      </c>
      <c r="I4797" s="149"/>
      <c r="J4797" s="150" t="b">
        <f>Proc[[#This Row],[Requested]]=Proc[[#This Row],[CurrentParent]]</f>
        <v>1</v>
      </c>
      <c r="K4797" s="150" t="str">
        <f>IF(Proc[[#This Row],[Author]]="Marcela Urrego",VLOOKUP(LEFT(Proc[[#This Row],[Requested]],1),Table3[#All],2,0),VLOOKUP(Proc[[#This Row],[Author]],Table4[],2,0))</f>
        <v>MGF</v>
      </c>
      <c r="L4797" s="150" t="s">
        <v>6435</v>
      </c>
      <c r="M4797" s="173">
        <v>45988</v>
      </c>
      <c r="N4797" s="174"/>
      <c r="O4797" s="174"/>
      <c r="P4797" s="174" t="str">
        <f ca="1">IF(Proc[[#This Row],[DaysAgeing]]&gt;5,"yep","on track")</f>
        <v>yep</v>
      </c>
      <c r="Q4797" s="3">
        <f ca="1">IF(Proc[[#This Row],[DateClosed]]="",ABS(NETWORKDAYS(Proc[[#This Row],[DateOpened]],TODAY()))-1,ABS(NETWORKDAYS(Proc[[#This Row],[DateOpened]],Proc[[#This Row],[DateClosed]]))-1)</f>
        <v>11</v>
      </c>
      <c r="R4797" s="174" t="s">
        <v>485</v>
      </c>
      <c r="S4797" s="150"/>
    </row>
    <row r="4798" spans="1:19">
      <c r="A4798" s="149" t="s">
        <v>7001</v>
      </c>
      <c r="B4798" s="150" t="str">
        <f>IFERROR(VLOOKUP(Proc[[#This Row],[App]],Table2[],3,0),"open")</f>
        <v>ok</v>
      </c>
      <c r="C4798" s="149" t="s">
        <v>369</v>
      </c>
      <c r="D4798" t="s">
        <v>7007</v>
      </c>
      <c r="E4798" t="s">
        <v>7003</v>
      </c>
      <c r="F4798" s="150" t="s">
        <v>7003</v>
      </c>
      <c r="G4798" s="149" t="s">
        <v>406</v>
      </c>
      <c r="H4798" s="150" t="str">
        <f>IF(Proc[[#This Row],[type]]="LFF (MDG-F)",MID(Proc[[#This Row],[Obj]],13,10),"")</f>
        <v>DE10566116</v>
      </c>
      <c r="I4798" s="149"/>
      <c r="J4798" s="150" t="b">
        <f>Proc[[#This Row],[Requested]]=Proc[[#This Row],[CurrentParent]]</f>
        <v>1</v>
      </c>
      <c r="K4798" s="150" t="str">
        <f>IF(Proc[[#This Row],[Author]]="Marcela Urrego",VLOOKUP(LEFT(Proc[[#This Row],[Requested]],1),Table3[#All],2,0),VLOOKUP(Proc[[#This Row],[Author]],Table4[],2,0))</f>
        <v>MGF</v>
      </c>
      <c r="L4798" s="150" t="s">
        <v>6435</v>
      </c>
      <c r="M4798" s="173">
        <v>45988</v>
      </c>
      <c r="N4798" s="174"/>
      <c r="O4798" s="174"/>
      <c r="P4798" s="174" t="str">
        <f ca="1">IF(Proc[[#This Row],[DaysAgeing]]&gt;5,"yep","on track")</f>
        <v>yep</v>
      </c>
      <c r="Q4798" s="3">
        <f ca="1">IF(Proc[[#This Row],[DateClosed]]="",ABS(NETWORKDAYS(Proc[[#This Row],[DateOpened]],TODAY()))-1,ABS(NETWORKDAYS(Proc[[#This Row],[DateOpened]],Proc[[#This Row],[DateClosed]]))-1)</f>
        <v>11</v>
      </c>
      <c r="R4798" s="174" t="s">
        <v>485</v>
      </c>
      <c r="S4798" s="150"/>
    </row>
    <row r="4799" spans="1:19">
      <c r="A4799" s="149" t="s">
        <v>7001</v>
      </c>
      <c r="B4799" s="150" t="str">
        <f>IFERROR(VLOOKUP(Proc[[#This Row],[App]],Table2[],3,0),"open")</f>
        <v>ok</v>
      </c>
      <c r="C4799" s="149" t="s">
        <v>369</v>
      </c>
      <c r="D4799" t="s">
        <v>7008</v>
      </c>
      <c r="E4799" t="s">
        <v>7003</v>
      </c>
      <c r="F4799" s="150" t="s">
        <v>7003</v>
      </c>
      <c r="G4799" s="149" t="s">
        <v>406</v>
      </c>
      <c r="H4799" s="150" t="str">
        <f>IF(Proc[[#This Row],[type]]="LFF (MDG-F)",MID(Proc[[#This Row],[Obj]],13,10),"")</f>
        <v>DE10566118</v>
      </c>
      <c r="I4799" s="149"/>
      <c r="J4799" s="150" t="b">
        <f>Proc[[#This Row],[Requested]]=Proc[[#This Row],[CurrentParent]]</f>
        <v>1</v>
      </c>
      <c r="K4799" s="150" t="str">
        <f>IF(Proc[[#This Row],[Author]]="Marcela Urrego",VLOOKUP(LEFT(Proc[[#This Row],[Requested]],1),Table3[#All],2,0),VLOOKUP(Proc[[#This Row],[Author]],Table4[],2,0))</f>
        <v>MGF</v>
      </c>
      <c r="L4799" s="150" t="s">
        <v>6435</v>
      </c>
      <c r="M4799" s="173">
        <v>45988</v>
      </c>
      <c r="N4799" s="174"/>
      <c r="O4799" s="174"/>
      <c r="P4799" s="174" t="str">
        <f ca="1">IF(Proc[[#This Row],[DaysAgeing]]&gt;5,"yep","on track")</f>
        <v>yep</v>
      </c>
      <c r="Q4799" s="3">
        <f ca="1">IF(Proc[[#This Row],[DateClosed]]="",ABS(NETWORKDAYS(Proc[[#This Row],[DateOpened]],TODAY()))-1,ABS(NETWORKDAYS(Proc[[#This Row],[DateOpened]],Proc[[#This Row],[DateClosed]]))-1)</f>
        <v>11</v>
      </c>
      <c r="R4799" s="174" t="s">
        <v>485</v>
      </c>
      <c r="S4799" s="150"/>
    </row>
    <row r="4800" spans="1:19">
      <c r="A4800" s="149" t="s">
        <v>7001</v>
      </c>
      <c r="B4800" s="150" t="str">
        <f>IFERROR(VLOOKUP(Proc[[#This Row],[App]],Table2[],3,0),"open")</f>
        <v>ok</v>
      </c>
      <c r="C4800" s="149" t="s">
        <v>369</v>
      </c>
      <c r="D4800" t="s">
        <v>7009</v>
      </c>
      <c r="E4800" t="s">
        <v>7003</v>
      </c>
      <c r="F4800" s="150" t="s">
        <v>7003</v>
      </c>
      <c r="G4800" s="149" t="s">
        <v>406</v>
      </c>
      <c r="H4800" s="150" t="str">
        <f>IF(Proc[[#This Row],[type]]="LFF (MDG-F)",MID(Proc[[#This Row],[Obj]],13,10),"")</f>
        <v>DE10566120</v>
      </c>
      <c r="I4800" s="149"/>
      <c r="J4800" s="150" t="b">
        <f>Proc[[#This Row],[Requested]]=Proc[[#This Row],[CurrentParent]]</f>
        <v>1</v>
      </c>
      <c r="K4800" s="150" t="str">
        <f>IF(Proc[[#This Row],[Author]]="Marcela Urrego",VLOOKUP(LEFT(Proc[[#This Row],[Requested]],1),Table3[#All],2,0),VLOOKUP(Proc[[#This Row],[Author]],Table4[],2,0))</f>
        <v>MGF</v>
      </c>
      <c r="L4800" s="150" t="s">
        <v>6435</v>
      </c>
      <c r="M4800" s="173">
        <v>45988</v>
      </c>
      <c r="N4800" s="174"/>
      <c r="O4800" s="174"/>
      <c r="P4800" s="174" t="str">
        <f ca="1">IF(Proc[[#This Row],[DaysAgeing]]&gt;5,"yep","on track")</f>
        <v>yep</v>
      </c>
      <c r="Q4800" s="3">
        <f ca="1">IF(Proc[[#This Row],[DateClosed]]="",ABS(NETWORKDAYS(Proc[[#This Row],[DateOpened]],TODAY()))-1,ABS(NETWORKDAYS(Proc[[#This Row],[DateOpened]],Proc[[#This Row],[DateClosed]]))-1)</f>
        <v>11</v>
      </c>
      <c r="R4800" s="174" t="s">
        <v>485</v>
      </c>
      <c r="S4800" s="150"/>
    </row>
    <row r="4801" spans="1:19">
      <c r="A4801" s="149" t="s">
        <v>7001</v>
      </c>
      <c r="B4801" s="150" t="str">
        <f>IFERROR(VLOOKUP(Proc[[#This Row],[App]],Table2[],3,0),"open")</f>
        <v>ok</v>
      </c>
      <c r="C4801" s="149" t="s">
        <v>369</v>
      </c>
      <c r="D4801" t="s">
        <v>7010</v>
      </c>
      <c r="E4801" t="s">
        <v>7003</v>
      </c>
      <c r="F4801" s="150" t="s">
        <v>7003</v>
      </c>
      <c r="G4801" s="149" t="s">
        <v>406</v>
      </c>
      <c r="H4801" s="150" t="str">
        <f>IF(Proc[[#This Row],[type]]="LFF (MDG-F)",MID(Proc[[#This Row],[Obj]],13,10),"")</f>
        <v>DE10566121</v>
      </c>
      <c r="I4801" s="149"/>
      <c r="J4801" s="150" t="b">
        <f>Proc[[#This Row],[Requested]]=Proc[[#This Row],[CurrentParent]]</f>
        <v>1</v>
      </c>
      <c r="K4801" s="150" t="str">
        <f>IF(Proc[[#This Row],[Author]]="Marcela Urrego",VLOOKUP(LEFT(Proc[[#This Row],[Requested]],1),Table3[#All],2,0),VLOOKUP(Proc[[#This Row],[Author]],Table4[],2,0))</f>
        <v>MGF</v>
      </c>
      <c r="L4801" s="150" t="s">
        <v>6435</v>
      </c>
      <c r="M4801" s="173">
        <v>45988</v>
      </c>
      <c r="N4801" s="174"/>
      <c r="O4801" s="174"/>
      <c r="P4801" s="174" t="str">
        <f ca="1">IF(Proc[[#This Row],[DaysAgeing]]&gt;5,"yep","on track")</f>
        <v>yep</v>
      </c>
      <c r="Q4801" s="3">
        <f ca="1">IF(Proc[[#This Row],[DateClosed]]="",ABS(NETWORKDAYS(Proc[[#This Row],[DateOpened]],TODAY()))-1,ABS(NETWORKDAYS(Proc[[#This Row],[DateOpened]],Proc[[#This Row],[DateClosed]]))-1)</f>
        <v>11</v>
      </c>
      <c r="R4801" s="174" t="s">
        <v>485</v>
      </c>
      <c r="S4801" s="150"/>
    </row>
    <row r="4802" spans="1:19">
      <c r="A4802" s="149" t="s">
        <v>7001</v>
      </c>
      <c r="B4802" s="150" t="str">
        <f>IFERROR(VLOOKUP(Proc[[#This Row],[App]],Table2[],3,0),"open")</f>
        <v>ok</v>
      </c>
      <c r="C4802" s="149" t="s">
        <v>369</v>
      </c>
      <c r="D4802" t="s">
        <v>7011</v>
      </c>
      <c r="E4802" t="s">
        <v>7003</v>
      </c>
      <c r="F4802" s="150" t="s">
        <v>7003</v>
      </c>
      <c r="G4802" s="149" t="s">
        <v>406</v>
      </c>
      <c r="H4802" s="150" t="str">
        <f>IF(Proc[[#This Row],[type]]="LFF (MDG-F)",MID(Proc[[#This Row],[Obj]],13,10),"")</f>
        <v>DE10566122</v>
      </c>
      <c r="I4802" s="149"/>
      <c r="J4802" s="150" t="b">
        <f>Proc[[#This Row],[Requested]]=Proc[[#This Row],[CurrentParent]]</f>
        <v>1</v>
      </c>
      <c r="K4802" s="150" t="str">
        <f>IF(Proc[[#This Row],[Author]]="Marcela Urrego",VLOOKUP(LEFT(Proc[[#This Row],[Requested]],1),Table3[#All],2,0),VLOOKUP(Proc[[#This Row],[Author]],Table4[],2,0))</f>
        <v>MGF</v>
      </c>
      <c r="L4802" s="150" t="s">
        <v>6435</v>
      </c>
      <c r="M4802" s="173">
        <v>45988</v>
      </c>
      <c r="N4802" s="174"/>
      <c r="O4802" s="174"/>
      <c r="P4802" s="174" t="str">
        <f ca="1">IF(Proc[[#This Row],[DaysAgeing]]&gt;5,"yep","on track")</f>
        <v>yep</v>
      </c>
      <c r="Q4802" s="3">
        <f ca="1">IF(Proc[[#This Row],[DateClosed]]="",ABS(NETWORKDAYS(Proc[[#This Row],[DateOpened]],TODAY()))-1,ABS(NETWORKDAYS(Proc[[#This Row],[DateOpened]],Proc[[#This Row],[DateClosed]]))-1)</f>
        <v>11</v>
      </c>
      <c r="R4802" s="174" t="s">
        <v>485</v>
      </c>
      <c r="S4802" s="150"/>
    </row>
    <row r="4803" spans="1:19">
      <c r="A4803" s="149" t="s">
        <v>7001</v>
      </c>
      <c r="B4803" s="150" t="str">
        <f>IFERROR(VLOOKUP(Proc[[#This Row],[App]],Table2[],3,0),"open")</f>
        <v>ok</v>
      </c>
      <c r="C4803" s="149" t="s">
        <v>369</v>
      </c>
      <c r="D4803" t="s">
        <v>7012</v>
      </c>
      <c r="E4803" t="s">
        <v>7003</v>
      </c>
      <c r="F4803" s="150" t="s">
        <v>7003</v>
      </c>
      <c r="G4803" s="149" t="s">
        <v>406</v>
      </c>
      <c r="H4803" s="150" t="str">
        <f>IF(Proc[[#This Row],[type]]="LFF (MDG-F)",MID(Proc[[#This Row],[Obj]],13,10),"")</f>
        <v>DE10566125</v>
      </c>
      <c r="I4803" s="149"/>
      <c r="J4803" s="150" t="b">
        <f>Proc[[#This Row],[Requested]]=Proc[[#This Row],[CurrentParent]]</f>
        <v>1</v>
      </c>
      <c r="K4803" s="150" t="str">
        <f>IF(Proc[[#This Row],[Author]]="Marcela Urrego",VLOOKUP(LEFT(Proc[[#This Row],[Requested]],1),Table3[#All],2,0),VLOOKUP(Proc[[#This Row],[Author]],Table4[],2,0))</f>
        <v>MGF</v>
      </c>
      <c r="L4803" s="150" t="s">
        <v>6435</v>
      </c>
      <c r="M4803" s="173">
        <v>45988</v>
      </c>
      <c r="N4803" s="174"/>
      <c r="O4803" s="174"/>
      <c r="P4803" s="174" t="str">
        <f ca="1">IF(Proc[[#This Row],[DaysAgeing]]&gt;5,"yep","on track")</f>
        <v>yep</v>
      </c>
      <c r="Q4803" s="3">
        <f ca="1">IF(Proc[[#This Row],[DateClosed]]="",ABS(NETWORKDAYS(Proc[[#This Row],[DateOpened]],TODAY()))-1,ABS(NETWORKDAYS(Proc[[#This Row],[DateOpened]],Proc[[#This Row],[DateClosed]]))-1)</f>
        <v>11</v>
      </c>
      <c r="R4803" s="174" t="s">
        <v>485</v>
      </c>
      <c r="S4803" s="150"/>
    </row>
    <row r="4804" spans="1:19">
      <c r="A4804" s="149" t="s">
        <v>7001</v>
      </c>
      <c r="B4804" s="150" t="str">
        <f>IFERROR(VLOOKUP(Proc[[#This Row],[App]],Table2[],3,0),"open")</f>
        <v>ok</v>
      </c>
      <c r="C4804" s="149" t="s">
        <v>369</v>
      </c>
      <c r="D4804" t="s">
        <v>7013</v>
      </c>
      <c r="E4804" t="s">
        <v>7003</v>
      </c>
      <c r="F4804" s="150" t="s">
        <v>7003</v>
      </c>
      <c r="G4804" s="149" t="s">
        <v>406</v>
      </c>
      <c r="H4804" s="150" t="str">
        <f>IF(Proc[[#This Row],[type]]="LFF (MDG-F)",MID(Proc[[#This Row],[Obj]],13,10),"")</f>
        <v>DE10566127</v>
      </c>
      <c r="I4804" s="149"/>
      <c r="J4804" s="150" t="b">
        <f>Proc[[#This Row],[Requested]]=Proc[[#This Row],[CurrentParent]]</f>
        <v>1</v>
      </c>
      <c r="K4804" s="150" t="str">
        <f>IF(Proc[[#This Row],[Author]]="Marcela Urrego",VLOOKUP(LEFT(Proc[[#This Row],[Requested]],1),Table3[#All],2,0),VLOOKUP(Proc[[#This Row],[Author]],Table4[],2,0))</f>
        <v>MGF</v>
      </c>
      <c r="L4804" s="150" t="s">
        <v>6435</v>
      </c>
      <c r="M4804" s="173">
        <v>45988</v>
      </c>
      <c r="N4804" s="174"/>
      <c r="O4804" s="174"/>
      <c r="P4804" s="174" t="str">
        <f ca="1">IF(Proc[[#This Row],[DaysAgeing]]&gt;5,"yep","on track")</f>
        <v>yep</v>
      </c>
      <c r="Q4804" s="3">
        <f ca="1">IF(Proc[[#This Row],[DateClosed]]="",ABS(NETWORKDAYS(Proc[[#This Row],[DateOpened]],TODAY()))-1,ABS(NETWORKDAYS(Proc[[#This Row],[DateOpened]],Proc[[#This Row],[DateClosed]]))-1)</f>
        <v>11</v>
      </c>
      <c r="R4804" s="174" t="s">
        <v>485</v>
      </c>
      <c r="S4804" s="150"/>
    </row>
    <row r="4805" spans="1:19">
      <c r="A4805" s="149" t="s">
        <v>7001</v>
      </c>
      <c r="B4805" s="150" t="str">
        <f>IFERROR(VLOOKUP(Proc[[#This Row],[App]],Table2[],3,0),"open")</f>
        <v>ok</v>
      </c>
      <c r="C4805" s="149" t="s">
        <v>369</v>
      </c>
      <c r="D4805" t="s">
        <v>7014</v>
      </c>
      <c r="E4805" t="s">
        <v>7002</v>
      </c>
      <c r="F4805" s="150" t="s">
        <v>7002</v>
      </c>
      <c r="G4805" s="149" t="s">
        <v>406</v>
      </c>
      <c r="H4805" s="150" t="str">
        <f>IF(Proc[[#This Row],[type]]="LFF (MDG-F)",MID(Proc[[#This Row],[Obj]],13,10),"")</f>
        <v>DE10E16300</v>
      </c>
      <c r="I4805" s="149"/>
      <c r="J4805" s="150" t="b">
        <f>Proc[[#This Row],[Requested]]=Proc[[#This Row],[CurrentParent]]</f>
        <v>1</v>
      </c>
      <c r="K4805" s="150" t="str">
        <f>IF(Proc[[#This Row],[Author]]="Marcela Urrego",VLOOKUP(LEFT(Proc[[#This Row],[Requested]],1),Table3[#All],2,0),VLOOKUP(Proc[[#This Row],[Author]],Table4[],2,0))</f>
        <v>MGF</v>
      </c>
      <c r="L4805" s="150" t="s">
        <v>6435</v>
      </c>
      <c r="M4805" s="173">
        <v>45988</v>
      </c>
      <c r="N4805" s="174"/>
      <c r="O4805" s="174"/>
      <c r="P4805" s="174" t="str">
        <f ca="1">IF(Proc[[#This Row],[DaysAgeing]]&gt;5,"yep","on track")</f>
        <v>yep</v>
      </c>
      <c r="Q4805" s="3">
        <f ca="1">IF(Proc[[#This Row],[DateClosed]]="",ABS(NETWORKDAYS(Proc[[#This Row],[DateOpened]],TODAY()))-1,ABS(NETWORKDAYS(Proc[[#This Row],[DateOpened]],Proc[[#This Row],[DateClosed]]))-1)</f>
        <v>11</v>
      </c>
      <c r="R4805" s="174" t="s">
        <v>485</v>
      </c>
      <c r="S4805" s="150"/>
    </row>
    <row r="4806" spans="1:19">
      <c r="A4806" s="149" t="s">
        <v>7001</v>
      </c>
      <c r="B4806" s="150" t="str">
        <f>IFERROR(VLOOKUP(Proc[[#This Row],[App]],Table2[],3,0),"open")</f>
        <v>ok</v>
      </c>
      <c r="C4806" s="149" t="s">
        <v>369</v>
      </c>
      <c r="D4806" t="s">
        <v>7015</v>
      </c>
      <c r="E4806" t="s">
        <v>7002</v>
      </c>
      <c r="F4806" s="150" t="s">
        <v>7002</v>
      </c>
      <c r="G4806" s="149" t="s">
        <v>406</v>
      </c>
      <c r="H4806" s="150" t="str">
        <f>IF(Proc[[#This Row],[type]]="LFF (MDG-F)",MID(Proc[[#This Row],[Obj]],13,10),"")</f>
        <v>DE10E16600</v>
      </c>
      <c r="I4806" s="149"/>
      <c r="J4806" s="150" t="b">
        <f>Proc[[#This Row],[Requested]]=Proc[[#This Row],[CurrentParent]]</f>
        <v>1</v>
      </c>
      <c r="K4806" s="150" t="str">
        <f>IF(Proc[[#This Row],[Author]]="Marcela Urrego",VLOOKUP(LEFT(Proc[[#This Row],[Requested]],1),Table3[#All],2,0),VLOOKUP(Proc[[#This Row],[Author]],Table4[],2,0))</f>
        <v>MGF</v>
      </c>
      <c r="L4806" s="150" t="s">
        <v>6435</v>
      </c>
      <c r="M4806" s="173">
        <v>45988</v>
      </c>
      <c r="N4806" s="174"/>
      <c r="O4806" s="174"/>
      <c r="P4806" s="174" t="str">
        <f ca="1">IF(Proc[[#This Row],[DaysAgeing]]&gt;5,"yep","on track")</f>
        <v>yep</v>
      </c>
      <c r="Q4806" s="3">
        <f ca="1">IF(Proc[[#This Row],[DateClosed]]="",ABS(NETWORKDAYS(Proc[[#This Row],[DateOpened]],TODAY()))-1,ABS(NETWORKDAYS(Proc[[#This Row],[DateOpened]],Proc[[#This Row],[DateClosed]]))-1)</f>
        <v>11</v>
      </c>
      <c r="R4806" s="174" t="s">
        <v>485</v>
      </c>
      <c r="S4806" s="150"/>
    </row>
    <row r="4807" spans="1:19">
      <c r="A4807" s="149" t="s">
        <v>7001</v>
      </c>
      <c r="B4807" s="150" t="str">
        <f>IFERROR(VLOOKUP(Proc[[#This Row],[App]],Table2[],3,0),"open")</f>
        <v>ok</v>
      </c>
      <c r="C4807" s="149" t="s">
        <v>369</v>
      </c>
      <c r="D4807" t="s">
        <v>7016</v>
      </c>
      <c r="E4807" t="s">
        <v>7002</v>
      </c>
      <c r="F4807" s="150" t="s">
        <v>7002</v>
      </c>
      <c r="G4807" s="149" t="s">
        <v>406</v>
      </c>
      <c r="H4807" s="150" t="str">
        <f>IF(Proc[[#This Row],[type]]="LFF (MDG-F)",MID(Proc[[#This Row],[Obj]],13,10),"")</f>
        <v>DE10E38020</v>
      </c>
      <c r="I4807" s="149"/>
      <c r="J4807" s="150" t="b">
        <f>Proc[[#This Row],[Requested]]=Proc[[#This Row],[CurrentParent]]</f>
        <v>1</v>
      </c>
      <c r="K4807" s="150" t="str">
        <f>IF(Proc[[#This Row],[Author]]="Marcela Urrego",VLOOKUP(LEFT(Proc[[#This Row],[Requested]],1),Table3[#All],2,0),VLOOKUP(Proc[[#This Row],[Author]],Table4[],2,0))</f>
        <v>MGF</v>
      </c>
      <c r="L4807" s="150" t="s">
        <v>6435</v>
      </c>
      <c r="M4807" s="173">
        <v>45988</v>
      </c>
      <c r="N4807" s="174"/>
      <c r="O4807" s="174"/>
      <c r="P4807" s="174" t="str">
        <f ca="1">IF(Proc[[#This Row],[DaysAgeing]]&gt;5,"yep","on track")</f>
        <v>yep</v>
      </c>
      <c r="Q4807" s="3">
        <f ca="1">IF(Proc[[#This Row],[DateClosed]]="",ABS(NETWORKDAYS(Proc[[#This Row],[DateOpened]],TODAY()))-1,ABS(NETWORKDAYS(Proc[[#This Row],[DateOpened]],Proc[[#This Row],[DateClosed]]))-1)</f>
        <v>11</v>
      </c>
      <c r="R4807" s="174" t="s">
        <v>485</v>
      </c>
      <c r="S4807" s="150"/>
    </row>
    <row r="4808" spans="1:19">
      <c r="A4808" s="149" t="s">
        <v>7001</v>
      </c>
      <c r="B4808" s="150" t="str">
        <f>IFERROR(VLOOKUP(Proc[[#This Row],[App]],Table2[],3,0),"open")</f>
        <v>ok</v>
      </c>
      <c r="C4808" s="149" t="s">
        <v>369</v>
      </c>
      <c r="D4808" t="s">
        <v>7017</v>
      </c>
      <c r="E4808" t="s">
        <v>7004</v>
      </c>
      <c r="F4808" s="150" t="s">
        <v>7004</v>
      </c>
      <c r="G4808" s="149" t="s">
        <v>406</v>
      </c>
      <c r="H4808" s="150" t="str">
        <f>IF(Proc[[#This Row],[type]]="LFF (MDG-F)",MID(Proc[[#This Row],[Obj]],13,10),"")</f>
        <v>DE10E38800</v>
      </c>
      <c r="I4808" s="149"/>
      <c r="J4808" s="150" t="b">
        <f>Proc[[#This Row],[Requested]]=Proc[[#This Row],[CurrentParent]]</f>
        <v>1</v>
      </c>
      <c r="K4808" s="150" t="str">
        <f>IF(Proc[[#This Row],[Author]]="Marcela Urrego",VLOOKUP(LEFT(Proc[[#This Row],[Requested]],1),Table3[#All],2,0),VLOOKUP(Proc[[#This Row],[Author]],Table4[],2,0))</f>
        <v>MGF</v>
      </c>
      <c r="L4808" s="150" t="s">
        <v>6435</v>
      </c>
      <c r="M4808" s="173">
        <v>45988</v>
      </c>
      <c r="N4808" s="174"/>
      <c r="O4808" s="174"/>
      <c r="P4808" s="174" t="str">
        <f ca="1">IF(Proc[[#This Row],[DaysAgeing]]&gt;5,"yep","on track")</f>
        <v>yep</v>
      </c>
      <c r="Q4808" s="3">
        <f ca="1">IF(Proc[[#This Row],[DateClosed]]="",ABS(NETWORKDAYS(Proc[[#This Row],[DateOpened]],TODAY()))-1,ABS(NETWORKDAYS(Proc[[#This Row],[DateOpened]],Proc[[#This Row],[DateClosed]]))-1)</f>
        <v>11</v>
      </c>
      <c r="R4808" s="174" t="s">
        <v>485</v>
      </c>
      <c r="S4808" s="150"/>
    </row>
    <row r="4809" spans="1:19">
      <c r="A4809" s="149" t="s">
        <v>7001</v>
      </c>
      <c r="B4809" s="150" t="str">
        <f>IFERROR(VLOOKUP(Proc[[#This Row],[App]],Table2[],3,0),"open")</f>
        <v>ok</v>
      </c>
      <c r="C4809" s="149" t="s">
        <v>369</v>
      </c>
      <c r="D4809" t="s">
        <v>7018</v>
      </c>
      <c r="E4809" t="s">
        <v>7002</v>
      </c>
      <c r="F4809" s="150" t="s">
        <v>7002</v>
      </c>
      <c r="G4809" s="149" t="s">
        <v>406</v>
      </c>
      <c r="H4809" s="150" t="str">
        <f>IF(Proc[[#This Row],[type]]="LFF (MDG-F)",MID(Proc[[#This Row],[Obj]],13,10),"")</f>
        <v>DE10E38810</v>
      </c>
      <c r="I4809" s="149"/>
      <c r="J4809" s="150" t="b">
        <f>Proc[[#This Row],[Requested]]=Proc[[#This Row],[CurrentParent]]</f>
        <v>1</v>
      </c>
      <c r="K4809" s="150" t="str">
        <f>IF(Proc[[#This Row],[Author]]="Marcela Urrego",VLOOKUP(LEFT(Proc[[#This Row],[Requested]],1),Table3[#All],2,0),VLOOKUP(Proc[[#This Row],[Author]],Table4[],2,0))</f>
        <v>MGF</v>
      </c>
      <c r="L4809" s="150" t="s">
        <v>6435</v>
      </c>
      <c r="M4809" s="173">
        <v>45988</v>
      </c>
      <c r="N4809" s="174"/>
      <c r="O4809" s="174"/>
      <c r="P4809" s="174" t="str">
        <f ca="1">IF(Proc[[#This Row],[DaysAgeing]]&gt;5,"yep","on track")</f>
        <v>yep</v>
      </c>
      <c r="Q4809" s="3">
        <f ca="1">IF(Proc[[#This Row],[DateClosed]]="",ABS(NETWORKDAYS(Proc[[#This Row],[DateOpened]],TODAY()))-1,ABS(NETWORKDAYS(Proc[[#This Row],[DateOpened]],Proc[[#This Row],[DateClosed]]))-1)</f>
        <v>11</v>
      </c>
      <c r="R4809" s="174" t="s">
        <v>485</v>
      </c>
      <c r="S4809" s="150"/>
    </row>
    <row r="4810" spans="1:19">
      <c r="A4810" s="149" t="s">
        <v>7001</v>
      </c>
      <c r="B4810" s="150" t="str">
        <f>IFERROR(VLOOKUP(Proc[[#This Row],[App]],Table2[],3,0),"open")</f>
        <v>ok</v>
      </c>
      <c r="C4810" s="149" t="s">
        <v>369</v>
      </c>
      <c r="D4810" t="s">
        <v>7019</v>
      </c>
      <c r="E4810" t="s">
        <v>7002</v>
      </c>
      <c r="F4810" s="150" t="s">
        <v>7002</v>
      </c>
      <c r="G4810" s="149" t="s">
        <v>406</v>
      </c>
      <c r="H4810" s="150" t="str">
        <f>IF(Proc[[#This Row],[type]]="LFF (MDG-F)",MID(Proc[[#This Row],[Obj]],13,10),"")</f>
        <v>DE10E61000</v>
      </c>
      <c r="I4810" s="149"/>
      <c r="J4810" s="150" t="b">
        <f>Proc[[#This Row],[Requested]]=Proc[[#This Row],[CurrentParent]]</f>
        <v>1</v>
      </c>
      <c r="K4810" s="150" t="str">
        <f>IF(Proc[[#This Row],[Author]]="Marcela Urrego",VLOOKUP(LEFT(Proc[[#This Row],[Requested]],1),Table3[#All],2,0),VLOOKUP(Proc[[#This Row],[Author]],Table4[],2,0))</f>
        <v>MGF</v>
      </c>
      <c r="L4810" s="150" t="s">
        <v>6435</v>
      </c>
      <c r="M4810" s="173">
        <v>45988</v>
      </c>
      <c r="N4810" s="174"/>
      <c r="O4810" s="174"/>
      <c r="P4810" s="174" t="str">
        <f ca="1">IF(Proc[[#This Row],[DaysAgeing]]&gt;5,"yep","on track")</f>
        <v>yep</v>
      </c>
      <c r="Q4810" s="3">
        <f ca="1">IF(Proc[[#This Row],[DateClosed]]="",ABS(NETWORKDAYS(Proc[[#This Row],[DateOpened]],TODAY()))-1,ABS(NETWORKDAYS(Proc[[#This Row],[DateOpened]],Proc[[#This Row],[DateClosed]]))-1)</f>
        <v>11</v>
      </c>
      <c r="R4810" s="174" t="s">
        <v>485</v>
      </c>
      <c r="S4810" s="150"/>
    </row>
    <row r="4811" spans="1:19">
      <c r="A4811" s="149" t="s">
        <v>7001</v>
      </c>
      <c r="B4811" s="150" t="str">
        <f>IFERROR(VLOOKUP(Proc[[#This Row],[App]],Table2[],3,0),"open")</f>
        <v>ok</v>
      </c>
      <c r="C4811" s="149" t="s">
        <v>369</v>
      </c>
      <c r="D4811" t="s">
        <v>7020</v>
      </c>
      <c r="E4811" t="s">
        <v>7002</v>
      </c>
      <c r="F4811" s="150" t="s">
        <v>7002</v>
      </c>
      <c r="G4811" s="149" t="s">
        <v>406</v>
      </c>
      <c r="H4811" s="150" t="str">
        <f>IF(Proc[[#This Row],[type]]="LFF (MDG-F)",MID(Proc[[#This Row],[Obj]],13,10),"")</f>
        <v>DE10E61100</v>
      </c>
      <c r="I4811" s="149"/>
      <c r="J4811" s="150" t="b">
        <f>Proc[[#This Row],[Requested]]=Proc[[#This Row],[CurrentParent]]</f>
        <v>1</v>
      </c>
      <c r="K4811" s="150" t="str">
        <f>IF(Proc[[#This Row],[Author]]="Marcela Urrego",VLOOKUP(LEFT(Proc[[#This Row],[Requested]],1),Table3[#All],2,0),VLOOKUP(Proc[[#This Row],[Author]],Table4[],2,0))</f>
        <v>MGF</v>
      </c>
      <c r="L4811" s="150" t="s">
        <v>6435</v>
      </c>
      <c r="M4811" s="173">
        <v>45988</v>
      </c>
      <c r="N4811" s="174"/>
      <c r="O4811" s="174"/>
      <c r="P4811" s="174" t="str">
        <f ca="1">IF(Proc[[#This Row],[DaysAgeing]]&gt;5,"yep","on track")</f>
        <v>yep</v>
      </c>
      <c r="Q4811" s="3">
        <f ca="1">IF(Proc[[#This Row],[DateClosed]]="",ABS(NETWORKDAYS(Proc[[#This Row],[DateOpened]],TODAY()))-1,ABS(NETWORKDAYS(Proc[[#This Row],[DateOpened]],Proc[[#This Row],[DateClosed]]))-1)</f>
        <v>11</v>
      </c>
      <c r="R4811" s="174" t="s">
        <v>485</v>
      </c>
      <c r="S4811" s="150"/>
    </row>
    <row r="4812" spans="1:19">
      <c r="A4812" s="149" t="s">
        <v>7001</v>
      </c>
      <c r="B4812" s="150" t="str">
        <f>IFERROR(VLOOKUP(Proc[[#This Row],[App]],Table2[],3,0),"open")</f>
        <v>ok</v>
      </c>
      <c r="C4812" s="149" t="s">
        <v>369</v>
      </c>
      <c r="D4812" t="s">
        <v>7021</v>
      </c>
      <c r="E4812" t="s">
        <v>7002</v>
      </c>
      <c r="F4812" s="150" t="s">
        <v>7002</v>
      </c>
      <c r="G4812" s="149" t="s">
        <v>406</v>
      </c>
      <c r="H4812" s="150" t="str">
        <f>IF(Proc[[#This Row],[type]]="LFF (MDG-F)",MID(Proc[[#This Row],[Obj]],13,10),"")</f>
        <v>DE10E61200</v>
      </c>
      <c r="I4812" s="149"/>
      <c r="J4812" s="150" t="b">
        <f>Proc[[#This Row],[Requested]]=Proc[[#This Row],[CurrentParent]]</f>
        <v>1</v>
      </c>
      <c r="K4812" s="150" t="str">
        <f>IF(Proc[[#This Row],[Author]]="Marcela Urrego",VLOOKUP(LEFT(Proc[[#This Row],[Requested]],1),Table3[#All],2,0),VLOOKUP(Proc[[#This Row],[Author]],Table4[],2,0))</f>
        <v>MGF</v>
      </c>
      <c r="L4812" s="150" t="s">
        <v>6435</v>
      </c>
      <c r="M4812" s="173">
        <v>45988</v>
      </c>
      <c r="N4812" s="174"/>
      <c r="O4812" s="174"/>
      <c r="P4812" s="174" t="str">
        <f ca="1">IF(Proc[[#This Row],[DaysAgeing]]&gt;5,"yep","on track")</f>
        <v>yep</v>
      </c>
      <c r="Q4812" s="3">
        <f ca="1">IF(Proc[[#This Row],[DateClosed]]="",ABS(NETWORKDAYS(Proc[[#This Row],[DateOpened]],TODAY()))-1,ABS(NETWORKDAYS(Proc[[#This Row],[DateOpened]],Proc[[#This Row],[DateClosed]]))-1)</f>
        <v>11</v>
      </c>
      <c r="R4812" s="174" t="s">
        <v>485</v>
      </c>
      <c r="S4812" s="150"/>
    </row>
    <row r="4813" spans="1:19">
      <c r="A4813" s="149" t="s">
        <v>7001</v>
      </c>
      <c r="B4813" s="150" t="str">
        <f>IFERROR(VLOOKUP(Proc[[#This Row],[App]],Table2[],3,0),"open")</f>
        <v>ok</v>
      </c>
      <c r="C4813" s="149" t="s">
        <v>369</v>
      </c>
      <c r="D4813" t="s">
        <v>7022</v>
      </c>
      <c r="E4813" t="s">
        <v>7002</v>
      </c>
      <c r="F4813" s="150" t="s">
        <v>7002</v>
      </c>
      <c r="G4813" s="149" t="s">
        <v>406</v>
      </c>
      <c r="H4813" s="150" t="str">
        <f>IF(Proc[[#This Row],[type]]="LFF (MDG-F)",MID(Proc[[#This Row],[Obj]],13,10),"")</f>
        <v>DE10E61900</v>
      </c>
      <c r="I4813" s="149"/>
      <c r="J4813" s="150" t="b">
        <f>Proc[[#This Row],[Requested]]=Proc[[#This Row],[CurrentParent]]</f>
        <v>1</v>
      </c>
      <c r="K4813" s="150" t="str">
        <f>IF(Proc[[#This Row],[Author]]="Marcela Urrego",VLOOKUP(LEFT(Proc[[#This Row],[Requested]],1),Table3[#All],2,0),VLOOKUP(Proc[[#This Row],[Author]],Table4[],2,0))</f>
        <v>MGF</v>
      </c>
      <c r="L4813" s="150" t="s">
        <v>6435</v>
      </c>
      <c r="M4813" s="173">
        <v>45988</v>
      </c>
      <c r="N4813" s="174"/>
      <c r="O4813" s="174"/>
      <c r="P4813" s="174" t="str">
        <f ca="1">IF(Proc[[#This Row],[DaysAgeing]]&gt;5,"yep","on track")</f>
        <v>yep</v>
      </c>
      <c r="Q4813" s="3">
        <f ca="1">IF(Proc[[#This Row],[DateClosed]]="",ABS(NETWORKDAYS(Proc[[#This Row],[DateOpened]],TODAY()))-1,ABS(NETWORKDAYS(Proc[[#This Row],[DateOpened]],Proc[[#This Row],[DateClosed]]))-1)</f>
        <v>11</v>
      </c>
      <c r="R4813" s="174" t="s">
        <v>485</v>
      </c>
      <c r="S4813" s="150"/>
    </row>
    <row r="4814" spans="1:19">
      <c r="A4814" s="149" t="s">
        <v>7001</v>
      </c>
      <c r="B4814" s="150" t="str">
        <f>IFERROR(VLOOKUP(Proc[[#This Row],[App]],Table2[],3,0),"open")</f>
        <v>ok</v>
      </c>
      <c r="C4814" s="149" t="s">
        <v>369</v>
      </c>
      <c r="D4814" t="s">
        <v>7023</v>
      </c>
      <c r="E4814" t="s">
        <v>7002</v>
      </c>
      <c r="F4814" s="150" t="s">
        <v>7002</v>
      </c>
      <c r="G4814" s="149" t="s">
        <v>406</v>
      </c>
      <c r="H4814" s="150" t="str">
        <f>IF(Proc[[#This Row],[type]]="LFF (MDG-F)",MID(Proc[[#This Row],[Obj]],13,10),"")</f>
        <v>DE10F11900</v>
      </c>
      <c r="I4814" s="149"/>
      <c r="J4814" s="150" t="b">
        <f>Proc[[#This Row],[Requested]]=Proc[[#This Row],[CurrentParent]]</f>
        <v>1</v>
      </c>
      <c r="K4814" s="150" t="str">
        <f>IF(Proc[[#This Row],[Author]]="Marcela Urrego",VLOOKUP(LEFT(Proc[[#This Row],[Requested]],1),Table3[#All],2,0),VLOOKUP(Proc[[#This Row],[Author]],Table4[],2,0))</f>
        <v>MGF</v>
      </c>
      <c r="L4814" s="150" t="s">
        <v>6435</v>
      </c>
      <c r="M4814" s="173">
        <v>45988</v>
      </c>
      <c r="N4814" s="174"/>
      <c r="O4814" s="174"/>
      <c r="P4814" s="174" t="str">
        <f ca="1">IF(Proc[[#This Row],[DaysAgeing]]&gt;5,"yep","on track")</f>
        <v>yep</v>
      </c>
      <c r="Q4814" s="3">
        <f ca="1">IF(Proc[[#This Row],[DateClosed]]="",ABS(NETWORKDAYS(Proc[[#This Row],[DateOpened]],TODAY()))-1,ABS(NETWORKDAYS(Proc[[#This Row],[DateOpened]],Proc[[#This Row],[DateClosed]]))-1)</f>
        <v>11</v>
      </c>
      <c r="R4814" s="174" t="s">
        <v>485</v>
      </c>
      <c r="S4814" s="150"/>
    </row>
    <row r="4815" spans="1:19">
      <c r="A4815" s="149" t="s">
        <v>7001</v>
      </c>
      <c r="B4815" s="150" t="str">
        <f>IFERROR(VLOOKUP(Proc[[#This Row],[App]],Table2[],3,0),"open")</f>
        <v>ok</v>
      </c>
      <c r="C4815" s="149" t="s">
        <v>369</v>
      </c>
      <c r="D4815" t="s">
        <v>7024</v>
      </c>
      <c r="E4815" t="s">
        <v>7004</v>
      </c>
      <c r="F4815" s="150" t="s">
        <v>7004</v>
      </c>
      <c r="G4815" s="149" t="s">
        <v>406</v>
      </c>
      <c r="H4815" s="150" t="str">
        <f>IF(Proc[[#This Row],[type]]="LFF (MDG-F)",MID(Proc[[#This Row],[Obj]],13,10),"")</f>
        <v>DE10F16000</v>
      </c>
      <c r="I4815" s="149"/>
      <c r="J4815" s="150" t="b">
        <f>Proc[[#This Row],[Requested]]=Proc[[#This Row],[CurrentParent]]</f>
        <v>1</v>
      </c>
      <c r="K4815" s="150" t="str">
        <f>IF(Proc[[#This Row],[Author]]="Marcela Urrego",VLOOKUP(LEFT(Proc[[#This Row],[Requested]],1),Table3[#All],2,0),VLOOKUP(Proc[[#This Row],[Author]],Table4[],2,0))</f>
        <v>MGF</v>
      </c>
      <c r="L4815" s="150" t="s">
        <v>6435</v>
      </c>
      <c r="M4815" s="173">
        <v>45988</v>
      </c>
      <c r="N4815" s="174"/>
      <c r="O4815" s="174"/>
      <c r="P4815" s="174" t="str">
        <f ca="1">IF(Proc[[#This Row],[DaysAgeing]]&gt;5,"yep","on track")</f>
        <v>yep</v>
      </c>
      <c r="Q4815" s="3">
        <f ca="1">IF(Proc[[#This Row],[DateClosed]]="",ABS(NETWORKDAYS(Proc[[#This Row],[DateOpened]],TODAY()))-1,ABS(NETWORKDAYS(Proc[[#This Row],[DateOpened]],Proc[[#This Row],[DateClosed]]))-1)</f>
        <v>11</v>
      </c>
      <c r="R4815" s="174" t="s">
        <v>485</v>
      </c>
      <c r="S4815" s="150"/>
    </row>
    <row r="4816" spans="1:19">
      <c r="A4816" s="149" t="s">
        <v>7001</v>
      </c>
      <c r="B4816" s="150" t="str">
        <f>IFERROR(VLOOKUP(Proc[[#This Row],[App]],Table2[],3,0),"open")</f>
        <v>ok</v>
      </c>
      <c r="C4816" s="149" t="s">
        <v>369</v>
      </c>
      <c r="D4816" t="s">
        <v>7025</v>
      </c>
      <c r="E4816" t="s">
        <v>7002</v>
      </c>
      <c r="F4816" s="150" t="s">
        <v>7002</v>
      </c>
      <c r="G4816" s="149" t="s">
        <v>406</v>
      </c>
      <c r="H4816" s="150" t="str">
        <f>IF(Proc[[#This Row],[type]]="LFF (MDG-F)",MID(Proc[[#This Row],[Obj]],13,10),"")</f>
        <v>DE10F16010</v>
      </c>
      <c r="I4816" s="149"/>
      <c r="J4816" s="150" t="b">
        <f>Proc[[#This Row],[Requested]]=Proc[[#This Row],[CurrentParent]]</f>
        <v>1</v>
      </c>
      <c r="K4816" s="150" t="str">
        <f>IF(Proc[[#This Row],[Author]]="Marcela Urrego",VLOOKUP(LEFT(Proc[[#This Row],[Requested]],1),Table3[#All],2,0),VLOOKUP(Proc[[#This Row],[Author]],Table4[],2,0))</f>
        <v>MGF</v>
      </c>
      <c r="L4816" s="150" t="s">
        <v>6435</v>
      </c>
      <c r="M4816" s="173">
        <v>45988</v>
      </c>
      <c r="N4816" s="174"/>
      <c r="O4816" s="174"/>
      <c r="P4816" s="174" t="str">
        <f ca="1">IF(Proc[[#This Row],[DaysAgeing]]&gt;5,"yep","on track")</f>
        <v>yep</v>
      </c>
      <c r="Q4816" s="3">
        <f ca="1">IF(Proc[[#This Row],[DateClosed]]="",ABS(NETWORKDAYS(Proc[[#This Row],[DateOpened]],TODAY()))-1,ABS(NETWORKDAYS(Proc[[#This Row],[DateOpened]],Proc[[#This Row],[DateClosed]]))-1)</f>
        <v>11</v>
      </c>
      <c r="R4816" s="174" t="s">
        <v>485</v>
      </c>
      <c r="S4816" s="150"/>
    </row>
    <row r="4817" spans="1:19">
      <c r="A4817" s="149" t="s">
        <v>7001</v>
      </c>
      <c r="B4817" s="150" t="str">
        <f>IFERROR(VLOOKUP(Proc[[#This Row],[App]],Table2[],3,0),"open")</f>
        <v>ok</v>
      </c>
      <c r="C4817" s="149" t="s">
        <v>369</v>
      </c>
      <c r="D4817" t="s">
        <v>7026</v>
      </c>
      <c r="E4817" t="s">
        <v>7002</v>
      </c>
      <c r="F4817" s="150" t="s">
        <v>7002</v>
      </c>
      <c r="G4817" s="149" t="s">
        <v>406</v>
      </c>
      <c r="H4817" s="150" t="str">
        <f>IF(Proc[[#This Row],[type]]="LFF (MDG-F)",MID(Proc[[#This Row],[Obj]],13,10),"")</f>
        <v>DE10F16100</v>
      </c>
      <c r="I4817" s="149"/>
      <c r="J4817" s="150" t="b">
        <f>Proc[[#This Row],[Requested]]=Proc[[#This Row],[CurrentParent]]</f>
        <v>1</v>
      </c>
      <c r="K4817" s="150" t="str">
        <f>IF(Proc[[#This Row],[Author]]="Marcela Urrego",VLOOKUP(LEFT(Proc[[#This Row],[Requested]],1),Table3[#All],2,0),VLOOKUP(Proc[[#This Row],[Author]],Table4[],2,0))</f>
        <v>MGF</v>
      </c>
      <c r="L4817" s="150" t="s">
        <v>6435</v>
      </c>
      <c r="M4817" s="173">
        <v>45988</v>
      </c>
      <c r="N4817" s="174"/>
      <c r="O4817" s="174"/>
      <c r="P4817" s="174" t="str">
        <f ca="1">IF(Proc[[#This Row],[DaysAgeing]]&gt;5,"yep","on track")</f>
        <v>yep</v>
      </c>
      <c r="Q4817" s="3">
        <f ca="1">IF(Proc[[#This Row],[DateClosed]]="",ABS(NETWORKDAYS(Proc[[#This Row],[DateOpened]],TODAY()))-1,ABS(NETWORKDAYS(Proc[[#This Row],[DateOpened]],Proc[[#This Row],[DateClosed]]))-1)</f>
        <v>11</v>
      </c>
      <c r="R4817" s="174" t="s">
        <v>485</v>
      </c>
      <c r="S4817" s="150"/>
    </row>
    <row r="4818" spans="1:19">
      <c r="A4818" s="149" t="s">
        <v>7001</v>
      </c>
      <c r="B4818" s="150" t="str">
        <f>IFERROR(VLOOKUP(Proc[[#This Row],[App]],Table2[],3,0),"open")</f>
        <v>ok</v>
      </c>
      <c r="C4818" s="149" t="s">
        <v>369</v>
      </c>
      <c r="D4818" t="s">
        <v>7027</v>
      </c>
      <c r="E4818" t="s">
        <v>7002</v>
      </c>
      <c r="F4818" s="150" t="s">
        <v>7002</v>
      </c>
      <c r="G4818" s="149" t="s">
        <v>406</v>
      </c>
      <c r="H4818" s="150" t="str">
        <f>IF(Proc[[#This Row],[type]]="LFF (MDG-F)",MID(Proc[[#This Row],[Obj]],13,10),"")</f>
        <v>DE10F16200</v>
      </c>
      <c r="I4818" s="149"/>
      <c r="J4818" s="150" t="b">
        <f>Proc[[#This Row],[Requested]]=Proc[[#This Row],[CurrentParent]]</f>
        <v>1</v>
      </c>
      <c r="K4818" s="150" t="str">
        <f>IF(Proc[[#This Row],[Author]]="Marcela Urrego",VLOOKUP(LEFT(Proc[[#This Row],[Requested]],1),Table3[#All],2,0),VLOOKUP(Proc[[#This Row],[Author]],Table4[],2,0))</f>
        <v>MGF</v>
      </c>
      <c r="L4818" s="150" t="s">
        <v>6435</v>
      </c>
      <c r="M4818" s="173">
        <v>45988</v>
      </c>
      <c r="N4818" s="174"/>
      <c r="O4818" s="174"/>
      <c r="P4818" s="174" t="str">
        <f ca="1">IF(Proc[[#This Row],[DaysAgeing]]&gt;5,"yep","on track")</f>
        <v>yep</v>
      </c>
      <c r="Q4818" s="3">
        <f ca="1">IF(Proc[[#This Row],[DateClosed]]="",ABS(NETWORKDAYS(Proc[[#This Row],[DateOpened]],TODAY()))-1,ABS(NETWORKDAYS(Proc[[#This Row],[DateOpened]],Proc[[#This Row],[DateClosed]]))-1)</f>
        <v>11</v>
      </c>
      <c r="R4818" s="174" t="s">
        <v>485</v>
      </c>
      <c r="S4818" s="150"/>
    </row>
    <row r="4819" spans="1:19">
      <c r="A4819" s="149" t="s">
        <v>7001</v>
      </c>
      <c r="B4819" s="150" t="str">
        <f>IFERROR(VLOOKUP(Proc[[#This Row],[App]],Table2[],3,0),"open")</f>
        <v>ok</v>
      </c>
      <c r="C4819" s="149" t="s">
        <v>369</v>
      </c>
      <c r="D4819" t="s">
        <v>7028</v>
      </c>
      <c r="E4819" t="s">
        <v>7002</v>
      </c>
      <c r="F4819" s="150" t="s">
        <v>7002</v>
      </c>
      <c r="G4819" s="149" t="s">
        <v>406</v>
      </c>
      <c r="H4819" s="150" t="str">
        <f>IF(Proc[[#This Row],[type]]="LFF (MDG-F)",MID(Proc[[#This Row],[Obj]],13,10),"")</f>
        <v>DE10F16300</v>
      </c>
      <c r="I4819" s="149"/>
      <c r="J4819" s="150" t="b">
        <f>Proc[[#This Row],[Requested]]=Proc[[#This Row],[CurrentParent]]</f>
        <v>1</v>
      </c>
      <c r="K4819" s="150" t="str">
        <f>IF(Proc[[#This Row],[Author]]="Marcela Urrego",VLOOKUP(LEFT(Proc[[#This Row],[Requested]],1),Table3[#All],2,0),VLOOKUP(Proc[[#This Row],[Author]],Table4[],2,0))</f>
        <v>MGF</v>
      </c>
      <c r="L4819" s="150" t="s">
        <v>6435</v>
      </c>
      <c r="M4819" s="173">
        <v>45988</v>
      </c>
      <c r="N4819" s="174"/>
      <c r="O4819" s="174"/>
      <c r="P4819" s="174" t="str">
        <f ca="1">IF(Proc[[#This Row],[DaysAgeing]]&gt;5,"yep","on track")</f>
        <v>yep</v>
      </c>
      <c r="Q4819" s="3">
        <f ca="1">IF(Proc[[#This Row],[DateClosed]]="",ABS(NETWORKDAYS(Proc[[#This Row],[DateOpened]],TODAY()))-1,ABS(NETWORKDAYS(Proc[[#This Row],[DateOpened]],Proc[[#This Row],[DateClosed]]))-1)</f>
        <v>11</v>
      </c>
      <c r="R4819" s="174" t="s">
        <v>485</v>
      </c>
      <c r="S4819" s="150"/>
    </row>
    <row r="4820" spans="1:19">
      <c r="A4820" s="149" t="s">
        <v>7001</v>
      </c>
      <c r="B4820" s="150" t="str">
        <f>IFERROR(VLOOKUP(Proc[[#This Row],[App]],Table2[],3,0),"open")</f>
        <v>ok</v>
      </c>
      <c r="C4820" s="149" t="s">
        <v>369</v>
      </c>
      <c r="D4820" t="s">
        <v>7029</v>
      </c>
      <c r="E4820" t="s">
        <v>7002</v>
      </c>
      <c r="F4820" s="150" t="s">
        <v>7002</v>
      </c>
      <c r="G4820" s="149" t="s">
        <v>406</v>
      </c>
      <c r="H4820" s="150" t="str">
        <f>IF(Proc[[#This Row],[type]]="LFF (MDG-F)",MID(Proc[[#This Row],[Obj]],13,10),"")</f>
        <v>DE10F16500</v>
      </c>
      <c r="I4820" s="149"/>
      <c r="J4820" s="150" t="b">
        <f>Proc[[#This Row],[Requested]]=Proc[[#This Row],[CurrentParent]]</f>
        <v>1</v>
      </c>
      <c r="K4820" s="150" t="str">
        <f>IF(Proc[[#This Row],[Author]]="Marcela Urrego",VLOOKUP(LEFT(Proc[[#This Row],[Requested]],1),Table3[#All],2,0),VLOOKUP(Proc[[#This Row],[Author]],Table4[],2,0))</f>
        <v>MGF</v>
      </c>
      <c r="L4820" s="150" t="s">
        <v>6435</v>
      </c>
      <c r="M4820" s="173">
        <v>45988</v>
      </c>
      <c r="N4820" s="174"/>
      <c r="O4820" s="174"/>
      <c r="P4820" s="174" t="str">
        <f ca="1">IF(Proc[[#This Row],[DaysAgeing]]&gt;5,"yep","on track")</f>
        <v>yep</v>
      </c>
      <c r="Q4820" s="3">
        <f ca="1">IF(Proc[[#This Row],[DateClosed]]="",ABS(NETWORKDAYS(Proc[[#This Row],[DateOpened]],TODAY()))-1,ABS(NETWORKDAYS(Proc[[#This Row],[DateOpened]],Proc[[#This Row],[DateClosed]]))-1)</f>
        <v>11</v>
      </c>
      <c r="R4820" s="174" t="s">
        <v>485</v>
      </c>
      <c r="S4820" s="150"/>
    </row>
    <row r="4821" spans="1:19">
      <c r="A4821" s="149" t="s">
        <v>7001</v>
      </c>
      <c r="B4821" s="150" t="str">
        <f>IFERROR(VLOOKUP(Proc[[#This Row],[App]],Table2[],3,0),"open")</f>
        <v>ok</v>
      </c>
      <c r="C4821" s="149" t="s">
        <v>369</v>
      </c>
      <c r="D4821" t="s">
        <v>7030</v>
      </c>
      <c r="E4821" t="s">
        <v>7002</v>
      </c>
      <c r="F4821" s="150" t="s">
        <v>7002</v>
      </c>
      <c r="G4821" s="149" t="s">
        <v>406</v>
      </c>
      <c r="H4821" s="150" t="str">
        <f>IF(Proc[[#This Row],[type]]="LFF (MDG-F)",MID(Proc[[#This Row],[Obj]],13,10),"")</f>
        <v>DE10F16600</v>
      </c>
      <c r="I4821" s="149"/>
      <c r="J4821" s="150" t="b">
        <f>Proc[[#This Row],[Requested]]=Proc[[#This Row],[CurrentParent]]</f>
        <v>1</v>
      </c>
      <c r="K4821" s="150" t="str">
        <f>IF(Proc[[#This Row],[Author]]="Marcela Urrego",VLOOKUP(LEFT(Proc[[#This Row],[Requested]],1),Table3[#All],2,0),VLOOKUP(Proc[[#This Row],[Author]],Table4[],2,0))</f>
        <v>MGF</v>
      </c>
      <c r="L4821" s="150" t="s">
        <v>6435</v>
      </c>
      <c r="M4821" s="173">
        <v>45988</v>
      </c>
      <c r="N4821" s="174"/>
      <c r="O4821" s="174"/>
      <c r="P4821" s="174" t="str">
        <f ca="1">IF(Proc[[#This Row],[DaysAgeing]]&gt;5,"yep","on track")</f>
        <v>yep</v>
      </c>
      <c r="Q4821" s="3">
        <f ca="1">IF(Proc[[#This Row],[DateClosed]]="",ABS(NETWORKDAYS(Proc[[#This Row],[DateOpened]],TODAY()))-1,ABS(NETWORKDAYS(Proc[[#This Row],[DateOpened]],Proc[[#This Row],[DateClosed]]))-1)</f>
        <v>11</v>
      </c>
      <c r="R4821" s="174" t="s">
        <v>485</v>
      </c>
      <c r="S4821" s="150"/>
    </row>
    <row r="4822" spans="1:19">
      <c r="A4822" s="149" t="s">
        <v>7001</v>
      </c>
      <c r="B4822" s="150" t="str">
        <f>IFERROR(VLOOKUP(Proc[[#This Row],[App]],Table2[],3,0),"open")</f>
        <v>ok</v>
      </c>
      <c r="C4822" s="149" t="s">
        <v>369</v>
      </c>
      <c r="D4822" t="s">
        <v>7031</v>
      </c>
      <c r="E4822" t="s">
        <v>7002</v>
      </c>
      <c r="F4822" s="150" t="s">
        <v>7002</v>
      </c>
      <c r="G4822" s="149" t="s">
        <v>406</v>
      </c>
      <c r="H4822" s="150" t="str">
        <f>IF(Proc[[#This Row],[type]]="LFF (MDG-F)",MID(Proc[[#This Row],[Obj]],13,10),"")</f>
        <v>DE10F16700</v>
      </c>
      <c r="I4822" s="149"/>
      <c r="J4822" s="150" t="b">
        <f>Proc[[#This Row],[Requested]]=Proc[[#This Row],[CurrentParent]]</f>
        <v>1</v>
      </c>
      <c r="K4822" s="150" t="str">
        <f>IF(Proc[[#This Row],[Author]]="Marcela Urrego",VLOOKUP(LEFT(Proc[[#This Row],[Requested]],1),Table3[#All],2,0),VLOOKUP(Proc[[#This Row],[Author]],Table4[],2,0))</f>
        <v>MGF</v>
      </c>
      <c r="L4822" s="150" t="s">
        <v>6435</v>
      </c>
      <c r="M4822" s="173">
        <v>45988</v>
      </c>
      <c r="N4822" s="174"/>
      <c r="O4822" s="174"/>
      <c r="P4822" s="174" t="str">
        <f ca="1">IF(Proc[[#This Row],[DaysAgeing]]&gt;5,"yep","on track")</f>
        <v>yep</v>
      </c>
      <c r="Q4822" s="3">
        <f ca="1">IF(Proc[[#This Row],[DateClosed]]="",ABS(NETWORKDAYS(Proc[[#This Row],[DateOpened]],TODAY()))-1,ABS(NETWORKDAYS(Proc[[#This Row],[DateOpened]],Proc[[#This Row],[DateClosed]]))-1)</f>
        <v>11</v>
      </c>
      <c r="R4822" s="174" t="s">
        <v>485</v>
      </c>
      <c r="S4822" s="150"/>
    </row>
    <row r="4823" spans="1:19">
      <c r="A4823" s="149" t="s">
        <v>7001</v>
      </c>
      <c r="B4823" s="150" t="str">
        <f>IFERROR(VLOOKUP(Proc[[#This Row],[App]],Table2[],3,0),"open")</f>
        <v>ok</v>
      </c>
      <c r="C4823" s="149" t="s">
        <v>369</v>
      </c>
      <c r="D4823" t="s">
        <v>7032</v>
      </c>
      <c r="E4823" t="s">
        <v>7004</v>
      </c>
      <c r="F4823" s="150" t="s">
        <v>7004</v>
      </c>
      <c r="G4823" s="149" t="s">
        <v>406</v>
      </c>
      <c r="H4823" s="150" t="str">
        <f>IF(Proc[[#This Row],[type]]="LFF (MDG-F)",MID(Proc[[#This Row],[Obj]],13,10),"")</f>
        <v>DE10F27301</v>
      </c>
      <c r="I4823" s="149"/>
      <c r="J4823" s="150" t="b">
        <f>Proc[[#This Row],[Requested]]=Proc[[#This Row],[CurrentParent]]</f>
        <v>1</v>
      </c>
      <c r="K4823" s="150" t="str">
        <f>IF(Proc[[#This Row],[Author]]="Marcela Urrego",VLOOKUP(LEFT(Proc[[#This Row],[Requested]],1),Table3[#All],2,0),VLOOKUP(Proc[[#This Row],[Author]],Table4[],2,0))</f>
        <v>MGF</v>
      </c>
      <c r="L4823" s="150" t="s">
        <v>6435</v>
      </c>
      <c r="M4823" s="173">
        <v>45988</v>
      </c>
      <c r="N4823" s="174"/>
      <c r="O4823" s="174"/>
      <c r="P4823" s="174" t="str">
        <f ca="1">IF(Proc[[#This Row],[DaysAgeing]]&gt;5,"yep","on track")</f>
        <v>yep</v>
      </c>
      <c r="Q4823" s="3">
        <f ca="1">IF(Proc[[#This Row],[DateClosed]]="",ABS(NETWORKDAYS(Proc[[#This Row],[DateOpened]],TODAY()))-1,ABS(NETWORKDAYS(Proc[[#This Row],[DateOpened]],Proc[[#This Row],[DateClosed]]))-1)</f>
        <v>11</v>
      </c>
      <c r="R4823" s="174" t="s">
        <v>485</v>
      </c>
      <c r="S4823" s="150"/>
    </row>
    <row r="4824" spans="1:19">
      <c r="A4824" s="149" t="s">
        <v>7001</v>
      </c>
      <c r="B4824" s="150" t="str">
        <f>IFERROR(VLOOKUP(Proc[[#This Row],[App]],Table2[],3,0),"open")</f>
        <v>ok</v>
      </c>
      <c r="C4824" s="149" t="s">
        <v>369</v>
      </c>
      <c r="D4824" t="s">
        <v>7033</v>
      </c>
      <c r="E4824" t="s">
        <v>7004</v>
      </c>
      <c r="F4824" s="150" t="s">
        <v>7004</v>
      </c>
      <c r="G4824" s="149" t="s">
        <v>406</v>
      </c>
      <c r="H4824" s="150" t="str">
        <f>IF(Proc[[#This Row],[type]]="LFF (MDG-F)",MID(Proc[[#This Row],[Obj]],13,10),"")</f>
        <v>DE10E09200</v>
      </c>
      <c r="I4824" s="149"/>
      <c r="J4824" s="150" t="b">
        <f>Proc[[#This Row],[Requested]]=Proc[[#This Row],[CurrentParent]]</f>
        <v>1</v>
      </c>
      <c r="K4824" s="150" t="str">
        <f>IF(Proc[[#This Row],[Author]]="Marcela Urrego",VLOOKUP(LEFT(Proc[[#This Row],[Requested]],1),Table3[#All],2,0),VLOOKUP(Proc[[#This Row],[Author]],Table4[],2,0))</f>
        <v>MGF</v>
      </c>
      <c r="L4824" s="150" t="s">
        <v>6435</v>
      </c>
      <c r="M4824" s="173">
        <v>45988</v>
      </c>
      <c r="N4824" s="174"/>
      <c r="O4824" s="174"/>
      <c r="P4824" s="174" t="str">
        <f ca="1">IF(Proc[[#This Row],[DaysAgeing]]&gt;5,"yep","on track")</f>
        <v>yep</v>
      </c>
      <c r="Q4824" s="3">
        <f ca="1">IF(Proc[[#This Row],[DateClosed]]="",ABS(NETWORKDAYS(Proc[[#This Row],[DateOpened]],TODAY()))-1,ABS(NETWORKDAYS(Proc[[#This Row],[DateOpened]],Proc[[#This Row],[DateClosed]]))-1)</f>
        <v>11</v>
      </c>
      <c r="R4824" s="174" t="s">
        <v>485</v>
      </c>
      <c r="S4824" s="150"/>
    </row>
    <row r="4825" spans="1:19">
      <c r="A4825" s="149" t="s">
        <v>7001</v>
      </c>
      <c r="B4825" s="150" t="str">
        <f>IFERROR(VLOOKUP(Proc[[#This Row],[App]],Table2[],3,0),"open")</f>
        <v>ok</v>
      </c>
      <c r="C4825" s="149" t="s">
        <v>369</v>
      </c>
      <c r="D4825" t="s">
        <v>7034</v>
      </c>
      <c r="E4825" t="s">
        <v>7002</v>
      </c>
      <c r="F4825" s="150" t="s">
        <v>7002</v>
      </c>
      <c r="G4825" s="149" t="s">
        <v>406</v>
      </c>
      <c r="H4825" s="150" t="str">
        <f>IF(Proc[[#This Row],[type]]="LFF (MDG-F)",MID(Proc[[#This Row],[Obj]],13,10),"")</f>
        <v>DE10E47200</v>
      </c>
      <c r="I4825" s="149"/>
      <c r="J4825" s="150" t="b">
        <f>Proc[[#This Row],[Requested]]=Proc[[#This Row],[CurrentParent]]</f>
        <v>1</v>
      </c>
      <c r="K4825" s="150" t="str">
        <f>IF(Proc[[#This Row],[Author]]="Marcela Urrego",VLOOKUP(LEFT(Proc[[#This Row],[Requested]],1),Table3[#All],2,0),VLOOKUP(Proc[[#This Row],[Author]],Table4[],2,0))</f>
        <v>MGF</v>
      </c>
      <c r="L4825" s="150" t="s">
        <v>6435</v>
      </c>
      <c r="M4825" s="173">
        <v>45988</v>
      </c>
      <c r="N4825" s="174"/>
      <c r="O4825" s="174"/>
      <c r="P4825" s="174" t="str">
        <f ca="1">IF(Proc[[#This Row],[DaysAgeing]]&gt;5,"yep","on track")</f>
        <v>yep</v>
      </c>
      <c r="Q4825" s="3">
        <f ca="1">IF(Proc[[#This Row],[DateClosed]]="",ABS(NETWORKDAYS(Proc[[#This Row],[DateOpened]],TODAY()))-1,ABS(NETWORKDAYS(Proc[[#This Row],[DateOpened]],Proc[[#This Row],[DateClosed]]))-1)</f>
        <v>11</v>
      </c>
      <c r="R4825" s="174" t="s">
        <v>485</v>
      </c>
      <c r="S4825" s="150"/>
    </row>
    <row r="4826" spans="1:19">
      <c r="A4826" s="149" t="s">
        <v>7001</v>
      </c>
      <c r="B4826" s="150" t="str">
        <f>IFERROR(VLOOKUP(Proc[[#This Row],[App]],Table2[],3,0),"open")</f>
        <v>ok</v>
      </c>
      <c r="C4826" s="149" t="s">
        <v>369</v>
      </c>
      <c r="D4826" t="s">
        <v>7035</v>
      </c>
      <c r="E4826" t="s">
        <v>7002</v>
      </c>
      <c r="F4826" s="150" t="s">
        <v>7002</v>
      </c>
      <c r="G4826" s="149" t="s">
        <v>406</v>
      </c>
      <c r="H4826" s="150" t="str">
        <f>IF(Proc[[#This Row],[type]]="LFF (MDG-F)",MID(Proc[[#This Row],[Obj]],13,10),"")</f>
        <v>DE10F10600</v>
      </c>
      <c r="I4826" s="149"/>
      <c r="J4826" s="150" t="b">
        <f>Proc[[#This Row],[Requested]]=Proc[[#This Row],[CurrentParent]]</f>
        <v>1</v>
      </c>
      <c r="K4826" s="150" t="str">
        <f>IF(Proc[[#This Row],[Author]]="Marcela Urrego",VLOOKUP(LEFT(Proc[[#This Row],[Requested]],1),Table3[#All],2,0),VLOOKUP(Proc[[#This Row],[Author]],Table4[],2,0))</f>
        <v>MGF</v>
      </c>
      <c r="L4826" s="150" t="s">
        <v>6435</v>
      </c>
      <c r="M4826" s="173">
        <v>45988</v>
      </c>
      <c r="N4826" s="174"/>
      <c r="O4826" s="174"/>
      <c r="P4826" s="174" t="str">
        <f ca="1">IF(Proc[[#This Row],[DaysAgeing]]&gt;5,"yep","on track")</f>
        <v>yep</v>
      </c>
      <c r="Q4826" s="3">
        <f ca="1">IF(Proc[[#This Row],[DateClosed]]="",ABS(NETWORKDAYS(Proc[[#This Row],[DateOpened]],TODAY()))-1,ABS(NETWORKDAYS(Proc[[#This Row],[DateOpened]],Proc[[#This Row],[DateClosed]]))-1)</f>
        <v>11</v>
      </c>
      <c r="R4826" s="174" t="s">
        <v>485</v>
      </c>
      <c r="S4826" s="150"/>
    </row>
    <row r="4827" spans="1:19">
      <c r="A4827" s="149" t="s">
        <v>7001</v>
      </c>
      <c r="B4827" s="150" t="str">
        <f>IFERROR(VLOOKUP(Proc[[#This Row],[App]],Table2[],3,0),"open")</f>
        <v>ok</v>
      </c>
      <c r="C4827" s="149" t="s">
        <v>369</v>
      </c>
      <c r="D4827" t="s">
        <v>7036</v>
      </c>
      <c r="E4827" t="s">
        <v>7002</v>
      </c>
      <c r="F4827" s="150" t="s">
        <v>7002</v>
      </c>
      <c r="G4827" s="149" t="s">
        <v>406</v>
      </c>
      <c r="H4827" s="150" t="str">
        <f>IF(Proc[[#This Row],[type]]="LFF (MDG-F)",MID(Proc[[#This Row],[Obj]],13,10),"")</f>
        <v>DE10F10900</v>
      </c>
      <c r="I4827" s="149"/>
      <c r="J4827" s="150" t="b">
        <f>Proc[[#This Row],[Requested]]=Proc[[#This Row],[CurrentParent]]</f>
        <v>1</v>
      </c>
      <c r="K4827" s="150" t="str">
        <f>IF(Proc[[#This Row],[Author]]="Marcela Urrego",VLOOKUP(LEFT(Proc[[#This Row],[Requested]],1),Table3[#All],2,0),VLOOKUP(Proc[[#This Row],[Author]],Table4[],2,0))</f>
        <v>MGF</v>
      </c>
      <c r="L4827" s="150" t="s">
        <v>6435</v>
      </c>
      <c r="M4827" s="173">
        <v>45988</v>
      </c>
      <c r="N4827" s="174"/>
      <c r="O4827" s="174"/>
      <c r="P4827" s="174" t="str">
        <f ca="1">IF(Proc[[#This Row],[DaysAgeing]]&gt;5,"yep","on track")</f>
        <v>yep</v>
      </c>
      <c r="Q4827" s="3">
        <f ca="1">IF(Proc[[#This Row],[DateClosed]]="",ABS(NETWORKDAYS(Proc[[#This Row],[DateOpened]],TODAY()))-1,ABS(NETWORKDAYS(Proc[[#This Row],[DateOpened]],Proc[[#This Row],[DateClosed]]))-1)</f>
        <v>11</v>
      </c>
      <c r="R4827" s="174" t="s">
        <v>485</v>
      </c>
      <c r="S4827" s="150"/>
    </row>
    <row r="4828" spans="1:19">
      <c r="A4828" s="149" t="s">
        <v>7001</v>
      </c>
      <c r="B4828" s="150" t="str">
        <f>IFERROR(VLOOKUP(Proc[[#This Row],[App]],Table2[],3,0),"open")</f>
        <v>ok</v>
      </c>
      <c r="C4828" s="149" t="s">
        <v>369</v>
      </c>
      <c r="D4828" t="s">
        <v>7037</v>
      </c>
      <c r="E4828" t="s">
        <v>7004</v>
      </c>
      <c r="F4828" s="150" t="s">
        <v>7004</v>
      </c>
      <c r="G4828" s="149" t="s">
        <v>406</v>
      </c>
      <c r="H4828" s="150" t="str">
        <f>IF(Proc[[#This Row],[type]]="LFF (MDG-F)",MID(Proc[[#This Row],[Obj]],13,10),"")</f>
        <v>DE10F15400</v>
      </c>
      <c r="I4828" s="149"/>
      <c r="J4828" s="150" t="b">
        <f>Proc[[#This Row],[Requested]]=Proc[[#This Row],[CurrentParent]]</f>
        <v>1</v>
      </c>
      <c r="K4828" s="150" t="str">
        <f>IF(Proc[[#This Row],[Author]]="Marcela Urrego",VLOOKUP(LEFT(Proc[[#This Row],[Requested]],1),Table3[#All],2,0),VLOOKUP(Proc[[#This Row],[Author]],Table4[],2,0))</f>
        <v>MGF</v>
      </c>
      <c r="L4828" s="150" t="s">
        <v>6435</v>
      </c>
      <c r="M4828" s="173">
        <v>45988</v>
      </c>
      <c r="N4828" s="174"/>
      <c r="O4828" s="174"/>
      <c r="P4828" s="174" t="str">
        <f ca="1">IF(Proc[[#This Row],[DaysAgeing]]&gt;5,"yep","on track")</f>
        <v>yep</v>
      </c>
      <c r="Q4828" s="3">
        <f ca="1">IF(Proc[[#This Row],[DateClosed]]="",ABS(NETWORKDAYS(Proc[[#This Row],[DateOpened]],TODAY()))-1,ABS(NETWORKDAYS(Proc[[#This Row],[DateOpened]],Proc[[#This Row],[DateClosed]]))-1)</f>
        <v>11</v>
      </c>
      <c r="R4828" s="174" t="s">
        <v>485</v>
      </c>
      <c r="S4828" s="150"/>
    </row>
    <row r="4829" spans="1:19">
      <c r="A4829" s="149" t="s">
        <v>7001</v>
      </c>
      <c r="B4829" s="150" t="str">
        <f>IFERROR(VLOOKUP(Proc[[#This Row],[App]],Table2[],3,0),"open")</f>
        <v>ok</v>
      </c>
      <c r="C4829" s="149" t="s">
        <v>369</v>
      </c>
      <c r="D4829" t="s">
        <v>7038</v>
      </c>
      <c r="E4829" t="s">
        <v>7002</v>
      </c>
      <c r="F4829" s="150" t="s">
        <v>7002</v>
      </c>
      <c r="G4829" s="149" t="s">
        <v>406</v>
      </c>
      <c r="H4829" s="150" t="str">
        <f>IF(Proc[[#This Row],[type]]="LFF (MDG-F)",MID(Proc[[#This Row],[Obj]],13,10),"")</f>
        <v>DE10F15410</v>
      </c>
      <c r="I4829" s="149"/>
      <c r="J4829" s="150" t="b">
        <f>Proc[[#This Row],[Requested]]=Proc[[#This Row],[CurrentParent]]</f>
        <v>1</v>
      </c>
      <c r="K4829" s="150" t="str">
        <f>IF(Proc[[#This Row],[Author]]="Marcela Urrego",VLOOKUP(LEFT(Proc[[#This Row],[Requested]],1),Table3[#All],2,0),VLOOKUP(Proc[[#This Row],[Author]],Table4[],2,0))</f>
        <v>MGF</v>
      </c>
      <c r="L4829" s="150" t="s">
        <v>6435</v>
      </c>
      <c r="M4829" s="173">
        <v>45988</v>
      </c>
      <c r="N4829" s="174"/>
      <c r="O4829" s="174"/>
      <c r="P4829" s="174" t="str">
        <f ca="1">IF(Proc[[#This Row],[DaysAgeing]]&gt;5,"yep","on track")</f>
        <v>yep</v>
      </c>
      <c r="Q4829" s="3">
        <f ca="1">IF(Proc[[#This Row],[DateClosed]]="",ABS(NETWORKDAYS(Proc[[#This Row],[DateOpened]],TODAY()))-1,ABS(NETWORKDAYS(Proc[[#This Row],[DateOpened]],Proc[[#This Row],[DateClosed]]))-1)</f>
        <v>11</v>
      </c>
      <c r="R4829" s="174" t="s">
        <v>485</v>
      </c>
      <c r="S4829" s="150"/>
    </row>
    <row r="4830" spans="1:19">
      <c r="A4830" t="s">
        <v>7039</v>
      </c>
      <c r="B4830" s="150" t="str">
        <f>IFERROR(VLOOKUP(Proc[[#This Row],[App]],Table2[],3,0),"open")</f>
        <v>ok</v>
      </c>
      <c r="C4830" s="149" t="s">
        <v>369</v>
      </c>
      <c r="D4830" t="s">
        <v>7040</v>
      </c>
      <c r="E4830" t="s">
        <v>7228</v>
      </c>
      <c r="F4830" s="150" t="s">
        <v>7228</v>
      </c>
      <c r="G4830" s="149" t="s">
        <v>406</v>
      </c>
      <c r="H4830" s="150" t="str">
        <f>IF(Proc[[#This Row],[type]]="LFF (MDG-F)",MID(Proc[[#This Row],[Obj]],13,10),"")</f>
        <v>SG09OF0504</v>
      </c>
      <c r="I4830" t="s">
        <v>7228</v>
      </c>
      <c r="J4830" s="150" t="b">
        <f>Proc[[#This Row],[Requested]]=Proc[[#This Row],[CurrentParent]]</f>
        <v>1</v>
      </c>
      <c r="K4830" s="150" t="str">
        <f>IF(Proc[[#This Row],[Author]]="Marcela Urrego",VLOOKUP(LEFT(Proc[[#This Row],[Requested]],1),Table3[#All],2,0),VLOOKUP(Proc[[#This Row],[Author]],Table4[],2,0))</f>
        <v>EL</v>
      </c>
      <c r="L4830" s="150" t="s">
        <v>6435</v>
      </c>
      <c r="M4830" s="173">
        <v>45989</v>
      </c>
      <c r="N4830" s="174"/>
      <c r="O4830" s="174"/>
      <c r="P4830" s="174" t="str">
        <f ca="1">IF(Proc[[#This Row],[DaysAgeing]]&gt;5,"yep","on track")</f>
        <v>yep</v>
      </c>
      <c r="Q4830" s="3">
        <f ca="1">IF(Proc[[#This Row],[DateClosed]]="",ABS(NETWORKDAYS(Proc[[#This Row],[DateOpened]],TODAY()))-1,ABS(NETWORKDAYS(Proc[[#This Row],[DateOpened]],Proc[[#This Row],[DateClosed]]))-1)</f>
        <v>10</v>
      </c>
      <c r="R4830" s="174" t="s">
        <v>5709</v>
      </c>
      <c r="S4830" s="150"/>
    </row>
    <row r="4831" spans="1:19">
      <c r="A4831" t="s">
        <v>7039</v>
      </c>
      <c r="B4831" s="150" t="str">
        <f>IFERROR(VLOOKUP(Proc[[#This Row],[App]],Table2[],3,0),"open")</f>
        <v>ok</v>
      </c>
      <c r="C4831" s="149" t="s">
        <v>369</v>
      </c>
      <c r="D4831" t="s">
        <v>7041</v>
      </c>
      <c r="E4831" s="149" t="s">
        <v>7228</v>
      </c>
      <c r="F4831" s="150" t="s">
        <v>7228</v>
      </c>
      <c r="G4831" s="149" t="s">
        <v>406</v>
      </c>
      <c r="H4831" s="150" t="str">
        <f>IF(Proc[[#This Row],[type]]="LFF (MDG-F)",MID(Proc[[#This Row],[Obj]],13,10),"")</f>
        <v>TW02OF0321</v>
      </c>
      <c r="I4831" s="149" t="s">
        <v>7228</v>
      </c>
      <c r="J4831" s="150" t="b">
        <f>Proc[[#This Row],[Requested]]=Proc[[#This Row],[CurrentParent]]</f>
        <v>1</v>
      </c>
      <c r="K4831" s="150" t="str">
        <f>IF(Proc[[#This Row],[Author]]="Marcela Urrego",VLOOKUP(LEFT(Proc[[#This Row],[Requested]],1),Table3[#All],2,0),VLOOKUP(Proc[[#This Row],[Author]],Table4[],2,0))</f>
        <v>EL</v>
      </c>
      <c r="L4831" s="150" t="s">
        <v>6435</v>
      </c>
      <c r="M4831" s="173">
        <v>45989</v>
      </c>
      <c r="N4831" s="174"/>
      <c r="O4831" s="174"/>
      <c r="P4831" s="174" t="str">
        <f ca="1">IF(Proc[[#This Row],[DaysAgeing]]&gt;5,"yep","on track")</f>
        <v>yep</v>
      </c>
      <c r="Q4831" s="3">
        <f ca="1">IF(Proc[[#This Row],[DateClosed]]="",ABS(NETWORKDAYS(Proc[[#This Row],[DateOpened]],TODAY()))-1,ABS(NETWORKDAYS(Proc[[#This Row],[DateOpened]],Proc[[#This Row],[DateClosed]]))-1)</f>
        <v>10</v>
      </c>
      <c r="R4831" s="174" t="s">
        <v>5709</v>
      </c>
      <c r="S4831" s="150"/>
    </row>
    <row r="4832" spans="1:19">
      <c r="A4832" s="149" t="s">
        <v>7039</v>
      </c>
      <c r="B4832" s="150" t="str">
        <f>IFERROR(VLOOKUP(Proc[[#This Row],[App]],Table2[],3,0),"open")</f>
        <v>ok</v>
      </c>
      <c r="C4832" s="149" t="s">
        <v>369</v>
      </c>
      <c r="D4832" t="s">
        <v>7042</v>
      </c>
      <c r="E4832" s="149" t="s">
        <v>7228</v>
      </c>
      <c r="F4832" s="150" t="s">
        <v>7228</v>
      </c>
      <c r="G4832" s="149" t="s">
        <v>406</v>
      </c>
      <c r="H4832" s="150" t="str">
        <f>IF(Proc[[#This Row],[type]]="LFF (MDG-F)",MID(Proc[[#This Row],[Obj]],13,10),"")</f>
        <v>TW02OF0322</v>
      </c>
      <c r="I4832" s="149" t="s">
        <v>7228</v>
      </c>
      <c r="J4832" s="150" t="b">
        <f>Proc[[#This Row],[Requested]]=Proc[[#This Row],[CurrentParent]]</f>
        <v>1</v>
      </c>
      <c r="K4832" s="150" t="str">
        <f>IF(Proc[[#This Row],[Author]]="Marcela Urrego",VLOOKUP(LEFT(Proc[[#This Row],[Requested]],1),Table3[#All],2,0),VLOOKUP(Proc[[#This Row],[Author]],Table4[],2,0))</f>
        <v>EL</v>
      </c>
      <c r="L4832" s="150" t="s">
        <v>6435</v>
      </c>
      <c r="M4832" s="173">
        <v>45989</v>
      </c>
      <c r="N4832" s="174"/>
      <c r="O4832" s="174"/>
      <c r="P4832" s="174" t="str">
        <f ca="1">IF(Proc[[#This Row],[DaysAgeing]]&gt;5,"yep","on track")</f>
        <v>yep</v>
      </c>
      <c r="Q4832" s="3">
        <f ca="1">IF(Proc[[#This Row],[DateClosed]]="",ABS(NETWORKDAYS(Proc[[#This Row],[DateOpened]],TODAY()))-1,ABS(NETWORKDAYS(Proc[[#This Row],[DateOpened]],Proc[[#This Row],[DateClosed]]))-1)</f>
        <v>10</v>
      </c>
      <c r="R4832" s="174" t="s">
        <v>5709</v>
      </c>
      <c r="S4832" s="150"/>
    </row>
    <row r="4833" spans="1:19">
      <c r="A4833" s="149" t="s">
        <v>7039</v>
      </c>
      <c r="B4833" s="150" t="str">
        <f>IFERROR(VLOOKUP(Proc[[#This Row],[App]],Table2[],3,0),"open")</f>
        <v>ok</v>
      </c>
      <c r="C4833" s="149" t="s">
        <v>369</v>
      </c>
      <c r="D4833" t="s">
        <v>7043</v>
      </c>
      <c r="E4833" s="149" t="s">
        <v>7228</v>
      </c>
      <c r="F4833" s="150" t="s">
        <v>7228</v>
      </c>
      <c r="G4833" s="149" t="s">
        <v>406</v>
      </c>
      <c r="H4833" s="150" t="str">
        <f>IF(Proc[[#This Row],[type]]="LFF (MDG-F)",MID(Proc[[#This Row],[Obj]],13,10),"")</f>
        <v>SG10DB3305</v>
      </c>
      <c r="I4833" s="149" t="s">
        <v>7228</v>
      </c>
      <c r="J4833" s="150" t="b">
        <f>Proc[[#This Row],[Requested]]=Proc[[#This Row],[CurrentParent]]</f>
        <v>1</v>
      </c>
      <c r="K4833" s="150" t="str">
        <f>IF(Proc[[#This Row],[Author]]="Marcela Urrego",VLOOKUP(LEFT(Proc[[#This Row],[Requested]],1),Table3[#All],2,0),VLOOKUP(Proc[[#This Row],[Author]],Table4[],2,0))</f>
        <v>EL</v>
      </c>
      <c r="L4833" s="150" t="s">
        <v>6435</v>
      </c>
      <c r="M4833" s="173">
        <v>45989</v>
      </c>
      <c r="N4833" s="174"/>
      <c r="O4833" s="174"/>
      <c r="P4833" s="174" t="str">
        <f ca="1">IF(Proc[[#This Row],[DaysAgeing]]&gt;5,"yep","on track")</f>
        <v>yep</v>
      </c>
      <c r="Q4833" s="3">
        <f ca="1">IF(Proc[[#This Row],[DateClosed]]="",ABS(NETWORKDAYS(Proc[[#This Row],[DateOpened]],TODAY()))-1,ABS(NETWORKDAYS(Proc[[#This Row],[DateOpened]],Proc[[#This Row],[DateClosed]]))-1)</f>
        <v>10</v>
      </c>
      <c r="R4833" s="174" t="s">
        <v>5709</v>
      </c>
      <c r="S4833" s="150"/>
    </row>
    <row r="4834" spans="1:19">
      <c r="A4834" s="149" t="s">
        <v>7039</v>
      </c>
      <c r="B4834" s="150" t="str">
        <f>IFERROR(VLOOKUP(Proc[[#This Row],[App]],Table2[],3,0),"open")</f>
        <v>ok</v>
      </c>
      <c r="C4834" s="149" t="s">
        <v>369</v>
      </c>
      <c r="D4834" t="s">
        <v>7044</v>
      </c>
      <c r="E4834" s="149" t="s">
        <v>7228</v>
      </c>
      <c r="F4834" s="150" t="s">
        <v>7228</v>
      </c>
      <c r="G4834" s="149" t="s">
        <v>406</v>
      </c>
      <c r="H4834" s="150" t="str">
        <f>IF(Proc[[#This Row],[type]]="LFF (MDG-F)",MID(Proc[[#This Row],[Obj]],13,10),"")</f>
        <v>TW10DB3308</v>
      </c>
      <c r="I4834" s="149" t="s">
        <v>7228</v>
      </c>
      <c r="J4834" s="150" t="b">
        <f>Proc[[#This Row],[Requested]]=Proc[[#This Row],[CurrentParent]]</f>
        <v>1</v>
      </c>
      <c r="K4834" s="150" t="str">
        <f>IF(Proc[[#This Row],[Author]]="Marcela Urrego",VLOOKUP(LEFT(Proc[[#This Row],[Requested]],1),Table3[#All],2,0),VLOOKUP(Proc[[#This Row],[Author]],Table4[],2,0))</f>
        <v>EL</v>
      </c>
      <c r="L4834" s="150" t="s">
        <v>6435</v>
      </c>
      <c r="M4834" s="173">
        <v>45989</v>
      </c>
      <c r="N4834" s="174"/>
      <c r="O4834" s="174"/>
      <c r="P4834" s="174" t="str">
        <f ca="1">IF(Proc[[#This Row],[DaysAgeing]]&gt;5,"yep","on track")</f>
        <v>yep</v>
      </c>
      <c r="Q4834" s="3">
        <f ca="1">IF(Proc[[#This Row],[DateClosed]]="",ABS(NETWORKDAYS(Proc[[#This Row],[DateOpened]],TODAY()))-1,ABS(NETWORKDAYS(Proc[[#This Row],[DateOpened]],Proc[[#This Row],[DateClosed]]))-1)</f>
        <v>10</v>
      </c>
      <c r="R4834" s="174" t="s">
        <v>5709</v>
      </c>
      <c r="S4834" s="150"/>
    </row>
    <row r="4835" spans="1:19">
      <c r="A4835" s="149" t="s">
        <v>7039</v>
      </c>
      <c r="B4835" s="150" t="str">
        <f>IFERROR(VLOOKUP(Proc[[#This Row],[App]],Table2[],3,0),"open")</f>
        <v>ok</v>
      </c>
      <c r="C4835" s="149" t="s">
        <v>369</v>
      </c>
      <c r="D4835" t="s">
        <v>7045</v>
      </c>
      <c r="E4835" s="149" t="s">
        <v>7229</v>
      </c>
      <c r="F4835" s="150" t="s">
        <v>7229</v>
      </c>
      <c r="G4835" s="149" t="s">
        <v>406</v>
      </c>
      <c r="H4835" s="150" t="str">
        <f>IF(Proc[[#This Row],[type]]="LFF (MDG-F)",MID(Proc[[#This Row],[Obj]],13,10),"")</f>
        <v>SG09TPX001</v>
      </c>
      <c r="I4835" s="149" t="s">
        <v>7229</v>
      </c>
      <c r="J4835" s="150" t="b">
        <f>Proc[[#This Row],[Requested]]=Proc[[#This Row],[CurrentParent]]</f>
        <v>1</v>
      </c>
      <c r="K4835" s="150" t="str">
        <f>IF(Proc[[#This Row],[Author]]="Marcela Urrego",VLOOKUP(LEFT(Proc[[#This Row],[Requested]],1),Table3[#All],2,0),VLOOKUP(Proc[[#This Row],[Author]],Table4[],2,0))</f>
        <v>EL</v>
      </c>
      <c r="L4835" s="150" t="s">
        <v>6435</v>
      </c>
      <c r="M4835" s="173">
        <v>45989</v>
      </c>
      <c r="N4835" s="174"/>
      <c r="O4835" s="174"/>
      <c r="P4835" s="174" t="str">
        <f ca="1">IF(Proc[[#This Row],[DaysAgeing]]&gt;5,"yep","on track")</f>
        <v>yep</v>
      </c>
      <c r="Q4835" s="3">
        <f ca="1">IF(Proc[[#This Row],[DateClosed]]="",ABS(NETWORKDAYS(Proc[[#This Row],[DateOpened]],TODAY()))-1,ABS(NETWORKDAYS(Proc[[#This Row],[DateOpened]],Proc[[#This Row],[DateClosed]]))-1)</f>
        <v>10</v>
      </c>
      <c r="R4835" s="174" t="s">
        <v>5709</v>
      </c>
      <c r="S4835" s="150"/>
    </row>
    <row r="4836" spans="1:19">
      <c r="A4836" s="149" t="s">
        <v>7039</v>
      </c>
      <c r="B4836" s="150" t="str">
        <f>IFERROR(VLOOKUP(Proc[[#This Row],[App]],Table2[],3,0),"open")</f>
        <v>ok</v>
      </c>
      <c r="C4836" s="149" t="s">
        <v>369</v>
      </c>
      <c r="D4836" t="s">
        <v>7046</v>
      </c>
      <c r="E4836" s="149" t="s">
        <v>7229</v>
      </c>
      <c r="F4836" s="150" t="s">
        <v>7229</v>
      </c>
      <c r="G4836" s="149" t="s">
        <v>406</v>
      </c>
      <c r="H4836" s="150" t="str">
        <f>IF(Proc[[#This Row],[type]]="LFF (MDG-F)",MID(Proc[[#This Row],[Obj]],13,10),"")</f>
        <v>MY10DB3301</v>
      </c>
      <c r="I4836" s="149" t="s">
        <v>7229</v>
      </c>
      <c r="J4836" s="150" t="b">
        <f>Proc[[#This Row],[Requested]]=Proc[[#This Row],[CurrentParent]]</f>
        <v>1</v>
      </c>
      <c r="K4836" s="150" t="str">
        <f>IF(Proc[[#This Row],[Author]]="Marcela Urrego",VLOOKUP(LEFT(Proc[[#This Row],[Requested]],1),Table3[#All],2,0),VLOOKUP(Proc[[#This Row],[Author]],Table4[],2,0))</f>
        <v>EL</v>
      </c>
      <c r="L4836" s="150" t="s">
        <v>6435</v>
      </c>
      <c r="M4836" s="173">
        <v>45989</v>
      </c>
      <c r="N4836" s="174"/>
      <c r="O4836" s="174"/>
      <c r="P4836" s="174" t="str">
        <f ca="1">IF(Proc[[#This Row],[DaysAgeing]]&gt;5,"yep","on track")</f>
        <v>yep</v>
      </c>
      <c r="Q4836" s="3">
        <f ca="1">IF(Proc[[#This Row],[DateClosed]]="",ABS(NETWORKDAYS(Proc[[#This Row],[DateOpened]],TODAY()))-1,ABS(NETWORKDAYS(Proc[[#This Row],[DateOpened]],Proc[[#This Row],[DateClosed]]))-1)</f>
        <v>10</v>
      </c>
      <c r="R4836" s="174" t="s">
        <v>5709</v>
      </c>
      <c r="S4836" s="150"/>
    </row>
    <row r="4837" spans="1:19">
      <c r="A4837" s="149" t="s">
        <v>7039</v>
      </c>
      <c r="B4837" s="150" t="str">
        <f>IFERROR(VLOOKUP(Proc[[#This Row],[App]],Table2[],3,0),"open")</f>
        <v>ok</v>
      </c>
      <c r="C4837" s="149" t="s">
        <v>369</v>
      </c>
      <c r="D4837" t="s">
        <v>7047</v>
      </c>
      <c r="E4837" s="149" t="s">
        <v>7229</v>
      </c>
      <c r="F4837" s="150" t="s">
        <v>7229</v>
      </c>
      <c r="G4837" s="149" t="s">
        <v>406</v>
      </c>
      <c r="H4837" s="150" t="str">
        <f>IF(Proc[[#This Row],[type]]="LFF (MDG-F)",MID(Proc[[#This Row],[Obj]],13,10),"")</f>
        <v>SG10DB3300</v>
      </c>
      <c r="I4837" s="149" t="s">
        <v>7229</v>
      </c>
      <c r="J4837" s="150" t="b">
        <f>Proc[[#This Row],[Requested]]=Proc[[#This Row],[CurrentParent]]</f>
        <v>1</v>
      </c>
      <c r="K4837" s="150" t="str">
        <f>IF(Proc[[#This Row],[Author]]="Marcela Urrego",VLOOKUP(LEFT(Proc[[#This Row],[Requested]],1),Table3[#All],2,0),VLOOKUP(Proc[[#This Row],[Author]],Table4[],2,0))</f>
        <v>EL</v>
      </c>
      <c r="L4837" s="150" t="s">
        <v>6435</v>
      </c>
      <c r="M4837" s="173">
        <v>45989</v>
      </c>
      <c r="N4837" s="174"/>
      <c r="O4837" s="174"/>
      <c r="P4837" s="174" t="str">
        <f ca="1">IF(Proc[[#This Row],[DaysAgeing]]&gt;5,"yep","on track")</f>
        <v>yep</v>
      </c>
      <c r="Q4837" s="3">
        <f ca="1">IF(Proc[[#This Row],[DateClosed]]="",ABS(NETWORKDAYS(Proc[[#This Row],[DateOpened]],TODAY()))-1,ABS(NETWORKDAYS(Proc[[#This Row],[DateOpened]],Proc[[#This Row],[DateClosed]]))-1)</f>
        <v>10</v>
      </c>
      <c r="R4837" s="174" t="s">
        <v>5709</v>
      </c>
      <c r="S4837" s="150"/>
    </row>
    <row r="4838" spans="1:19">
      <c r="A4838" s="149" t="s">
        <v>7039</v>
      </c>
      <c r="B4838" s="150" t="str">
        <f>IFERROR(VLOOKUP(Proc[[#This Row],[App]],Table2[],3,0),"open")</f>
        <v>ok</v>
      </c>
      <c r="C4838" s="149" t="s">
        <v>369</v>
      </c>
      <c r="D4838" t="s">
        <v>7048</v>
      </c>
      <c r="E4838" s="149" t="s">
        <v>7229</v>
      </c>
      <c r="F4838" s="150" t="s">
        <v>7229</v>
      </c>
      <c r="G4838" s="149" t="s">
        <v>406</v>
      </c>
      <c r="H4838" s="150" t="str">
        <f>IF(Proc[[#This Row],[type]]="LFF (MDG-F)",MID(Proc[[#This Row],[Obj]],13,10),"")</f>
        <v>SG10DB3301</v>
      </c>
      <c r="I4838" s="149" t="s">
        <v>7229</v>
      </c>
      <c r="J4838" s="150" t="b">
        <f>Proc[[#This Row],[Requested]]=Proc[[#This Row],[CurrentParent]]</f>
        <v>1</v>
      </c>
      <c r="K4838" s="150" t="str">
        <f>IF(Proc[[#This Row],[Author]]="Marcela Urrego",VLOOKUP(LEFT(Proc[[#This Row],[Requested]],1),Table3[#All],2,0),VLOOKUP(Proc[[#This Row],[Author]],Table4[],2,0))</f>
        <v>EL</v>
      </c>
      <c r="L4838" s="150" t="s">
        <v>6435</v>
      </c>
      <c r="M4838" s="173">
        <v>45989</v>
      </c>
      <c r="N4838" s="174"/>
      <c r="O4838" s="174"/>
      <c r="P4838" s="174" t="str">
        <f ca="1">IF(Proc[[#This Row],[DaysAgeing]]&gt;5,"yep","on track")</f>
        <v>yep</v>
      </c>
      <c r="Q4838" s="3">
        <f ca="1">IF(Proc[[#This Row],[DateClosed]]="",ABS(NETWORKDAYS(Proc[[#This Row],[DateOpened]],TODAY()))-1,ABS(NETWORKDAYS(Proc[[#This Row],[DateOpened]],Proc[[#This Row],[DateClosed]]))-1)</f>
        <v>10</v>
      </c>
      <c r="R4838" s="174" t="s">
        <v>5709</v>
      </c>
      <c r="S4838" s="150"/>
    </row>
    <row r="4839" spans="1:19">
      <c r="A4839" s="149" t="s">
        <v>7039</v>
      </c>
      <c r="B4839" s="150" t="str">
        <f>IFERROR(VLOOKUP(Proc[[#This Row],[App]],Table2[],3,0),"open")</f>
        <v>ok</v>
      </c>
      <c r="C4839" s="149" t="s">
        <v>369</v>
      </c>
      <c r="D4839" t="s">
        <v>7049</v>
      </c>
      <c r="E4839" s="149" t="s">
        <v>7229</v>
      </c>
      <c r="F4839" s="150" t="s">
        <v>7229</v>
      </c>
      <c r="G4839" s="149" t="s">
        <v>406</v>
      </c>
      <c r="H4839" s="150" t="str">
        <f>IF(Proc[[#This Row],[type]]="LFF (MDG-F)",MID(Proc[[#This Row],[Obj]],13,10),"")</f>
        <v>SG10DB3302</v>
      </c>
      <c r="I4839" s="149" t="s">
        <v>7229</v>
      </c>
      <c r="J4839" s="150" t="b">
        <f>Proc[[#This Row],[Requested]]=Proc[[#This Row],[CurrentParent]]</f>
        <v>1</v>
      </c>
      <c r="K4839" s="150" t="str">
        <f>IF(Proc[[#This Row],[Author]]="Marcela Urrego",VLOOKUP(LEFT(Proc[[#This Row],[Requested]],1),Table3[#All],2,0),VLOOKUP(Proc[[#This Row],[Author]],Table4[],2,0))</f>
        <v>EL</v>
      </c>
      <c r="L4839" s="150" t="s">
        <v>6435</v>
      </c>
      <c r="M4839" s="173">
        <v>45989</v>
      </c>
      <c r="N4839" s="174"/>
      <c r="O4839" s="174"/>
      <c r="P4839" s="174" t="str">
        <f ca="1">IF(Proc[[#This Row],[DaysAgeing]]&gt;5,"yep","on track")</f>
        <v>yep</v>
      </c>
      <c r="Q4839" s="3">
        <f ca="1">IF(Proc[[#This Row],[DateClosed]]="",ABS(NETWORKDAYS(Proc[[#This Row],[DateOpened]],TODAY()))-1,ABS(NETWORKDAYS(Proc[[#This Row],[DateOpened]],Proc[[#This Row],[DateClosed]]))-1)</f>
        <v>10</v>
      </c>
      <c r="R4839" s="174" t="s">
        <v>5709</v>
      </c>
      <c r="S4839" s="150"/>
    </row>
    <row r="4840" spans="1:19">
      <c r="A4840" s="149" t="s">
        <v>7039</v>
      </c>
      <c r="B4840" s="150" t="str">
        <f>IFERROR(VLOOKUP(Proc[[#This Row],[App]],Table2[],3,0),"open")</f>
        <v>ok</v>
      </c>
      <c r="C4840" s="149" t="s">
        <v>369</v>
      </c>
      <c r="D4840" t="s">
        <v>7050</v>
      </c>
      <c r="E4840" s="149" t="s">
        <v>7229</v>
      </c>
      <c r="F4840" s="150" t="s">
        <v>7229</v>
      </c>
      <c r="G4840" s="149" t="s">
        <v>406</v>
      </c>
      <c r="H4840" s="150" t="str">
        <f>IF(Proc[[#This Row],[type]]="LFF (MDG-F)",MID(Proc[[#This Row],[Obj]],13,10),"")</f>
        <v>TW10DB3303</v>
      </c>
      <c r="I4840" s="149" t="s">
        <v>7229</v>
      </c>
      <c r="J4840" s="150" t="b">
        <f>Proc[[#This Row],[Requested]]=Proc[[#This Row],[CurrentParent]]</f>
        <v>1</v>
      </c>
      <c r="K4840" s="150" t="str">
        <f>IF(Proc[[#This Row],[Author]]="Marcela Urrego",VLOOKUP(LEFT(Proc[[#This Row],[Requested]],1),Table3[#All],2,0),VLOOKUP(Proc[[#This Row],[Author]],Table4[],2,0))</f>
        <v>EL</v>
      </c>
      <c r="L4840" s="150" t="s">
        <v>6435</v>
      </c>
      <c r="M4840" s="173">
        <v>45989</v>
      </c>
      <c r="N4840" s="174"/>
      <c r="O4840" s="174"/>
      <c r="P4840" s="174" t="str">
        <f ca="1">IF(Proc[[#This Row],[DaysAgeing]]&gt;5,"yep","on track")</f>
        <v>yep</v>
      </c>
      <c r="Q4840" s="3">
        <f ca="1">IF(Proc[[#This Row],[DateClosed]]="",ABS(NETWORKDAYS(Proc[[#This Row],[DateOpened]],TODAY()))-1,ABS(NETWORKDAYS(Proc[[#This Row],[DateOpened]],Proc[[#This Row],[DateClosed]]))-1)</f>
        <v>10</v>
      </c>
      <c r="R4840" s="174" t="s">
        <v>5709</v>
      </c>
      <c r="S4840" s="150"/>
    </row>
    <row r="4841" spans="1:19">
      <c r="A4841" s="149" t="s">
        <v>7039</v>
      </c>
      <c r="B4841" s="150" t="str">
        <f>IFERROR(VLOOKUP(Proc[[#This Row],[App]],Table2[],3,0),"open")</f>
        <v>ok</v>
      </c>
      <c r="C4841" s="149" t="s">
        <v>369</v>
      </c>
      <c r="D4841" t="s">
        <v>7051</v>
      </c>
      <c r="E4841" s="149" t="s">
        <v>7229</v>
      </c>
      <c r="F4841" s="150" t="s">
        <v>7229</v>
      </c>
      <c r="G4841" s="149" t="s">
        <v>406</v>
      </c>
      <c r="H4841" s="150" t="str">
        <f>IF(Proc[[#This Row],[type]]="LFF (MDG-F)",MID(Proc[[#This Row],[Obj]],13,10),"")</f>
        <v>TW10DB3307</v>
      </c>
      <c r="I4841" s="149" t="s">
        <v>7229</v>
      </c>
      <c r="J4841" s="150" t="b">
        <f>Proc[[#This Row],[Requested]]=Proc[[#This Row],[CurrentParent]]</f>
        <v>1</v>
      </c>
      <c r="K4841" s="150" t="str">
        <f>IF(Proc[[#This Row],[Author]]="Marcela Urrego",VLOOKUP(LEFT(Proc[[#This Row],[Requested]],1),Table3[#All],2,0),VLOOKUP(Proc[[#This Row],[Author]],Table4[],2,0))</f>
        <v>EL</v>
      </c>
      <c r="L4841" s="150" t="s">
        <v>6435</v>
      </c>
      <c r="M4841" s="173">
        <v>45989</v>
      </c>
      <c r="N4841" s="174"/>
      <c r="O4841" s="174"/>
      <c r="P4841" s="174" t="str">
        <f ca="1">IF(Proc[[#This Row],[DaysAgeing]]&gt;5,"yep","on track")</f>
        <v>yep</v>
      </c>
      <c r="Q4841" s="3">
        <f ca="1">IF(Proc[[#This Row],[DateClosed]]="",ABS(NETWORKDAYS(Proc[[#This Row],[DateOpened]],TODAY()))-1,ABS(NETWORKDAYS(Proc[[#This Row],[DateOpened]],Proc[[#This Row],[DateClosed]]))-1)</f>
        <v>10</v>
      </c>
      <c r="R4841" s="174" t="s">
        <v>5709</v>
      </c>
      <c r="S4841" s="150"/>
    </row>
    <row r="4842" spans="1:19">
      <c r="A4842" s="149" t="s">
        <v>7039</v>
      </c>
      <c r="B4842" s="150" t="str">
        <f>IFERROR(VLOOKUP(Proc[[#This Row],[App]],Table2[],3,0),"open")</f>
        <v>ok</v>
      </c>
      <c r="C4842" s="149" t="s">
        <v>369</v>
      </c>
      <c r="D4842" t="s">
        <v>7052</v>
      </c>
      <c r="E4842" s="149" t="s">
        <v>7229</v>
      </c>
      <c r="F4842" s="150" t="s">
        <v>7229</v>
      </c>
      <c r="G4842" s="149" t="s">
        <v>406</v>
      </c>
      <c r="H4842" s="150" t="str">
        <f>IF(Proc[[#This Row],[type]]="LFF (MDG-F)",MID(Proc[[#This Row],[Obj]],13,10),"")</f>
        <v>TW10TQ1001</v>
      </c>
      <c r="I4842" s="149" t="s">
        <v>7229</v>
      </c>
      <c r="J4842" s="150" t="b">
        <f>Proc[[#This Row],[Requested]]=Proc[[#This Row],[CurrentParent]]</f>
        <v>1</v>
      </c>
      <c r="K4842" s="150" t="str">
        <f>IF(Proc[[#This Row],[Author]]="Marcela Urrego",VLOOKUP(LEFT(Proc[[#This Row],[Requested]],1),Table3[#All],2,0),VLOOKUP(Proc[[#This Row],[Author]],Table4[],2,0))</f>
        <v>EL</v>
      </c>
      <c r="L4842" s="150" t="s">
        <v>6435</v>
      </c>
      <c r="M4842" s="173">
        <v>45989</v>
      </c>
      <c r="N4842" s="174"/>
      <c r="O4842" s="174"/>
      <c r="P4842" s="174" t="str">
        <f ca="1">IF(Proc[[#This Row],[DaysAgeing]]&gt;5,"yep","on track")</f>
        <v>yep</v>
      </c>
      <c r="Q4842" s="3">
        <f ca="1">IF(Proc[[#This Row],[DateClosed]]="",ABS(NETWORKDAYS(Proc[[#This Row],[DateOpened]],TODAY()))-1,ABS(NETWORKDAYS(Proc[[#This Row],[DateOpened]],Proc[[#This Row],[DateClosed]]))-1)</f>
        <v>10</v>
      </c>
      <c r="R4842" s="174" t="s">
        <v>5709</v>
      </c>
      <c r="S4842" s="150"/>
    </row>
    <row r="4843" spans="1:19">
      <c r="A4843" s="149" t="s">
        <v>7039</v>
      </c>
      <c r="B4843" s="150" t="str">
        <f>IFERROR(VLOOKUP(Proc[[#This Row],[App]],Table2[],3,0),"open")</f>
        <v>ok</v>
      </c>
      <c r="C4843" s="149" t="s">
        <v>369</v>
      </c>
      <c r="D4843" t="s">
        <v>7053</v>
      </c>
      <c r="E4843" s="149" t="s">
        <v>7229</v>
      </c>
      <c r="F4843" s="150" t="s">
        <v>7229</v>
      </c>
      <c r="G4843" s="149" t="s">
        <v>406</v>
      </c>
      <c r="H4843" s="150" t="str">
        <f>IF(Proc[[#This Row],[type]]="LFF (MDG-F)",MID(Proc[[#This Row],[Obj]],13,10),"")</f>
        <v>TW10TQ1002</v>
      </c>
      <c r="I4843" s="149" t="s">
        <v>7229</v>
      </c>
      <c r="J4843" s="150" t="b">
        <f>Proc[[#This Row],[Requested]]=Proc[[#This Row],[CurrentParent]]</f>
        <v>1</v>
      </c>
      <c r="K4843" s="150" t="str">
        <f>IF(Proc[[#This Row],[Author]]="Marcela Urrego",VLOOKUP(LEFT(Proc[[#This Row],[Requested]],1),Table3[#All],2,0),VLOOKUP(Proc[[#This Row],[Author]],Table4[],2,0))</f>
        <v>EL</v>
      </c>
      <c r="L4843" s="150" t="s">
        <v>6435</v>
      </c>
      <c r="M4843" s="173">
        <v>45989</v>
      </c>
      <c r="N4843" s="174"/>
      <c r="O4843" s="174"/>
      <c r="P4843" s="174" t="str">
        <f ca="1">IF(Proc[[#This Row],[DaysAgeing]]&gt;5,"yep","on track")</f>
        <v>yep</v>
      </c>
      <c r="Q4843" s="3">
        <f ca="1">IF(Proc[[#This Row],[DateClosed]]="",ABS(NETWORKDAYS(Proc[[#This Row],[DateOpened]],TODAY()))-1,ABS(NETWORKDAYS(Proc[[#This Row],[DateOpened]],Proc[[#This Row],[DateClosed]]))-1)</f>
        <v>10</v>
      </c>
      <c r="R4843" s="174" t="s">
        <v>5709</v>
      </c>
      <c r="S4843" s="150"/>
    </row>
    <row r="4844" spans="1:19">
      <c r="A4844" s="149" t="s">
        <v>7039</v>
      </c>
      <c r="B4844" s="150" t="str">
        <f>IFERROR(VLOOKUP(Proc[[#This Row],[App]],Table2[],3,0),"open")</f>
        <v>ok</v>
      </c>
      <c r="C4844" s="149" t="s">
        <v>369</v>
      </c>
      <c r="D4844" t="s">
        <v>7246</v>
      </c>
      <c r="E4844" s="149" t="s">
        <v>7229</v>
      </c>
      <c r="F4844" s="150" t="s">
        <v>7229</v>
      </c>
      <c r="G4844" s="149" t="s">
        <v>406</v>
      </c>
      <c r="H4844" s="150" t="str">
        <f>IF(Proc[[#This Row],[type]]="LFF (MDG-F)",MID(Proc[[#This Row],[Obj]],13,10),"")</f>
        <v>TW10TQ1003</v>
      </c>
      <c r="I4844" s="149" t="s">
        <v>7229</v>
      </c>
      <c r="J4844" s="150" t="b">
        <f>Proc[[#This Row],[Requested]]=Proc[[#This Row],[CurrentParent]]</f>
        <v>1</v>
      </c>
      <c r="K4844" s="150" t="str">
        <f>IF(Proc[[#This Row],[Author]]="Marcela Urrego",VLOOKUP(LEFT(Proc[[#This Row],[Requested]],1),Table3[#All],2,0),VLOOKUP(Proc[[#This Row],[Author]],Table4[],2,0))</f>
        <v>EL</v>
      </c>
      <c r="L4844" s="150" t="s">
        <v>6435</v>
      </c>
      <c r="M4844" s="173">
        <v>45989</v>
      </c>
      <c r="N4844" s="174"/>
      <c r="O4844" s="174"/>
      <c r="P4844" s="174" t="str">
        <f ca="1">IF(Proc[[#This Row],[DaysAgeing]]&gt;5,"yep","on track")</f>
        <v>yep</v>
      </c>
      <c r="Q4844" s="3">
        <f ca="1">IF(Proc[[#This Row],[DateClosed]]="",ABS(NETWORKDAYS(Proc[[#This Row],[DateOpened]],TODAY()))-1,ABS(NETWORKDAYS(Proc[[#This Row],[DateOpened]],Proc[[#This Row],[DateClosed]]))-1)</f>
        <v>10</v>
      </c>
      <c r="R4844" s="174" t="s">
        <v>5709</v>
      </c>
      <c r="S4844" s="150"/>
    </row>
    <row r="4845" spans="1:19">
      <c r="A4845" s="149" t="s">
        <v>7039</v>
      </c>
      <c r="B4845" s="150" t="str">
        <f>IFERROR(VLOOKUP(Proc[[#This Row],[App]],Table2[],3,0),"open")</f>
        <v>ok</v>
      </c>
      <c r="C4845" s="149" t="s">
        <v>369</v>
      </c>
      <c r="D4845" t="s">
        <v>7054</v>
      </c>
      <c r="E4845" s="149" t="s">
        <v>7229</v>
      </c>
      <c r="F4845" s="150" t="s">
        <v>7229</v>
      </c>
      <c r="G4845" s="149" t="s">
        <v>406</v>
      </c>
      <c r="H4845" s="150" t="str">
        <f>IF(Proc[[#This Row],[type]]="LFF (MDG-F)",MID(Proc[[#This Row],[Obj]],13,10),"")</f>
        <v>TW91DB3301</v>
      </c>
      <c r="I4845" s="149" t="s">
        <v>7229</v>
      </c>
      <c r="J4845" s="150" t="b">
        <f>Proc[[#This Row],[Requested]]=Proc[[#This Row],[CurrentParent]]</f>
        <v>1</v>
      </c>
      <c r="K4845" s="150" t="str">
        <f>IF(Proc[[#This Row],[Author]]="Marcela Urrego",VLOOKUP(LEFT(Proc[[#This Row],[Requested]],1),Table3[#All],2,0),VLOOKUP(Proc[[#This Row],[Author]],Table4[],2,0))</f>
        <v>EL</v>
      </c>
      <c r="L4845" s="150" t="s">
        <v>6435</v>
      </c>
      <c r="M4845" s="173">
        <v>45989</v>
      </c>
      <c r="N4845" s="174"/>
      <c r="O4845" s="174"/>
      <c r="P4845" s="174" t="str">
        <f ca="1">IF(Proc[[#This Row],[DaysAgeing]]&gt;5,"yep","on track")</f>
        <v>yep</v>
      </c>
      <c r="Q4845" s="3">
        <f ca="1">IF(Proc[[#This Row],[DateClosed]]="",ABS(NETWORKDAYS(Proc[[#This Row],[DateOpened]],TODAY()))-1,ABS(NETWORKDAYS(Proc[[#This Row],[DateOpened]],Proc[[#This Row],[DateClosed]]))-1)</f>
        <v>10</v>
      </c>
      <c r="R4845" s="174" t="s">
        <v>5709</v>
      </c>
      <c r="S4845" s="150"/>
    </row>
    <row r="4846" spans="1:19">
      <c r="A4846" s="149" t="s">
        <v>7039</v>
      </c>
      <c r="B4846" s="150" t="str">
        <f>IFERROR(VLOOKUP(Proc[[#This Row],[App]],Table2[],3,0),"open")</f>
        <v>ok</v>
      </c>
      <c r="C4846" s="149" t="s">
        <v>369</v>
      </c>
      <c r="D4846" t="s">
        <v>7055</v>
      </c>
      <c r="E4846" s="149" t="s">
        <v>7229</v>
      </c>
      <c r="F4846" s="150" t="s">
        <v>7229</v>
      </c>
      <c r="G4846" s="149" t="s">
        <v>406</v>
      </c>
      <c r="H4846" s="150" t="str">
        <f>IF(Proc[[#This Row],[type]]="LFF (MDG-F)",MID(Proc[[#This Row],[Obj]],13,10),"")</f>
        <v>TW91TQ1001</v>
      </c>
      <c r="I4846" s="149" t="s">
        <v>7229</v>
      </c>
      <c r="J4846" s="150" t="b">
        <f>Proc[[#This Row],[Requested]]=Proc[[#This Row],[CurrentParent]]</f>
        <v>1</v>
      </c>
      <c r="K4846" s="150" t="str">
        <f>IF(Proc[[#This Row],[Author]]="Marcela Urrego",VLOOKUP(LEFT(Proc[[#This Row],[Requested]],1),Table3[#All],2,0),VLOOKUP(Proc[[#This Row],[Author]],Table4[],2,0))</f>
        <v>EL</v>
      </c>
      <c r="L4846" s="150" t="s">
        <v>6435</v>
      </c>
      <c r="M4846" s="173">
        <v>45989</v>
      </c>
      <c r="N4846" s="174"/>
      <c r="O4846" s="174"/>
      <c r="P4846" s="174" t="str">
        <f ca="1">IF(Proc[[#This Row],[DaysAgeing]]&gt;5,"yep","on track")</f>
        <v>yep</v>
      </c>
      <c r="Q4846" s="3">
        <f ca="1">IF(Proc[[#This Row],[DateClosed]]="",ABS(NETWORKDAYS(Proc[[#This Row],[DateOpened]],TODAY()))-1,ABS(NETWORKDAYS(Proc[[#This Row],[DateOpened]],Proc[[#This Row],[DateClosed]]))-1)</f>
        <v>10</v>
      </c>
      <c r="R4846" s="174" t="s">
        <v>5709</v>
      </c>
      <c r="S4846" s="150"/>
    </row>
    <row r="4847" spans="1:19">
      <c r="A4847" s="149" t="s">
        <v>7039</v>
      </c>
      <c r="B4847" s="150" t="str">
        <f>IFERROR(VLOOKUP(Proc[[#This Row],[App]],Table2[],3,0),"open")</f>
        <v>ok</v>
      </c>
      <c r="C4847" s="149" t="s">
        <v>369</v>
      </c>
      <c r="D4847" t="s">
        <v>7056</v>
      </c>
      <c r="E4847" s="149" t="s">
        <v>7229</v>
      </c>
      <c r="F4847" s="150" t="s">
        <v>7229</v>
      </c>
      <c r="G4847" s="149" t="s">
        <v>406</v>
      </c>
      <c r="H4847" s="150" t="str">
        <f>IF(Proc[[#This Row],[type]]="LFF (MDG-F)",MID(Proc[[#This Row],[Obj]],13,10),"")</f>
        <v>TW91TQ1002</v>
      </c>
      <c r="I4847" s="149" t="s">
        <v>7229</v>
      </c>
      <c r="J4847" s="150" t="b">
        <f>Proc[[#This Row],[Requested]]=Proc[[#This Row],[CurrentParent]]</f>
        <v>1</v>
      </c>
      <c r="K4847" s="150" t="str">
        <f>IF(Proc[[#This Row],[Author]]="Marcela Urrego",VLOOKUP(LEFT(Proc[[#This Row],[Requested]],1),Table3[#All],2,0),VLOOKUP(Proc[[#This Row],[Author]],Table4[],2,0))</f>
        <v>EL</v>
      </c>
      <c r="L4847" s="150" t="s">
        <v>6435</v>
      </c>
      <c r="M4847" s="173">
        <v>45989</v>
      </c>
      <c r="N4847" s="174"/>
      <c r="O4847" s="174"/>
      <c r="P4847" s="174" t="str">
        <f ca="1">IF(Proc[[#This Row],[DaysAgeing]]&gt;5,"yep","on track")</f>
        <v>yep</v>
      </c>
      <c r="Q4847" s="3">
        <f ca="1">IF(Proc[[#This Row],[DateClosed]]="",ABS(NETWORKDAYS(Proc[[#This Row],[DateOpened]],TODAY()))-1,ABS(NETWORKDAYS(Proc[[#This Row],[DateOpened]],Proc[[#This Row],[DateClosed]]))-1)</f>
        <v>10</v>
      </c>
      <c r="R4847" s="174" t="s">
        <v>5709</v>
      </c>
      <c r="S4847" s="150"/>
    </row>
    <row r="4848" spans="1:19">
      <c r="A4848" s="149" t="s">
        <v>7039</v>
      </c>
      <c r="B4848" s="150" t="str">
        <f>IFERROR(VLOOKUP(Proc[[#This Row],[App]],Table2[],3,0),"open")</f>
        <v>ok</v>
      </c>
      <c r="C4848" s="149" t="s">
        <v>369</v>
      </c>
      <c r="D4848" t="s">
        <v>7057</v>
      </c>
      <c r="E4848" s="149" t="s">
        <v>7229</v>
      </c>
      <c r="F4848" s="150" t="s">
        <v>7229</v>
      </c>
      <c r="G4848" s="149" t="s">
        <v>406</v>
      </c>
      <c r="H4848" s="150" t="str">
        <f>IF(Proc[[#This Row],[type]]="LFF (MDG-F)",MID(Proc[[#This Row],[Obj]],13,10),"")</f>
        <v>MY10TQ1000</v>
      </c>
      <c r="I4848" s="149" t="s">
        <v>7229</v>
      </c>
      <c r="J4848" s="150" t="b">
        <f>Proc[[#This Row],[Requested]]=Proc[[#This Row],[CurrentParent]]</f>
        <v>1</v>
      </c>
      <c r="K4848" s="150" t="str">
        <f>IF(Proc[[#This Row],[Author]]="Marcela Urrego",VLOOKUP(LEFT(Proc[[#This Row],[Requested]],1),Table3[#All],2,0),VLOOKUP(Proc[[#This Row],[Author]],Table4[],2,0))</f>
        <v>EL</v>
      </c>
      <c r="L4848" s="150" t="s">
        <v>6435</v>
      </c>
      <c r="M4848" s="173">
        <v>45989</v>
      </c>
      <c r="N4848" s="174"/>
      <c r="O4848" s="174"/>
      <c r="P4848" s="174" t="str">
        <f ca="1">IF(Proc[[#This Row],[DaysAgeing]]&gt;5,"yep","on track")</f>
        <v>yep</v>
      </c>
      <c r="Q4848" s="3">
        <f ca="1">IF(Proc[[#This Row],[DateClosed]]="",ABS(NETWORKDAYS(Proc[[#This Row],[DateOpened]],TODAY()))-1,ABS(NETWORKDAYS(Proc[[#This Row],[DateOpened]],Proc[[#This Row],[DateClosed]]))-1)</f>
        <v>10</v>
      </c>
      <c r="R4848" s="174" t="s">
        <v>5709</v>
      </c>
      <c r="S4848" s="150"/>
    </row>
    <row r="4849" spans="1:19">
      <c r="A4849" s="149" t="s">
        <v>7039</v>
      </c>
      <c r="B4849" s="150" t="str">
        <f>IFERROR(VLOOKUP(Proc[[#This Row],[App]],Table2[],3,0),"open")</f>
        <v>ok</v>
      </c>
      <c r="C4849" s="149" t="s">
        <v>377</v>
      </c>
      <c r="D4849" t="s">
        <v>7058</v>
      </c>
      <c r="E4849" s="149" t="s">
        <v>7229</v>
      </c>
      <c r="F4849" s="150">
        <v>0</v>
      </c>
      <c r="G4849" s="149" t="s">
        <v>406</v>
      </c>
      <c r="H4849" s="150" t="str">
        <f>IF(Proc[[#This Row],[type]]="LFF (MDG-F)",MID(Proc[[#This Row],[Obj]],13,10),"")</f>
        <v>SG10TQ1001</v>
      </c>
      <c r="I4849" s="149" t="s">
        <v>7229</v>
      </c>
      <c r="J4849" s="150" t="b">
        <f>Proc[[#This Row],[Requested]]=Proc[[#This Row],[CurrentParent]]</f>
        <v>0</v>
      </c>
      <c r="K4849" s="150" t="str">
        <f>IF(Proc[[#This Row],[Author]]="Marcela Urrego",VLOOKUP(LEFT(Proc[[#This Row],[Requested]],1),Table3[#All],2,0),VLOOKUP(Proc[[#This Row],[Author]],Table4[],2,0))</f>
        <v>EL</v>
      </c>
      <c r="L4849" s="150" t="s">
        <v>6435</v>
      </c>
      <c r="M4849" s="173">
        <v>45989</v>
      </c>
      <c r="N4849" s="174"/>
      <c r="O4849" s="174"/>
      <c r="P4849" s="174" t="str">
        <f ca="1">IF(Proc[[#This Row],[DaysAgeing]]&gt;5,"yep","on track")</f>
        <v>yep</v>
      </c>
      <c r="Q4849" s="3">
        <f ca="1">IF(Proc[[#This Row],[DateClosed]]="",ABS(NETWORKDAYS(Proc[[#This Row],[DateOpened]],TODAY()))-1,ABS(NETWORKDAYS(Proc[[#This Row],[DateOpened]],Proc[[#This Row],[DateClosed]]))-1)</f>
        <v>10</v>
      </c>
      <c r="R4849" s="174" t="s">
        <v>5709</v>
      </c>
      <c r="S4849" s="150"/>
    </row>
    <row r="4850" spans="1:19">
      <c r="A4850" s="149" t="s">
        <v>7039</v>
      </c>
      <c r="B4850" s="150" t="str">
        <f>IFERROR(VLOOKUP(Proc[[#This Row],[App]],Table2[],3,0),"open")</f>
        <v>ok</v>
      </c>
      <c r="C4850" s="149" t="s">
        <v>377</v>
      </c>
      <c r="D4850" t="s">
        <v>7059</v>
      </c>
      <c r="E4850" s="149" t="s">
        <v>7229</v>
      </c>
      <c r="F4850" s="150">
        <v>0</v>
      </c>
      <c r="G4850" s="149" t="s">
        <v>406</v>
      </c>
      <c r="H4850" s="150" t="str">
        <f>IF(Proc[[#This Row],[type]]="LFF (MDG-F)",MID(Proc[[#This Row],[Obj]],13,10),"")</f>
        <v>SG10TQ1002</v>
      </c>
      <c r="I4850" s="149" t="s">
        <v>7229</v>
      </c>
      <c r="J4850" s="150" t="b">
        <f>Proc[[#This Row],[Requested]]=Proc[[#This Row],[CurrentParent]]</f>
        <v>0</v>
      </c>
      <c r="K4850" s="150" t="str">
        <f>IF(Proc[[#This Row],[Author]]="Marcela Urrego",VLOOKUP(LEFT(Proc[[#This Row],[Requested]],1),Table3[#All],2,0),VLOOKUP(Proc[[#This Row],[Author]],Table4[],2,0))</f>
        <v>EL</v>
      </c>
      <c r="L4850" s="150" t="s">
        <v>6435</v>
      </c>
      <c r="M4850" s="173">
        <v>45989</v>
      </c>
      <c r="N4850" s="174"/>
      <c r="O4850" s="174"/>
      <c r="P4850" s="174" t="str">
        <f ca="1">IF(Proc[[#This Row],[DaysAgeing]]&gt;5,"yep","on track")</f>
        <v>yep</v>
      </c>
      <c r="Q4850" s="3">
        <f ca="1">IF(Proc[[#This Row],[DateClosed]]="",ABS(NETWORKDAYS(Proc[[#This Row],[DateOpened]],TODAY()))-1,ABS(NETWORKDAYS(Proc[[#This Row],[DateOpened]],Proc[[#This Row],[DateClosed]]))-1)</f>
        <v>10</v>
      </c>
      <c r="R4850" s="174" t="s">
        <v>5709</v>
      </c>
      <c r="S4850" s="150"/>
    </row>
    <row r="4851" spans="1:19">
      <c r="A4851" s="149" t="s">
        <v>7039</v>
      </c>
      <c r="B4851" s="150" t="str">
        <f>IFERROR(VLOOKUP(Proc[[#This Row],[App]],Table2[],3,0),"open")</f>
        <v>ok</v>
      </c>
      <c r="C4851" s="149" t="s">
        <v>377</v>
      </c>
      <c r="D4851" t="s">
        <v>7060</v>
      </c>
      <c r="E4851" s="149" t="s">
        <v>7229</v>
      </c>
      <c r="F4851" s="150">
        <v>0</v>
      </c>
      <c r="G4851" s="149" t="s">
        <v>406</v>
      </c>
      <c r="H4851" s="150" t="str">
        <f>IF(Proc[[#This Row],[type]]="LFF (MDG-F)",MID(Proc[[#This Row],[Obj]],13,10),"")</f>
        <v>SG10TQ1003</v>
      </c>
      <c r="I4851" s="149" t="s">
        <v>7229</v>
      </c>
      <c r="J4851" s="150" t="b">
        <f>Proc[[#This Row],[Requested]]=Proc[[#This Row],[CurrentParent]]</f>
        <v>0</v>
      </c>
      <c r="K4851" s="150" t="str">
        <f>IF(Proc[[#This Row],[Author]]="Marcela Urrego",VLOOKUP(LEFT(Proc[[#This Row],[Requested]],1),Table3[#All],2,0),VLOOKUP(Proc[[#This Row],[Author]],Table4[],2,0))</f>
        <v>EL</v>
      </c>
      <c r="L4851" s="150" t="s">
        <v>6435</v>
      </c>
      <c r="M4851" s="173">
        <v>45989</v>
      </c>
      <c r="N4851" s="174"/>
      <c r="O4851" s="174"/>
      <c r="P4851" s="174" t="str">
        <f ca="1">IF(Proc[[#This Row],[DaysAgeing]]&gt;5,"yep","on track")</f>
        <v>yep</v>
      </c>
      <c r="Q4851" s="3">
        <f ca="1">IF(Proc[[#This Row],[DateClosed]]="",ABS(NETWORKDAYS(Proc[[#This Row],[DateOpened]],TODAY()))-1,ABS(NETWORKDAYS(Proc[[#This Row],[DateOpened]],Proc[[#This Row],[DateClosed]]))-1)</f>
        <v>10</v>
      </c>
      <c r="R4851" s="174" t="s">
        <v>5709</v>
      </c>
      <c r="S4851" s="150"/>
    </row>
    <row r="4852" spans="1:19">
      <c r="A4852" s="149" t="s">
        <v>7039</v>
      </c>
      <c r="B4852" s="150" t="str">
        <f>IFERROR(VLOOKUP(Proc[[#This Row],[App]],Table2[],3,0),"open")</f>
        <v>ok</v>
      </c>
      <c r="C4852" s="149" t="s">
        <v>369</v>
      </c>
      <c r="D4852" t="s">
        <v>7061</v>
      </c>
      <c r="E4852" s="149" t="s">
        <v>7229</v>
      </c>
      <c r="F4852" s="150" t="s">
        <v>7229</v>
      </c>
      <c r="G4852" s="149" t="s">
        <v>406</v>
      </c>
      <c r="H4852" s="150" t="str">
        <f>IF(Proc[[#This Row],[type]]="LFF (MDG-F)",MID(Proc[[#This Row],[Obj]],13,10),"")</f>
        <v>TW02TPHZ06</v>
      </c>
      <c r="I4852" s="149" t="s">
        <v>7229</v>
      </c>
      <c r="J4852" s="150" t="b">
        <f>Proc[[#This Row],[Requested]]=Proc[[#This Row],[CurrentParent]]</f>
        <v>1</v>
      </c>
      <c r="K4852" s="150" t="str">
        <f>IF(Proc[[#This Row],[Author]]="Marcela Urrego",VLOOKUP(LEFT(Proc[[#This Row],[Requested]],1),Table3[#All],2,0),VLOOKUP(Proc[[#This Row],[Author]],Table4[],2,0))</f>
        <v>EL</v>
      </c>
      <c r="L4852" s="150" t="s">
        <v>6435</v>
      </c>
      <c r="M4852" s="173">
        <v>45989</v>
      </c>
      <c r="N4852" s="174"/>
      <c r="O4852" s="174"/>
      <c r="P4852" s="174" t="str">
        <f ca="1">IF(Proc[[#This Row],[DaysAgeing]]&gt;5,"yep","on track")</f>
        <v>yep</v>
      </c>
      <c r="Q4852" s="3">
        <f ca="1">IF(Proc[[#This Row],[DateClosed]]="",ABS(NETWORKDAYS(Proc[[#This Row],[DateOpened]],TODAY()))-1,ABS(NETWORKDAYS(Proc[[#This Row],[DateOpened]],Proc[[#This Row],[DateClosed]]))-1)</f>
        <v>10</v>
      </c>
      <c r="R4852" s="174" t="s">
        <v>5709</v>
      </c>
      <c r="S4852" s="150"/>
    </row>
    <row r="4853" spans="1:19">
      <c r="A4853" s="149" t="s">
        <v>7039</v>
      </c>
      <c r="B4853" s="150" t="str">
        <f>IFERROR(VLOOKUP(Proc[[#This Row],[App]],Table2[],3,0),"open")</f>
        <v>ok</v>
      </c>
      <c r="C4853" s="149" t="s">
        <v>369</v>
      </c>
      <c r="D4853" t="s">
        <v>7062</v>
      </c>
      <c r="E4853" s="149" t="s">
        <v>7229</v>
      </c>
      <c r="F4853" s="150" t="s">
        <v>7229</v>
      </c>
      <c r="G4853" s="149" t="s">
        <v>406</v>
      </c>
      <c r="H4853" s="150" t="str">
        <f>IF(Proc[[#This Row],[type]]="LFF (MDG-F)",MID(Proc[[#This Row],[Obj]],13,10),"")</f>
        <v>TW10TQ1004</v>
      </c>
      <c r="I4853" s="149" t="s">
        <v>7229</v>
      </c>
      <c r="J4853" s="150" t="b">
        <f>Proc[[#This Row],[Requested]]=Proc[[#This Row],[CurrentParent]]</f>
        <v>1</v>
      </c>
      <c r="K4853" s="150" t="str">
        <f>IF(Proc[[#This Row],[Author]]="Marcela Urrego",VLOOKUP(LEFT(Proc[[#This Row],[Requested]],1),Table3[#All],2,0),VLOOKUP(Proc[[#This Row],[Author]],Table4[],2,0))</f>
        <v>EL</v>
      </c>
      <c r="L4853" s="150" t="s">
        <v>6435</v>
      </c>
      <c r="M4853" s="173">
        <v>45989</v>
      </c>
      <c r="N4853" s="174"/>
      <c r="O4853" s="174"/>
      <c r="P4853" s="174" t="str">
        <f ca="1">IF(Proc[[#This Row],[DaysAgeing]]&gt;5,"yep","on track")</f>
        <v>yep</v>
      </c>
      <c r="Q4853" s="3">
        <f ca="1">IF(Proc[[#This Row],[DateClosed]]="",ABS(NETWORKDAYS(Proc[[#This Row],[DateOpened]],TODAY()))-1,ABS(NETWORKDAYS(Proc[[#This Row],[DateOpened]],Proc[[#This Row],[DateClosed]]))-1)</f>
        <v>10</v>
      </c>
      <c r="R4853" s="174" t="s">
        <v>5709</v>
      </c>
      <c r="S4853" s="150"/>
    </row>
    <row r="4854" spans="1:19">
      <c r="A4854" s="149" t="s">
        <v>7039</v>
      </c>
      <c r="B4854" s="150" t="str">
        <f>IFERROR(VLOOKUP(Proc[[#This Row],[App]],Table2[],3,0),"open")</f>
        <v>ok</v>
      </c>
      <c r="C4854" s="149" t="s">
        <v>369</v>
      </c>
      <c r="D4854" t="s">
        <v>7063</v>
      </c>
      <c r="E4854" s="149" t="s">
        <v>7229</v>
      </c>
      <c r="F4854" s="150" t="s">
        <v>7229</v>
      </c>
      <c r="G4854" s="149" t="s">
        <v>406</v>
      </c>
      <c r="H4854" s="150" t="str">
        <f>IF(Proc[[#This Row],[type]]="LFF (MDG-F)",MID(Proc[[#This Row],[Obj]],13,10),"")</f>
        <v>TW10TQ1005</v>
      </c>
      <c r="I4854" s="149" t="s">
        <v>7229</v>
      </c>
      <c r="J4854" s="150" t="b">
        <f>Proc[[#This Row],[Requested]]=Proc[[#This Row],[CurrentParent]]</f>
        <v>1</v>
      </c>
      <c r="K4854" s="150" t="str">
        <f>IF(Proc[[#This Row],[Author]]="Marcela Urrego",VLOOKUP(LEFT(Proc[[#This Row],[Requested]],1),Table3[#All],2,0),VLOOKUP(Proc[[#This Row],[Author]],Table4[],2,0))</f>
        <v>EL</v>
      </c>
      <c r="L4854" s="150" t="s">
        <v>6435</v>
      </c>
      <c r="M4854" s="173">
        <v>45989</v>
      </c>
      <c r="N4854" s="174"/>
      <c r="O4854" s="174"/>
      <c r="P4854" s="174" t="str">
        <f ca="1">IF(Proc[[#This Row],[DaysAgeing]]&gt;5,"yep","on track")</f>
        <v>yep</v>
      </c>
      <c r="Q4854" s="3">
        <f ca="1">IF(Proc[[#This Row],[DateClosed]]="",ABS(NETWORKDAYS(Proc[[#This Row],[DateOpened]],TODAY()))-1,ABS(NETWORKDAYS(Proc[[#This Row],[DateOpened]],Proc[[#This Row],[DateClosed]]))-1)</f>
        <v>10</v>
      </c>
      <c r="R4854" s="174" t="s">
        <v>5709</v>
      </c>
      <c r="S4854" s="150"/>
    </row>
    <row r="4855" spans="1:19">
      <c r="A4855" s="149" t="s">
        <v>7039</v>
      </c>
      <c r="B4855" s="150" t="str">
        <f>IFERROR(VLOOKUP(Proc[[#This Row],[App]],Table2[],3,0),"open")</f>
        <v>ok</v>
      </c>
      <c r="C4855" s="149" t="s">
        <v>369</v>
      </c>
      <c r="D4855" t="s">
        <v>7064</v>
      </c>
      <c r="E4855" s="149" t="s">
        <v>7229</v>
      </c>
      <c r="F4855" s="150" t="s">
        <v>7229</v>
      </c>
      <c r="G4855" s="149" t="s">
        <v>406</v>
      </c>
      <c r="H4855" s="150" t="str">
        <f>IF(Proc[[#This Row],[type]]="LFF (MDG-F)",MID(Proc[[#This Row],[Obj]],13,10),"")</f>
        <v>TW10TQ1006</v>
      </c>
      <c r="I4855" s="149" t="s">
        <v>7229</v>
      </c>
      <c r="J4855" s="150" t="b">
        <f>Proc[[#This Row],[Requested]]=Proc[[#This Row],[CurrentParent]]</f>
        <v>1</v>
      </c>
      <c r="K4855" s="150" t="str">
        <f>IF(Proc[[#This Row],[Author]]="Marcela Urrego",VLOOKUP(LEFT(Proc[[#This Row],[Requested]],1),Table3[#All],2,0),VLOOKUP(Proc[[#This Row],[Author]],Table4[],2,0))</f>
        <v>EL</v>
      </c>
      <c r="L4855" s="150" t="s">
        <v>6435</v>
      </c>
      <c r="M4855" s="173">
        <v>45989</v>
      </c>
      <c r="N4855" s="174"/>
      <c r="O4855" s="174"/>
      <c r="P4855" s="174" t="str">
        <f ca="1">IF(Proc[[#This Row],[DaysAgeing]]&gt;5,"yep","on track")</f>
        <v>yep</v>
      </c>
      <c r="Q4855" s="3">
        <f ca="1">IF(Proc[[#This Row],[DateClosed]]="",ABS(NETWORKDAYS(Proc[[#This Row],[DateOpened]],TODAY()))-1,ABS(NETWORKDAYS(Proc[[#This Row],[DateOpened]],Proc[[#This Row],[DateClosed]]))-1)</f>
        <v>10</v>
      </c>
      <c r="R4855" s="174" t="s">
        <v>5709</v>
      </c>
      <c r="S4855" s="150"/>
    </row>
    <row r="4856" spans="1:19">
      <c r="A4856" s="149" t="s">
        <v>7039</v>
      </c>
      <c r="B4856" s="150" t="str">
        <f>IFERROR(VLOOKUP(Proc[[#This Row],[App]],Table2[],3,0),"open")</f>
        <v>ok</v>
      </c>
      <c r="C4856" s="149" t="s">
        <v>369</v>
      </c>
      <c r="D4856" t="s">
        <v>7065</v>
      </c>
      <c r="E4856" s="149" t="s">
        <v>7230</v>
      </c>
      <c r="F4856" s="150" t="s">
        <v>7230</v>
      </c>
      <c r="G4856" s="149" t="s">
        <v>406</v>
      </c>
      <c r="H4856" s="150" t="str">
        <f>IF(Proc[[#This Row],[type]]="LFF (MDG-F)",MID(Proc[[#This Row],[Obj]],13,10),"")</f>
        <v>SG09TPX003</v>
      </c>
      <c r="I4856" s="149" t="s">
        <v>7230</v>
      </c>
      <c r="J4856" s="150" t="b">
        <f>Proc[[#This Row],[Requested]]=Proc[[#This Row],[CurrentParent]]</f>
        <v>1</v>
      </c>
      <c r="K4856" s="150" t="str">
        <f>IF(Proc[[#This Row],[Author]]="Marcela Urrego",VLOOKUP(LEFT(Proc[[#This Row],[Requested]],1),Table3[#All],2,0),VLOOKUP(Proc[[#This Row],[Author]],Table4[],2,0))</f>
        <v>EL</v>
      </c>
      <c r="L4856" s="150" t="s">
        <v>6435</v>
      </c>
      <c r="M4856" s="173">
        <v>45989</v>
      </c>
      <c r="N4856" s="174"/>
      <c r="O4856" s="174"/>
      <c r="P4856" s="174" t="str">
        <f ca="1">IF(Proc[[#This Row],[DaysAgeing]]&gt;5,"yep","on track")</f>
        <v>yep</v>
      </c>
      <c r="Q4856" s="3">
        <f ca="1">IF(Proc[[#This Row],[DateClosed]]="",ABS(NETWORKDAYS(Proc[[#This Row],[DateOpened]],TODAY()))-1,ABS(NETWORKDAYS(Proc[[#This Row],[DateOpened]],Proc[[#This Row],[DateClosed]]))-1)</f>
        <v>10</v>
      </c>
      <c r="R4856" s="174" t="s">
        <v>5709</v>
      </c>
      <c r="S4856" s="150"/>
    </row>
    <row r="4857" spans="1:19">
      <c r="A4857" s="149" t="s">
        <v>7039</v>
      </c>
      <c r="B4857" s="150" t="str">
        <f>IFERROR(VLOOKUP(Proc[[#This Row],[App]],Table2[],3,0),"open")</f>
        <v>ok</v>
      </c>
      <c r="C4857" s="149" t="s">
        <v>369</v>
      </c>
      <c r="D4857" t="s">
        <v>7066</v>
      </c>
      <c r="E4857" s="149" t="s">
        <v>7230</v>
      </c>
      <c r="F4857" s="150" t="s">
        <v>7230</v>
      </c>
      <c r="G4857" s="149" t="s">
        <v>406</v>
      </c>
      <c r="H4857" s="150" t="str">
        <f>IF(Proc[[#This Row],[type]]="LFF (MDG-F)",MID(Proc[[#This Row],[Obj]],13,10),"")</f>
        <v>TW02TPHZ21</v>
      </c>
      <c r="I4857" s="149" t="s">
        <v>7230</v>
      </c>
      <c r="J4857" s="150" t="b">
        <f>Proc[[#This Row],[Requested]]=Proc[[#This Row],[CurrentParent]]</f>
        <v>1</v>
      </c>
      <c r="K4857" s="150" t="str">
        <f>IF(Proc[[#This Row],[Author]]="Marcela Urrego",VLOOKUP(LEFT(Proc[[#This Row],[Requested]],1),Table3[#All],2,0),VLOOKUP(Proc[[#This Row],[Author]],Table4[],2,0))</f>
        <v>EL</v>
      </c>
      <c r="L4857" s="150" t="s">
        <v>6435</v>
      </c>
      <c r="M4857" s="173">
        <v>45989</v>
      </c>
      <c r="N4857" s="174"/>
      <c r="O4857" s="174"/>
      <c r="P4857" s="174" t="str">
        <f ca="1">IF(Proc[[#This Row],[DaysAgeing]]&gt;5,"yep","on track")</f>
        <v>yep</v>
      </c>
      <c r="Q4857" s="3">
        <f ca="1">IF(Proc[[#This Row],[DateClosed]]="",ABS(NETWORKDAYS(Proc[[#This Row],[DateOpened]],TODAY()))-1,ABS(NETWORKDAYS(Proc[[#This Row],[DateOpened]],Proc[[#This Row],[DateClosed]]))-1)</f>
        <v>10</v>
      </c>
      <c r="R4857" s="174" t="s">
        <v>5709</v>
      </c>
      <c r="S4857" s="150"/>
    </row>
    <row r="4858" spans="1:19">
      <c r="A4858" s="149" t="s">
        <v>7039</v>
      </c>
      <c r="B4858" s="150" t="str">
        <f>IFERROR(VLOOKUP(Proc[[#This Row],[App]],Table2[],3,0),"open")</f>
        <v>ok</v>
      </c>
      <c r="C4858" s="149" t="s">
        <v>369</v>
      </c>
      <c r="D4858" t="s">
        <v>7067</v>
      </c>
      <c r="E4858" s="149" t="s">
        <v>7230</v>
      </c>
      <c r="F4858" s="150" t="s">
        <v>7230</v>
      </c>
      <c r="G4858" s="149" t="s">
        <v>406</v>
      </c>
      <c r="H4858" s="150" t="str">
        <f>IF(Proc[[#This Row],[type]]="LFF (MDG-F)",MID(Proc[[#This Row],[Obj]],13,10),"")</f>
        <v>TW02TPHZ22</v>
      </c>
      <c r="I4858" s="149" t="s">
        <v>7230</v>
      </c>
      <c r="J4858" s="150" t="b">
        <f>Proc[[#This Row],[Requested]]=Proc[[#This Row],[CurrentParent]]</f>
        <v>1</v>
      </c>
      <c r="K4858" s="150" t="str">
        <f>IF(Proc[[#This Row],[Author]]="Marcela Urrego",VLOOKUP(LEFT(Proc[[#This Row],[Requested]],1),Table3[#All],2,0),VLOOKUP(Proc[[#This Row],[Author]],Table4[],2,0))</f>
        <v>EL</v>
      </c>
      <c r="L4858" s="150" t="s">
        <v>6435</v>
      </c>
      <c r="M4858" s="173">
        <v>45989</v>
      </c>
      <c r="N4858" s="174"/>
      <c r="O4858" s="174"/>
      <c r="P4858" s="174" t="str">
        <f ca="1">IF(Proc[[#This Row],[DaysAgeing]]&gt;5,"yep","on track")</f>
        <v>yep</v>
      </c>
      <c r="Q4858" s="3">
        <f ca="1">IF(Proc[[#This Row],[DateClosed]]="",ABS(NETWORKDAYS(Proc[[#This Row],[DateOpened]],TODAY()))-1,ABS(NETWORKDAYS(Proc[[#This Row],[DateOpened]],Proc[[#This Row],[DateClosed]]))-1)</f>
        <v>10</v>
      </c>
      <c r="R4858" s="174" t="s">
        <v>5709</v>
      </c>
      <c r="S4858" s="150"/>
    </row>
    <row r="4859" spans="1:19">
      <c r="A4859" s="149" t="s">
        <v>7039</v>
      </c>
      <c r="B4859" s="150" t="str">
        <f>IFERROR(VLOOKUP(Proc[[#This Row],[App]],Table2[],3,0),"open")</f>
        <v>ok</v>
      </c>
      <c r="C4859" s="149" t="s">
        <v>369</v>
      </c>
      <c r="D4859" t="s">
        <v>7068</v>
      </c>
      <c r="E4859" s="149" t="s">
        <v>7230</v>
      </c>
      <c r="F4859" s="150" t="s">
        <v>7230</v>
      </c>
      <c r="G4859" s="149" t="s">
        <v>406</v>
      </c>
      <c r="H4859" s="150" t="str">
        <f>IF(Proc[[#This Row],[type]]="LFF (MDG-F)",MID(Proc[[#This Row],[Obj]],13,10),"")</f>
        <v>TW02TPHZ23</v>
      </c>
      <c r="I4859" s="149" t="s">
        <v>7230</v>
      </c>
      <c r="J4859" s="150" t="b">
        <f>Proc[[#This Row],[Requested]]=Proc[[#This Row],[CurrentParent]]</f>
        <v>1</v>
      </c>
      <c r="K4859" s="150" t="str">
        <f>IF(Proc[[#This Row],[Author]]="Marcela Urrego",VLOOKUP(LEFT(Proc[[#This Row],[Requested]],1),Table3[#All],2,0),VLOOKUP(Proc[[#This Row],[Author]],Table4[],2,0))</f>
        <v>EL</v>
      </c>
      <c r="L4859" s="150" t="s">
        <v>6435</v>
      </c>
      <c r="M4859" s="173">
        <v>45989</v>
      </c>
      <c r="N4859" s="174"/>
      <c r="O4859" s="174"/>
      <c r="P4859" s="174" t="str">
        <f ca="1">IF(Proc[[#This Row],[DaysAgeing]]&gt;5,"yep","on track")</f>
        <v>yep</v>
      </c>
      <c r="Q4859" s="3">
        <f ca="1">IF(Proc[[#This Row],[DateClosed]]="",ABS(NETWORKDAYS(Proc[[#This Row],[DateOpened]],TODAY()))-1,ABS(NETWORKDAYS(Proc[[#This Row],[DateOpened]],Proc[[#This Row],[DateClosed]]))-1)</f>
        <v>10</v>
      </c>
      <c r="R4859" s="174" t="s">
        <v>5709</v>
      </c>
      <c r="S4859" s="150"/>
    </row>
    <row r="4860" spans="1:19">
      <c r="A4860" s="149" t="s">
        <v>7039</v>
      </c>
      <c r="B4860" s="150" t="str">
        <f>IFERROR(VLOOKUP(Proc[[#This Row],[App]],Table2[],3,0),"open")</f>
        <v>ok</v>
      </c>
      <c r="C4860" s="149" t="s">
        <v>369</v>
      </c>
      <c r="D4860" t="s">
        <v>7069</v>
      </c>
      <c r="E4860" s="149" t="s">
        <v>7230</v>
      </c>
      <c r="F4860" s="150" t="s">
        <v>7230</v>
      </c>
      <c r="G4860" s="149" t="s">
        <v>406</v>
      </c>
      <c r="H4860" s="150" t="str">
        <f>IF(Proc[[#This Row],[type]]="LFF (MDG-F)",MID(Proc[[#This Row],[Obj]],13,10),"")</f>
        <v>TW02TPTA21</v>
      </c>
      <c r="I4860" s="149" t="s">
        <v>7230</v>
      </c>
      <c r="J4860" s="150" t="b">
        <f>Proc[[#This Row],[Requested]]=Proc[[#This Row],[CurrentParent]]</f>
        <v>1</v>
      </c>
      <c r="K4860" s="150" t="str">
        <f>IF(Proc[[#This Row],[Author]]="Marcela Urrego",VLOOKUP(LEFT(Proc[[#This Row],[Requested]],1),Table3[#All],2,0),VLOOKUP(Proc[[#This Row],[Author]],Table4[],2,0))</f>
        <v>EL</v>
      </c>
      <c r="L4860" s="150" t="s">
        <v>6435</v>
      </c>
      <c r="M4860" s="173">
        <v>45989</v>
      </c>
      <c r="N4860" s="174"/>
      <c r="O4860" s="174"/>
      <c r="P4860" s="174" t="str">
        <f ca="1">IF(Proc[[#This Row],[DaysAgeing]]&gt;5,"yep","on track")</f>
        <v>yep</v>
      </c>
      <c r="Q4860" s="3">
        <f ca="1">IF(Proc[[#This Row],[DateClosed]]="",ABS(NETWORKDAYS(Proc[[#This Row],[DateOpened]],TODAY()))-1,ABS(NETWORKDAYS(Proc[[#This Row],[DateOpened]],Proc[[#This Row],[DateClosed]]))-1)</f>
        <v>10</v>
      </c>
      <c r="R4860" s="174" t="s">
        <v>5709</v>
      </c>
      <c r="S4860" s="150"/>
    </row>
    <row r="4861" spans="1:19">
      <c r="A4861" s="149" t="s">
        <v>7039</v>
      </c>
      <c r="B4861" s="150" t="str">
        <f>IFERROR(VLOOKUP(Proc[[#This Row],[App]],Table2[],3,0),"open")</f>
        <v>ok</v>
      </c>
      <c r="C4861" s="149" t="s">
        <v>369</v>
      </c>
      <c r="D4861" t="s">
        <v>7070</v>
      </c>
      <c r="E4861" s="149" t="s">
        <v>7230</v>
      </c>
      <c r="F4861" s="150" t="s">
        <v>7230</v>
      </c>
      <c r="G4861" s="149" t="s">
        <v>406</v>
      </c>
      <c r="H4861" s="150" t="str">
        <f>IF(Proc[[#This Row],[type]]="LFF (MDG-F)",MID(Proc[[#This Row],[Obj]],13,10),"")</f>
        <v>TW02TPTA22</v>
      </c>
      <c r="I4861" s="149" t="s">
        <v>7230</v>
      </c>
      <c r="J4861" s="150" t="b">
        <f>Proc[[#This Row],[Requested]]=Proc[[#This Row],[CurrentParent]]</f>
        <v>1</v>
      </c>
      <c r="K4861" s="150" t="str">
        <f>IF(Proc[[#This Row],[Author]]="Marcela Urrego",VLOOKUP(LEFT(Proc[[#This Row],[Requested]],1),Table3[#All],2,0),VLOOKUP(Proc[[#This Row],[Author]],Table4[],2,0))</f>
        <v>EL</v>
      </c>
      <c r="L4861" s="150" t="s">
        <v>6435</v>
      </c>
      <c r="M4861" s="173">
        <v>45989</v>
      </c>
      <c r="N4861" s="174"/>
      <c r="O4861" s="174"/>
      <c r="P4861" s="174" t="str">
        <f ca="1">IF(Proc[[#This Row],[DaysAgeing]]&gt;5,"yep","on track")</f>
        <v>yep</v>
      </c>
      <c r="Q4861" s="3">
        <f ca="1">IF(Proc[[#This Row],[DateClosed]]="",ABS(NETWORKDAYS(Proc[[#This Row],[DateOpened]],TODAY()))-1,ABS(NETWORKDAYS(Proc[[#This Row],[DateOpened]],Proc[[#This Row],[DateClosed]]))-1)</f>
        <v>10</v>
      </c>
      <c r="R4861" s="174" t="s">
        <v>5709</v>
      </c>
      <c r="S4861" s="150"/>
    </row>
    <row r="4862" spans="1:19">
      <c r="A4862" s="149" t="s">
        <v>7039</v>
      </c>
      <c r="B4862" s="150" t="str">
        <f>IFERROR(VLOOKUP(Proc[[#This Row],[App]],Table2[],3,0),"open")</f>
        <v>ok</v>
      </c>
      <c r="C4862" s="149" t="s">
        <v>369</v>
      </c>
      <c r="D4862" t="s">
        <v>7071</v>
      </c>
      <c r="E4862" s="149" t="s">
        <v>7230</v>
      </c>
      <c r="F4862" s="150" t="s">
        <v>7230</v>
      </c>
      <c r="G4862" s="149" t="s">
        <v>406</v>
      </c>
      <c r="H4862" s="150" t="str">
        <f>IF(Proc[[#This Row],[type]]="LFF (MDG-F)",MID(Proc[[#This Row],[Obj]],13,10),"")</f>
        <v>TW03TQKZ22</v>
      </c>
      <c r="I4862" s="149" t="s">
        <v>7230</v>
      </c>
      <c r="J4862" s="150" t="b">
        <f>Proc[[#This Row],[Requested]]=Proc[[#This Row],[CurrentParent]]</f>
        <v>1</v>
      </c>
      <c r="K4862" s="150" t="str">
        <f>IF(Proc[[#This Row],[Author]]="Marcela Urrego",VLOOKUP(LEFT(Proc[[#This Row],[Requested]],1),Table3[#All],2,0),VLOOKUP(Proc[[#This Row],[Author]],Table4[],2,0))</f>
        <v>EL</v>
      </c>
      <c r="L4862" s="150" t="s">
        <v>6435</v>
      </c>
      <c r="M4862" s="173">
        <v>45989</v>
      </c>
      <c r="N4862" s="174"/>
      <c r="O4862" s="174"/>
      <c r="P4862" s="174" t="str">
        <f ca="1">IF(Proc[[#This Row],[DaysAgeing]]&gt;5,"yep","on track")</f>
        <v>yep</v>
      </c>
      <c r="Q4862" s="3">
        <f ca="1">IF(Proc[[#This Row],[DateClosed]]="",ABS(NETWORKDAYS(Proc[[#This Row],[DateOpened]],TODAY()))-1,ABS(NETWORKDAYS(Proc[[#This Row],[DateOpened]],Proc[[#This Row],[DateClosed]]))-1)</f>
        <v>10</v>
      </c>
      <c r="R4862" s="174" t="s">
        <v>5709</v>
      </c>
      <c r="S4862" s="150"/>
    </row>
    <row r="4863" spans="1:19">
      <c r="A4863" s="149" t="s">
        <v>7039</v>
      </c>
      <c r="B4863" s="150" t="str">
        <f>IFERROR(VLOOKUP(Proc[[#This Row],[App]],Table2[],3,0),"open")</f>
        <v>ok</v>
      </c>
      <c r="C4863" s="149" t="s">
        <v>369</v>
      </c>
      <c r="D4863" t="s">
        <v>7072</v>
      </c>
      <c r="E4863" s="149" t="s">
        <v>7231</v>
      </c>
      <c r="F4863" s="150" t="s">
        <v>7231</v>
      </c>
      <c r="G4863" s="149" t="s">
        <v>406</v>
      </c>
      <c r="H4863" s="150" t="str">
        <f>IF(Proc[[#This Row],[type]]="LFF (MDG-F)",MID(Proc[[#This Row],[Obj]],13,10),"")</f>
        <v>SG09TPX004</v>
      </c>
      <c r="I4863" s="149" t="s">
        <v>7231</v>
      </c>
      <c r="J4863" s="150" t="b">
        <f>Proc[[#This Row],[Requested]]=Proc[[#This Row],[CurrentParent]]</f>
        <v>1</v>
      </c>
      <c r="K4863" s="150" t="str">
        <f>IF(Proc[[#This Row],[Author]]="Marcela Urrego",VLOOKUP(LEFT(Proc[[#This Row],[Requested]],1),Table3[#All],2,0),VLOOKUP(Proc[[#This Row],[Author]],Table4[],2,0))</f>
        <v>EL</v>
      </c>
      <c r="L4863" s="150" t="s">
        <v>6435</v>
      </c>
      <c r="M4863" s="173">
        <v>45989</v>
      </c>
      <c r="N4863" s="174"/>
      <c r="O4863" s="174"/>
      <c r="P4863" s="174" t="str">
        <f ca="1">IF(Proc[[#This Row],[DaysAgeing]]&gt;5,"yep","on track")</f>
        <v>yep</v>
      </c>
      <c r="Q4863" s="3">
        <f ca="1">IF(Proc[[#This Row],[DateClosed]]="",ABS(NETWORKDAYS(Proc[[#This Row],[DateOpened]],TODAY()))-1,ABS(NETWORKDAYS(Proc[[#This Row],[DateOpened]],Proc[[#This Row],[DateClosed]]))-1)</f>
        <v>10</v>
      </c>
      <c r="R4863" s="174" t="s">
        <v>5709</v>
      </c>
      <c r="S4863" s="150"/>
    </row>
    <row r="4864" spans="1:19">
      <c r="A4864" s="149" t="s">
        <v>7039</v>
      </c>
      <c r="B4864" s="150" t="str">
        <f>IFERROR(VLOOKUP(Proc[[#This Row],[App]],Table2[],3,0),"open")</f>
        <v>ok</v>
      </c>
      <c r="C4864" s="149" t="s">
        <v>369</v>
      </c>
      <c r="D4864" t="s">
        <v>7073</v>
      </c>
      <c r="E4864" s="149" t="s">
        <v>7231</v>
      </c>
      <c r="F4864" s="150" t="s">
        <v>7231</v>
      </c>
      <c r="G4864" s="149" t="s">
        <v>406</v>
      </c>
      <c r="H4864" s="150" t="str">
        <f>IF(Proc[[#This Row],[type]]="LFF (MDG-F)",MID(Proc[[#This Row],[Obj]],13,10),"")</f>
        <v>TW02TQMZ02</v>
      </c>
      <c r="I4864" s="149" t="s">
        <v>7231</v>
      </c>
      <c r="J4864" s="150" t="b">
        <f>Proc[[#This Row],[Requested]]=Proc[[#This Row],[CurrentParent]]</f>
        <v>1</v>
      </c>
      <c r="K4864" s="150" t="str">
        <f>IF(Proc[[#This Row],[Author]]="Marcela Urrego",VLOOKUP(LEFT(Proc[[#This Row],[Requested]],1),Table3[#All],2,0),VLOOKUP(Proc[[#This Row],[Author]],Table4[],2,0))</f>
        <v>EL</v>
      </c>
      <c r="L4864" s="150" t="s">
        <v>6435</v>
      </c>
      <c r="M4864" s="173">
        <v>45989</v>
      </c>
      <c r="N4864" s="174"/>
      <c r="O4864" s="174"/>
      <c r="P4864" s="174" t="str">
        <f ca="1">IF(Proc[[#This Row],[DaysAgeing]]&gt;5,"yep","on track")</f>
        <v>yep</v>
      </c>
      <c r="Q4864" s="3">
        <f ca="1">IF(Proc[[#This Row],[DateClosed]]="",ABS(NETWORKDAYS(Proc[[#This Row],[DateOpened]],TODAY()))-1,ABS(NETWORKDAYS(Proc[[#This Row],[DateOpened]],Proc[[#This Row],[DateClosed]]))-1)</f>
        <v>10</v>
      </c>
      <c r="R4864" s="174" t="s">
        <v>5709</v>
      </c>
      <c r="S4864" s="150"/>
    </row>
    <row r="4865" spans="1:19">
      <c r="A4865" s="149" t="s">
        <v>7039</v>
      </c>
      <c r="B4865" s="150" t="str">
        <f>IFERROR(VLOOKUP(Proc[[#This Row],[App]],Table2[],3,0),"open")</f>
        <v>ok</v>
      </c>
      <c r="C4865" s="149" t="s">
        <v>369</v>
      </c>
      <c r="D4865" t="s">
        <v>7074</v>
      </c>
      <c r="E4865" s="149" t="s">
        <v>7231</v>
      </c>
      <c r="F4865" s="150" t="s">
        <v>7231</v>
      </c>
      <c r="G4865" s="149" t="s">
        <v>406</v>
      </c>
      <c r="H4865" s="150" t="str">
        <f>IF(Proc[[#This Row],[type]]="LFF (MDG-F)",MID(Proc[[#This Row],[Obj]],13,10),"")</f>
        <v>TW03TQKZ12</v>
      </c>
      <c r="I4865" s="149" t="s">
        <v>7231</v>
      </c>
      <c r="J4865" s="150" t="b">
        <f>Proc[[#This Row],[Requested]]=Proc[[#This Row],[CurrentParent]]</f>
        <v>1</v>
      </c>
      <c r="K4865" s="150" t="str">
        <f>IF(Proc[[#This Row],[Author]]="Marcela Urrego",VLOOKUP(LEFT(Proc[[#This Row],[Requested]],1),Table3[#All],2,0),VLOOKUP(Proc[[#This Row],[Author]],Table4[],2,0))</f>
        <v>EL</v>
      </c>
      <c r="L4865" s="150" t="s">
        <v>6435</v>
      </c>
      <c r="M4865" s="173">
        <v>45989</v>
      </c>
      <c r="N4865" s="174"/>
      <c r="O4865" s="174"/>
      <c r="P4865" s="174" t="str">
        <f ca="1">IF(Proc[[#This Row],[DaysAgeing]]&gt;5,"yep","on track")</f>
        <v>yep</v>
      </c>
      <c r="Q4865" s="3">
        <f ca="1">IF(Proc[[#This Row],[DateClosed]]="",ABS(NETWORKDAYS(Proc[[#This Row],[DateOpened]],TODAY()))-1,ABS(NETWORKDAYS(Proc[[#This Row],[DateOpened]],Proc[[#This Row],[DateClosed]]))-1)</f>
        <v>10</v>
      </c>
      <c r="R4865" s="174" t="s">
        <v>5709</v>
      </c>
      <c r="S4865" s="150"/>
    </row>
    <row r="4866" spans="1:19">
      <c r="A4866" s="149" t="s">
        <v>7039</v>
      </c>
      <c r="B4866" s="150" t="str">
        <f>IFERROR(VLOOKUP(Proc[[#This Row],[App]],Table2[],3,0),"open")</f>
        <v>ok</v>
      </c>
      <c r="C4866" s="149" t="s">
        <v>369</v>
      </c>
      <c r="D4866" t="s">
        <v>7075</v>
      </c>
      <c r="E4866" s="149" t="s">
        <v>7231</v>
      </c>
      <c r="F4866" s="150" t="s">
        <v>7231</v>
      </c>
      <c r="G4866" s="149" t="s">
        <v>406</v>
      </c>
      <c r="H4866" s="150" t="str">
        <f>IF(Proc[[#This Row],[type]]="LFF (MDG-F)",MID(Proc[[#This Row],[Obj]],13,10),"")</f>
        <v>MY10DB3300</v>
      </c>
      <c r="I4866" s="149" t="s">
        <v>7231</v>
      </c>
      <c r="J4866" s="150" t="b">
        <f>Proc[[#This Row],[Requested]]=Proc[[#This Row],[CurrentParent]]</f>
        <v>1</v>
      </c>
      <c r="K4866" s="150" t="str">
        <f>IF(Proc[[#This Row],[Author]]="Marcela Urrego",VLOOKUP(LEFT(Proc[[#This Row],[Requested]],1),Table3[#All],2,0),VLOOKUP(Proc[[#This Row],[Author]],Table4[],2,0))</f>
        <v>EL</v>
      </c>
      <c r="L4866" s="150" t="s">
        <v>6435</v>
      </c>
      <c r="M4866" s="173">
        <v>45989</v>
      </c>
      <c r="N4866" s="174"/>
      <c r="O4866" s="174"/>
      <c r="P4866" s="174" t="str">
        <f ca="1">IF(Proc[[#This Row],[DaysAgeing]]&gt;5,"yep","on track")</f>
        <v>yep</v>
      </c>
      <c r="Q4866" s="3">
        <f ca="1">IF(Proc[[#This Row],[DateClosed]]="",ABS(NETWORKDAYS(Proc[[#This Row],[DateOpened]],TODAY()))-1,ABS(NETWORKDAYS(Proc[[#This Row],[DateOpened]],Proc[[#This Row],[DateClosed]]))-1)</f>
        <v>10</v>
      </c>
      <c r="R4866" s="174" t="s">
        <v>5709</v>
      </c>
      <c r="S4866" s="150"/>
    </row>
    <row r="4867" spans="1:19">
      <c r="A4867" s="149" t="s">
        <v>7039</v>
      </c>
      <c r="B4867" s="150" t="str">
        <f>IFERROR(VLOOKUP(Proc[[#This Row],[App]],Table2[],3,0),"open")</f>
        <v>ok</v>
      </c>
      <c r="C4867" s="149" t="s">
        <v>369</v>
      </c>
      <c r="D4867" t="s">
        <v>7076</v>
      </c>
      <c r="E4867" s="149" t="s">
        <v>7231</v>
      </c>
      <c r="F4867" s="150" t="s">
        <v>7231</v>
      </c>
      <c r="G4867" s="149" t="s">
        <v>406</v>
      </c>
      <c r="H4867" s="150" t="str">
        <f>IF(Proc[[#This Row],[type]]="LFF (MDG-F)",MID(Proc[[#This Row],[Obj]],13,10),"")</f>
        <v>SG10TM3000</v>
      </c>
      <c r="I4867" s="149" t="s">
        <v>7231</v>
      </c>
      <c r="J4867" s="150" t="b">
        <f>Proc[[#This Row],[Requested]]=Proc[[#This Row],[CurrentParent]]</f>
        <v>1</v>
      </c>
      <c r="K4867" s="150" t="str">
        <f>IF(Proc[[#This Row],[Author]]="Marcela Urrego",VLOOKUP(LEFT(Proc[[#This Row],[Requested]],1),Table3[#All],2,0),VLOOKUP(Proc[[#This Row],[Author]],Table4[],2,0))</f>
        <v>EL</v>
      </c>
      <c r="L4867" s="150" t="s">
        <v>6435</v>
      </c>
      <c r="M4867" s="173">
        <v>45989</v>
      </c>
      <c r="N4867" s="174"/>
      <c r="O4867" s="174"/>
      <c r="P4867" s="174" t="str">
        <f ca="1">IF(Proc[[#This Row],[DaysAgeing]]&gt;5,"yep","on track")</f>
        <v>yep</v>
      </c>
      <c r="Q4867" s="3">
        <f ca="1">IF(Proc[[#This Row],[DateClosed]]="",ABS(NETWORKDAYS(Proc[[#This Row],[DateOpened]],TODAY()))-1,ABS(NETWORKDAYS(Proc[[#This Row],[DateOpened]],Proc[[#This Row],[DateClosed]]))-1)</f>
        <v>10</v>
      </c>
      <c r="R4867" s="174" t="s">
        <v>5709</v>
      </c>
      <c r="S4867" s="150"/>
    </row>
    <row r="4868" spans="1:19">
      <c r="A4868" s="149" t="s">
        <v>7039</v>
      </c>
      <c r="B4868" s="150" t="str">
        <f>IFERROR(VLOOKUP(Proc[[#This Row],[App]],Table2[],3,0),"open")</f>
        <v>ok</v>
      </c>
      <c r="C4868" s="149" t="s">
        <v>369</v>
      </c>
      <c r="D4868" t="s">
        <v>7077</v>
      </c>
      <c r="E4868" s="149" t="s">
        <v>7231</v>
      </c>
      <c r="F4868" s="150" t="s">
        <v>7231</v>
      </c>
      <c r="G4868" s="149" t="s">
        <v>406</v>
      </c>
      <c r="H4868" s="150" t="str">
        <f>IF(Proc[[#This Row],[type]]="LFF (MDG-F)",MID(Proc[[#This Row],[Obj]],13,10),"")</f>
        <v>TW10DB3300</v>
      </c>
      <c r="I4868" s="149" t="s">
        <v>7231</v>
      </c>
      <c r="J4868" s="150" t="b">
        <f>Proc[[#This Row],[Requested]]=Proc[[#This Row],[CurrentParent]]</f>
        <v>1</v>
      </c>
      <c r="K4868" s="150" t="str">
        <f>IF(Proc[[#This Row],[Author]]="Marcela Urrego",VLOOKUP(LEFT(Proc[[#This Row],[Requested]],1),Table3[#All],2,0),VLOOKUP(Proc[[#This Row],[Author]],Table4[],2,0))</f>
        <v>EL</v>
      </c>
      <c r="L4868" s="150" t="s">
        <v>6435</v>
      </c>
      <c r="M4868" s="173">
        <v>45989</v>
      </c>
      <c r="N4868" s="174"/>
      <c r="O4868" s="174"/>
      <c r="P4868" s="174" t="str">
        <f ca="1">IF(Proc[[#This Row],[DaysAgeing]]&gt;5,"yep","on track")</f>
        <v>yep</v>
      </c>
      <c r="Q4868" s="3">
        <f ca="1">IF(Proc[[#This Row],[DateClosed]]="",ABS(NETWORKDAYS(Proc[[#This Row],[DateOpened]],TODAY()))-1,ABS(NETWORKDAYS(Proc[[#This Row],[DateOpened]],Proc[[#This Row],[DateClosed]]))-1)</f>
        <v>10</v>
      </c>
      <c r="R4868" s="174" t="s">
        <v>5709</v>
      </c>
      <c r="S4868" s="150"/>
    </row>
    <row r="4869" spans="1:19">
      <c r="A4869" s="149" t="s">
        <v>7039</v>
      </c>
      <c r="B4869" s="150" t="str">
        <f>IFERROR(VLOOKUP(Proc[[#This Row],[App]],Table2[],3,0),"open")</f>
        <v>ok</v>
      </c>
      <c r="C4869" s="149" t="s">
        <v>369</v>
      </c>
      <c r="D4869" t="s">
        <v>7078</v>
      </c>
      <c r="E4869" s="149" t="s">
        <v>7232</v>
      </c>
      <c r="F4869" s="150" t="s">
        <v>7232</v>
      </c>
      <c r="G4869" s="149" t="s">
        <v>406</v>
      </c>
      <c r="H4869" s="150" t="str">
        <f>IF(Proc[[#This Row],[type]]="LFF (MDG-F)",MID(Proc[[#This Row],[Obj]],13,10),"")</f>
        <v>TW10DB3301</v>
      </c>
      <c r="I4869" s="149" t="s">
        <v>7232</v>
      </c>
      <c r="J4869" s="150" t="b">
        <f>Proc[[#This Row],[Requested]]=Proc[[#This Row],[CurrentParent]]</f>
        <v>1</v>
      </c>
      <c r="K4869" s="150" t="str">
        <f>IF(Proc[[#This Row],[Author]]="Marcela Urrego",VLOOKUP(LEFT(Proc[[#This Row],[Requested]],1),Table3[#All],2,0),VLOOKUP(Proc[[#This Row],[Author]],Table4[],2,0))</f>
        <v>EL</v>
      </c>
      <c r="L4869" s="150" t="s">
        <v>6435</v>
      </c>
      <c r="M4869" s="173">
        <v>45989</v>
      </c>
      <c r="N4869" s="174"/>
      <c r="O4869" s="174"/>
      <c r="P4869" s="174" t="str">
        <f ca="1">IF(Proc[[#This Row],[DaysAgeing]]&gt;5,"yep","on track")</f>
        <v>yep</v>
      </c>
      <c r="Q4869" s="3">
        <f ca="1">IF(Proc[[#This Row],[DateClosed]]="",ABS(NETWORKDAYS(Proc[[#This Row],[DateOpened]],TODAY()))-1,ABS(NETWORKDAYS(Proc[[#This Row],[DateOpened]],Proc[[#This Row],[DateClosed]]))-1)</f>
        <v>10</v>
      </c>
      <c r="R4869" s="174" t="s">
        <v>5709</v>
      </c>
      <c r="S4869" s="150"/>
    </row>
    <row r="4870" spans="1:19">
      <c r="A4870" s="149" t="s">
        <v>7039</v>
      </c>
      <c r="B4870" s="150" t="str">
        <f>IFERROR(VLOOKUP(Proc[[#This Row],[App]],Table2[],3,0),"open")</f>
        <v>ok</v>
      </c>
      <c r="C4870" s="149" t="s">
        <v>369</v>
      </c>
      <c r="D4870" t="s">
        <v>7079</v>
      </c>
      <c r="E4870" s="149" t="s">
        <v>7232</v>
      </c>
      <c r="F4870" s="150" t="s">
        <v>7232</v>
      </c>
      <c r="G4870" s="149" t="s">
        <v>406</v>
      </c>
      <c r="H4870" s="150" t="str">
        <f>IF(Proc[[#This Row],[type]]="LFF (MDG-F)",MID(Proc[[#This Row],[Obj]],13,10),"")</f>
        <v>TW10DB3305</v>
      </c>
      <c r="I4870" s="149" t="s">
        <v>7232</v>
      </c>
      <c r="J4870" s="150" t="b">
        <f>Proc[[#This Row],[Requested]]=Proc[[#This Row],[CurrentParent]]</f>
        <v>1</v>
      </c>
      <c r="K4870" s="150" t="str">
        <f>IF(Proc[[#This Row],[Author]]="Marcela Urrego",VLOOKUP(LEFT(Proc[[#This Row],[Requested]],1),Table3[#All],2,0),VLOOKUP(Proc[[#This Row],[Author]],Table4[],2,0))</f>
        <v>EL</v>
      </c>
      <c r="L4870" s="150" t="s">
        <v>6435</v>
      </c>
      <c r="M4870" s="173">
        <v>45989</v>
      </c>
      <c r="N4870" s="174"/>
      <c r="O4870" s="174"/>
      <c r="P4870" s="174" t="str">
        <f ca="1">IF(Proc[[#This Row],[DaysAgeing]]&gt;5,"yep","on track")</f>
        <v>yep</v>
      </c>
      <c r="Q4870" s="3">
        <f ca="1">IF(Proc[[#This Row],[DateClosed]]="",ABS(NETWORKDAYS(Proc[[#This Row],[DateOpened]],TODAY()))-1,ABS(NETWORKDAYS(Proc[[#This Row],[DateOpened]],Proc[[#This Row],[DateClosed]]))-1)</f>
        <v>10</v>
      </c>
      <c r="R4870" s="174" t="s">
        <v>5709</v>
      </c>
      <c r="S4870" s="150"/>
    </row>
    <row r="4871" spans="1:19">
      <c r="A4871" s="149" t="s">
        <v>7039</v>
      </c>
      <c r="B4871" s="150" t="str">
        <f>IFERROR(VLOOKUP(Proc[[#This Row],[App]],Table2[],3,0),"open")</f>
        <v>ok</v>
      </c>
      <c r="C4871" s="149" t="s">
        <v>369</v>
      </c>
      <c r="D4871" t="s">
        <v>7080</v>
      </c>
      <c r="E4871" s="149" t="s">
        <v>7232</v>
      </c>
      <c r="F4871" s="150" t="s">
        <v>7232</v>
      </c>
      <c r="G4871" s="149" t="s">
        <v>406</v>
      </c>
      <c r="H4871" s="150" t="str">
        <f>IF(Proc[[#This Row],[type]]="LFF (MDG-F)",MID(Proc[[#This Row],[Obj]],13,10),"")</f>
        <v>MY10TM4000</v>
      </c>
      <c r="I4871" s="149" t="s">
        <v>7232</v>
      </c>
      <c r="J4871" s="150" t="b">
        <f>Proc[[#This Row],[Requested]]=Proc[[#This Row],[CurrentParent]]</f>
        <v>1</v>
      </c>
      <c r="K4871" s="150" t="str">
        <f>IF(Proc[[#This Row],[Author]]="Marcela Urrego",VLOOKUP(LEFT(Proc[[#This Row],[Requested]],1),Table3[#All],2,0),VLOOKUP(Proc[[#This Row],[Author]],Table4[],2,0))</f>
        <v>EL</v>
      </c>
      <c r="L4871" s="150" t="s">
        <v>6435</v>
      </c>
      <c r="M4871" s="173">
        <v>45989</v>
      </c>
      <c r="N4871" s="174"/>
      <c r="O4871" s="174"/>
      <c r="P4871" s="174" t="str">
        <f ca="1">IF(Proc[[#This Row],[DaysAgeing]]&gt;5,"yep","on track")</f>
        <v>yep</v>
      </c>
      <c r="Q4871" s="3">
        <f ca="1">IF(Proc[[#This Row],[DateClosed]]="",ABS(NETWORKDAYS(Proc[[#This Row],[DateOpened]],TODAY()))-1,ABS(NETWORKDAYS(Proc[[#This Row],[DateOpened]],Proc[[#This Row],[DateClosed]]))-1)</f>
        <v>10</v>
      </c>
      <c r="R4871" s="174" t="s">
        <v>5709</v>
      </c>
      <c r="S4871" s="150"/>
    </row>
    <row r="4872" spans="1:19">
      <c r="A4872" s="149" t="s">
        <v>7039</v>
      </c>
      <c r="B4872" s="150" t="str">
        <f>IFERROR(VLOOKUP(Proc[[#This Row],[App]],Table2[],3,0),"open")</f>
        <v>ok</v>
      </c>
      <c r="C4872" s="149" t="s">
        <v>369</v>
      </c>
      <c r="D4872" t="s">
        <v>7081</v>
      </c>
      <c r="E4872" s="149" t="s">
        <v>7232</v>
      </c>
      <c r="F4872" s="150" t="s">
        <v>7232</v>
      </c>
      <c r="G4872" s="149" t="s">
        <v>406</v>
      </c>
      <c r="H4872" s="150" t="str">
        <f>IF(Proc[[#This Row],[type]]="LFF (MDG-F)",MID(Proc[[#This Row],[Obj]],13,10),"")</f>
        <v>SG10TM4000</v>
      </c>
      <c r="I4872" s="149" t="s">
        <v>7232</v>
      </c>
      <c r="J4872" s="150" t="b">
        <f>Proc[[#This Row],[Requested]]=Proc[[#This Row],[CurrentParent]]</f>
        <v>1</v>
      </c>
      <c r="K4872" s="150" t="str">
        <f>IF(Proc[[#This Row],[Author]]="Marcela Urrego",VLOOKUP(LEFT(Proc[[#This Row],[Requested]],1),Table3[#All],2,0),VLOOKUP(Proc[[#This Row],[Author]],Table4[],2,0))</f>
        <v>EL</v>
      </c>
      <c r="L4872" s="150" t="s">
        <v>6435</v>
      </c>
      <c r="M4872" s="173">
        <v>45989</v>
      </c>
      <c r="N4872" s="174"/>
      <c r="O4872" s="174"/>
      <c r="P4872" s="174" t="str">
        <f ca="1">IF(Proc[[#This Row],[DaysAgeing]]&gt;5,"yep","on track")</f>
        <v>yep</v>
      </c>
      <c r="Q4872" s="3">
        <f ca="1">IF(Proc[[#This Row],[DateClosed]]="",ABS(NETWORKDAYS(Proc[[#This Row],[DateOpened]],TODAY()))-1,ABS(NETWORKDAYS(Proc[[#This Row],[DateOpened]],Proc[[#This Row],[DateClosed]]))-1)</f>
        <v>10</v>
      </c>
      <c r="R4872" s="174" t="s">
        <v>5709</v>
      </c>
      <c r="S4872" s="150"/>
    </row>
    <row r="4873" spans="1:19">
      <c r="A4873" s="149" t="s">
        <v>7039</v>
      </c>
      <c r="B4873" s="150" t="str">
        <f>IFERROR(VLOOKUP(Proc[[#This Row],[App]],Table2[],3,0),"open")</f>
        <v>ok</v>
      </c>
      <c r="C4873" s="149" t="s">
        <v>369</v>
      </c>
      <c r="D4873" t="s">
        <v>7082</v>
      </c>
      <c r="E4873" s="149" t="s">
        <v>7232</v>
      </c>
      <c r="F4873" s="150" t="s">
        <v>7232</v>
      </c>
      <c r="G4873" s="149" t="s">
        <v>406</v>
      </c>
      <c r="H4873" s="150" t="str">
        <f>IF(Proc[[#This Row],[type]]="LFF (MDG-F)",MID(Proc[[#This Row],[Obj]],13,10),"")</f>
        <v>TW10TM4001</v>
      </c>
      <c r="I4873" s="149" t="s">
        <v>7232</v>
      </c>
      <c r="J4873" s="150" t="b">
        <f>Proc[[#This Row],[Requested]]=Proc[[#This Row],[CurrentParent]]</f>
        <v>1</v>
      </c>
      <c r="K4873" s="150" t="str">
        <f>IF(Proc[[#This Row],[Author]]="Marcela Urrego",VLOOKUP(LEFT(Proc[[#This Row],[Requested]],1),Table3[#All],2,0),VLOOKUP(Proc[[#This Row],[Author]],Table4[],2,0))</f>
        <v>EL</v>
      </c>
      <c r="L4873" s="150" t="s">
        <v>6435</v>
      </c>
      <c r="M4873" s="173">
        <v>45989</v>
      </c>
      <c r="N4873" s="174"/>
      <c r="O4873" s="174"/>
      <c r="P4873" s="174" t="str">
        <f ca="1">IF(Proc[[#This Row],[DaysAgeing]]&gt;5,"yep","on track")</f>
        <v>yep</v>
      </c>
      <c r="Q4873" s="3">
        <f ca="1">IF(Proc[[#This Row],[DateClosed]]="",ABS(NETWORKDAYS(Proc[[#This Row],[DateOpened]],TODAY()))-1,ABS(NETWORKDAYS(Proc[[#This Row],[DateOpened]],Proc[[#This Row],[DateClosed]]))-1)</f>
        <v>10</v>
      </c>
      <c r="R4873" s="174" t="s">
        <v>5709</v>
      </c>
      <c r="S4873" s="150"/>
    </row>
    <row r="4874" spans="1:19">
      <c r="A4874" s="149" t="s">
        <v>7039</v>
      </c>
      <c r="B4874" s="150" t="str">
        <f>IFERROR(VLOOKUP(Proc[[#This Row],[App]],Table2[],3,0),"open")</f>
        <v>ok</v>
      </c>
      <c r="C4874" s="149" t="s">
        <v>369</v>
      </c>
      <c r="D4874" t="s">
        <v>7083</v>
      </c>
      <c r="E4874" s="149" t="s">
        <v>7232</v>
      </c>
      <c r="F4874" s="150" t="s">
        <v>7232</v>
      </c>
      <c r="G4874" s="149" t="s">
        <v>406</v>
      </c>
      <c r="H4874" s="150" t="str">
        <f>IF(Proc[[#This Row],[type]]="LFF (MDG-F)",MID(Proc[[#This Row],[Obj]],13,10),"")</f>
        <v>TW10TM4002</v>
      </c>
      <c r="I4874" s="149" t="s">
        <v>7232</v>
      </c>
      <c r="J4874" s="150" t="b">
        <f>Proc[[#This Row],[Requested]]=Proc[[#This Row],[CurrentParent]]</f>
        <v>1</v>
      </c>
      <c r="K4874" s="150" t="str">
        <f>IF(Proc[[#This Row],[Author]]="Marcela Urrego",VLOOKUP(LEFT(Proc[[#This Row],[Requested]],1),Table3[#All],2,0),VLOOKUP(Proc[[#This Row],[Author]],Table4[],2,0))</f>
        <v>EL</v>
      </c>
      <c r="L4874" s="150" t="s">
        <v>6435</v>
      </c>
      <c r="M4874" s="173">
        <v>45989</v>
      </c>
      <c r="N4874" s="174"/>
      <c r="O4874" s="174"/>
      <c r="P4874" s="174" t="str">
        <f ca="1">IF(Proc[[#This Row],[DaysAgeing]]&gt;5,"yep","on track")</f>
        <v>yep</v>
      </c>
      <c r="Q4874" s="3">
        <f ca="1">IF(Proc[[#This Row],[DateClosed]]="",ABS(NETWORKDAYS(Proc[[#This Row],[DateOpened]],TODAY()))-1,ABS(NETWORKDAYS(Proc[[#This Row],[DateOpened]],Proc[[#This Row],[DateClosed]]))-1)</f>
        <v>10</v>
      </c>
      <c r="R4874" s="174" t="s">
        <v>5709</v>
      </c>
      <c r="S4874" s="150"/>
    </row>
    <row r="4875" spans="1:19">
      <c r="A4875" s="149" t="s">
        <v>7039</v>
      </c>
      <c r="B4875" s="150" t="str">
        <f>IFERROR(VLOOKUP(Proc[[#This Row],[App]],Table2[],3,0),"open")</f>
        <v>ok</v>
      </c>
      <c r="C4875" s="149" t="s">
        <v>369</v>
      </c>
      <c r="D4875" t="s">
        <v>7084</v>
      </c>
      <c r="E4875" s="149" t="s">
        <v>7232</v>
      </c>
      <c r="F4875" s="150" t="s">
        <v>7232</v>
      </c>
      <c r="G4875" s="149" t="s">
        <v>406</v>
      </c>
      <c r="H4875" s="150" t="str">
        <f>IF(Proc[[#This Row],[type]]="LFF (MDG-F)",MID(Proc[[#This Row],[Obj]],13,10),"")</f>
        <v>TW91TM4000</v>
      </c>
      <c r="I4875" s="149" t="s">
        <v>7232</v>
      </c>
      <c r="J4875" s="150" t="b">
        <f>Proc[[#This Row],[Requested]]=Proc[[#This Row],[CurrentParent]]</f>
        <v>1</v>
      </c>
      <c r="K4875" s="150" t="str">
        <f>IF(Proc[[#This Row],[Author]]="Marcela Urrego",VLOOKUP(LEFT(Proc[[#This Row],[Requested]],1),Table3[#All],2,0),VLOOKUP(Proc[[#This Row],[Author]],Table4[],2,0))</f>
        <v>EL</v>
      </c>
      <c r="L4875" s="150" t="s">
        <v>6435</v>
      </c>
      <c r="M4875" s="173">
        <v>45989</v>
      </c>
      <c r="N4875" s="174"/>
      <c r="O4875" s="174"/>
      <c r="P4875" s="174" t="str">
        <f ca="1">IF(Proc[[#This Row],[DaysAgeing]]&gt;5,"yep","on track")</f>
        <v>yep</v>
      </c>
      <c r="Q4875" s="3">
        <f ca="1">IF(Proc[[#This Row],[DateClosed]]="",ABS(NETWORKDAYS(Proc[[#This Row],[DateOpened]],TODAY()))-1,ABS(NETWORKDAYS(Proc[[#This Row],[DateOpened]],Proc[[#This Row],[DateClosed]]))-1)</f>
        <v>10</v>
      </c>
      <c r="R4875" s="174" t="s">
        <v>5709</v>
      </c>
      <c r="S4875" s="150"/>
    </row>
    <row r="4876" spans="1:19">
      <c r="A4876" s="149" t="s">
        <v>7039</v>
      </c>
      <c r="B4876" s="150" t="str">
        <f>IFERROR(VLOOKUP(Proc[[#This Row],[App]],Table2[],3,0),"open")</f>
        <v>ok</v>
      </c>
      <c r="C4876" s="149" t="s">
        <v>369</v>
      </c>
      <c r="D4876" t="s">
        <v>7085</v>
      </c>
      <c r="E4876" s="149" t="s">
        <v>7232</v>
      </c>
      <c r="F4876" s="150" t="s">
        <v>7232</v>
      </c>
      <c r="G4876" s="149" t="s">
        <v>406</v>
      </c>
      <c r="H4876" s="150" t="str">
        <f>IF(Proc[[#This Row],[type]]="LFF (MDG-F)",MID(Proc[[#This Row],[Obj]],13,10),"")</f>
        <v>TW91TM4001</v>
      </c>
      <c r="I4876" s="149" t="s">
        <v>7232</v>
      </c>
      <c r="J4876" s="150" t="b">
        <f>Proc[[#This Row],[Requested]]=Proc[[#This Row],[CurrentParent]]</f>
        <v>1</v>
      </c>
      <c r="K4876" s="150" t="str">
        <f>IF(Proc[[#This Row],[Author]]="Marcela Urrego",VLOOKUP(LEFT(Proc[[#This Row],[Requested]],1),Table3[#All],2,0),VLOOKUP(Proc[[#This Row],[Author]],Table4[],2,0))</f>
        <v>EL</v>
      </c>
      <c r="L4876" s="150" t="s">
        <v>6435</v>
      </c>
      <c r="M4876" s="173">
        <v>45989</v>
      </c>
      <c r="N4876" s="174"/>
      <c r="O4876" s="174"/>
      <c r="P4876" s="174" t="str">
        <f ca="1">IF(Proc[[#This Row],[DaysAgeing]]&gt;5,"yep","on track")</f>
        <v>yep</v>
      </c>
      <c r="Q4876" s="3">
        <f ca="1">IF(Proc[[#This Row],[DateClosed]]="",ABS(NETWORKDAYS(Proc[[#This Row],[DateOpened]],TODAY()))-1,ABS(NETWORKDAYS(Proc[[#This Row],[DateOpened]],Proc[[#This Row],[DateClosed]]))-1)</f>
        <v>10</v>
      </c>
      <c r="R4876" s="174" t="s">
        <v>5709</v>
      </c>
      <c r="S4876" s="150"/>
    </row>
    <row r="4877" spans="1:19">
      <c r="A4877" s="149" t="s">
        <v>7039</v>
      </c>
      <c r="B4877" s="150" t="str">
        <f>IFERROR(VLOOKUP(Proc[[#This Row],[App]],Table2[],3,0),"open")</f>
        <v>ok</v>
      </c>
      <c r="C4877" s="149" t="s">
        <v>369</v>
      </c>
      <c r="D4877" t="s">
        <v>7086</v>
      </c>
      <c r="E4877" s="149" t="s">
        <v>7232</v>
      </c>
      <c r="F4877" s="150" t="s">
        <v>7232</v>
      </c>
      <c r="G4877" s="149" t="s">
        <v>406</v>
      </c>
      <c r="H4877" s="150" t="str">
        <f>IF(Proc[[#This Row],[type]]="LFF (MDG-F)",MID(Proc[[#This Row],[Obj]],13,10),"")</f>
        <v>TW91TM4002</v>
      </c>
      <c r="I4877" s="149" t="s">
        <v>7232</v>
      </c>
      <c r="J4877" s="150" t="b">
        <f>Proc[[#This Row],[Requested]]=Proc[[#This Row],[CurrentParent]]</f>
        <v>1</v>
      </c>
      <c r="K4877" s="150" t="str">
        <f>IF(Proc[[#This Row],[Author]]="Marcela Urrego",VLOOKUP(LEFT(Proc[[#This Row],[Requested]],1),Table3[#All],2,0),VLOOKUP(Proc[[#This Row],[Author]],Table4[],2,0))</f>
        <v>EL</v>
      </c>
      <c r="L4877" s="150" t="s">
        <v>6435</v>
      </c>
      <c r="M4877" s="173">
        <v>45989</v>
      </c>
      <c r="N4877" s="174"/>
      <c r="O4877" s="174"/>
      <c r="P4877" s="174" t="str">
        <f ca="1">IF(Proc[[#This Row],[DaysAgeing]]&gt;5,"yep","on track")</f>
        <v>yep</v>
      </c>
      <c r="Q4877" s="3">
        <f ca="1">IF(Proc[[#This Row],[DateClosed]]="",ABS(NETWORKDAYS(Proc[[#This Row],[DateOpened]],TODAY()))-1,ABS(NETWORKDAYS(Proc[[#This Row],[DateOpened]],Proc[[#This Row],[DateClosed]]))-1)</f>
        <v>10</v>
      </c>
      <c r="R4877" s="174" t="s">
        <v>5709</v>
      </c>
      <c r="S4877" s="150"/>
    </row>
    <row r="4878" spans="1:19">
      <c r="A4878" s="149" t="s">
        <v>7039</v>
      </c>
      <c r="B4878" s="150" t="str">
        <f>IFERROR(VLOOKUP(Proc[[#This Row],[App]],Table2[],3,0),"open")</f>
        <v>ok</v>
      </c>
      <c r="C4878" s="149" t="s">
        <v>369</v>
      </c>
      <c r="D4878" t="s">
        <v>7087</v>
      </c>
      <c r="E4878" s="149" t="s">
        <v>7230</v>
      </c>
      <c r="F4878" s="150" t="s">
        <v>7230</v>
      </c>
      <c r="G4878" s="149" t="s">
        <v>406</v>
      </c>
      <c r="H4878" s="150" t="str">
        <f>IF(Proc[[#This Row],[type]]="LFF (MDG-F)",MID(Proc[[#This Row],[Obj]],13,10),"")</f>
        <v>SG10TM2000</v>
      </c>
      <c r="I4878" s="149" t="s">
        <v>7230</v>
      </c>
      <c r="J4878" s="150" t="b">
        <f>Proc[[#This Row],[Requested]]=Proc[[#This Row],[CurrentParent]]</f>
        <v>1</v>
      </c>
      <c r="K4878" s="150" t="str">
        <f>IF(Proc[[#This Row],[Author]]="Marcela Urrego",VLOOKUP(LEFT(Proc[[#This Row],[Requested]],1),Table3[#All],2,0),VLOOKUP(Proc[[#This Row],[Author]],Table4[],2,0))</f>
        <v>EL</v>
      </c>
      <c r="L4878" s="150" t="s">
        <v>6435</v>
      </c>
      <c r="M4878" s="173">
        <v>45989</v>
      </c>
      <c r="N4878" s="174"/>
      <c r="O4878" s="174"/>
      <c r="P4878" s="174" t="str">
        <f ca="1">IF(Proc[[#This Row],[DaysAgeing]]&gt;5,"yep","on track")</f>
        <v>yep</v>
      </c>
      <c r="Q4878" s="3">
        <f ca="1">IF(Proc[[#This Row],[DateClosed]]="",ABS(NETWORKDAYS(Proc[[#This Row],[DateOpened]],TODAY()))-1,ABS(NETWORKDAYS(Proc[[#This Row],[DateOpened]],Proc[[#This Row],[DateClosed]]))-1)</f>
        <v>10</v>
      </c>
      <c r="R4878" s="174" t="s">
        <v>5709</v>
      </c>
      <c r="S4878" s="150"/>
    </row>
    <row r="4879" spans="1:19">
      <c r="A4879" s="149" t="s">
        <v>7039</v>
      </c>
      <c r="B4879" s="150" t="str">
        <f>IFERROR(VLOOKUP(Proc[[#This Row],[App]],Table2[],3,0),"open")</f>
        <v>ok</v>
      </c>
      <c r="C4879" s="149" t="s">
        <v>369</v>
      </c>
      <c r="D4879" t="s">
        <v>7088</v>
      </c>
      <c r="E4879" s="149" t="s">
        <v>7233</v>
      </c>
      <c r="F4879" s="150" t="s">
        <v>7233</v>
      </c>
      <c r="G4879" s="149" t="s">
        <v>406</v>
      </c>
      <c r="H4879" s="150" t="str">
        <f>IF(Proc[[#This Row],[type]]="LFF (MDG-F)",MID(Proc[[#This Row],[Obj]],13,10),"")</f>
        <v>JP02C0M111</v>
      </c>
      <c r="I4879" s="149" t="s">
        <v>7233</v>
      </c>
      <c r="J4879" s="150" t="b">
        <f>Proc[[#This Row],[Requested]]=Proc[[#This Row],[CurrentParent]]</f>
        <v>1</v>
      </c>
      <c r="K4879" s="150" t="str">
        <f>IF(Proc[[#This Row],[Author]]="Marcela Urrego",VLOOKUP(LEFT(Proc[[#This Row],[Requested]],1),Table3[#All],2,0),VLOOKUP(Proc[[#This Row],[Author]],Table4[],2,0))</f>
        <v>EL</v>
      </c>
      <c r="L4879" s="150" t="s">
        <v>6435</v>
      </c>
      <c r="M4879" s="173">
        <v>45989</v>
      </c>
      <c r="N4879" s="174"/>
      <c r="O4879" s="174"/>
      <c r="P4879" s="174" t="str">
        <f ca="1">IF(Proc[[#This Row],[DaysAgeing]]&gt;5,"yep","on track")</f>
        <v>yep</v>
      </c>
      <c r="Q4879" s="3">
        <f ca="1">IF(Proc[[#This Row],[DateClosed]]="",ABS(NETWORKDAYS(Proc[[#This Row],[DateOpened]],TODAY()))-1,ABS(NETWORKDAYS(Proc[[#This Row],[DateOpened]],Proc[[#This Row],[DateClosed]]))-1)</f>
        <v>10</v>
      </c>
      <c r="R4879" s="174" t="s">
        <v>5709</v>
      </c>
      <c r="S4879" s="150"/>
    </row>
    <row r="4880" spans="1:19">
      <c r="A4880" s="149" t="s">
        <v>7039</v>
      </c>
      <c r="B4880" s="150" t="str">
        <f>IFERROR(VLOOKUP(Proc[[#This Row],[App]],Table2[],3,0),"open")</f>
        <v>ok</v>
      </c>
      <c r="C4880" s="149" t="s">
        <v>369</v>
      </c>
      <c r="D4880" t="s">
        <v>7089</v>
      </c>
      <c r="E4880" s="149" t="s">
        <v>7233</v>
      </c>
      <c r="F4880" s="150" t="s">
        <v>7233</v>
      </c>
      <c r="G4880" s="149" t="s">
        <v>406</v>
      </c>
      <c r="H4880" s="150" t="str">
        <f>IF(Proc[[#This Row],[type]]="LFF (MDG-F)",MID(Proc[[#This Row],[Obj]],13,10),"")</f>
        <v>KR03OF0303</v>
      </c>
      <c r="I4880" s="149" t="s">
        <v>7233</v>
      </c>
      <c r="J4880" s="150" t="b">
        <f>Proc[[#This Row],[Requested]]=Proc[[#This Row],[CurrentParent]]</f>
        <v>1</v>
      </c>
      <c r="K4880" s="150" t="str">
        <f>IF(Proc[[#This Row],[Author]]="Marcela Urrego",VLOOKUP(LEFT(Proc[[#This Row],[Requested]],1),Table3[#All],2,0),VLOOKUP(Proc[[#This Row],[Author]],Table4[],2,0))</f>
        <v>EL</v>
      </c>
      <c r="L4880" s="150" t="s">
        <v>6435</v>
      </c>
      <c r="M4880" s="173">
        <v>45989</v>
      </c>
      <c r="N4880" s="174"/>
      <c r="O4880" s="174"/>
      <c r="P4880" s="174" t="str">
        <f ca="1">IF(Proc[[#This Row],[DaysAgeing]]&gt;5,"yep","on track")</f>
        <v>yep</v>
      </c>
      <c r="Q4880" s="3">
        <f ca="1">IF(Proc[[#This Row],[DateClosed]]="",ABS(NETWORKDAYS(Proc[[#This Row],[DateOpened]],TODAY()))-1,ABS(NETWORKDAYS(Proc[[#This Row],[DateOpened]],Proc[[#This Row],[DateClosed]]))-1)</f>
        <v>10</v>
      </c>
      <c r="R4880" s="174" t="s">
        <v>5709</v>
      </c>
      <c r="S4880" s="150"/>
    </row>
    <row r="4881" spans="1:19">
      <c r="A4881" s="149" t="s">
        <v>7039</v>
      </c>
      <c r="B4881" s="150" t="str">
        <f>IFERROR(VLOOKUP(Proc[[#This Row],[App]],Table2[],3,0),"open")</f>
        <v>ok</v>
      </c>
      <c r="C4881" s="149" t="s">
        <v>369</v>
      </c>
      <c r="D4881" t="s">
        <v>7090</v>
      </c>
      <c r="E4881" s="149" t="s">
        <v>7233</v>
      </c>
      <c r="F4881" s="150" t="s">
        <v>7233</v>
      </c>
      <c r="G4881" s="149" t="s">
        <v>406</v>
      </c>
      <c r="H4881" s="150" t="str">
        <f>IF(Proc[[#This Row],[type]]="LFF (MDG-F)",MID(Proc[[#This Row],[Obj]],13,10),"")</f>
        <v>KR07DB3310</v>
      </c>
      <c r="I4881" s="149" t="s">
        <v>7233</v>
      </c>
      <c r="J4881" s="150" t="b">
        <f>Proc[[#This Row],[Requested]]=Proc[[#This Row],[CurrentParent]]</f>
        <v>1</v>
      </c>
      <c r="K4881" s="150" t="str">
        <f>IF(Proc[[#This Row],[Author]]="Marcela Urrego",VLOOKUP(LEFT(Proc[[#This Row],[Requested]],1),Table3[#All],2,0),VLOOKUP(Proc[[#This Row],[Author]],Table4[],2,0))</f>
        <v>EL</v>
      </c>
      <c r="L4881" s="150" t="s">
        <v>6435</v>
      </c>
      <c r="M4881" s="173">
        <v>45989</v>
      </c>
      <c r="N4881" s="174"/>
      <c r="O4881" s="174"/>
      <c r="P4881" s="174" t="str">
        <f ca="1">IF(Proc[[#This Row],[DaysAgeing]]&gt;5,"yep","on track")</f>
        <v>yep</v>
      </c>
      <c r="Q4881" s="3">
        <f ca="1">IF(Proc[[#This Row],[DateClosed]]="",ABS(NETWORKDAYS(Proc[[#This Row],[DateOpened]],TODAY()))-1,ABS(NETWORKDAYS(Proc[[#This Row],[DateOpened]],Proc[[#This Row],[DateClosed]]))-1)</f>
        <v>10</v>
      </c>
      <c r="R4881" s="174" t="s">
        <v>5709</v>
      </c>
      <c r="S4881" s="150"/>
    </row>
    <row r="4882" spans="1:19">
      <c r="A4882" s="149" t="s">
        <v>7039</v>
      </c>
      <c r="B4882" s="150" t="str">
        <f>IFERROR(VLOOKUP(Proc[[#This Row],[App]],Table2[],3,0),"open")</f>
        <v>ok</v>
      </c>
      <c r="C4882" s="149" t="s">
        <v>369</v>
      </c>
      <c r="D4882" t="s">
        <v>7091</v>
      </c>
      <c r="E4882" s="149" t="s">
        <v>7234</v>
      </c>
      <c r="F4882" s="150" t="s">
        <v>7234</v>
      </c>
      <c r="G4882" s="149" t="s">
        <v>406</v>
      </c>
      <c r="H4882" s="150" t="str">
        <f>IF(Proc[[#This Row],[type]]="LFF (MDG-F)",MID(Proc[[#This Row],[Obj]],13,10),"")</f>
        <v>JP02TQAZ01</v>
      </c>
      <c r="I4882" s="149" t="s">
        <v>7234</v>
      </c>
      <c r="J4882" s="150" t="b">
        <f>Proc[[#This Row],[Requested]]=Proc[[#This Row],[CurrentParent]]</f>
        <v>1</v>
      </c>
      <c r="K4882" s="150" t="str">
        <f>IF(Proc[[#This Row],[Author]]="Marcela Urrego",VLOOKUP(LEFT(Proc[[#This Row],[Requested]],1),Table3[#All],2,0),VLOOKUP(Proc[[#This Row],[Author]],Table4[],2,0))</f>
        <v>EL</v>
      </c>
      <c r="L4882" s="150" t="s">
        <v>6435</v>
      </c>
      <c r="M4882" s="173">
        <v>45989</v>
      </c>
      <c r="N4882" s="174"/>
      <c r="O4882" s="174"/>
      <c r="P4882" s="174" t="str">
        <f ca="1">IF(Proc[[#This Row],[DaysAgeing]]&gt;5,"yep","on track")</f>
        <v>yep</v>
      </c>
      <c r="Q4882" s="3">
        <f ca="1">IF(Proc[[#This Row],[DateClosed]]="",ABS(NETWORKDAYS(Proc[[#This Row],[DateOpened]],TODAY()))-1,ABS(NETWORKDAYS(Proc[[#This Row],[DateOpened]],Proc[[#This Row],[DateClosed]]))-1)</f>
        <v>10</v>
      </c>
      <c r="R4882" s="174" t="s">
        <v>5709</v>
      </c>
      <c r="S4882" s="150"/>
    </row>
    <row r="4883" spans="1:19">
      <c r="A4883" s="149" t="s">
        <v>7039</v>
      </c>
      <c r="B4883" s="150" t="str">
        <f>IFERROR(VLOOKUP(Proc[[#This Row],[App]],Table2[],3,0),"open")</f>
        <v>ok</v>
      </c>
      <c r="C4883" s="149" t="s">
        <v>369</v>
      </c>
      <c r="D4883" t="s">
        <v>7092</v>
      </c>
      <c r="E4883" s="149" t="s">
        <v>7234</v>
      </c>
      <c r="F4883" s="150" t="s">
        <v>7234</v>
      </c>
      <c r="G4883" s="149" t="s">
        <v>406</v>
      </c>
      <c r="H4883" s="150" t="str">
        <f>IF(Proc[[#This Row],[type]]="LFF (MDG-F)",MID(Proc[[#This Row],[Obj]],13,10),"")</f>
        <v>JP02TQSZ01</v>
      </c>
      <c r="I4883" s="149" t="s">
        <v>7234</v>
      </c>
      <c r="J4883" s="150" t="b">
        <f>Proc[[#This Row],[Requested]]=Proc[[#This Row],[CurrentParent]]</f>
        <v>1</v>
      </c>
      <c r="K4883" s="150" t="str">
        <f>IF(Proc[[#This Row],[Author]]="Marcela Urrego",VLOOKUP(LEFT(Proc[[#This Row],[Requested]],1),Table3[#All],2,0),VLOOKUP(Proc[[#This Row],[Author]],Table4[],2,0))</f>
        <v>EL</v>
      </c>
      <c r="L4883" s="150" t="s">
        <v>6435</v>
      </c>
      <c r="M4883" s="173">
        <v>45989</v>
      </c>
      <c r="N4883" s="174"/>
      <c r="O4883" s="174"/>
      <c r="P4883" s="174" t="str">
        <f ca="1">IF(Proc[[#This Row],[DaysAgeing]]&gt;5,"yep","on track")</f>
        <v>yep</v>
      </c>
      <c r="Q4883" s="3">
        <f ca="1">IF(Proc[[#This Row],[DateClosed]]="",ABS(NETWORKDAYS(Proc[[#This Row],[DateOpened]],TODAY()))-1,ABS(NETWORKDAYS(Proc[[#This Row],[DateOpened]],Proc[[#This Row],[DateClosed]]))-1)</f>
        <v>10</v>
      </c>
      <c r="R4883" s="174" t="s">
        <v>5709</v>
      </c>
      <c r="S4883" s="150"/>
    </row>
    <row r="4884" spans="1:19">
      <c r="A4884" s="149" t="s">
        <v>7039</v>
      </c>
      <c r="B4884" s="150" t="str">
        <f>IFERROR(VLOOKUP(Proc[[#This Row],[App]],Table2[],3,0),"open")</f>
        <v>ok</v>
      </c>
      <c r="C4884" s="149" t="s">
        <v>369</v>
      </c>
      <c r="D4884" t="s">
        <v>7093</v>
      </c>
      <c r="E4884" s="149" t="s">
        <v>7234</v>
      </c>
      <c r="F4884" s="150" t="s">
        <v>7234</v>
      </c>
      <c r="G4884" s="149" t="s">
        <v>406</v>
      </c>
      <c r="H4884" s="150" t="str">
        <f>IF(Proc[[#This Row],[type]]="LFF (MDG-F)",MID(Proc[[#This Row],[Obj]],13,10),"")</f>
        <v>KR03TPPZ14</v>
      </c>
      <c r="I4884" s="149" t="s">
        <v>7234</v>
      </c>
      <c r="J4884" s="150" t="b">
        <f>Proc[[#This Row],[Requested]]=Proc[[#This Row],[CurrentParent]]</f>
        <v>1</v>
      </c>
      <c r="K4884" s="150" t="str">
        <f>IF(Proc[[#This Row],[Author]]="Marcela Urrego",VLOOKUP(LEFT(Proc[[#This Row],[Requested]],1),Table3[#All],2,0),VLOOKUP(Proc[[#This Row],[Author]],Table4[],2,0))</f>
        <v>EL</v>
      </c>
      <c r="L4884" s="150" t="s">
        <v>6435</v>
      </c>
      <c r="M4884" s="173">
        <v>45989</v>
      </c>
      <c r="N4884" s="174"/>
      <c r="O4884" s="174"/>
      <c r="P4884" s="174" t="str">
        <f ca="1">IF(Proc[[#This Row],[DaysAgeing]]&gt;5,"yep","on track")</f>
        <v>yep</v>
      </c>
      <c r="Q4884" s="3">
        <f ca="1">IF(Proc[[#This Row],[DateClosed]]="",ABS(NETWORKDAYS(Proc[[#This Row],[DateOpened]],TODAY()))-1,ABS(NETWORKDAYS(Proc[[#This Row],[DateOpened]],Proc[[#This Row],[DateClosed]]))-1)</f>
        <v>10</v>
      </c>
      <c r="R4884" s="174" t="s">
        <v>5709</v>
      </c>
      <c r="S4884" s="150"/>
    </row>
    <row r="4885" spans="1:19">
      <c r="A4885" s="149" t="s">
        <v>7039</v>
      </c>
      <c r="B4885" s="150" t="str">
        <f>IFERROR(VLOOKUP(Proc[[#This Row],[App]],Table2[],3,0),"open")</f>
        <v>ok</v>
      </c>
      <c r="C4885" s="149" t="s">
        <v>369</v>
      </c>
      <c r="D4885" t="s">
        <v>7094</v>
      </c>
      <c r="E4885" s="149" t="s">
        <v>7234</v>
      </c>
      <c r="F4885" s="150" t="s">
        <v>7234</v>
      </c>
      <c r="G4885" s="149" t="s">
        <v>406</v>
      </c>
      <c r="H4885" s="150" t="str">
        <f>IF(Proc[[#This Row],[type]]="LFF (MDG-F)",MID(Proc[[#This Row],[Obj]],13,10),"")</f>
        <v>KR07DB3306</v>
      </c>
      <c r="I4885" s="149" t="s">
        <v>7234</v>
      </c>
      <c r="J4885" s="150" t="b">
        <f>Proc[[#This Row],[Requested]]=Proc[[#This Row],[CurrentParent]]</f>
        <v>1</v>
      </c>
      <c r="K4885" s="150" t="str">
        <f>IF(Proc[[#This Row],[Author]]="Marcela Urrego",VLOOKUP(LEFT(Proc[[#This Row],[Requested]],1),Table3[#All],2,0),VLOOKUP(Proc[[#This Row],[Author]],Table4[],2,0))</f>
        <v>EL</v>
      </c>
      <c r="L4885" s="150" t="s">
        <v>6435</v>
      </c>
      <c r="M4885" s="173">
        <v>45989</v>
      </c>
      <c r="N4885" s="174"/>
      <c r="O4885" s="174"/>
      <c r="P4885" s="174" t="str">
        <f ca="1">IF(Proc[[#This Row],[DaysAgeing]]&gt;5,"yep","on track")</f>
        <v>yep</v>
      </c>
      <c r="Q4885" s="3">
        <f ca="1">IF(Proc[[#This Row],[DateClosed]]="",ABS(NETWORKDAYS(Proc[[#This Row],[DateOpened]],TODAY()))-1,ABS(NETWORKDAYS(Proc[[#This Row],[DateOpened]],Proc[[#This Row],[DateClosed]]))-1)</f>
        <v>10</v>
      </c>
      <c r="R4885" s="174" t="s">
        <v>5709</v>
      </c>
      <c r="S4885" s="150"/>
    </row>
    <row r="4886" spans="1:19">
      <c r="A4886" s="149" t="s">
        <v>7039</v>
      </c>
      <c r="B4886" s="150" t="str">
        <f>IFERROR(VLOOKUP(Proc[[#This Row],[App]],Table2[],3,0),"open")</f>
        <v>ok</v>
      </c>
      <c r="C4886" s="149" t="s">
        <v>369</v>
      </c>
      <c r="D4886" t="s">
        <v>7095</v>
      </c>
      <c r="E4886" s="149" t="s">
        <v>7234</v>
      </c>
      <c r="F4886" s="150" t="s">
        <v>7234</v>
      </c>
      <c r="G4886" s="149" t="s">
        <v>406</v>
      </c>
      <c r="H4886" s="150" t="str">
        <f>IF(Proc[[#This Row],[type]]="LFF (MDG-F)",MID(Proc[[#This Row],[Obj]],13,10),"")</f>
        <v>KR07DB3308</v>
      </c>
      <c r="I4886" s="149" t="s">
        <v>7234</v>
      </c>
      <c r="J4886" s="150" t="b">
        <f>Proc[[#This Row],[Requested]]=Proc[[#This Row],[CurrentParent]]</f>
        <v>1</v>
      </c>
      <c r="K4886" s="150" t="str">
        <f>IF(Proc[[#This Row],[Author]]="Marcela Urrego",VLOOKUP(LEFT(Proc[[#This Row],[Requested]],1),Table3[#All],2,0),VLOOKUP(Proc[[#This Row],[Author]],Table4[],2,0))</f>
        <v>EL</v>
      </c>
      <c r="L4886" s="150" t="s">
        <v>6435</v>
      </c>
      <c r="M4886" s="173">
        <v>45989</v>
      </c>
      <c r="N4886" s="174"/>
      <c r="O4886" s="174"/>
      <c r="P4886" s="174" t="str">
        <f ca="1">IF(Proc[[#This Row],[DaysAgeing]]&gt;5,"yep","on track")</f>
        <v>yep</v>
      </c>
      <c r="Q4886" s="3">
        <f ca="1">IF(Proc[[#This Row],[DateClosed]]="",ABS(NETWORKDAYS(Proc[[#This Row],[DateOpened]],TODAY()))-1,ABS(NETWORKDAYS(Proc[[#This Row],[DateOpened]],Proc[[#This Row],[DateClosed]]))-1)</f>
        <v>10</v>
      </c>
      <c r="R4886" s="174" t="s">
        <v>5709</v>
      </c>
      <c r="S4886" s="150"/>
    </row>
    <row r="4887" spans="1:19">
      <c r="A4887" s="149" t="s">
        <v>7039</v>
      </c>
      <c r="B4887" s="150" t="str">
        <f>IFERROR(VLOOKUP(Proc[[#This Row],[App]],Table2[],3,0),"open")</f>
        <v>ok</v>
      </c>
      <c r="C4887" s="149" t="s">
        <v>369</v>
      </c>
      <c r="D4887" t="s">
        <v>7096</v>
      </c>
      <c r="E4887" s="149" t="s">
        <v>7234</v>
      </c>
      <c r="F4887" s="150" t="s">
        <v>7234</v>
      </c>
      <c r="G4887" s="149" t="s">
        <v>406</v>
      </c>
      <c r="H4887" s="150" t="str">
        <f>IF(Proc[[#This Row],[type]]="LFF (MDG-F)",MID(Proc[[#This Row],[Obj]],13,10),"")</f>
        <v>KR15DB3301</v>
      </c>
      <c r="I4887" s="149" t="s">
        <v>7234</v>
      </c>
      <c r="J4887" s="150" t="b">
        <f>Proc[[#This Row],[Requested]]=Proc[[#This Row],[CurrentParent]]</f>
        <v>1</v>
      </c>
      <c r="K4887" s="150" t="str">
        <f>IF(Proc[[#This Row],[Author]]="Marcela Urrego",VLOOKUP(LEFT(Proc[[#This Row],[Requested]],1),Table3[#All],2,0),VLOOKUP(Proc[[#This Row],[Author]],Table4[],2,0))</f>
        <v>EL</v>
      </c>
      <c r="L4887" s="150" t="s">
        <v>6435</v>
      </c>
      <c r="M4887" s="173">
        <v>45989</v>
      </c>
      <c r="N4887" s="174"/>
      <c r="O4887" s="174"/>
      <c r="P4887" s="174" t="str">
        <f ca="1">IF(Proc[[#This Row],[DaysAgeing]]&gt;5,"yep","on track")</f>
        <v>yep</v>
      </c>
      <c r="Q4887" s="3">
        <f ca="1">IF(Proc[[#This Row],[DateClosed]]="",ABS(NETWORKDAYS(Proc[[#This Row],[DateOpened]],TODAY()))-1,ABS(NETWORKDAYS(Proc[[#This Row],[DateOpened]],Proc[[#This Row],[DateClosed]]))-1)</f>
        <v>10</v>
      </c>
      <c r="R4887" s="174" t="s">
        <v>5709</v>
      </c>
      <c r="S4887" s="150"/>
    </row>
    <row r="4888" spans="1:19">
      <c r="A4888" s="149" t="s">
        <v>7039</v>
      </c>
      <c r="B4888" s="150" t="str">
        <f>IFERROR(VLOOKUP(Proc[[#This Row],[App]],Table2[],3,0),"open")</f>
        <v>ok</v>
      </c>
      <c r="C4888" s="149" t="s">
        <v>369</v>
      </c>
      <c r="D4888" t="s">
        <v>7097</v>
      </c>
      <c r="E4888" s="149" t="s">
        <v>7234</v>
      </c>
      <c r="F4888" s="150" t="s">
        <v>7234</v>
      </c>
      <c r="G4888" s="149" t="s">
        <v>406</v>
      </c>
      <c r="H4888" s="150" t="str">
        <f>IF(Proc[[#This Row],[type]]="LFF (MDG-F)",MID(Proc[[#This Row],[Obj]],13,10),"")</f>
        <v>JP02TQ1001</v>
      </c>
      <c r="I4888" s="149" t="s">
        <v>7234</v>
      </c>
      <c r="J4888" s="150" t="b">
        <f>Proc[[#This Row],[Requested]]=Proc[[#This Row],[CurrentParent]]</f>
        <v>1</v>
      </c>
      <c r="K4888" s="150" t="str">
        <f>IF(Proc[[#This Row],[Author]]="Marcela Urrego",VLOOKUP(LEFT(Proc[[#This Row],[Requested]],1),Table3[#All],2,0),VLOOKUP(Proc[[#This Row],[Author]],Table4[],2,0))</f>
        <v>EL</v>
      </c>
      <c r="L4888" s="150" t="s">
        <v>6435</v>
      </c>
      <c r="M4888" s="173">
        <v>45989</v>
      </c>
      <c r="N4888" s="174"/>
      <c r="O4888" s="174"/>
      <c r="P4888" s="174" t="str">
        <f ca="1">IF(Proc[[#This Row],[DaysAgeing]]&gt;5,"yep","on track")</f>
        <v>yep</v>
      </c>
      <c r="Q4888" s="3">
        <f ca="1">IF(Proc[[#This Row],[DateClosed]]="",ABS(NETWORKDAYS(Proc[[#This Row],[DateOpened]],TODAY()))-1,ABS(NETWORKDAYS(Proc[[#This Row],[DateOpened]],Proc[[#This Row],[DateClosed]]))-1)</f>
        <v>10</v>
      </c>
      <c r="R4888" s="174" t="s">
        <v>5709</v>
      </c>
      <c r="S4888" s="150"/>
    </row>
    <row r="4889" spans="1:19">
      <c r="A4889" s="149" t="s">
        <v>7039</v>
      </c>
      <c r="B4889" s="150" t="str">
        <f>IFERROR(VLOOKUP(Proc[[#This Row],[App]],Table2[],3,0),"open")</f>
        <v>ok</v>
      </c>
      <c r="C4889" s="149" t="s">
        <v>369</v>
      </c>
      <c r="D4889" t="s">
        <v>7098</v>
      </c>
      <c r="E4889" s="149" t="s">
        <v>7234</v>
      </c>
      <c r="F4889" s="150" t="s">
        <v>7234</v>
      </c>
      <c r="G4889" s="149" t="s">
        <v>406</v>
      </c>
      <c r="H4889" s="150" t="str">
        <f>IF(Proc[[#This Row],[type]]="LFF (MDG-F)",MID(Proc[[#This Row],[Obj]],13,10),"")</f>
        <v>JP02TQ1002</v>
      </c>
      <c r="I4889" s="149" t="s">
        <v>7234</v>
      </c>
      <c r="J4889" s="150" t="b">
        <f>Proc[[#This Row],[Requested]]=Proc[[#This Row],[CurrentParent]]</f>
        <v>1</v>
      </c>
      <c r="K4889" s="150" t="str">
        <f>IF(Proc[[#This Row],[Author]]="Marcela Urrego",VLOOKUP(LEFT(Proc[[#This Row],[Requested]],1),Table3[#All],2,0),VLOOKUP(Proc[[#This Row],[Author]],Table4[],2,0))</f>
        <v>EL</v>
      </c>
      <c r="L4889" s="150" t="s">
        <v>6435</v>
      </c>
      <c r="M4889" s="173">
        <v>45989</v>
      </c>
      <c r="N4889" s="174"/>
      <c r="O4889" s="174"/>
      <c r="P4889" s="174" t="str">
        <f ca="1">IF(Proc[[#This Row],[DaysAgeing]]&gt;5,"yep","on track")</f>
        <v>yep</v>
      </c>
      <c r="Q4889" s="3">
        <f ca="1">IF(Proc[[#This Row],[DateClosed]]="",ABS(NETWORKDAYS(Proc[[#This Row],[DateOpened]],TODAY()))-1,ABS(NETWORKDAYS(Proc[[#This Row],[DateOpened]],Proc[[#This Row],[DateClosed]]))-1)</f>
        <v>10</v>
      </c>
      <c r="R4889" s="174" t="s">
        <v>5709</v>
      </c>
      <c r="S4889" s="150"/>
    </row>
    <row r="4890" spans="1:19">
      <c r="A4890" s="149" t="s">
        <v>7039</v>
      </c>
      <c r="B4890" s="150" t="str">
        <f>IFERROR(VLOOKUP(Proc[[#This Row],[App]],Table2[],3,0),"open")</f>
        <v>ok</v>
      </c>
      <c r="C4890" s="149" t="s">
        <v>369</v>
      </c>
      <c r="D4890" t="s">
        <v>7099</v>
      </c>
      <c r="E4890" s="149" t="s">
        <v>7234</v>
      </c>
      <c r="F4890" s="150" t="s">
        <v>7234</v>
      </c>
      <c r="G4890" s="149" t="s">
        <v>406</v>
      </c>
      <c r="H4890" s="150" t="str">
        <f>IF(Proc[[#This Row],[type]]="LFF (MDG-F)",MID(Proc[[#This Row],[Obj]],13,10),"")</f>
        <v>JP02TQ1003</v>
      </c>
      <c r="I4890" s="149" t="s">
        <v>7234</v>
      </c>
      <c r="J4890" s="150" t="b">
        <f>Proc[[#This Row],[Requested]]=Proc[[#This Row],[CurrentParent]]</f>
        <v>1</v>
      </c>
      <c r="K4890" s="150" t="str">
        <f>IF(Proc[[#This Row],[Author]]="Marcela Urrego",VLOOKUP(LEFT(Proc[[#This Row],[Requested]],1),Table3[#All],2,0),VLOOKUP(Proc[[#This Row],[Author]],Table4[],2,0))</f>
        <v>EL</v>
      </c>
      <c r="L4890" s="150" t="s">
        <v>6435</v>
      </c>
      <c r="M4890" s="173">
        <v>45989</v>
      </c>
      <c r="N4890" s="174"/>
      <c r="O4890" s="174"/>
      <c r="P4890" s="174" t="str">
        <f ca="1">IF(Proc[[#This Row],[DaysAgeing]]&gt;5,"yep","on track")</f>
        <v>yep</v>
      </c>
      <c r="Q4890" s="3">
        <f ca="1">IF(Proc[[#This Row],[DateClosed]]="",ABS(NETWORKDAYS(Proc[[#This Row],[DateOpened]],TODAY()))-1,ABS(NETWORKDAYS(Proc[[#This Row],[DateOpened]],Proc[[#This Row],[DateClosed]]))-1)</f>
        <v>10</v>
      </c>
      <c r="R4890" s="174" t="s">
        <v>5709</v>
      </c>
      <c r="S4890" s="150"/>
    </row>
    <row r="4891" spans="1:19">
      <c r="A4891" s="149" t="s">
        <v>7039</v>
      </c>
      <c r="B4891" s="150" t="str">
        <f>IFERROR(VLOOKUP(Proc[[#This Row],[App]],Table2[],3,0),"open")</f>
        <v>ok</v>
      </c>
      <c r="C4891" s="149" t="s">
        <v>369</v>
      </c>
      <c r="D4891" t="s">
        <v>7100</v>
      </c>
      <c r="E4891" s="149" t="s">
        <v>7234</v>
      </c>
      <c r="F4891" s="150" t="s">
        <v>7234</v>
      </c>
      <c r="G4891" s="149" t="s">
        <v>406</v>
      </c>
      <c r="H4891" s="150" t="str">
        <f>IF(Proc[[#This Row],[type]]="LFF (MDG-F)",MID(Proc[[#This Row],[Obj]],13,10),"")</f>
        <v>JP02TQ1004</v>
      </c>
      <c r="I4891" s="149" t="s">
        <v>7234</v>
      </c>
      <c r="J4891" s="150" t="b">
        <f>Proc[[#This Row],[Requested]]=Proc[[#This Row],[CurrentParent]]</f>
        <v>1</v>
      </c>
      <c r="K4891" s="150" t="str">
        <f>IF(Proc[[#This Row],[Author]]="Marcela Urrego",VLOOKUP(LEFT(Proc[[#This Row],[Requested]],1),Table3[#All],2,0),VLOOKUP(Proc[[#This Row],[Author]],Table4[],2,0))</f>
        <v>EL</v>
      </c>
      <c r="L4891" s="150" t="s">
        <v>6435</v>
      </c>
      <c r="M4891" s="173">
        <v>45989</v>
      </c>
      <c r="N4891" s="174"/>
      <c r="O4891" s="174"/>
      <c r="P4891" s="174" t="str">
        <f ca="1">IF(Proc[[#This Row],[DaysAgeing]]&gt;5,"yep","on track")</f>
        <v>yep</v>
      </c>
      <c r="Q4891" s="3">
        <f ca="1">IF(Proc[[#This Row],[DateClosed]]="",ABS(NETWORKDAYS(Proc[[#This Row],[DateOpened]],TODAY()))-1,ABS(NETWORKDAYS(Proc[[#This Row],[DateOpened]],Proc[[#This Row],[DateClosed]]))-1)</f>
        <v>10</v>
      </c>
      <c r="R4891" s="174" t="s">
        <v>5709</v>
      </c>
      <c r="S4891" s="150"/>
    </row>
    <row r="4892" spans="1:19">
      <c r="A4892" s="149" t="s">
        <v>7039</v>
      </c>
      <c r="B4892" s="150" t="str">
        <f>IFERROR(VLOOKUP(Proc[[#This Row],[App]],Table2[],3,0),"open")</f>
        <v>ok</v>
      </c>
      <c r="C4892" s="149" t="s">
        <v>369</v>
      </c>
      <c r="D4892" t="s">
        <v>7101</v>
      </c>
      <c r="E4892" s="149" t="s">
        <v>7234</v>
      </c>
      <c r="F4892" s="150" t="s">
        <v>7234</v>
      </c>
      <c r="G4892" s="149" t="s">
        <v>406</v>
      </c>
      <c r="H4892" s="150" t="str">
        <f>IF(Proc[[#This Row],[type]]="LFF (MDG-F)",MID(Proc[[#This Row],[Obj]],13,10),"")</f>
        <v>JP02TQ1005</v>
      </c>
      <c r="I4892" s="149" t="s">
        <v>7234</v>
      </c>
      <c r="J4892" s="150" t="b">
        <f>Proc[[#This Row],[Requested]]=Proc[[#This Row],[CurrentParent]]</f>
        <v>1</v>
      </c>
      <c r="K4892" s="150" t="str">
        <f>IF(Proc[[#This Row],[Author]]="Marcela Urrego",VLOOKUP(LEFT(Proc[[#This Row],[Requested]],1),Table3[#All],2,0),VLOOKUP(Proc[[#This Row],[Author]],Table4[],2,0))</f>
        <v>EL</v>
      </c>
      <c r="L4892" s="150" t="s">
        <v>6435</v>
      </c>
      <c r="M4892" s="173">
        <v>45989</v>
      </c>
      <c r="N4892" s="174"/>
      <c r="O4892" s="174"/>
      <c r="P4892" s="174" t="str">
        <f ca="1">IF(Proc[[#This Row],[DaysAgeing]]&gt;5,"yep","on track")</f>
        <v>yep</v>
      </c>
      <c r="Q4892" s="3">
        <f ca="1">IF(Proc[[#This Row],[DateClosed]]="",ABS(NETWORKDAYS(Proc[[#This Row],[DateOpened]],TODAY()))-1,ABS(NETWORKDAYS(Proc[[#This Row],[DateOpened]],Proc[[#This Row],[DateClosed]]))-1)</f>
        <v>10</v>
      </c>
      <c r="R4892" s="174" t="s">
        <v>5709</v>
      </c>
      <c r="S4892" s="150"/>
    </row>
    <row r="4893" spans="1:19">
      <c r="A4893" s="149" t="s">
        <v>7039</v>
      </c>
      <c r="B4893" s="150" t="str">
        <f>IFERROR(VLOOKUP(Proc[[#This Row],[App]],Table2[],3,0),"open")</f>
        <v>ok</v>
      </c>
      <c r="C4893" s="149" t="s">
        <v>369</v>
      </c>
      <c r="D4893" t="s">
        <v>7102</v>
      </c>
      <c r="E4893" s="149" t="s">
        <v>7234</v>
      </c>
      <c r="F4893" s="150" t="s">
        <v>7234</v>
      </c>
      <c r="G4893" s="149" t="s">
        <v>406</v>
      </c>
      <c r="H4893" s="150" t="str">
        <f>IF(Proc[[#This Row],[type]]="LFF (MDG-F)",MID(Proc[[#This Row],[Obj]],13,10),"")</f>
        <v>JP02TQ1006</v>
      </c>
      <c r="I4893" s="149" t="s">
        <v>7234</v>
      </c>
      <c r="J4893" s="150" t="b">
        <f>Proc[[#This Row],[Requested]]=Proc[[#This Row],[CurrentParent]]</f>
        <v>1</v>
      </c>
      <c r="K4893" s="150" t="str">
        <f>IF(Proc[[#This Row],[Author]]="Marcela Urrego",VLOOKUP(LEFT(Proc[[#This Row],[Requested]],1),Table3[#All],2,0),VLOOKUP(Proc[[#This Row],[Author]],Table4[],2,0))</f>
        <v>EL</v>
      </c>
      <c r="L4893" s="150" t="s">
        <v>6435</v>
      </c>
      <c r="M4893" s="173">
        <v>45989</v>
      </c>
      <c r="N4893" s="174"/>
      <c r="O4893" s="174"/>
      <c r="P4893" s="174" t="str">
        <f ca="1">IF(Proc[[#This Row],[DaysAgeing]]&gt;5,"yep","on track")</f>
        <v>yep</v>
      </c>
      <c r="Q4893" s="3">
        <f ca="1">IF(Proc[[#This Row],[DateClosed]]="",ABS(NETWORKDAYS(Proc[[#This Row],[DateOpened]],TODAY()))-1,ABS(NETWORKDAYS(Proc[[#This Row],[DateOpened]],Proc[[#This Row],[DateClosed]]))-1)</f>
        <v>10</v>
      </c>
      <c r="R4893" s="174" t="s">
        <v>5709</v>
      </c>
      <c r="S4893" s="150"/>
    </row>
    <row r="4894" spans="1:19">
      <c r="A4894" s="149" t="s">
        <v>7039</v>
      </c>
      <c r="B4894" s="150" t="str">
        <f>IFERROR(VLOOKUP(Proc[[#This Row],[App]],Table2[],3,0),"open")</f>
        <v>ok</v>
      </c>
      <c r="C4894" s="149" t="s">
        <v>369</v>
      </c>
      <c r="D4894" t="s">
        <v>7103</v>
      </c>
      <c r="E4894" s="149" t="s">
        <v>7234</v>
      </c>
      <c r="F4894" s="150" t="s">
        <v>7234</v>
      </c>
      <c r="G4894" s="149" t="s">
        <v>406</v>
      </c>
      <c r="H4894" s="150" t="str">
        <f>IF(Proc[[#This Row],[type]]="LFF (MDG-F)",MID(Proc[[#This Row],[Obj]],13,10),"")</f>
        <v>JP02TQ1007</v>
      </c>
      <c r="I4894" s="149" t="s">
        <v>7234</v>
      </c>
      <c r="J4894" s="150" t="b">
        <f>Proc[[#This Row],[Requested]]=Proc[[#This Row],[CurrentParent]]</f>
        <v>1</v>
      </c>
      <c r="K4894" s="150" t="str">
        <f>IF(Proc[[#This Row],[Author]]="Marcela Urrego",VLOOKUP(LEFT(Proc[[#This Row],[Requested]],1),Table3[#All],2,0),VLOOKUP(Proc[[#This Row],[Author]],Table4[],2,0))</f>
        <v>EL</v>
      </c>
      <c r="L4894" s="150" t="s">
        <v>6435</v>
      </c>
      <c r="M4894" s="173">
        <v>45989</v>
      </c>
      <c r="N4894" s="174"/>
      <c r="O4894" s="174"/>
      <c r="P4894" s="174" t="str">
        <f ca="1">IF(Proc[[#This Row],[DaysAgeing]]&gt;5,"yep","on track")</f>
        <v>yep</v>
      </c>
      <c r="Q4894" s="3">
        <f ca="1">IF(Proc[[#This Row],[DateClosed]]="",ABS(NETWORKDAYS(Proc[[#This Row],[DateOpened]],TODAY()))-1,ABS(NETWORKDAYS(Proc[[#This Row],[DateOpened]],Proc[[#This Row],[DateClosed]]))-1)</f>
        <v>10</v>
      </c>
      <c r="R4894" s="174" t="s">
        <v>5709</v>
      </c>
      <c r="S4894" s="150"/>
    </row>
    <row r="4895" spans="1:19">
      <c r="A4895" s="149" t="s">
        <v>7039</v>
      </c>
      <c r="B4895" s="150" t="str">
        <f>IFERROR(VLOOKUP(Proc[[#This Row],[App]],Table2[],3,0),"open")</f>
        <v>ok</v>
      </c>
      <c r="C4895" s="149" t="s">
        <v>369</v>
      </c>
      <c r="D4895" t="s">
        <v>7104</v>
      </c>
      <c r="E4895" s="149" t="s">
        <v>7234</v>
      </c>
      <c r="F4895" s="150" t="s">
        <v>7234</v>
      </c>
      <c r="G4895" s="149" t="s">
        <v>406</v>
      </c>
      <c r="H4895" s="150" t="str">
        <f>IF(Proc[[#This Row],[type]]="LFF (MDG-F)",MID(Proc[[#This Row],[Obj]],13,10),"")</f>
        <v>JP02TQ1008</v>
      </c>
      <c r="I4895" s="149" t="s">
        <v>7234</v>
      </c>
      <c r="J4895" s="150" t="b">
        <f>Proc[[#This Row],[Requested]]=Proc[[#This Row],[CurrentParent]]</f>
        <v>1</v>
      </c>
      <c r="K4895" s="150" t="str">
        <f>IF(Proc[[#This Row],[Author]]="Marcela Urrego",VLOOKUP(LEFT(Proc[[#This Row],[Requested]],1),Table3[#All],2,0),VLOOKUP(Proc[[#This Row],[Author]],Table4[],2,0))</f>
        <v>EL</v>
      </c>
      <c r="L4895" s="150" t="s">
        <v>6435</v>
      </c>
      <c r="M4895" s="173">
        <v>45989</v>
      </c>
      <c r="N4895" s="174"/>
      <c r="O4895" s="174"/>
      <c r="P4895" s="174" t="str">
        <f ca="1">IF(Proc[[#This Row],[DaysAgeing]]&gt;5,"yep","on track")</f>
        <v>yep</v>
      </c>
      <c r="Q4895" s="3">
        <f ca="1">IF(Proc[[#This Row],[DateClosed]]="",ABS(NETWORKDAYS(Proc[[#This Row],[DateOpened]],TODAY()))-1,ABS(NETWORKDAYS(Proc[[#This Row],[DateOpened]],Proc[[#This Row],[DateClosed]]))-1)</f>
        <v>10</v>
      </c>
      <c r="R4895" s="174" t="s">
        <v>5709</v>
      </c>
      <c r="S4895" s="150"/>
    </row>
    <row r="4896" spans="1:19">
      <c r="A4896" s="149" t="s">
        <v>7039</v>
      </c>
      <c r="B4896" s="150" t="str">
        <f>IFERROR(VLOOKUP(Proc[[#This Row],[App]],Table2[],3,0),"open")</f>
        <v>ok</v>
      </c>
      <c r="C4896" s="149" t="s">
        <v>369</v>
      </c>
      <c r="D4896" t="s">
        <v>7105</v>
      </c>
      <c r="E4896" s="149" t="s">
        <v>7234</v>
      </c>
      <c r="F4896" s="150" t="s">
        <v>7234</v>
      </c>
      <c r="G4896" s="149" t="s">
        <v>406</v>
      </c>
      <c r="H4896" s="150" t="str">
        <f>IF(Proc[[#This Row],[type]]="LFF (MDG-F)",MID(Proc[[#This Row],[Obj]],13,10),"")</f>
        <v>JP02TQ1009</v>
      </c>
      <c r="I4896" s="149" t="s">
        <v>7234</v>
      </c>
      <c r="J4896" s="150" t="b">
        <f>Proc[[#This Row],[Requested]]=Proc[[#This Row],[CurrentParent]]</f>
        <v>1</v>
      </c>
      <c r="K4896" s="150" t="str">
        <f>IF(Proc[[#This Row],[Author]]="Marcela Urrego",VLOOKUP(LEFT(Proc[[#This Row],[Requested]],1),Table3[#All],2,0),VLOOKUP(Proc[[#This Row],[Author]],Table4[],2,0))</f>
        <v>EL</v>
      </c>
      <c r="L4896" s="150" t="s">
        <v>6435</v>
      </c>
      <c r="M4896" s="173">
        <v>45989</v>
      </c>
      <c r="N4896" s="174"/>
      <c r="O4896" s="174"/>
      <c r="P4896" s="174" t="str">
        <f ca="1">IF(Proc[[#This Row],[DaysAgeing]]&gt;5,"yep","on track")</f>
        <v>yep</v>
      </c>
      <c r="Q4896" s="3">
        <f ca="1">IF(Proc[[#This Row],[DateClosed]]="",ABS(NETWORKDAYS(Proc[[#This Row],[DateOpened]],TODAY()))-1,ABS(NETWORKDAYS(Proc[[#This Row],[DateOpened]],Proc[[#This Row],[DateClosed]]))-1)</f>
        <v>10</v>
      </c>
      <c r="R4896" s="174" t="s">
        <v>5709</v>
      </c>
      <c r="S4896" s="150"/>
    </row>
    <row r="4897" spans="1:19">
      <c r="A4897" s="149" t="s">
        <v>7039</v>
      </c>
      <c r="B4897" s="150" t="str">
        <f>IFERROR(VLOOKUP(Proc[[#This Row],[App]],Table2[],3,0),"open")</f>
        <v>ok</v>
      </c>
      <c r="C4897" s="149" t="s">
        <v>369</v>
      </c>
      <c r="D4897" t="s">
        <v>7106</v>
      </c>
      <c r="E4897" s="149" t="s">
        <v>7234</v>
      </c>
      <c r="F4897" s="150" t="s">
        <v>7234</v>
      </c>
      <c r="G4897" s="149" t="s">
        <v>406</v>
      </c>
      <c r="H4897" s="150" t="str">
        <f>IF(Proc[[#This Row],[type]]="LFF (MDG-F)",MID(Proc[[#This Row],[Obj]],13,10),"")</f>
        <v>JP02TQ1010</v>
      </c>
      <c r="I4897" s="149" t="s">
        <v>7234</v>
      </c>
      <c r="J4897" s="150" t="b">
        <f>Proc[[#This Row],[Requested]]=Proc[[#This Row],[CurrentParent]]</f>
        <v>1</v>
      </c>
      <c r="K4897" s="150" t="str">
        <f>IF(Proc[[#This Row],[Author]]="Marcela Urrego",VLOOKUP(LEFT(Proc[[#This Row],[Requested]],1),Table3[#All],2,0),VLOOKUP(Proc[[#This Row],[Author]],Table4[],2,0))</f>
        <v>EL</v>
      </c>
      <c r="L4897" s="150" t="s">
        <v>6435</v>
      </c>
      <c r="M4897" s="173">
        <v>45989</v>
      </c>
      <c r="N4897" s="174"/>
      <c r="O4897" s="174"/>
      <c r="P4897" s="174" t="str">
        <f ca="1">IF(Proc[[#This Row],[DaysAgeing]]&gt;5,"yep","on track")</f>
        <v>yep</v>
      </c>
      <c r="Q4897" s="3">
        <f ca="1">IF(Proc[[#This Row],[DateClosed]]="",ABS(NETWORKDAYS(Proc[[#This Row],[DateOpened]],TODAY()))-1,ABS(NETWORKDAYS(Proc[[#This Row],[DateOpened]],Proc[[#This Row],[DateClosed]]))-1)</f>
        <v>10</v>
      </c>
      <c r="R4897" s="174" t="s">
        <v>5709</v>
      </c>
      <c r="S4897" s="150"/>
    </row>
    <row r="4898" spans="1:19">
      <c r="A4898" s="149" t="s">
        <v>7039</v>
      </c>
      <c r="B4898" s="150" t="str">
        <f>IFERROR(VLOOKUP(Proc[[#This Row],[App]],Table2[],3,0),"open")</f>
        <v>ok</v>
      </c>
      <c r="C4898" s="149" t="s">
        <v>369</v>
      </c>
      <c r="D4898" t="s">
        <v>7107</v>
      </c>
      <c r="E4898" s="149" t="s">
        <v>7234</v>
      </c>
      <c r="F4898" s="150" t="s">
        <v>7234</v>
      </c>
      <c r="G4898" s="149" t="s">
        <v>406</v>
      </c>
      <c r="H4898" s="150" t="str">
        <f>IF(Proc[[#This Row],[type]]="LFF (MDG-F)",MID(Proc[[#This Row],[Obj]],13,10),"")</f>
        <v>JP02TQ1011</v>
      </c>
      <c r="I4898" s="149" t="s">
        <v>7234</v>
      </c>
      <c r="J4898" s="150" t="b">
        <f>Proc[[#This Row],[Requested]]=Proc[[#This Row],[CurrentParent]]</f>
        <v>1</v>
      </c>
      <c r="K4898" s="150" t="str">
        <f>IF(Proc[[#This Row],[Author]]="Marcela Urrego",VLOOKUP(LEFT(Proc[[#This Row],[Requested]],1),Table3[#All],2,0),VLOOKUP(Proc[[#This Row],[Author]],Table4[],2,0))</f>
        <v>EL</v>
      </c>
      <c r="L4898" s="150" t="s">
        <v>6435</v>
      </c>
      <c r="M4898" s="173">
        <v>45989</v>
      </c>
      <c r="N4898" s="174"/>
      <c r="O4898" s="174"/>
      <c r="P4898" s="174" t="str">
        <f ca="1">IF(Proc[[#This Row],[DaysAgeing]]&gt;5,"yep","on track")</f>
        <v>yep</v>
      </c>
      <c r="Q4898" s="3">
        <f ca="1">IF(Proc[[#This Row],[DateClosed]]="",ABS(NETWORKDAYS(Proc[[#This Row],[DateOpened]],TODAY()))-1,ABS(NETWORKDAYS(Proc[[#This Row],[DateOpened]],Proc[[#This Row],[DateClosed]]))-1)</f>
        <v>10</v>
      </c>
      <c r="R4898" s="174" t="s">
        <v>5709</v>
      </c>
      <c r="S4898" s="150"/>
    </row>
    <row r="4899" spans="1:19">
      <c r="A4899" s="149" t="s">
        <v>7039</v>
      </c>
      <c r="B4899" s="150" t="str">
        <f>IFERROR(VLOOKUP(Proc[[#This Row],[App]],Table2[],3,0),"open")</f>
        <v>ok</v>
      </c>
      <c r="C4899" s="149" t="s">
        <v>369</v>
      </c>
      <c r="D4899" t="s">
        <v>7108</v>
      </c>
      <c r="E4899" s="149" t="s">
        <v>7234</v>
      </c>
      <c r="F4899" s="150" t="s">
        <v>7234</v>
      </c>
      <c r="G4899" s="149" t="s">
        <v>406</v>
      </c>
      <c r="H4899" s="150" t="str">
        <f>IF(Proc[[#This Row],[type]]="LFF (MDG-F)",MID(Proc[[#This Row],[Obj]],13,10),"")</f>
        <v>JP02TQ1012</v>
      </c>
      <c r="I4899" s="149" t="s">
        <v>7234</v>
      </c>
      <c r="J4899" s="150" t="b">
        <f>Proc[[#This Row],[Requested]]=Proc[[#This Row],[CurrentParent]]</f>
        <v>1</v>
      </c>
      <c r="K4899" s="150" t="str">
        <f>IF(Proc[[#This Row],[Author]]="Marcela Urrego",VLOOKUP(LEFT(Proc[[#This Row],[Requested]],1),Table3[#All],2,0),VLOOKUP(Proc[[#This Row],[Author]],Table4[],2,0))</f>
        <v>EL</v>
      </c>
      <c r="L4899" s="150" t="s">
        <v>6435</v>
      </c>
      <c r="M4899" s="173">
        <v>45989</v>
      </c>
      <c r="N4899" s="174"/>
      <c r="O4899" s="174"/>
      <c r="P4899" s="174" t="str">
        <f ca="1">IF(Proc[[#This Row],[DaysAgeing]]&gt;5,"yep","on track")</f>
        <v>yep</v>
      </c>
      <c r="Q4899" s="3">
        <f ca="1">IF(Proc[[#This Row],[DateClosed]]="",ABS(NETWORKDAYS(Proc[[#This Row],[DateOpened]],TODAY()))-1,ABS(NETWORKDAYS(Proc[[#This Row],[DateOpened]],Proc[[#This Row],[DateClosed]]))-1)</f>
        <v>10</v>
      </c>
      <c r="R4899" s="174" t="s">
        <v>5709</v>
      </c>
      <c r="S4899" s="150"/>
    </row>
    <row r="4900" spans="1:19">
      <c r="A4900" s="149" t="s">
        <v>7039</v>
      </c>
      <c r="B4900" s="150" t="str">
        <f>IFERROR(VLOOKUP(Proc[[#This Row],[App]],Table2[],3,0),"open")</f>
        <v>ok</v>
      </c>
      <c r="C4900" s="149" t="s">
        <v>369</v>
      </c>
      <c r="D4900" t="s">
        <v>7109</v>
      </c>
      <c r="E4900" s="149" t="s">
        <v>7234</v>
      </c>
      <c r="F4900" s="150" t="s">
        <v>7234</v>
      </c>
      <c r="G4900" s="149" t="s">
        <v>406</v>
      </c>
      <c r="H4900" s="150" t="str">
        <f>IF(Proc[[#This Row],[type]]="LFF (MDG-F)",MID(Proc[[#This Row],[Obj]],13,10),"")</f>
        <v>JP02TQ1013</v>
      </c>
      <c r="I4900" s="149" t="s">
        <v>7234</v>
      </c>
      <c r="J4900" s="150" t="b">
        <f>Proc[[#This Row],[Requested]]=Proc[[#This Row],[CurrentParent]]</f>
        <v>1</v>
      </c>
      <c r="K4900" s="150" t="str">
        <f>IF(Proc[[#This Row],[Author]]="Marcela Urrego",VLOOKUP(LEFT(Proc[[#This Row],[Requested]],1),Table3[#All],2,0),VLOOKUP(Proc[[#This Row],[Author]],Table4[],2,0))</f>
        <v>EL</v>
      </c>
      <c r="L4900" s="150" t="s">
        <v>6435</v>
      </c>
      <c r="M4900" s="173">
        <v>45989</v>
      </c>
      <c r="N4900" s="174"/>
      <c r="O4900" s="174"/>
      <c r="P4900" s="174" t="str">
        <f ca="1">IF(Proc[[#This Row],[DaysAgeing]]&gt;5,"yep","on track")</f>
        <v>yep</v>
      </c>
      <c r="Q4900" s="3">
        <f ca="1">IF(Proc[[#This Row],[DateClosed]]="",ABS(NETWORKDAYS(Proc[[#This Row],[DateOpened]],TODAY()))-1,ABS(NETWORKDAYS(Proc[[#This Row],[DateOpened]],Proc[[#This Row],[DateClosed]]))-1)</f>
        <v>10</v>
      </c>
      <c r="R4900" s="174" t="s">
        <v>5709</v>
      </c>
      <c r="S4900" s="150"/>
    </row>
    <row r="4901" spans="1:19">
      <c r="A4901" s="149" t="s">
        <v>7039</v>
      </c>
      <c r="B4901" s="150" t="str">
        <f>IFERROR(VLOOKUP(Proc[[#This Row],[App]],Table2[],3,0),"open")</f>
        <v>ok</v>
      </c>
      <c r="C4901" s="149" t="s">
        <v>369</v>
      </c>
      <c r="D4901" t="s">
        <v>7110</v>
      </c>
      <c r="E4901" s="149" t="s">
        <v>7234</v>
      </c>
      <c r="F4901" s="150" t="s">
        <v>7234</v>
      </c>
      <c r="G4901" s="149" t="s">
        <v>406</v>
      </c>
      <c r="H4901" s="150" t="str">
        <f>IF(Proc[[#This Row],[type]]="LFF (MDG-F)",MID(Proc[[#This Row],[Obj]],13,10),"")</f>
        <v>JP02TQ1014</v>
      </c>
      <c r="I4901" s="149" t="s">
        <v>7234</v>
      </c>
      <c r="J4901" s="150" t="b">
        <f>Proc[[#This Row],[Requested]]=Proc[[#This Row],[CurrentParent]]</f>
        <v>1</v>
      </c>
      <c r="K4901" s="150" t="str">
        <f>IF(Proc[[#This Row],[Author]]="Marcela Urrego",VLOOKUP(LEFT(Proc[[#This Row],[Requested]],1),Table3[#All],2,0),VLOOKUP(Proc[[#This Row],[Author]],Table4[],2,0))</f>
        <v>EL</v>
      </c>
      <c r="L4901" s="150" t="s">
        <v>6435</v>
      </c>
      <c r="M4901" s="173">
        <v>45989</v>
      </c>
      <c r="N4901" s="174"/>
      <c r="O4901" s="174"/>
      <c r="P4901" s="174" t="str">
        <f ca="1">IF(Proc[[#This Row],[DaysAgeing]]&gt;5,"yep","on track")</f>
        <v>yep</v>
      </c>
      <c r="Q4901" s="3">
        <f ca="1">IF(Proc[[#This Row],[DateClosed]]="",ABS(NETWORKDAYS(Proc[[#This Row],[DateOpened]],TODAY()))-1,ABS(NETWORKDAYS(Proc[[#This Row],[DateOpened]],Proc[[#This Row],[DateClosed]]))-1)</f>
        <v>10</v>
      </c>
      <c r="R4901" s="174" t="s">
        <v>5709</v>
      </c>
      <c r="S4901" s="150"/>
    </row>
    <row r="4902" spans="1:19">
      <c r="A4902" s="149" t="s">
        <v>7039</v>
      </c>
      <c r="B4902" s="150" t="str">
        <f>IFERROR(VLOOKUP(Proc[[#This Row],[App]],Table2[],3,0),"open")</f>
        <v>ok</v>
      </c>
      <c r="C4902" s="149" t="s">
        <v>369</v>
      </c>
      <c r="D4902" t="s">
        <v>7111</v>
      </c>
      <c r="E4902" s="149" t="s">
        <v>7234</v>
      </c>
      <c r="F4902" s="150" t="s">
        <v>7234</v>
      </c>
      <c r="G4902" s="149" t="s">
        <v>406</v>
      </c>
      <c r="H4902" s="150" t="str">
        <f>IF(Proc[[#This Row],[type]]="LFF (MDG-F)",MID(Proc[[#This Row],[Obj]],13,10),"")</f>
        <v>KR02TQ1000</v>
      </c>
      <c r="I4902" s="149" t="s">
        <v>7234</v>
      </c>
      <c r="J4902" s="150" t="b">
        <f>Proc[[#This Row],[Requested]]=Proc[[#This Row],[CurrentParent]]</f>
        <v>1</v>
      </c>
      <c r="K4902" s="150" t="str">
        <f>IF(Proc[[#This Row],[Author]]="Marcela Urrego",VLOOKUP(LEFT(Proc[[#This Row],[Requested]],1),Table3[#All],2,0),VLOOKUP(Proc[[#This Row],[Author]],Table4[],2,0))</f>
        <v>EL</v>
      </c>
      <c r="L4902" s="150" t="s">
        <v>6435</v>
      </c>
      <c r="M4902" s="173">
        <v>45989</v>
      </c>
      <c r="N4902" s="174"/>
      <c r="O4902" s="174"/>
      <c r="P4902" s="174" t="str">
        <f ca="1">IF(Proc[[#This Row],[DaysAgeing]]&gt;5,"yep","on track")</f>
        <v>yep</v>
      </c>
      <c r="Q4902" s="3">
        <f ca="1">IF(Proc[[#This Row],[DateClosed]]="",ABS(NETWORKDAYS(Proc[[#This Row],[DateOpened]],TODAY()))-1,ABS(NETWORKDAYS(Proc[[#This Row],[DateOpened]],Proc[[#This Row],[DateClosed]]))-1)</f>
        <v>10</v>
      </c>
      <c r="R4902" s="174" t="s">
        <v>5709</v>
      </c>
      <c r="S4902" s="150"/>
    </row>
    <row r="4903" spans="1:19">
      <c r="A4903" s="149" t="s">
        <v>7039</v>
      </c>
      <c r="B4903" s="150" t="str">
        <f>IFERROR(VLOOKUP(Proc[[#This Row],[App]],Table2[],3,0),"open")</f>
        <v>ok</v>
      </c>
      <c r="C4903" s="149" t="s">
        <v>369</v>
      </c>
      <c r="D4903" t="s">
        <v>7112</v>
      </c>
      <c r="E4903" s="149" t="s">
        <v>7234</v>
      </c>
      <c r="F4903" s="150" t="s">
        <v>7234</v>
      </c>
      <c r="G4903" s="149" t="s">
        <v>406</v>
      </c>
      <c r="H4903" s="150" t="str">
        <f>IF(Proc[[#This Row],[type]]="LFF (MDG-F)",MID(Proc[[#This Row],[Obj]],13,10),"")</f>
        <v>KR03TQ1011</v>
      </c>
      <c r="I4903" s="149" t="s">
        <v>7234</v>
      </c>
      <c r="J4903" s="150" t="b">
        <f>Proc[[#This Row],[Requested]]=Proc[[#This Row],[CurrentParent]]</f>
        <v>1</v>
      </c>
      <c r="K4903" s="150" t="str">
        <f>IF(Proc[[#This Row],[Author]]="Marcela Urrego",VLOOKUP(LEFT(Proc[[#This Row],[Requested]],1),Table3[#All],2,0),VLOOKUP(Proc[[#This Row],[Author]],Table4[],2,0))</f>
        <v>EL</v>
      </c>
      <c r="L4903" s="150" t="s">
        <v>6435</v>
      </c>
      <c r="M4903" s="173">
        <v>45989</v>
      </c>
      <c r="N4903" s="174"/>
      <c r="O4903" s="174"/>
      <c r="P4903" s="174" t="str">
        <f ca="1">IF(Proc[[#This Row],[DaysAgeing]]&gt;5,"yep","on track")</f>
        <v>yep</v>
      </c>
      <c r="Q4903" s="3">
        <f ca="1">IF(Proc[[#This Row],[DateClosed]]="",ABS(NETWORKDAYS(Proc[[#This Row],[DateOpened]],TODAY()))-1,ABS(NETWORKDAYS(Proc[[#This Row],[DateOpened]],Proc[[#This Row],[DateClosed]]))-1)</f>
        <v>10</v>
      </c>
      <c r="R4903" s="174" t="s">
        <v>5709</v>
      </c>
      <c r="S4903" s="150"/>
    </row>
    <row r="4904" spans="1:19">
      <c r="A4904" s="149" t="s">
        <v>7039</v>
      </c>
      <c r="B4904" s="150" t="str">
        <f>IFERROR(VLOOKUP(Proc[[#This Row],[App]],Table2[],3,0),"open")</f>
        <v>ok</v>
      </c>
      <c r="C4904" s="149" t="s">
        <v>369</v>
      </c>
      <c r="D4904" t="s">
        <v>7113</v>
      </c>
      <c r="E4904" s="149" t="s">
        <v>7234</v>
      </c>
      <c r="F4904" s="150" t="s">
        <v>7234</v>
      </c>
      <c r="G4904" s="149" t="s">
        <v>406</v>
      </c>
      <c r="H4904" s="150" t="str">
        <f>IF(Proc[[#This Row],[type]]="LFF (MDG-F)",MID(Proc[[#This Row],[Obj]],13,10),"")</f>
        <v>KR03TQ1012</v>
      </c>
      <c r="I4904" s="149" t="s">
        <v>7234</v>
      </c>
      <c r="J4904" s="150" t="b">
        <f>Proc[[#This Row],[Requested]]=Proc[[#This Row],[CurrentParent]]</f>
        <v>1</v>
      </c>
      <c r="K4904" s="150" t="str">
        <f>IF(Proc[[#This Row],[Author]]="Marcela Urrego",VLOOKUP(LEFT(Proc[[#This Row],[Requested]],1),Table3[#All],2,0),VLOOKUP(Proc[[#This Row],[Author]],Table4[],2,0))</f>
        <v>EL</v>
      </c>
      <c r="L4904" s="150" t="s">
        <v>6435</v>
      </c>
      <c r="M4904" s="173">
        <v>45989</v>
      </c>
      <c r="N4904" s="174"/>
      <c r="O4904" s="174"/>
      <c r="P4904" s="174" t="str">
        <f ca="1">IF(Proc[[#This Row],[DaysAgeing]]&gt;5,"yep","on track")</f>
        <v>yep</v>
      </c>
      <c r="Q4904" s="3">
        <f ca="1">IF(Proc[[#This Row],[DateClosed]]="",ABS(NETWORKDAYS(Proc[[#This Row],[DateOpened]],TODAY()))-1,ABS(NETWORKDAYS(Proc[[#This Row],[DateOpened]],Proc[[#This Row],[DateClosed]]))-1)</f>
        <v>10</v>
      </c>
      <c r="R4904" s="174" t="s">
        <v>5709</v>
      </c>
      <c r="S4904" s="150"/>
    </row>
    <row r="4905" spans="1:19">
      <c r="A4905" s="149" t="s">
        <v>7039</v>
      </c>
      <c r="B4905" s="150" t="str">
        <f>IFERROR(VLOOKUP(Proc[[#This Row],[App]],Table2[],3,0),"open")</f>
        <v>ok</v>
      </c>
      <c r="C4905" s="149" t="s">
        <v>369</v>
      </c>
      <c r="D4905" t="s">
        <v>7114</v>
      </c>
      <c r="E4905" s="149" t="s">
        <v>7234</v>
      </c>
      <c r="F4905" s="150" t="s">
        <v>7234</v>
      </c>
      <c r="G4905" s="149" t="s">
        <v>406</v>
      </c>
      <c r="H4905" s="150" t="str">
        <f>IF(Proc[[#This Row],[type]]="LFF (MDG-F)",MID(Proc[[#This Row],[Obj]],13,10),"")</f>
        <v>KR07TQ1001</v>
      </c>
      <c r="I4905" s="149" t="s">
        <v>7234</v>
      </c>
      <c r="J4905" s="150" t="b">
        <f>Proc[[#This Row],[Requested]]=Proc[[#This Row],[CurrentParent]]</f>
        <v>1</v>
      </c>
      <c r="K4905" s="150" t="str">
        <f>IF(Proc[[#This Row],[Author]]="Marcela Urrego",VLOOKUP(LEFT(Proc[[#This Row],[Requested]],1),Table3[#All],2,0),VLOOKUP(Proc[[#This Row],[Author]],Table4[],2,0))</f>
        <v>EL</v>
      </c>
      <c r="L4905" s="150" t="s">
        <v>6435</v>
      </c>
      <c r="M4905" s="173">
        <v>45989</v>
      </c>
      <c r="N4905" s="174"/>
      <c r="O4905" s="174"/>
      <c r="P4905" s="174" t="str">
        <f ca="1">IF(Proc[[#This Row],[DaysAgeing]]&gt;5,"yep","on track")</f>
        <v>yep</v>
      </c>
      <c r="Q4905" s="3">
        <f ca="1">IF(Proc[[#This Row],[DateClosed]]="",ABS(NETWORKDAYS(Proc[[#This Row],[DateOpened]],TODAY()))-1,ABS(NETWORKDAYS(Proc[[#This Row],[DateOpened]],Proc[[#This Row],[DateClosed]]))-1)</f>
        <v>10</v>
      </c>
      <c r="R4905" s="174" t="s">
        <v>5709</v>
      </c>
      <c r="S4905" s="150"/>
    </row>
    <row r="4906" spans="1:19">
      <c r="A4906" s="149" t="s">
        <v>7039</v>
      </c>
      <c r="B4906" s="150" t="str">
        <f>IFERROR(VLOOKUP(Proc[[#This Row],[App]],Table2[],3,0),"open")</f>
        <v>ok</v>
      </c>
      <c r="C4906" s="149" t="s">
        <v>369</v>
      </c>
      <c r="D4906" t="s">
        <v>7115</v>
      </c>
      <c r="E4906" s="149" t="s">
        <v>7234</v>
      </c>
      <c r="F4906" s="150" t="s">
        <v>7234</v>
      </c>
      <c r="G4906" s="149" t="s">
        <v>406</v>
      </c>
      <c r="H4906" s="150" t="str">
        <f>IF(Proc[[#This Row],[type]]="LFF (MDG-F)",MID(Proc[[#This Row],[Obj]],13,10),"")</f>
        <v>KR07TQ1002</v>
      </c>
      <c r="I4906" s="149" t="s">
        <v>7234</v>
      </c>
      <c r="J4906" s="150" t="b">
        <f>Proc[[#This Row],[Requested]]=Proc[[#This Row],[CurrentParent]]</f>
        <v>1</v>
      </c>
      <c r="K4906" s="150" t="str">
        <f>IF(Proc[[#This Row],[Author]]="Marcela Urrego",VLOOKUP(LEFT(Proc[[#This Row],[Requested]],1),Table3[#All],2,0),VLOOKUP(Proc[[#This Row],[Author]],Table4[],2,0))</f>
        <v>EL</v>
      </c>
      <c r="L4906" s="150" t="s">
        <v>6435</v>
      </c>
      <c r="M4906" s="173">
        <v>45989</v>
      </c>
      <c r="N4906" s="174"/>
      <c r="O4906" s="174"/>
      <c r="P4906" s="174" t="str">
        <f ca="1">IF(Proc[[#This Row],[DaysAgeing]]&gt;5,"yep","on track")</f>
        <v>yep</v>
      </c>
      <c r="Q4906" s="3">
        <f ca="1">IF(Proc[[#This Row],[DateClosed]]="",ABS(NETWORKDAYS(Proc[[#This Row],[DateOpened]],TODAY()))-1,ABS(NETWORKDAYS(Proc[[#This Row],[DateOpened]],Proc[[#This Row],[DateClosed]]))-1)</f>
        <v>10</v>
      </c>
      <c r="R4906" s="174" t="s">
        <v>5709</v>
      </c>
      <c r="S4906" s="150"/>
    </row>
    <row r="4907" spans="1:19">
      <c r="A4907" s="149" t="s">
        <v>7039</v>
      </c>
      <c r="B4907" s="150" t="str">
        <f>IFERROR(VLOOKUP(Proc[[#This Row],[App]],Table2[],3,0),"open")</f>
        <v>ok</v>
      </c>
      <c r="C4907" s="149" t="s">
        <v>369</v>
      </c>
      <c r="D4907" t="s">
        <v>7116</v>
      </c>
      <c r="E4907" s="149" t="s">
        <v>7234</v>
      </c>
      <c r="F4907" s="150" t="s">
        <v>7234</v>
      </c>
      <c r="G4907" s="149" t="s">
        <v>406</v>
      </c>
      <c r="H4907" s="150" t="str">
        <f>IF(Proc[[#This Row],[type]]="LFF (MDG-F)",MID(Proc[[#This Row],[Obj]],13,10),"")</f>
        <v>KR07TQ1003</v>
      </c>
      <c r="I4907" s="149" t="s">
        <v>7234</v>
      </c>
      <c r="J4907" s="150" t="b">
        <f>Proc[[#This Row],[Requested]]=Proc[[#This Row],[CurrentParent]]</f>
        <v>1</v>
      </c>
      <c r="K4907" s="150" t="str">
        <f>IF(Proc[[#This Row],[Author]]="Marcela Urrego",VLOOKUP(LEFT(Proc[[#This Row],[Requested]],1),Table3[#All],2,0),VLOOKUP(Proc[[#This Row],[Author]],Table4[],2,0))</f>
        <v>EL</v>
      </c>
      <c r="L4907" s="150" t="s">
        <v>6435</v>
      </c>
      <c r="M4907" s="173">
        <v>45989</v>
      </c>
      <c r="N4907" s="174"/>
      <c r="O4907" s="174"/>
      <c r="P4907" s="174" t="str">
        <f ca="1">IF(Proc[[#This Row],[DaysAgeing]]&gt;5,"yep","on track")</f>
        <v>yep</v>
      </c>
      <c r="Q4907" s="3">
        <f ca="1">IF(Proc[[#This Row],[DateClosed]]="",ABS(NETWORKDAYS(Proc[[#This Row],[DateOpened]],TODAY()))-1,ABS(NETWORKDAYS(Proc[[#This Row],[DateOpened]],Proc[[#This Row],[DateClosed]]))-1)</f>
        <v>10</v>
      </c>
      <c r="R4907" s="174" t="s">
        <v>5709</v>
      </c>
      <c r="S4907" s="150"/>
    </row>
    <row r="4908" spans="1:19">
      <c r="A4908" s="149" t="s">
        <v>7039</v>
      </c>
      <c r="B4908" s="150" t="str">
        <f>IFERROR(VLOOKUP(Proc[[#This Row],[App]],Table2[],3,0),"open")</f>
        <v>ok</v>
      </c>
      <c r="C4908" s="149" t="s">
        <v>369</v>
      </c>
      <c r="D4908" t="s">
        <v>7117</v>
      </c>
      <c r="E4908" s="149" t="s">
        <v>7234</v>
      </c>
      <c r="F4908" s="150" t="s">
        <v>7234</v>
      </c>
      <c r="G4908" s="149" t="s">
        <v>406</v>
      </c>
      <c r="H4908" s="150" t="str">
        <f>IF(Proc[[#This Row],[type]]="LFF (MDG-F)",MID(Proc[[#This Row],[Obj]],13,10),"")</f>
        <v>KR07TQ1004</v>
      </c>
      <c r="I4908" s="149" t="s">
        <v>7234</v>
      </c>
      <c r="J4908" s="150" t="b">
        <f>Proc[[#This Row],[Requested]]=Proc[[#This Row],[CurrentParent]]</f>
        <v>1</v>
      </c>
      <c r="K4908" s="150" t="str">
        <f>IF(Proc[[#This Row],[Author]]="Marcela Urrego",VLOOKUP(LEFT(Proc[[#This Row],[Requested]],1),Table3[#All],2,0),VLOOKUP(Proc[[#This Row],[Author]],Table4[],2,0))</f>
        <v>EL</v>
      </c>
      <c r="L4908" s="150" t="s">
        <v>6435</v>
      </c>
      <c r="M4908" s="173">
        <v>45989</v>
      </c>
      <c r="N4908" s="174"/>
      <c r="O4908" s="174"/>
      <c r="P4908" s="174" t="str">
        <f ca="1">IF(Proc[[#This Row],[DaysAgeing]]&gt;5,"yep","on track")</f>
        <v>yep</v>
      </c>
      <c r="Q4908" s="3">
        <f ca="1">IF(Proc[[#This Row],[DateClosed]]="",ABS(NETWORKDAYS(Proc[[#This Row],[DateOpened]],TODAY()))-1,ABS(NETWORKDAYS(Proc[[#This Row],[DateOpened]],Proc[[#This Row],[DateClosed]]))-1)</f>
        <v>10</v>
      </c>
      <c r="R4908" s="174" t="s">
        <v>5709</v>
      </c>
      <c r="S4908" s="150"/>
    </row>
    <row r="4909" spans="1:19">
      <c r="A4909" s="149" t="s">
        <v>7039</v>
      </c>
      <c r="B4909" s="150" t="str">
        <f>IFERROR(VLOOKUP(Proc[[#This Row],[App]],Table2[],3,0),"open")</f>
        <v>ok</v>
      </c>
      <c r="C4909" s="149" t="s">
        <v>369</v>
      </c>
      <c r="D4909" t="s">
        <v>7118</v>
      </c>
      <c r="E4909" s="149" t="s">
        <v>7234</v>
      </c>
      <c r="F4909" s="150" t="s">
        <v>7234</v>
      </c>
      <c r="G4909" s="149" t="s">
        <v>406</v>
      </c>
      <c r="H4909" s="150" t="str">
        <f>IF(Proc[[#This Row],[type]]="LFF (MDG-F)",MID(Proc[[#This Row],[Obj]],13,10),"")</f>
        <v>KR07TQ1005</v>
      </c>
      <c r="I4909" s="149" t="s">
        <v>7234</v>
      </c>
      <c r="J4909" s="150" t="b">
        <f>Proc[[#This Row],[Requested]]=Proc[[#This Row],[CurrentParent]]</f>
        <v>1</v>
      </c>
      <c r="K4909" s="150" t="str">
        <f>IF(Proc[[#This Row],[Author]]="Marcela Urrego",VLOOKUP(LEFT(Proc[[#This Row],[Requested]],1),Table3[#All],2,0),VLOOKUP(Proc[[#This Row],[Author]],Table4[],2,0))</f>
        <v>EL</v>
      </c>
      <c r="L4909" s="150" t="s">
        <v>6435</v>
      </c>
      <c r="M4909" s="173">
        <v>45989</v>
      </c>
      <c r="N4909" s="174"/>
      <c r="O4909" s="174"/>
      <c r="P4909" s="174" t="str">
        <f ca="1">IF(Proc[[#This Row],[DaysAgeing]]&gt;5,"yep","on track")</f>
        <v>yep</v>
      </c>
      <c r="Q4909" s="3">
        <f ca="1">IF(Proc[[#This Row],[DateClosed]]="",ABS(NETWORKDAYS(Proc[[#This Row],[DateOpened]],TODAY()))-1,ABS(NETWORKDAYS(Proc[[#This Row],[DateOpened]],Proc[[#This Row],[DateClosed]]))-1)</f>
        <v>10</v>
      </c>
      <c r="R4909" s="174" t="s">
        <v>5709</v>
      </c>
      <c r="S4909" s="150"/>
    </row>
    <row r="4910" spans="1:19">
      <c r="A4910" s="149" t="s">
        <v>7039</v>
      </c>
      <c r="B4910" s="150" t="str">
        <f>IFERROR(VLOOKUP(Proc[[#This Row],[App]],Table2[],3,0),"open")</f>
        <v>ok</v>
      </c>
      <c r="C4910" s="149" t="s">
        <v>369</v>
      </c>
      <c r="D4910" t="s">
        <v>7119</v>
      </c>
      <c r="E4910" s="149" t="s">
        <v>7234</v>
      </c>
      <c r="F4910" s="150" t="s">
        <v>7234</v>
      </c>
      <c r="G4910" s="149" t="s">
        <v>406</v>
      </c>
      <c r="H4910" s="150" t="str">
        <f>IF(Proc[[#This Row],[type]]="LFF (MDG-F)",MID(Proc[[#This Row],[Obj]],13,10),"")</f>
        <v>KR07TQ1006</v>
      </c>
      <c r="I4910" s="149" t="s">
        <v>7234</v>
      </c>
      <c r="J4910" s="150" t="b">
        <f>Proc[[#This Row],[Requested]]=Proc[[#This Row],[CurrentParent]]</f>
        <v>1</v>
      </c>
      <c r="K4910" s="150" t="str">
        <f>IF(Proc[[#This Row],[Author]]="Marcela Urrego",VLOOKUP(LEFT(Proc[[#This Row],[Requested]],1),Table3[#All],2,0),VLOOKUP(Proc[[#This Row],[Author]],Table4[],2,0))</f>
        <v>EL</v>
      </c>
      <c r="L4910" s="150" t="s">
        <v>6435</v>
      </c>
      <c r="M4910" s="173">
        <v>45989</v>
      </c>
      <c r="N4910" s="174"/>
      <c r="O4910" s="174"/>
      <c r="P4910" s="174" t="str">
        <f ca="1">IF(Proc[[#This Row],[DaysAgeing]]&gt;5,"yep","on track")</f>
        <v>yep</v>
      </c>
      <c r="Q4910" s="3">
        <f ca="1">IF(Proc[[#This Row],[DateClosed]]="",ABS(NETWORKDAYS(Proc[[#This Row],[DateOpened]],TODAY()))-1,ABS(NETWORKDAYS(Proc[[#This Row],[DateOpened]],Proc[[#This Row],[DateClosed]]))-1)</f>
        <v>10</v>
      </c>
      <c r="R4910" s="174" t="s">
        <v>5709</v>
      </c>
      <c r="S4910" s="150"/>
    </row>
    <row r="4911" spans="1:19">
      <c r="A4911" s="149" t="s">
        <v>7039</v>
      </c>
      <c r="B4911" s="150" t="str">
        <f>IFERROR(VLOOKUP(Proc[[#This Row],[App]],Table2[],3,0),"open")</f>
        <v>ok</v>
      </c>
      <c r="C4911" s="149" t="s">
        <v>369</v>
      </c>
      <c r="D4911" t="s">
        <v>7120</v>
      </c>
      <c r="E4911" s="149" t="s">
        <v>7234</v>
      </c>
      <c r="F4911" s="150" t="s">
        <v>7234</v>
      </c>
      <c r="G4911" s="149" t="s">
        <v>406</v>
      </c>
      <c r="H4911" s="150" t="str">
        <f>IF(Proc[[#This Row],[type]]="LFF (MDG-F)",MID(Proc[[#This Row],[Obj]],13,10),"")</f>
        <v>KR11TQ1001</v>
      </c>
      <c r="I4911" s="149" t="s">
        <v>7234</v>
      </c>
      <c r="J4911" s="150" t="b">
        <f>Proc[[#This Row],[Requested]]=Proc[[#This Row],[CurrentParent]]</f>
        <v>1</v>
      </c>
      <c r="K4911" s="150" t="str">
        <f>IF(Proc[[#This Row],[Author]]="Marcela Urrego",VLOOKUP(LEFT(Proc[[#This Row],[Requested]],1),Table3[#All],2,0),VLOOKUP(Proc[[#This Row],[Author]],Table4[],2,0))</f>
        <v>EL</v>
      </c>
      <c r="L4911" s="150" t="s">
        <v>6435</v>
      </c>
      <c r="M4911" s="173">
        <v>45989</v>
      </c>
      <c r="N4911" s="174"/>
      <c r="O4911" s="174"/>
      <c r="P4911" s="174" t="str">
        <f ca="1">IF(Proc[[#This Row],[DaysAgeing]]&gt;5,"yep","on track")</f>
        <v>yep</v>
      </c>
      <c r="Q4911" s="3">
        <f ca="1">IF(Proc[[#This Row],[DateClosed]]="",ABS(NETWORKDAYS(Proc[[#This Row],[DateOpened]],TODAY()))-1,ABS(NETWORKDAYS(Proc[[#This Row],[DateOpened]],Proc[[#This Row],[DateClosed]]))-1)</f>
        <v>10</v>
      </c>
      <c r="R4911" s="174" t="s">
        <v>5709</v>
      </c>
      <c r="S4911" s="150"/>
    </row>
    <row r="4912" spans="1:19">
      <c r="A4912" s="149" t="s">
        <v>7039</v>
      </c>
      <c r="B4912" s="150" t="str">
        <f>IFERROR(VLOOKUP(Proc[[#This Row],[App]],Table2[],3,0),"open")</f>
        <v>ok</v>
      </c>
      <c r="C4912" s="149" t="s">
        <v>369</v>
      </c>
      <c r="D4912" t="s">
        <v>7121</v>
      </c>
      <c r="E4912" s="149" t="s">
        <v>7234</v>
      </c>
      <c r="F4912" s="150" t="s">
        <v>7234</v>
      </c>
      <c r="G4912" s="149" t="s">
        <v>406</v>
      </c>
      <c r="H4912" s="150" t="str">
        <f>IF(Proc[[#This Row],[type]]="LFF (MDG-F)",MID(Proc[[#This Row],[Obj]],13,10),"")</f>
        <v>KR11TQ1002</v>
      </c>
      <c r="I4912" s="149" t="s">
        <v>7234</v>
      </c>
      <c r="J4912" s="150" t="b">
        <f>Proc[[#This Row],[Requested]]=Proc[[#This Row],[CurrentParent]]</f>
        <v>1</v>
      </c>
      <c r="K4912" s="150" t="str">
        <f>IF(Proc[[#This Row],[Author]]="Marcela Urrego",VLOOKUP(LEFT(Proc[[#This Row],[Requested]],1),Table3[#All],2,0),VLOOKUP(Proc[[#This Row],[Author]],Table4[],2,0))</f>
        <v>EL</v>
      </c>
      <c r="L4912" s="150" t="s">
        <v>6435</v>
      </c>
      <c r="M4912" s="173">
        <v>45989</v>
      </c>
      <c r="N4912" s="174"/>
      <c r="O4912" s="174"/>
      <c r="P4912" s="174" t="str">
        <f ca="1">IF(Proc[[#This Row],[DaysAgeing]]&gt;5,"yep","on track")</f>
        <v>yep</v>
      </c>
      <c r="Q4912" s="3">
        <f ca="1">IF(Proc[[#This Row],[DateClosed]]="",ABS(NETWORKDAYS(Proc[[#This Row],[DateOpened]],TODAY()))-1,ABS(NETWORKDAYS(Proc[[#This Row],[DateOpened]],Proc[[#This Row],[DateClosed]]))-1)</f>
        <v>10</v>
      </c>
      <c r="R4912" s="174" t="s">
        <v>5709</v>
      </c>
      <c r="S4912" s="150"/>
    </row>
    <row r="4913" spans="1:19">
      <c r="A4913" s="149" t="s">
        <v>7039</v>
      </c>
      <c r="B4913" s="150" t="str">
        <f>IFERROR(VLOOKUP(Proc[[#This Row],[App]],Table2[],3,0),"open")</f>
        <v>ok</v>
      </c>
      <c r="C4913" s="149" t="s">
        <v>369</v>
      </c>
      <c r="D4913" t="s">
        <v>7122</v>
      </c>
      <c r="E4913" s="149" t="s">
        <v>7234</v>
      </c>
      <c r="F4913" s="150" t="s">
        <v>7234</v>
      </c>
      <c r="G4913" s="149" t="s">
        <v>406</v>
      </c>
      <c r="H4913" s="150" t="str">
        <f>IF(Proc[[#This Row],[type]]="LFF (MDG-F)",MID(Proc[[#This Row],[Obj]],13,10),"")</f>
        <v>KR11TQ1003</v>
      </c>
      <c r="I4913" s="149" t="s">
        <v>7234</v>
      </c>
      <c r="J4913" s="150" t="b">
        <f>Proc[[#This Row],[Requested]]=Proc[[#This Row],[CurrentParent]]</f>
        <v>1</v>
      </c>
      <c r="K4913" s="150" t="str">
        <f>IF(Proc[[#This Row],[Author]]="Marcela Urrego",VLOOKUP(LEFT(Proc[[#This Row],[Requested]],1),Table3[#All],2,0),VLOOKUP(Proc[[#This Row],[Author]],Table4[],2,0))</f>
        <v>EL</v>
      </c>
      <c r="L4913" s="150" t="s">
        <v>6435</v>
      </c>
      <c r="M4913" s="173">
        <v>45989</v>
      </c>
      <c r="N4913" s="174"/>
      <c r="O4913" s="174"/>
      <c r="P4913" s="174" t="str">
        <f ca="1">IF(Proc[[#This Row],[DaysAgeing]]&gt;5,"yep","on track")</f>
        <v>yep</v>
      </c>
      <c r="Q4913" s="3">
        <f ca="1">IF(Proc[[#This Row],[DateClosed]]="",ABS(NETWORKDAYS(Proc[[#This Row],[DateOpened]],TODAY()))-1,ABS(NETWORKDAYS(Proc[[#This Row],[DateOpened]],Proc[[#This Row],[DateClosed]]))-1)</f>
        <v>10</v>
      </c>
      <c r="R4913" s="174" t="s">
        <v>5709</v>
      </c>
      <c r="S4913" s="150"/>
    </row>
    <row r="4914" spans="1:19">
      <c r="A4914" s="149" t="s">
        <v>7039</v>
      </c>
      <c r="B4914" s="150" t="str">
        <f>IFERROR(VLOOKUP(Proc[[#This Row],[App]],Table2[],3,0),"open")</f>
        <v>ok</v>
      </c>
      <c r="C4914" s="149" t="s">
        <v>369</v>
      </c>
      <c r="D4914" t="s">
        <v>7123</v>
      </c>
      <c r="E4914" s="149" t="s">
        <v>7234</v>
      </c>
      <c r="F4914" s="150" t="s">
        <v>7234</v>
      </c>
      <c r="G4914" s="149" t="s">
        <v>406</v>
      </c>
      <c r="H4914" s="150" t="str">
        <f>IF(Proc[[#This Row],[type]]="LFF (MDG-F)",MID(Proc[[#This Row],[Obj]],13,10),"")</f>
        <v>KR11TQ1004</v>
      </c>
      <c r="I4914" s="149" t="s">
        <v>7234</v>
      </c>
      <c r="J4914" s="150" t="b">
        <f>Proc[[#This Row],[Requested]]=Proc[[#This Row],[CurrentParent]]</f>
        <v>1</v>
      </c>
      <c r="K4914" s="150" t="str">
        <f>IF(Proc[[#This Row],[Author]]="Marcela Urrego",VLOOKUP(LEFT(Proc[[#This Row],[Requested]],1),Table3[#All],2,0),VLOOKUP(Proc[[#This Row],[Author]],Table4[],2,0))</f>
        <v>EL</v>
      </c>
      <c r="L4914" s="150" t="s">
        <v>6435</v>
      </c>
      <c r="M4914" s="173">
        <v>45989</v>
      </c>
      <c r="N4914" s="174"/>
      <c r="O4914" s="174"/>
      <c r="P4914" s="174" t="str">
        <f ca="1">IF(Proc[[#This Row],[DaysAgeing]]&gt;5,"yep","on track")</f>
        <v>yep</v>
      </c>
      <c r="Q4914" s="3">
        <f ca="1">IF(Proc[[#This Row],[DateClosed]]="",ABS(NETWORKDAYS(Proc[[#This Row],[DateOpened]],TODAY()))-1,ABS(NETWORKDAYS(Proc[[#This Row],[DateOpened]],Proc[[#This Row],[DateClosed]]))-1)</f>
        <v>10</v>
      </c>
      <c r="R4914" s="174" t="s">
        <v>5709</v>
      </c>
      <c r="S4914" s="150"/>
    </row>
    <row r="4915" spans="1:19">
      <c r="A4915" s="149" t="s">
        <v>7039</v>
      </c>
      <c r="B4915" s="150" t="str">
        <f>IFERROR(VLOOKUP(Proc[[#This Row],[App]],Table2[],3,0),"open")</f>
        <v>ok</v>
      </c>
      <c r="C4915" s="149" t="s">
        <v>369</v>
      </c>
      <c r="D4915" t="s">
        <v>7124</v>
      </c>
      <c r="E4915" s="149" t="s">
        <v>7234</v>
      </c>
      <c r="F4915" s="150" t="s">
        <v>7234</v>
      </c>
      <c r="G4915" s="149" t="s">
        <v>406</v>
      </c>
      <c r="H4915" s="150" t="str">
        <f>IF(Proc[[#This Row],[type]]="LFF (MDG-F)",MID(Proc[[#This Row],[Obj]],13,10),"")</f>
        <v>KR15TQ1001</v>
      </c>
      <c r="I4915" s="149" t="s">
        <v>7234</v>
      </c>
      <c r="J4915" s="150" t="b">
        <f>Proc[[#This Row],[Requested]]=Proc[[#This Row],[CurrentParent]]</f>
        <v>1</v>
      </c>
      <c r="K4915" s="150" t="str">
        <f>IF(Proc[[#This Row],[Author]]="Marcela Urrego",VLOOKUP(LEFT(Proc[[#This Row],[Requested]],1),Table3[#All],2,0),VLOOKUP(Proc[[#This Row],[Author]],Table4[],2,0))</f>
        <v>EL</v>
      </c>
      <c r="L4915" s="150" t="s">
        <v>6435</v>
      </c>
      <c r="M4915" s="173">
        <v>45989</v>
      </c>
      <c r="N4915" s="174"/>
      <c r="O4915" s="174"/>
      <c r="P4915" s="174" t="str">
        <f ca="1">IF(Proc[[#This Row],[DaysAgeing]]&gt;5,"yep","on track")</f>
        <v>yep</v>
      </c>
      <c r="Q4915" s="3">
        <f ca="1">IF(Proc[[#This Row],[DateClosed]]="",ABS(NETWORKDAYS(Proc[[#This Row],[DateOpened]],TODAY()))-1,ABS(NETWORKDAYS(Proc[[#This Row],[DateOpened]],Proc[[#This Row],[DateClosed]]))-1)</f>
        <v>10</v>
      </c>
      <c r="R4915" s="174" t="s">
        <v>5709</v>
      </c>
      <c r="S4915" s="150"/>
    </row>
    <row r="4916" spans="1:19">
      <c r="A4916" s="149" t="s">
        <v>7039</v>
      </c>
      <c r="B4916" s="150" t="str">
        <f>IFERROR(VLOOKUP(Proc[[#This Row],[App]],Table2[],3,0),"open")</f>
        <v>ok</v>
      </c>
      <c r="C4916" s="149" t="s">
        <v>369</v>
      </c>
      <c r="D4916" t="s">
        <v>7125</v>
      </c>
      <c r="E4916" s="149" t="s">
        <v>7234</v>
      </c>
      <c r="F4916" s="150" t="s">
        <v>7234</v>
      </c>
      <c r="G4916" s="149" t="s">
        <v>406</v>
      </c>
      <c r="H4916" s="150" t="str">
        <f>IF(Proc[[#This Row],[type]]="LFF (MDG-F)",MID(Proc[[#This Row],[Obj]],13,10),"")</f>
        <v>KR16TQ1001</v>
      </c>
      <c r="I4916" s="149" t="s">
        <v>7234</v>
      </c>
      <c r="J4916" s="150" t="b">
        <f>Proc[[#This Row],[Requested]]=Proc[[#This Row],[CurrentParent]]</f>
        <v>1</v>
      </c>
      <c r="K4916" s="150" t="str">
        <f>IF(Proc[[#This Row],[Author]]="Marcela Urrego",VLOOKUP(LEFT(Proc[[#This Row],[Requested]],1),Table3[#All],2,0),VLOOKUP(Proc[[#This Row],[Author]],Table4[],2,0))</f>
        <v>EL</v>
      </c>
      <c r="L4916" s="150" t="s">
        <v>6435</v>
      </c>
      <c r="M4916" s="173">
        <v>45989</v>
      </c>
      <c r="N4916" s="174"/>
      <c r="O4916" s="174"/>
      <c r="P4916" s="174" t="str">
        <f ca="1">IF(Proc[[#This Row],[DaysAgeing]]&gt;5,"yep","on track")</f>
        <v>yep</v>
      </c>
      <c r="Q4916" s="3">
        <f ca="1">IF(Proc[[#This Row],[DateClosed]]="",ABS(NETWORKDAYS(Proc[[#This Row],[DateOpened]],TODAY()))-1,ABS(NETWORKDAYS(Proc[[#This Row],[DateOpened]],Proc[[#This Row],[DateClosed]]))-1)</f>
        <v>10</v>
      </c>
      <c r="R4916" s="174" t="s">
        <v>5709</v>
      </c>
      <c r="S4916" s="150"/>
    </row>
    <row r="4917" spans="1:19">
      <c r="A4917" s="149" t="s">
        <v>7039</v>
      </c>
      <c r="B4917" s="150" t="str">
        <f>IFERROR(VLOOKUP(Proc[[#This Row],[App]],Table2[],3,0),"open")</f>
        <v>ok</v>
      </c>
      <c r="C4917" s="149" t="s">
        <v>369</v>
      </c>
      <c r="D4917" t="s">
        <v>7126</v>
      </c>
      <c r="E4917" s="149" t="s">
        <v>7234</v>
      </c>
      <c r="F4917" s="150" t="s">
        <v>7234</v>
      </c>
      <c r="G4917" s="149" t="s">
        <v>406</v>
      </c>
      <c r="H4917" s="150" t="str">
        <f>IF(Proc[[#This Row],[type]]="LFF (MDG-F)",MID(Proc[[#This Row],[Obj]],13,10),"")</f>
        <v>KR16TQ1002</v>
      </c>
      <c r="I4917" s="149" t="s">
        <v>7234</v>
      </c>
      <c r="J4917" s="150" t="b">
        <f>Proc[[#This Row],[Requested]]=Proc[[#This Row],[CurrentParent]]</f>
        <v>1</v>
      </c>
      <c r="K4917" s="150" t="str">
        <f>IF(Proc[[#This Row],[Author]]="Marcela Urrego",VLOOKUP(LEFT(Proc[[#This Row],[Requested]],1),Table3[#All],2,0),VLOOKUP(Proc[[#This Row],[Author]],Table4[],2,0))</f>
        <v>EL</v>
      </c>
      <c r="L4917" s="150" t="s">
        <v>6435</v>
      </c>
      <c r="M4917" s="173">
        <v>45989</v>
      </c>
      <c r="N4917" s="174"/>
      <c r="O4917" s="174"/>
      <c r="P4917" s="174" t="str">
        <f ca="1">IF(Proc[[#This Row],[DaysAgeing]]&gt;5,"yep","on track")</f>
        <v>yep</v>
      </c>
      <c r="Q4917" s="3">
        <f ca="1">IF(Proc[[#This Row],[DateClosed]]="",ABS(NETWORKDAYS(Proc[[#This Row],[DateOpened]],TODAY()))-1,ABS(NETWORKDAYS(Proc[[#This Row],[DateOpened]],Proc[[#This Row],[DateClosed]]))-1)</f>
        <v>10</v>
      </c>
      <c r="R4917" s="174" t="s">
        <v>5709</v>
      </c>
      <c r="S4917" s="150"/>
    </row>
    <row r="4918" spans="1:19">
      <c r="A4918" s="149" t="s">
        <v>7039</v>
      </c>
      <c r="B4918" s="150" t="str">
        <f>IFERROR(VLOOKUP(Proc[[#This Row],[App]],Table2[],3,0),"open")</f>
        <v>ok</v>
      </c>
      <c r="C4918" s="149" t="s">
        <v>369</v>
      </c>
      <c r="D4918" t="s">
        <v>7127</v>
      </c>
      <c r="E4918" s="149" t="s">
        <v>7235</v>
      </c>
      <c r="F4918" s="150" t="s">
        <v>7235</v>
      </c>
      <c r="G4918" s="149" t="s">
        <v>406</v>
      </c>
      <c r="H4918" s="150" t="str">
        <f>IF(Proc[[#This Row],[type]]="LFF (MDG-F)",MID(Proc[[#This Row],[Obj]],13,10),"")</f>
        <v>JP02TQMZ01</v>
      </c>
      <c r="I4918" s="149" t="s">
        <v>7235</v>
      </c>
      <c r="J4918" s="150" t="b">
        <f>Proc[[#This Row],[Requested]]=Proc[[#This Row],[CurrentParent]]</f>
        <v>1</v>
      </c>
      <c r="K4918" s="150" t="str">
        <f>IF(Proc[[#This Row],[Author]]="Marcela Urrego",VLOOKUP(LEFT(Proc[[#This Row],[Requested]],1),Table3[#All],2,0),VLOOKUP(Proc[[#This Row],[Author]],Table4[],2,0))</f>
        <v>EL</v>
      </c>
      <c r="L4918" s="150" t="s">
        <v>6435</v>
      </c>
      <c r="M4918" s="173">
        <v>45989</v>
      </c>
      <c r="N4918" s="174"/>
      <c r="O4918" s="174"/>
      <c r="P4918" s="174" t="str">
        <f ca="1">IF(Proc[[#This Row],[DaysAgeing]]&gt;5,"yep","on track")</f>
        <v>yep</v>
      </c>
      <c r="Q4918" s="3">
        <f ca="1">IF(Proc[[#This Row],[DateClosed]]="",ABS(NETWORKDAYS(Proc[[#This Row],[DateOpened]],TODAY()))-1,ABS(NETWORKDAYS(Proc[[#This Row],[DateOpened]],Proc[[#This Row],[DateClosed]]))-1)</f>
        <v>10</v>
      </c>
      <c r="R4918" s="174" t="s">
        <v>5709</v>
      </c>
      <c r="S4918" s="150"/>
    </row>
    <row r="4919" spans="1:19">
      <c r="A4919" s="149" t="s">
        <v>7039</v>
      </c>
      <c r="B4919" s="150" t="str">
        <f>IFERROR(VLOOKUP(Proc[[#This Row],[App]],Table2[],3,0),"open")</f>
        <v>ok</v>
      </c>
      <c r="C4919" s="149" t="s">
        <v>369</v>
      </c>
      <c r="D4919" t="s">
        <v>7128</v>
      </c>
      <c r="E4919" s="149" t="s">
        <v>7235</v>
      </c>
      <c r="F4919" s="150" t="s">
        <v>7235</v>
      </c>
      <c r="G4919" s="149" t="s">
        <v>406</v>
      </c>
      <c r="H4919" s="150" t="str">
        <f>IF(Proc[[#This Row],[type]]="LFF (MDG-F)",MID(Proc[[#This Row],[Obj]],13,10),"")</f>
        <v>KR03TPPZ04</v>
      </c>
      <c r="I4919" s="149" t="s">
        <v>7235</v>
      </c>
      <c r="J4919" s="150" t="b">
        <f>Proc[[#This Row],[Requested]]=Proc[[#This Row],[CurrentParent]]</f>
        <v>1</v>
      </c>
      <c r="K4919" s="150" t="str">
        <f>IF(Proc[[#This Row],[Author]]="Marcela Urrego",VLOOKUP(LEFT(Proc[[#This Row],[Requested]],1),Table3[#All],2,0),VLOOKUP(Proc[[#This Row],[Author]],Table4[],2,0))</f>
        <v>EL</v>
      </c>
      <c r="L4919" s="150" t="s">
        <v>6435</v>
      </c>
      <c r="M4919" s="173">
        <v>45989</v>
      </c>
      <c r="N4919" s="174"/>
      <c r="O4919" s="174"/>
      <c r="P4919" s="174" t="str">
        <f ca="1">IF(Proc[[#This Row],[DaysAgeing]]&gt;5,"yep","on track")</f>
        <v>yep</v>
      </c>
      <c r="Q4919" s="3">
        <f ca="1">IF(Proc[[#This Row],[DateClosed]]="",ABS(NETWORKDAYS(Proc[[#This Row],[DateOpened]],TODAY()))-1,ABS(NETWORKDAYS(Proc[[#This Row],[DateOpened]],Proc[[#This Row],[DateClosed]]))-1)</f>
        <v>10</v>
      </c>
      <c r="R4919" s="174" t="s">
        <v>5709</v>
      </c>
      <c r="S4919" s="150"/>
    </row>
    <row r="4920" spans="1:19">
      <c r="A4920" s="149" t="s">
        <v>7039</v>
      </c>
      <c r="B4920" s="150" t="str">
        <f>IFERROR(VLOOKUP(Proc[[#This Row],[App]],Table2[],3,0),"open")</f>
        <v>ok</v>
      </c>
      <c r="C4920" s="149" t="s">
        <v>369</v>
      </c>
      <c r="D4920" t="s">
        <v>7129</v>
      </c>
      <c r="E4920" s="149" t="s">
        <v>7235</v>
      </c>
      <c r="F4920" s="150" t="s">
        <v>7235</v>
      </c>
      <c r="G4920" s="149" t="s">
        <v>406</v>
      </c>
      <c r="H4920" s="150" t="str">
        <f>IF(Proc[[#This Row],[type]]="LFF (MDG-F)",MID(Proc[[#This Row],[Obj]],13,10),"")</f>
        <v>KR07DB3300</v>
      </c>
      <c r="I4920" s="149" t="s">
        <v>7235</v>
      </c>
      <c r="J4920" s="150" t="b">
        <f>Proc[[#This Row],[Requested]]=Proc[[#This Row],[CurrentParent]]</f>
        <v>1</v>
      </c>
      <c r="K4920" s="150" t="str">
        <f>IF(Proc[[#This Row],[Author]]="Marcela Urrego",VLOOKUP(LEFT(Proc[[#This Row],[Requested]],1),Table3[#All],2,0),VLOOKUP(Proc[[#This Row],[Author]],Table4[],2,0))</f>
        <v>EL</v>
      </c>
      <c r="L4920" s="150" t="s">
        <v>6435</v>
      </c>
      <c r="M4920" s="173">
        <v>45989</v>
      </c>
      <c r="N4920" s="174"/>
      <c r="O4920" s="174"/>
      <c r="P4920" s="174" t="str">
        <f ca="1">IF(Proc[[#This Row],[DaysAgeing]]&gt;5,"yep","on track")</f>
        <v>yep</v>
      </c>
      <c r="Q4920" s="3">
        <f ca="1">IF(Proc[[#This Row],[DateClosed]]="",ABS(NETWORKDAYS(Proc[[#This Row],[DateOpened]],TODAY()))-1,ABS(NETWORKDAYS(Proc[[#This Row],[DateOpened]],Proc[[#This Row],[DateClosed]]))-1)</f>
        <v>10</v>
      </c>
      <c r="R4920" s="174" t="s">
        <v>5709</v>
      </c>
      <c r="S4920" s="150"/>
    </row>
    <row r="4921" spans="1:19">
      <c r="A4921" s="149" t="s">
        <v>7039</v>
      </c>
      <c r="B4921" s="150" t="str">
        <f>IFERROR(VLOOKUP(Proc[[#This Row],[App]],Table2[],3,0),"open")</f>
        <v>ok</v>
      </c>
      <c r="C4921" s="149" t="s">
        <v>369</v>
      </c>
      <c r="D4921" t="s">
        <v>7130</v>
      </c>
      <c r="E4921" s="149" t="s">
        <v>7235</v>
      </c>
      <c r="F4921" s="150" t="s">
        <v>7235</v>
      </c>
      <c r="G4921" s="149" t="s">
        <v>406</v>
      </c>
      <c r="H4921" s="150" t="str">
        <f>IF(Proc[[#This Row],[type]]="LFF (MDG-F)",MID(Proc[[#This Row],[Obj]],13,10),"")</f>
        <v>KR15TM3000</v>
      </c>
      <c r="I4921" s="149" t="s">
        <v>7235</v>
      </c>
      <c r="J4921" s="150" t="b">
        <f>Proc[[#This Row],[Requested]]=Proc[[#This Row],[CurrentParent]]</f>
        <v>1</v>
      </c>
      <c r="K4921" s="150" t="str">
        <f>IF(Proc[[#This Row],[Author]]="Marcela Urrego",VLOOKUP(LEFT(Proc[[#This Row],[Requested]],1),Table3[#All],2,0),VLOOKUP(Proc[[#This Row],[Author]],Table4[],2,0))</f>
        <v>EL</v>
      </c>
      <c r="L4921" s="150" t="s">
        <v>6435</v>
      </c>
      <c r="M4921" s="173">
        <v>45989</v>
      </c>
      <c r="N4921" s="174"/>
      <c r="O4921" s="174"/>
      <c r="P4921" s="174" t="str">
        <f ca="1">IF(Proc[[#This Row],[DaysAgeing]]&gt;5,"yep","on track")</f>
        <v>yep</v>
      </c>
      <c r="Q4921" s="3">
        <f ca="1">IF(Proc[[#This Row],[DateClosed]]="",ABS(NETWORKDAYS(Proc[[#This Row],[DateOpened]],TODAY()))-1,ABS(NETWORKDAYS(Proc[[#This Row],[DateOpened]],Proc[[#This Row],[DateClosed]]))-1)</f>
        <v>10</v>
      </c>
      <c r="R4921" s="174" t="s">
        <v>5709</v>
      </c>
      <c r="S4921" s="150"/>
    </row>
    <row r="4922" spans="1:19">
      <c r="A4922" s="149" t="s">
        <v>7039</v>
      </c>
      <c r="B4922" s="150" t="str">
        <f>IFERROR(VLOOKUP(Proc[[#This Row],[App]],Table2[],3,0),"open")</f>
        <v>ok</v>
      </c>
      <c r="C4922" s="149" t="s">
        <v>369</v>
      </c>
      <c r="D4922" t="s">
        <v>7131</v>
      </c>
      <c r="E4922" s="149" t="s">
        <v>7236</v>
      </c>
      <c r="F4922" s="150" t="s">
        <v>7236</v>
      </c>
      <c r="G4922" s="149" t="s">
        <v>406</v>
      </c>
      <c r="H4922" s="150" t="str">
        <f>IF(Proc[[#This Row],[type]]="LFF (MDG-F)",MID(Proc[[#This Row],[Obj]],13,10),"")</f>
        <v>KR02TPAZ02</v>
      </c>
      <c r="I4922" s="149" t="s">
        <v>7236</v>
      </c>
      <c r="J4922" s="150" t="b">
        <f>Proc[[#This Row],[Requested]]=Proc[[#This Row],[CurrentParent]]</f>
        <v>1</v>
      </c>
      <c r="K4922" s="150" t="str">
        <f>IF(Proc[[#This Row],[Author]]="Marcela Urrego",VLOOKUP(LEFT(Proc[[#This Row],[Requested]],1),Table3[#All],2,0),VLOOKUP(Proc[[#This Row],[Author]],Table4[],2,0))</f>
        <v>EL</v>
      </c>
      <c r="L4922" s="150" t="s">
        <v>6435</v>
      </c>
      <c r="M4922" s="173">
        <v>45989</v>
      </c>
      <c r="N4922" s="174"/>
      <c r="O4922" s="174"/>
      <c r="P4922" s="174" t="str">
        <f ca="1">IF(Proc[[#This Row],[DaysAgeing]]&gt;5,"yep","on track")</f>
        <v>yep</v>
      </c>
      <c r="Q4922" s="3">
        <f ca="1">IF(Proc[[#This Row],[DateClosed]]="",ABS(NETWORKDAYS(Proc[[#This Row],[DateOpened]],TODAY()))-1,ABS(NETWORKDAYS(Proc[[#This Row],[DateOpened]],Proc[[#This Row],[DateClosed]]))-1)</f>
        <v>10</v>
      </c>
      <c r="R4922" s="174" t="s">
        <v>5709</v>
      </c>
      <c r="S4922" s="150"/>
    </row>
    <row r="4923" spans="1:19">
      <c r="A4923" s="149" t="s">
        <v>7039</v>
      </c>
      <c r="B4923" s="150" t="str">
        <f>IFERROR(VLOOKUP(Proc[[#This Row],[App]],Table2[],3,0),"open")</f>
        <v>ok</v>
      </c>
      <c r="C4923" s="149" t="s">
        <v>369</v>
      </c>
      <c r="D4923" t="s">
        <v>7132</v>
      </c>
      <c r="E4923" s="149" t="s">
        <v>7236</v>
      </c>
      <c r="F4923" s="150" t="s">
        <v>7236</v>
      </c>
      <c r="G4923" s="149" t="s">
        <v>406</v>
      </c>
      <c r="H4923" s="150" t="str">
        <f>IF(Proc[[#This Row],[type]]="LFF (MDG-F)",MID(Proc[[#This Row],[Obj]],13,10),"")</f>
        <v>KR07DB3301</v>
      </c>
      <c r="I4923" s="149" t="s">
        <v>7236</v>
      </c>
      <c r="J4923" s="150" t="b">
        <f>Proc[[#This Row],[Requested]]=Proc[[#This Row],[CurrentParent]]</f>
        <v>1</v>
      </c>
      <c r="K4923" s="150" t="str">
        <f>IF(Proc[[#This Row],[Author]]="Marcela Urrego",VLOOKUP(LEFT(Proc[[#This Row],[Requested]],1),Table3[#All],2,0),VLOOKUP(Proc[[#This Row],[Author]],Table4[],2,0))</f>
        <v>EL</v>
      </c>
      <c r="L4923" s="150" t="s">
        <v>6435</v>
      </c>
      <c r="M4923" s="173">
        <v>45989</v>
      </c>
      <c r="N4923" s="174"/>
      <c r="O4923" s="174"/>
      <c r="P4923" s="174" t="str">
        <f ca="1">IF(Proc[[#This Row],[DaysAgeing]]&gt;5,"yep","on track")</f>
        <v>yep</v>
      </c>
      <c r="Q4923" s="3">
        <f ca="1">IF(Proc[[#This Row],[DateClosed]]="",ABS(NETWORKDAYS(Proc[[#This Row],[DateOpened]],TODAY()))-1,ABS(NETWORKDAYS(Proc[[#This Row],[DateOpened]],Proc[[#This Row],[DateClosed]]))-1)</f>
        <v>10</v>
      </c>
      <c r="R4923" s="174" t="s">
        <v>5709</v>
      </c>
      <c r="S4923" s="150"/>
    </row>
    <row r="4924" spans="1:19">
      <c r="A4924" s="149" t="s">
        <v>7039</v>
      </c>
      <c r="B4924" s="150" t="str">
        <f>IFERROR(VLOOKUP(Proc[[#This Row],[App]],Table2[],3,0),"open")</f>
        <v>ok</v>
      </c>
      <c r="C4924" s="149" t="s">
        <v>369</v>
      </c>
      <c r="D4924" t="s">
        <v>7133</v>
      </c>
      <c r="E4924" s="149" t="s">
        <v>7236</v>
      </c>
      <c r="F4924" s="150" t="s">
        <v>7236</v>
      </c>
      <c r="G4924" s="149" t="s">
        <v>406</v>
      </c>
      <c r="H4924" s="150" t="str">
        <f>IF(Proc[[#This Row],[type]]="LFF (MDG-F)",MID(Proc[[#This Row],[Obj]],13,10),"")</f>
        <v>KR07DB3302</v>
      </c>
      <c r="I4924" s="149" t="s">
        <v>7236</v>
      </c>
      <c r="J4924" s="150" t="b">
        <f>Proc[[#This Row],[Requested]]=Proc[[#This Row],[CurrentParent]]</f>
        <v>1</v>
      </c>
      <c r="K4924" s="150" t="str">
        <f>IF(Proc[[#This Row],[Author]]="Marcela Urrego",VLOOKUP(LEFT(Proc[[#This Row],[Requested]],1),Table3[#All],2,0),VLOOKUP(Proc[[#This Row],[Author]],Table4[],2,0))</f>
        <v>EL</v>
      </c>
      <c r="L4924" s="150" t="s">
        <v>6435</v>
      </c>
      <c r="M4924" s="173">
        <v>45989</v>
      </c>
      <c r="N4924" s="174"/>
      <c r="O4924" s="174"/>
      <c r="P4924" s="174" t="str">
        <f ca="1">IF(Proc[[#This Row],[DaysAgeing]]&gt;5,"yep","on track")</f>
        <v>yep</v>
      </c>
      <c r="Q4924" s="3">
        <f ca="1">IF(Proc[[#This Row],[DateClosed]]="",ABS(NETWORKDAYS(Proc[[#This Row],[DateOpened]],TODAY()))-1,ABS(NETWORKDAYS(Proc[[#This Row],[DateOpened]],Proc[[#This Row],[DateClosed]]))-1)</f>
        <v>10</v>
      </c>
      <c r="R4924" s="174" t="s">
        <v>5709</v>
      </c>
      <c r="S4924" s="150"/>
    </row>
    <row r="4925" spans="1:19">
      <c r="A4925" s="149" t="s">
        <v>7039</v>
      </c>
      <c r="B4925" s="150" t="str">
        <f>IFERROR(VLOOKUP(Proc[[#This Row],[App]],Table2[],3,0),"open")</f>
        <v>ok</v>
      </c>
      <c r="C4925" s="149" t="s">
        <v>369</v>
      </c>
      <c r="D4925" t="s">
        <v>7134</v>
      </c>
      <c r="E4925" s="149" t="s">
        <v>7236</v>
      </c>
      <c r="F4925" s="150" t="s">
        <v>7236</v>
      </c>
      <c r="G4925" s="149" t="s">
        <v>406</v>
      </c>
      <c r="H4925" s="150" t="str">
        <f>IF(Proc[[#This Row],[type]]="LFF (MDG-F)",MID(Proc[[#This Row],[Obj]],13,10),"")</f>
        <v>KR11DB2111</v>
      </c>
      <c r="I4925" s="149" t="s">
        <v>7236</v>
      </c>
      <c r="J4925" s="150" t="b">
        <f>Proc[[#This Row],[Requested]]=Proc[[#This Row],[CurrentParent]]</f>
        <v>1</v>
      </c>
      <c r="K4925" s="150" t="str">
        <f>IF(Proc[[#This Row],[Author]]="Marcela Urrego",VLOOKUP(LEFT(Proc[[#This Row],[Requested]],1),Table3[#All],2,0),VLOOKUP(Proc[[#This Row],[Author]],Table4[],2,0))</f>
        <v>EL</v>
      </c>
      <c r="L4925" s="150" t="s">
        <v>6435</v>
      </c>
      <c r="M4925" s="173">
        <v>45989</v>
      </c>
      <c r="N4925" s="174"/>
      <c r="O4925" s="174"/>
      <c r="P4925" s="174" t="str">
        <f ca="1">IF(Proc[[#This Row],[DaysAgeing]]&gt;5,"yep","on track")</f>
        <v>yep</v>
      </c>
      <c r="Q4925" s="3">
        <f ca="1">IF(Proc[[#This Row],[DateClosed]]="",ABS(NETWORKDAYS(Proc[[#This Row],[DateOpened]],TODAY()))-1,ABS(NETWORKDAYS(Proc[[#This Row],[DateOpened]],Proc[[#This Row],[DateClosed]]))-1)</f>
        <v>10</v>
      </c>
      <c r="R4925" s="174" t="s">
        <v>5709</v>
      </c>
      <c r="S4925" s="150"/>
    </row>
    <row r="4926" spans="1:19">
      <c r="A4926" s="149" t="s">
        <v>7039</v>
      </c>
      <c r="B4926" s="150" t="str">
        <f>IFERROR(VLOOKUP(Proc[[#This Row],[App]],Table2[],3,0),"open")</f>
        <v>ok</v>
      </c>
      <c r="C4926" s="149" t="s">
        <v>369</v>
      </c>
      <c r="D4926" t="s">
        <v>7135</v>
      </c>
      <c r="E4926" s="149" t="s">
        <v>7236</v>
      </c>
      <c r="F4926" s="150" t="s">
        <v>7236</v>
      </c>
      <c r="G4926" s="149" t="s">
        <v>406</v>
      </c>
      <c r="H4926" s="150" t="str">
        <f>IF(Proc[[#This Row],[type]]="LFF (MDG-F)",MID(Proc[[#This Row],[Obj]],13,10),"")</f>
        <v>KR11DB2112</v>
      </c>
      <c r="I4926" s="149" t="s">
        <v>7236</v>
      </c>
      <c r="J4926" s="150" t="b">
        <f>Proc[[#This Row],[Requested]]=Proc[[#This Row],[CurrentParent]]</f>
        <v>1</v>
      </c>
      <c r="K4926" s="150" t="str">
        <f>IF(Proc[[#This Row],[Author]]="Marcela Urrego",VLOOKUP(LEFT(Proc[[#This Row],[Requested]],1),Table3[#All],2,0),VLOOKUP(Proc[[#This Row],[Author]],Table4[],2,0))</f>
        <v>EL</v>
      </c>
      <c r="L4926" s="150" t="s">
        <v>6435</v>
      </c>
      <c r="M4926" s="173">
        <v>45989</v>
      </c>
      <c r="N4926" s="174"/>
      <c r="O4926" s="174"/>
      <c r="P4926" s="174" t="str">
        <f ca="1">IF(Proc[[#This Row],[DaysAgeing]]&gt;5,"yep","on track")</f>
        <v>yep</v>
      </c>
      <c r="Q4926" s="3">
        <f ca="1">IF(Proc[[#This Row],[DateClosed]]="",ABS(NETWORKDAYS(Proc[[#This Row],[DateOpened]],TODAY()))-1,ABS(NETWORKDAYS(Proc[[#This Row],[DateOpened]],Proc[[#This Row],[DateClosed]]))-1)</f>
        <v>10</v>
      </c>
      <c r="R4926" s="174" t="s">
        <v>5709</v>
      </c>
      <c r="S4926" s="150"/>
    </row>
    <row r="4927" spans="1:19">
      <c r="A4927" s="149" t="s">
        <v>7039</v>
      </c>
      <c r="B4927" s="150" t="str">
        <f>IFERROR(VLOOKUP(Proc[[#This Row],[App]],Table2[],3,0),"open")</f>
        <v>ok</v>
      </c>
      <c r="C4927" s="149" t="s">
        <v>369</v>
      </c>
      <c r="D4927" t="s">
        <v>7136</v>
      </c>
      <c r="E4927" s="149" t="s">
        <v>7236</v>
      </c>
      <c r="F4927" s="150" t="s">
        <v>7236</v>
      </c>
      <c r="G4927" s="149" t="s">
        <v>406</v>
      </c>
      <c r="H4927" s="150" t="str">
        <f>IF(Proc[[#This Row],[type]]="LFF (MDG-F)",MID(Proc[[#This Row],[Obj]],13,10),"")</f>
        <v>KR15DB3303</v>
      </c>
      <c r="I4927" s="149" t="s">
        <v>7236</v>
      </c>
      <c r="J4927" s="150" t="b">
        <f>Proc[[#This Row],[Requested]]=Proc[[#This Row],[CurrentParent]]</f>
        <v>1</v>
      </c>
      <c r="K4927" s="150" t="str">
        <f>IF(Proc[[#This Row],[Author]]="Marcela Urrego",VLOOKUP(LEFT(Proc[[#This Row],[Requested]],1),Table3[#All],2,0),VLOOKUP(Proc[[#This Row],[Author]],Table4[],2,0))</f>
        <v>EL</v>
      </c>
      <c r="L4927" s="150" t="s">
        <v>6435</v>
      </c>
      <c r="M4927" s="173">
        <v>45989</v>
      </c>
      <c r="N4927" s="174"/>
      <c r="O4927" s="174"/>
      <c r="P4927" s="174" t="str">
        <f ca="1">IF(Proc[[#This Row],[DaysAgeing]]&gt;5,"yep","on track")</f>
        <v>yep</v>
      </c>
      <c r="Q4927" s="3">
        <f ca="1">IF(Proc[[#This Row],[DateClosed]]="",ABS(NETWORKDAYS(Proc[[#This Row],[DateOpened]],TODAY()))-1,ABS(NETWORKDAYS(Proc[[#This Row],[DateOpened]],Proc[[#This Row],[DateClosed]]))-1)</f>
        <v>10</v>
      </c>
      <c r="R4927" s="174" t="s">
        <v>5709</v>
      </c>
      <c r="S4927" s="150"/>
    </row>
    <row r="4928" spans="1:19">
      <c r="A4928" s="149" t="s">
        <v>7039</v>
      </c>
      <c r="B4928" s="150" t="str">
        <f>IFERROR(VLOOKUP(Proc[[#This Row],[App]],Table2[],3,0),"open")</f>
        <v>ok</v>
      </c>
      <c r="C4928" s="149" t="s">
        <v>369</v>
      </c>
      <c r="D4928" t="s">
        <v>7137</v>
      </c>
      <c r="E4928" s="149" t="s">
        <v>7236</v>
      </c>
      <c r="F4928" s="150" t="s">
        <v>7236</v>
      </c>
      <c r="G4928" s="149" t="s">
        <v>406</v>
      </c>
      <c r="H4928" s="150" t="str">
        <f>IF(Proc[[#This Row],[type]]="LFF (MDG-F)",MID(Proc[[#This Row],[Obj]],13,10),"")</f>
        <v>KR16DB3300</v>
      </c>
      <c r="I4928" s="149" t="s">
        <v>7236</v>
      </c>
      <c r="J4928" s="150" t="b">
        <f>Proc[[#This Row],[Requested]]=Proc[[#This Row],[CurrentParent]]</f>
        <v>1</v>
      </c>
      <c r="K4928" s="150" t="str">
        <f>IF(Proc[[#This Row],[Author]]="Marcela Urrego",VLOOKUP(LEFT(Proc[[#This Row],[Requested]],1),Table3[#All],2,0),VLOOKUP(Proc[[#This Row],[Author]],Table4[],2,0))</f>
        <v>EL</v>
      </c>
      <c r="L4928" s="150" t="s">
        <v>6435</v>
      </c>
      <c r="M4928" s="173">
        <v>45989</v>
      </c>
      <c r="N4928" s="174"/>
      <c r="O4928" s="174"/>
      <c r="P4928" s="174" t="str">
        <f ca="1">IF(Proc[[#This Row],[DaysAgeing]]&gt;5,"yep","on track")</f>
        <v>yep</v>
      </c>
      <c r="Q4928" s="3">
        <f ca="1">IF(Proc[[#This Row],[DateClosed]]="",ABS(NETWORKDAYS(Proc[[#This Row],[DateOpened]],TODAY()))-1,ABS(NETWORKDAYS(Proc[[#This Row],[DateOpened]],Proc[[#This Row],[DateClosed]]))-1)</f>
        <v>10</v>
      </c>
      <c r="R4928" s="174" t="s">
        <v>5709</v>
      </c>
      <c r="S4928" s="150"/>
    </row>
    <row r="4929" spans="1:19">
      <c r="A4929" s="149" t="s">
        <v>7039</v>
      </c>
      <c r="B4929" s="150" t="str">
        <f>IFERROR(VLOOKUP(Proc[[#This Row],[App]],Table2[],3,0),"open")</f>
        <v>ok</v>
      </c>
      <c r="C4929" s="149" t="s">
        <v>369</v>
      </c>
      <c r="D4929" t="s">
        <v>7138</v>
      </c>
      <c r="E4929" s="149" t="s">
        <v>7237</v>
      </c>
      <c r="F4929" s="150" t="s">
        <v>7237</v>
      </c>
      <c r="G4929" s="149" t="s">
        <v>406</v>
      </c>
      <c r="H4929" s="150" t="str">
        <f>IF(Proc[[#This Row],[type]]="LFF (MDG-F)",MID(Proc[[#This Row],[Obj]],13,10),"")</f>
        <v>US01C01305</v>
      </c>
      <c r="I4929" s="149" t="s">
        <v>7237</v>
      </c>
      <c r="J4929" s="150" t="b">
        <f>Proc[[#This Row],[Requested]]=Proc[[#This Row],[CurrentParent]]</f>
        <v>1</v>
      </c>
      <c r="K4929" s="150" t="str">
        <f>IF(Proc[[#This Row],[Author]]="Marcela Urrego",VLOOKUP(LEFT(Proc[[#This Row],[Requested]],1),Table3[#All],2,0),VLOOKUP(Proc[[#This Row],[Author]],Table4[],2,0))</f>
        <v>EL</v>
      </c>
      <c r="L4929" s="150" t="s">
        <v>6435</v>
      </c>
      <c r="M4929" s="173">
        <v>45989</v>
      </c>
      <c r="N4929" s="174"/>
      <c r="O4929" s="174"/>
      <c r="P4929" s="174" t="str">
        <f ca="1">IF(Proc[[#This Row],[DaysAgeing]]&gt;5,"yep","on track")</f>
        <v>yep</v>
      </c>
      <c r="Q4929" s="3">
        <f ca="1">IF(Proc[[#This Row],[DateClosed]]="",ABS(NETWORKDAYS(Proc[[#This Row],[DateOpened]],TODAY()))-1,ABS(NETWORKDAYS(Proc[[#This Row],[DateOpened]],Proc[[#This Row],[DateClosed]]))-1)</f>
        <v>10</v>
      </c>
      <c r="R4929" s="174" t="s">
        <v>5709</v>
      </c>
      <c r="S4929" s="150"/>
    </row>
    <row r="4930" spans="1:19">
      <c r="A4930" s="149" t="s">
        <v>7039</v>
      </c>
      <c r="B4930" s="150" t="str">
        <f>IFERROR(VLOOKUP(Proc[[#This Row],[App]],Table2[],3,0),"open")</f>
        <v>ok</v>
      </c>
      <c r="C4930" s="149" t="s">
        <v>369</v>
      </c>
      <c r="D4930" t="s">
        <v>7139</v>
      </c>
      <c r="E4930" s="149" t="s">
        <v>7237</v>
      </c>
      <c r="F4930" s="150" t="s">
        <v>7237</v>
      </c>
      <c r="G4930" s="149" t="s">
        <v>406</v>
      </c>
      <c r="H4930" s="150" t="str">
        <f>IF(Proc[[#This Row],[type]]="LFF (MDG-F)",MID(Proc[[#This Row],[Obj]],13,10),"")</f>
        <v>US10DB3021</v>
      </c>
      <c r="I4930" s="149" t="s">
        <v>7237</v>
      </c>
      <c r="J4930" s="150" t="b">
        <f>Proc[[#This Row],[Requested]]=Proc[[#This Row],[CurrentParent]]</f>
        <v>1</v>
      </c>
      <c r="K4930" s="150" t="str">
        <f>IF(Proc[[#This Row],[Author]]="Marcela Urrego",VLOOKUP(LEFT(Proc[[#This Row],[Requested]],1),Table3[#All],2,0),VLOOKUP(Proc[[#This Row],[Author]],Table4[],2,0))</f>
        <v>EL</v>
      </c>
      <c r="L4930" s="150" t="s">
        <v>6435</v>
      </c>
      <c r="M4930" s="173">
        <v>45989</v>
      </c>
      <c r="N4930" s="174"/>
      <c r="O4930" s="174"/>
      <c r="P4930" s="174" t="str">
        <f ca="1">IF(Proc[[#This Row],[DaysAgeing]]&gt;5,"yep","on track")</f>
        <v>yep</v>
      </c>
      <c r="Q4930" s="3">
        <f ca="1">IF(Proc[[#This Row],[DateClosed]]="",ABS(NETWORKDAYS(Proc[[#This Row],[DateOpened]],TODAY()))-1,ABS(NETWORKDAYS(Proc[[#This Row],[DateOpened]],Proc[[#This Row],[DateClosed]]))-1)</f>
        <v>10</v>
      </c>
      <c r="R4930" s="174" t="s">
        <v>5709</v>
      </c>
      <c r="S4930" s="150"/>
    </row>
    <row r="4931" spans="1:19">
      <c r="A4931" s="149" t="s">
        <v>7039</v>
      </c>
      <c r="B4931" s="150" t="str">
        <f>IFERROR(VLOOKUP(Proc[[#This Row],[App]],Table2[],3,0),"open")</f>
        <v>ok</v>
      </c>
      <c r="C4931" s="149" t="s">
        <v>369</v>
      </c>
      <c r="D4931" t="s">
        <v>7140</v>
      </c>
      <c r="E4931" s="149" t="s">
        <v>7238</v>
      </c>
      <c r="F4931" s="150" t="s">
        <v>7238</v>
      </c>
      <c r="G4931" s="149" t="s">
        <v>406</v>
      </c>
      <c r="H4931" s="150" t="str">
        <f>IF(Proc[[#This Row],[type]]="LFF (MDG-F)",MID(Proc[[#This Row],[Obj]],13,10),"")</f>
        <v>US01TPBZ03</v>
      </c>
      <c r="I4931" s="149" t="s">
        <v>7238</v>
      </c>
      <c r="J4931" s="150" t="b">
        <f>Proc[[#This Row],[Requested]]=Proc[[#This Row],[CurrentParent]]</f>
        <v>1</v>
      </c>
      <c r="K4931" s="150" t="str">
        <f>IF(Proc[[#This Row],[Author]]="Marcela Urrego",VLOOKUP(LEFT(Proc[[#This Row],[Requested]],1),Table3[#All],2,0),VLOOKUP(Proc[[#This Row],[Author]],Table4[],2,0))</f>
        <v>EL</v>
      </c>
      <c r="L4931" s="150" t="s">
        <v>6435</v>
      </c>
      <c r="M4931" s="173">
        <v>45989</v>
      </c>
      <c r="N4931" s="174"/>
      <c r="O4931" s="174"/>
      <c r="P4931" s="174" t="str">
        <f ca="1">IF(Proc[[#This Row],[DaysAgeing]]&gt;5,"yep","on track")</f>
        <v>yep</v>
      </c>
      <c r="Q4931" s="3">
        <f ca="1">IF(Proc[[#This Row],[DateClosed]]="",ABS(NETWORKDAYS(Proc[[#This Row],[DateOpened]],TODAY()))-1,ABS(NETWORKDAYS(Proc[[#This Row],[DateOpened]],Proc[[#This Row],[DateClosed]]))-1)</f>
        <v>10</v>
      </c>
      <c r="R4931" s="174" t="s">
        <v>5709</v>
      </c>
      <c r="S4931" s="150"/>
    </row>
    <row r="4932" spans="1:19">
      <c r="A4932" s="149" t="s">
        <v>7039</v>
      </c>
      <c r="B4932" s="150" t="str">
        <f>IFERROR(VLOOKUP(Proc[[#This Row],[App]],Table2[],3,0),"open")</f>
        <v>ok</v>
      </c>
      <c r="C4932" s="149" t="s">
        <v>369</v>
      </c>
      <c r="D4932" t="s">
        <v>7141</v>
      </c>
      <c r="E4932" s="149" t="s">
        <v>7238</v>
      </c>
      <c r="F4932" s="150" t="s">
        <v>7238</v>
      </c>
      <c r="G4932" s="149" t="s">
        <v>406</v>
      </c>
      <c r="H4932" s="150" t="str">
        <f>IF(Proc[[#This Row],[type]]="LFF (MDG-F)",MID(Proc[[#This Row],[Obj]],13,10),"")</f>
        <v>US10DB3004</v>
      </c>
      <c r="I4932" s="149" t="s">
        <v>7238</v>
      </c>
      <c r="J4932" s="150" t="b">
        <f>Proc[[#This Row],[Requested]]=Proc[[#This Row],[CurrentParent]]</f>
        <v>1</v>
      </c>
      <c r="K4932" s="150" t="str">
        <f>IF(Proc[[#This Row],[Author]]="Marcela Urrego",VLOOKUP(LEFT(Proc[[#This Row],[Requested]],1),Table3[#All],2,0),VLOOKUP(Proc[[#This Row],[Author]],Table4[],2,0))</f>
        <v>EL</v>
      </c>
      <c r="L4932" s="150" t="s">
        <v>6435</v>
      </c>
      <c r="M4932" s="173">
        <v>45989</v>
      </c>
      <c r="N4932" s="174"/>
      <c r="O4932" s="174"/>
      <c r="P4932" s="174" t="str">
        <f ca="1">IF(Proc[[#This Row],[DaysAgeing]]&gt;5,"yep","on track")</f>
        <v>yep</v>
      </c>
      <c r="Q4932" s="3">
        <f ca="1">IF(Proc[[#This Row],[DateClosed]]="",ABS(NETWORKDAYS(Proc[[#This Row],[DateOpened]],TODAY()))-1,ABS(NETWORKDAYS(Proc[[#This Row],[DateOpened]],Proc[[#This Row],[DateClosed]]))-1)</f>
        <v>10</v>
      </c>
      <c r="R4932" s="174" t="s">
        <v>5709</v>
      </c>
      <c r="S4932" s="150"/>
    </row>
    <row r="4933" spans="1:19">
      <c r="A4933" s="149" t="s">
        <v>7039</v>
      </c>
      <c r="B4933" s="150" t="str">
        <f>IFERROR(VLOOKUP(Proc[[#This Row],[App]],Table2[],3,0),"open")</f>
        <v>ok</v>
      </c>
      <c r="C4933" s="149" t="s">
        <v>369</v>
      </c>
      <c r="D4933" t="s">
        <v>7142</v>
      </c>
      <c r="E4933" s="149" t="s">
        <v>7238</v>
      </c>
      <c r="F4933" s="150" t="s">
        <v>7238</v>
      </c>
      <c r="G4933" s="149" t="s">
        <v>406</v>
      </c>
      <c r="H4933" s="150" t="str">
        <f>IF(Proc[[#This Row],[type]]="LFF (MDG-F)",MID(Proc[[#This Row],[Obj]],13,10),"")</f>
        <v>US10DB3005</v>
      </c>
      <c r="I4933" s="149" t="s">
        <v>7238</v>
      </c>
      <c r="J4933" s="150" t="b">
        <f>Proc[[#This Row],[Requested]]=Proc[[#This Row],[CurrentParent]]</f>
        <v>1</v>
      </c>
      <c r="K4933" s="150" t="str">
        <f>IF(Proc[[#This Row],[Author]]="Marcela Urrego",VLOOKUP(LEFT(Proc[[#This Row],[Requested]],1),Table3[#All],2,0),VLOOKUP(Proc[[#This Row],[Author]],Table4[],2,0))</f>
        <v>EL</v>
      </c>
      <c r="L4933" s="150" t="s">
        <v>6435</v>
      </c>
      <c r="M4933" s="173">
        <v>45989</v>
      </c>
      <c r="N4933" s="174"/>
      <c r="O4933" s="174"/>
      <c r="P4933" s="174" t="str">
        <f ca="1">IF(Proc[[#This Row],[DaysAgeing]]&gt;5,"yep","on track")</f>
        <v>yep</v>
      </c>
      <c r="Q4933" s="3">
        <f ca="1">IF(Proc[[#This Row],[DateClosed]]="",ABS(NETWORKDAYS(Proc[[#This Row],[DateOpened]],TODAY()))-1,ABS(NETWORKDAYS(Proc[[#This Row],[DateOpened]],Proc[[#This Row],[DateClosed]]))-1)</f>
        <v>10</v>
      </c>
      <c r="R4933" s="174" t="s">
        <v>5709</v>
      </c>
      <c r="S4933" s="150"/>
    </row>
    <row r="4934" spans="1:19">
      <c r="A4934" s="149" t="s">
        <v>7039</v>
      </c>
      <c r="B4934" s="150" t="str">
        <f>IFERROR(VLOOKUP(Proc[[#This Row],[App]],Table2[],3,0),"open")</f>
        <v>ok</v>
      </c>
      <c r="C4934" s="149" t="s">
        <v>369</v>
      </c>
      <c r="D4934" t="s">
        <v>7143</v>
      </c>
      <c r="E4934" s="149" t="s">
        <v>7238</v>
      </c>
      <c r="F4934" s="150" t="s">
        <v>7238</v>
      </c>
      <c r="G4934" s="149" t="s">
        <v>406</v>
      </c>
      <c r="H4934" s="150" t="str">
        <f>IF(Proc[[#This Row],[type]]="LFF (MDG-F)",MID(Proc[[#This Row],[Obj]],13,10),"")</f>
        <v>US10DB3006</v>
      </c>
      <c r="I4934" s="149" t="s">
        <v>7238</v>
      </c>
      <c r="J4934" s="150" t="b">
        <f>Proc[[#This Row],[Requested]]=Proc[[#This Row],[CurrentParent]]</f>
        <v>1</v>
      </c>
      <c r="K4934" s="150" t="str">
        <f>IF(Proc[[#This Row],[Author]]="Marcela Urrego",VLOOKUP(LEFT(Proc[[#This Row],[Requested]],1),Table3[#All],2,0),VLOOKUP(Proc[[#This Row],[Author]],Table4[],2,0))</f>
        <v>EL</v>
      </c>
      <c r="L4934" s="150" t="s">
        <v>6435</v>
      </c>
      <c r="M4934" s="173">
        <v>45989</v>
      </c>
      <c r="N4934" s="174"/>
      <c r="O4934" s="174"/>
      <c r="P4934" s="174" t="str">
        <f ca="1">IF(Proc[[#This Row],[DaysAgeing]]&gt;5,"yep","on track")</f>
        <v>yep</v>
      </c>
      <c r="Q4934" s="3">
        <f ca="1">IF(Proc[[#This Row],[DateClosed]]="",ABS(NETWORKDAYS(Proc[[#This Row],[DateOpened]],TODAY()))-1,ABS(NETWORKDAYS(Proc[[#This Row],[DateOpened]],Proc[[#This Row],[DateClosed]]))-1)</f>
        <v>10</v>
      </c>
      <c r="R4934" s="174" t="s">
        <v>5709</v>
      </c>
      <c r="S4934" s="150"/>
    </row>
    <row r="4935" spans="1:19">
      <c r="A4935" s="149" t="s">
        <v>7039</v>
      </c>
      <c r="B4935" s="150" t="str">
        <f>IFERROR(VLOOKUP(Proc[[#This Row],[App]],Table2[],3,0),"open")</f>
        <v>ok</v>
      </c>
      <c r="C4935" s="149" t="s">
        <v>369</v>
      </c>
      <c r="D4935" t="s">
        <v>7144</v>
      </c>
      <c r="E4935" s="149" t="s">
        <v>7238</v>
      </c>
      <c r="F4935" s="150" t="s">
        <v>7238</v>
      </c>
      <c r="G4935" s="149" t="s">
        <v>406</v>
      </c>
      <c r="H4935" s="150" t="str">
        <f>IF(Proc[[#This Row],[type]]="LFF (MDG-F)",MID(Proc[[#This Row],[Obj]],13,10),"")</f>
        <v>US10DB3011</v>
      </c>
      <c r="I4935" s="149" t="s">
        <v>7238</v>
      </c>
      <c r="J4935" s="150" t="b">
        <f>Proc[[#This Row],[Requested]]=Proc[[#This Row],[CurrentParent]]</f>
        <v>1</v>
      </c>
      <c r="K4935" s="150" t="str">
        <f>IF(Proc[[#This Row],[Author]]="Marcela Urrego",VLOOKUP(LEFT(Proc[[#This Row],[Requested]],1),Table3[#All],2,0),VLOOKUP(Proc[[#This Row],[Author]],Table4[],2,0))</f>
        <v>EL</v>
      </c>
      <c r="L4935" s="150" t="s">
        <v>6435</v>
      </c>
      <c r="M4935" s="173">
        <v>45989</v>
      </c>
      <c r="N4935" s="174"/>
      <c r="O4935" s="174"/>
      <c r="P4935" s="174" t="str">
        <f ca="1">IF(Proc[[#This Row],[DaysAgeing]]&gt;5,"yep","on track")</f>
        <v>yep</v>
      </c>
      <c r="Q4935" s="3">
        <f ca="1">IF(Proc[[#This Row],[DateClosed]]="",ABS(NETWORKDAYS(Proc[[#This Row],[DateOpened]],TODAY()))-1,ABS(NETWORKDAYS(Proc[[#This Row],[DateOpened]],Proc[[#This Row],[DateClosed]]))-1)</f>
        <v>10</v>
      </c>
      <c r="R4935" s="174" t="s">
        <v>5709</v>
      </c>
      <c r="S4935" s="150"/>
    </row>
    <row r="4936" spans="1:19">
      <c r="A4936" s="149" t="s">
        <v>7039</v>
      </c>
      <c r="B4936" s="150" t="str">
        <f>IFERROR(VLOOKUP(Proc[[#This Row],[App]],Table2[],3,0),"open")</f>
        <v>ok</v>
      </c>
      <c r="C4936" s="149" t="s">
        <v>369</v>
      </c>
      <c r="D4936" t="s">
        <v>7145</v>
      </c>
      <c r="E4936" s="149" t="s">
        <v>7238</v>
      </c>
      <c r="F4936" s="150" t="s">
        <v>7238</v>
      </c>
      <c r="G4936" s="149" t="s">
        <v>406</v>
      </c>
      <c r="H4936" s="150" t="str">
        <f>IF(Proc[[#This Row],[type]]="LFF (MDG-F)",MID(Proc[[#This Row],[Obj]],13,10),"")</f>
        <v>US01TQ1001</v>
      </c>
      <c r="I4936" s="149" t="s">
        <v>7238</v>
      </c>
      <c r="J4936" s="150" t="b">
        <f>Proc[[#This Row],[Requested]]=Proc[[#This Row],[CurrentParent]]</f>
        <v>1</v>
      </c>
      <c r="K4936" s="150" t="str">
        <f>IF(Proc[[#This Row],[Author]]="Marcela Urrego",VLOOKUP(LEFT(Proc[[#This Row],[Requested]],1),Table3[#All],2,0),VLOOKUP(Proc[[#This Row],[Author]],Table4[],2,0))</f>
        <v>EL</v>
      </c>
      <c r="L4936" s="150" t="s">
        <v>6435</v>
      </c>
      <c r="M4936" s="173">
        <v>45989</v>
      </c>
      <c r="N4936" s="174"/>
      <c r="O4936" s="174"/>
      <c r="P4936" s="174" t="str">
        <f ca="1">IF(Proc[[#This Row],[DaysAgeing]]&gt;5,"yep","on track")</f>
        <v>yep</v>
      </c>
      <c r="Q4936" s="3">
        <f ca="1">IF(Proc[[#This Row],[DateClosed]]="",ABS(NETWORKDAYS(Proc[[#This Row],[DateOpened]],TODAY()))-1,ABS(NETWORKDAYS(Proc[[#This Row],[DateOpened]],Proc[[#This Row],[DateClosed]]))-1)</f>
        <v>10</v>
      </c>
      <c r="R4936" s="174" t="s">
        <v>5709</v>
      </c>
      <c r="S4936" s="150"/>
    </row>
    <row r="4937" spans="1:19">
      <c r="A4937" s="149" t="s">
        <v>7039</v>
      </c>
      <c r="B4937" s="150" t="str">
        <f>IFERROR(VLOOKUP(Proc[[#This Row],[App]],Table2[],3,0),"open")</f>
        <v>ok</v>
      </c>
      <c r="C4937" s="149" t="s">
        <v>369</v>
      </c>
      <c r="D4937" t="s">
        <v>7146</v>
      </c>
      <c r="E4937" s="149" t="s">
        <v>7238</v>
      </c>
      <c r="F4937" s="150" t="s">
        <v>7238</v>
      </c>
      <c r="G4937" s="149" t="s">
        <v>406</v>
      </c>
      <c r="H4937" s="150" t="str">
        <f>IF(Proc[[#This Row],[type]]="LFF (MDG-F)",MID(Proc[[#This Row],[Obj]],13,10),"")</f>
        <v>US01TQ1002</v>
      </c>
      <c r="I4937" s="149" t="s">
        <v>7238</v>
      </c>
      <c r="J4937" s="150" t="b">
        <f>Proc[[#This Row],[Requested]]=Proc[[#This Row],[CurrentParent]]</f>
        <v>1</v>
      </c>
      <c r="K4937" s="150" t="str">
        <f>IF(Proc[[#This Row],[Author]]="Marcela Urrego",VLOOKUP(LEFT(Proc[[#This Row],[Requested]],1),Table3[#All],2,0),VLOOKUP(Proc[[#This Row],[Author]],Table4[],2,0))</f>
        <v>EL</v>
      </c>
      <c r="L4937" s="150" t="s">
        <v>6435</v>
      </c>
      <c r="M4937" s="173">
        <v>45989</v>
      </c>
      <c r="N4937" s="174"/>
      <c r="O4937" s="174"/>
      <c r="P4937" s="174" t="str">
        <f ca="1">IF(Proc[[#This Row],[DaysAgeing]]&gt;5,"yep","on track")</f>
        <v>yep</v>
      </c>
      <c r="Q4937" s="3">
        <f ca="1">IF(Proc[[#This Row],[DateClosed]]="",ABS(NETWORKDAYS(Proc[[#This Row],[DateOpened]],TODAY()))-1,ABS(NETWORKDAYS(Proc[[#This Row],[DateOpened]],Proc[[#This Row],[DateClosed]]))-1)</f>
        <v>10</v>
      </c>
      <c r="R4937" s="174" t="s">
        <v>5709</v>
      </c>
      <c r="S4937" s="150"/>
    </row>
    <row r="4938" spans="1:19">
      <c r="A4938" s="149" t="s">
        <v>7039</v>
      </c>
      <c r="B4938" s="150" t="str">
        <f>IFERROR(VLOOKUP(Proc[[#This Row],[App]],Table2[],3,0),"open")</f>
        <v>ok</v>
      </c>
      <c r="C4938" s="149" t="s">
        <v>369</v>
      </c>
      <c r="D4938" t="s">
        <v>7147</v>
      </c>
      <c r="E4938" s="149" t="s">
        <v>7238</v>
      </c>
      <c r="F4938" s="150" t="s">
        <v>7238</v>
      </c>
      <c r="G4938" s="149" t="s">
        <v>406</v>
      </c>
      <c r="H4938" s="150" t="str">
        <f>IF(Proc[[#This Row],[type]]="LFF (MDG-F)",MID(Proc[[#This Row],[Obj]],13,10),"")</f>
        <v>US01TQ1003</v>
      </c>
      <c r="I4938" s="149" t="s">
        <v>7238</v>
      </c>
      <c r="J4938" s="150" t="b">
        <f>Proc[[#This Row],[Requested]]=Proc[[#This Row],[CurrentParent]]</f>
        <v>1</v>
      </c>
      <c r="K4938" s="150" t="str">
        <f>IF(Proc[[#This Row],[Author]]="Marcela Urrego",VLOOKUP(LEFT(Proc[[#This Row],[Requested]],1),Table3[#All],2,0),VLOOKUP(Proc[[#This Row],[Author]],Table4[],2,0))</f>
        <v>EL</v>
      </c>
      <c r="L4938" s="150" t="s">
        <v>6435</v>
      </c>
      <c r="M4938" s="173">
        <v>45989</v>
      </c>
      <c r="N4938" s="174"/>
      <c r="O4938" s="174"/>
      <c r="P4938" s="174" t="str">
        <f ca="1">IF(Proc[[#This Row],[DaysAgeing]]&gt;5,"yep","on track")</f>
        <v>yep</v>
      </c>
      <c r="Q4938" s="3">
        <f ca="1">IF(Proc[[#This Row],[DateClosed]]="",ABS(NETWORKDAYS(Proc[[#This Row],[DateOpened]],TODAY()))-1,ABS(NETWORKDAYS(Proc[[#This Row],[DateOpened]],Proc[[#This Row],[DateClosed]]))-1)</f>
        <v>10</v>
      </c>
      <c r="R4938" s="174" t="s">
        <v>5709</v>
      </c>
      <c r="S4938" s="150"/>
    </row>
    <row r="4939" spans="1:19">
      <c r="A4939" s="149" t="s">
        <v>7039</v>
      </c>
      <c r="B4939" s="150" t="str">
        <f>IFERROR(VLOOKUP(Proc[[#This Row],[App]],Table2[],3,0),"open")</f>
        <v>ok</v>
      </c>
      <c r="C4939" s="149" t="s">
        <v>369</v>
      </c>
      <c r="D4939" t="s">
        <v>7148</v>
      </c>
      <c r="E4939" s="149" t="s">
        <v>7238</v>
      </c>
      <c r="F4939" s="150" t="s">
        <v>7238</v>
      </c>
      <c r="G4939" s="149" t="s">
        <v>406</v>
      </c>
      <c r="H4939" s="150" t="str">
        <f>IF(Proc[[#This Row],[type]]="LFF (MDG-F)",MID(Proc[[#This Row],[Obj]],13,10),"")</f>
        <v>US01TQ1004</v>
      </c>
      <c r="I4939" s="149" t="s">
        <v>7238</v>
      </c>
      <c r="J4939" s="150" t="b">
        <f>Proc[[#This Row],[Requested]]=Proc[[#This Row],[CurrentParent]]</f>
        <v>1</v>
      </c>
      <c r="K4939" s="150" t="str">
        <f>IF(Proc[[#This Row],[Author]]="Marcela Urrego",VLOOKUP(LEFT(Proc[[#This Row],[Requested]],1),Table3[#All],2,0),VLOOKUP(Proc[[#This Row],[Author]],Table4[],2,0))</f>
        <v>EL</v>
      </c>
      <c r="L4939" s="150" t="s">
        <v>6435</v>
      </c>
      <c r="M4939" s="173">
        <v>45989</v>
      </c>
      <c r="N4939" s="174"/>
      <c r="O4939" s="174"/>
      <c r="P4939" s="174" t="str">
        <f ca="1">IF(Proc[[#This Row],[DaysAgeing]]&gt;5,"yep","on track")</f>
        <v>yep</v>
      </c>
      <c r="Q4939" s="3">
        <f ca="1">IF(Proc[[#This Row],[DateClosed]]="",ABS(NETWORKDAYS(Proc[[#This Row],[DateOpened]],TODAY()))-1,ABS(NETWORKDAYS(Proc[[#This Row],[DateOpened]],Proc[[#This Row],[DateClosed]]))-1)</f>
        <v>10</v>
      </c>
      <c r="R4939" s="174" t="s">
        <v>5709</v>
      </c>
      <c r="S4939" s="150"/>
    </row>
    <row r="4940" spans="1:19">
      <c r="A4940" s="149" t="s">
        <v>7039</v>
      </c>
      <c r="B4940" s="150" t="str">
        <f>IFERROR(VLOOKUP(Proc[[#This Row],[App]],Table2[],3,0),"open")</f>
        <v>ok</v>
      </c>
      <c r="C4940" s="149" t="s">
        <v>369</v>
      </c>
      <c r="D4940" t="s">
        <v>7149</v>
      </c>
      <c r="E4940" s="149" t="s">
        <v>7238</v>
      </c>
      <c r="F4940" s="150" t="s">
        <v>7238</v>
      </c>
      <c r="G4940" s="149" t="s">
        <v>406</v>
      </c>
      <c r="H4940" s="150" t="str">
        <f>IF(Proc[[#This Row],[type]]="LFF (MDG-F)",MID(Proc[[#This Row],[Obj]],13,10),"")</f>
        <v>US01TQ1005</v>
      </c>
      <c r="I4940" s="149" t="s">
        <v>7238</v>
      </c>
      <c r="J4940" s="150" t="b">
        <f>Proc[[#This Row],[Requested]]=Proc[[#This Row],[CurrentParent]]</f>
        <v>1</v>
      </c>
      <c r="K4940" s="150" t="str">
        <f>IF(Proc[[#This Row],[Author]]="Marcela Urrego",VLOOKUP(LEFT(Proc[[#This Row],[Requested]],1),Table3[#All],2,0),VLOOKUP(Proc[[#This Row],[Author]],Table4[],2,0))</f>
        <v>EL</v>
      </c>
      <c r="L4940" s="150" t="s">
        <v>6435</v>
      </c>
      <c r="M4940" s="173">
        <v>45989</v>
      </c>
      <c r="N4940" s="174"/>
      <c r="O4940" s="174"/>
      <c r="P4940" s="174" t="str">
        <f ca="1">IF(Proc[[#This Row],[DaysAgeing]]&gt;5,"yep","on track")</f>
        <v>yep</v>
      </c>
      <c r="Q4940" s="3">
        <f ca="1">IF(Proc[[#This Row],[DateClosed]]="",ABS(NETWORKDAYS(Proc[[#This Row],[DateOpened]],TODAY()))-1,ABS(NETWORKDAYS(Proc[[#This Row],[DateOpened]],Proc[[#This Row],[DateClosed]]))-1)</f>
        <v>10</v>
      </c>
      <c r="R4940" s="174" t="s">
        <v>5709</v>
      </c>
      <c r="S4940" s="150"/>
    </row>
    <row r="4941" spans="1:19">
      <c r="A4941" s="149" t="s">
        <v>7039</v>
      </c>
      <c r="B4941" s="150" t="str">
        <f>IFERROR(VLOOKUP(Proc[[#This Row],[App]],Table2[],3,0),"open")</f>
        <v>ok</v>
      </c>
      <c r="C4941" s="149" t="s">
        <v>369</v>
      </c>
      <c r="D4941" t="s">
        <v>7150</v>
      </c>
      <c r="E4941" s="149" t="s">
        <v>7238</v>
      </c>
      <c r="F4941" s="150" t="s">
        <v>7238</v>
      </c>
      <c r="G4941" s="149" t="s">
        <v>406</v>
      </c>
      <c r="H4941" s="150" t="str">
        <f>IF(Proc[[#This Row],[type]]="LFF (MDG-F)",MID(Proc[[#This Row],[Obj]],13,10),"")</f>
        <v>US01TQ1006</v>
      </c>
      <c r="I4941" s="149" t="s">
        <v>7238</v>
      </c>
      <c r="J4941" s="150" t="b">
        <f>Proc[[#This Row],[Requested]]=Proc[[#This Row],[CurrentParent]]</f>
        <v>1</v>
      </c>
      <c r="K4941" s="150" t="str">
        <f>IF(Proc[[#This Row],[Author]]="Marcela Urrego",VLOOKUP(LEFT(Proc[[#This Row],[Requested]],1),Table3[#All],2,0),VLOOKUP(Proc[[#This Row],[Author]],Table4[],2,0))</f>
        <v>EL</v>
      </c>
      <c r="L4941" s="150" t="s">
        <v>6435</v>
      </c>
      <c r="M4941" s="173">
        <v>45989</v>
      </c>
      <c r="N4941" s="174"/>
      <c r="O4941" s="174"/>
      <c r="P4941" s="174" t="str">
        <f ca="1">IF(Proc[[#This Row],[DaysAgeing]]&gt;5,"yep","on track")</f>
        <v>yep</v>
      </c>
      <c r="Q4941" s="3">
        <f ca="1">IF(Proc[[#This Row],[DateClosed]]="",ABS(NETWORKDAYS(Proc[[#This Row],[DateOpened]],TODAY()))-1,ABS(NETWORKDAYS(Proc[[#This Row],[DateOpened]],Proc[[#This Row],[DateClosed]]))-1)</f>
        <v>10</v>
      </c>
      <c r="R4941" s="174" t="s">
        <v>5709</v>
      </c>
      <c r="S4941" s="150"/>
    </row>
    <row r="4942" spans="1:19">
      <c r="A4942" s="149" t="s">
        <v>7039</v>
      </c>
      <c r="B4942" s="150" t="str">
        <f>IFERROR(VLOOKUP(Proc[[#This Row],[App]],Table2[],3,0),"open")</f>
        <v>ok</v>
      </c>
      <c r="C4942" s="149" t="s">
        <v>369</v>
      </c>
      <c r="D4942" t="s">
        <v>7151</v>
      </c>
      <c r="E4942" s="149" t="s">
        <v>7238</v>
      </c>
      <c r="F4942" s="150" t="s">
        <v>7238</v>
      </c>
      <c r="G4942" s="149" t="s">
        <v>406</v>
      </c>
      <c r="H4942" s="150" t="str">
        <f>IF(Proc[[#This Row],[type]]="LFF (MDG-F)",MID(Proc[[#This Row],[Obj]],13,10),"")</f>
        <v>US01TQ1007</v>
      </c>
      <c r="I4942" s="149" t="s">
        <v>7238</v>
      </c>
      <c r="J4942" s="150" t="b">
        <f>Proc[[#This Row],[Requested]]=Proc[[#This Row],[CurrentParent]]</f>
        <v>1</v>
      </c>
      <c r="K4942" s="150" t="str">
        <f>IF(Proc[[#This Row],[Author]]="Marcela Urrego",VLOOKUP(LEFT(Proc[[#This Row],[Requested]],1),Table3[#All],2,0),VLOOKUP(Proc[[#This Row],[Author]],Table4[],2,0))</f>
        <v>EL</v>
      </c>
      <c r="L4942" s="150" t="s">
        <v>6435</v>
      </c>
      <c r="M4942" s="173">
        <v>45989</v>
      </c>
      <c r="N4942" s="174"/>
      <c r="O4942" s="174"/>
      <c r="P4942" s="174" t="str">
        <f ca="1">IF(Proc[[#This Row],[DaysAgeing]]&gt;5,"yep","on track")</f>
        <v>yep</v>
      </c>
      <c r="Q4942" s="3">
        <f ca="1">IF(Proc[[#This Row],[DateClosed]]="",ABS(NETWORKDAYS(Proc[[#This Row],[DateOpened]],TODAY()))-1,ABS(NETWORKDAYS(Proc[[#This Row],[DateOpened]],Proc[[#This Row],[DateClosed]]))-1)</f>
        <v>10</v>
      </c>
      <c r="R4942" s="174" t="s">
        <v>5709</v>
      </c>
      <c r="S4942" s="150"/>
    </row>
    <row r="4943" spans="1:19">
      <c r="A4943" s="149" t="s">
        <v>7039</v>
      </c>
      <c r="B4943" s="150" t="str">
        <f>IFERROR(VLOOKUP(Proc[[#This Row],[App]],Table2[],3,0),"open")</f>
        <v>ok</v>
      </c>
      <c r="C4943" s="149" t="s">
        <v>369</v>
      </c>
      <c r="D4943" t="s">
        <v>7152</v>
      </c>
      <c r="E4943" s="149" t="s">
        <v>7238</v>
      </c>
      <c r="F4943" s="150" t="s">
        <v>7238</v>
      </c>
      <c r="G4943" s="149" t="s">
        <v>406</v>
      </c>
      <c r="H4943" s="150" t="str">
        <f>IF(Proc[[#This Row],[type]]="LFF (MDG-F)",MID(Proc[[#This Row],[Obj]],13,10),"")</f>
        <v>US01TQ1008</v>
      </c>
      <c r="I4943" s="149" t="s">
        <v>7238</v>
      </c>
      <c r="J4943" s="150" t="b">
        <f>Proc[[#This Row],[Requested]]=Proc[[#This Row],[CurrentParent]]</f>
        <v>1</v>
      </c>
      <c r="K4943" s="150" t="str">
        <f>IF(Proc[[#This Row],[Author]]="Marcela Urrego",VLOOKUP(LEFT(Proc[[#This Row],[Requested]],1),Table3[#All],2,0),VLOOKUP(Proc[[#This Row],[Author]],Table4[],2,0))</f>
        <v>EL</v>
      </c>
      <c r="L4943" s="150" t="s">
        <v>6435</v>
      </c>
      <c r="M4943" s="173">
        <v>45989</v>
      </c>
      <c r="N4943" s="174"/>
      <c r="O4943" s="174"/>
      <c r="P4943" s="174" t="str">
        <f ca="1">IF(Proc[[#This Row],[DaysAgeing]]&gt;5,"yep","on track")</f>
        <v>yep</v>
      </c>
      <c r="Q4943" s="3">
        <f ca="1">IF(Proc[[#This Row],[DateClosed]]="",ABS(NETWORKDAYS(Proc[[#This Row],[DateOpened]],TODAY()))-1,ABS(NETWORKDAYS(Proc[[#This Row],[DateOpened]],Proc[[#This Row],[DateClosed]]))-1)</f>
        <v>10</v>
      </c>
      <c r="R4943" s="174" t="s">
        <v>5709</v>
      </c>
      <c r="S4943" s="150"/>
    </row>
    <row r="4944" spans="1:19">
      <c r="A4944" s="149" t="s">
        <v>7039</v>
      </c>
      <c r="B4944" s="150" t="str">
        <f>IFERROR(VLOOKUP(Proc[[#This Row],[App]],Table2[],3,0),"open")</f>
        <v>ok</v>
      </c>
      <c r="C4944" s="149" t="s">
        <v>369</v>
      </c>
      <c r="D4944" t="s">
        <v>7153</v>
      </c>
      <c r="E4944" s="149" t="s">
        <v>7238</v>
      </c>
      <c r="F4944" s="150" t="s">
        <v>7238</v>
      </c>
      <c r="G4944" s="149" t="s">
        <v>406</v>
      </c>
      <c r="H4944" s="150" t="str">
        <f>IF(Proc[[#This Row],[type]]="LFF (MDG-F)",MID(Proc[[#This Row],[Obj]],13,10),"")</f>
        <v>US01TQ1009</v>
      </c>
      <c r="I4944" s="149" t="s">
        <v>7238</v>
      </c>
      <c r="J4944" s="150" t="b">
        <f>Proc[[#This Row],[Requested]]=Proc[[#This Row],[CurrentParent]]</f>
        <v>1</v>
      </c>
      <c r="K4944" s="150" t="str">
        <f>IF(Proc[[#This Row],[Author]]="Marcela Urrego",VLOOKUP(LEFT(Proc[[#This Row],[Requested]],1),Table3[#All],2,0),VLOOKUP(Proc[[#This Row],[Author]],Table4[],2,0))</f>
        <v>EL</v>
      </c>
      <c r="L4944" s="150" t="s">
        <v>6435</v>
      </c>
      <c r="M4944" s="173">
        <v>45989</v>
      </c>
      <c r="N4944" s="174"/>
      <c r="O4944" s="174"/>
      <c r="P4944" s="174" t="str">
        <f ca="1">IF(Proc[[#This Row],[DaysAgeing]]&gt;5,"yep","on track")</f>
        <v>yep</v>
      </c>
      <c r="Q4944" s="3">
        <f ca="1">IF(Proc[[#This Row],[DateClosed]]="",ABS(NETWORKDAYS(Proc[[#This Row],[DateOpened]],TODAY()))-1,ABS(NETWORKDAYS(Proc[[#This Row],[DateOpened]],Proc[[#This Row],[DateClosed]]))-1)</f>
        <v>10</v>
      </c>
      <c r="R4944" s="174" t="s">
        <v>5709</v>
      </c>
      <c r="S4944" s="150"/>
    </row>
    <row r="4945" spans="1:19">
      <c r="A4945" s="149" t="s">
        <v>7039</v>
      </c>
      <c r="B4945" s="150" t="str">
        <f>IFERROR(VLOOKUP(Proc[[#This Row],[App]],Table2[],3,0),"open")</f>
        <v>ok</v>
      </c>
      <c r="C4945" s="149" t="s">
        <v>369</v>
      </c>
      <c r="D4945" t="s">
        <v>7154</v>
      </c>
      <c r="E4945" s="149" t="s">
        <v>7238</v>
      </c>
      <c r="F4945" s="150" t="s">
        <v>7238</v>
      </c>
      <c r="G4945" s="149" t="s">
        <v>406</v>
      </c>
      <c r="H4945" s="150" t="str">
        <f>IF(Proc[[#This Row],[type]]="LFF (MDG-F)",MID(Proc[[#This Row],[Obj]],13,10),"")</f>
        <v>US10TQ1001</v>
      </c>
      <c r="I4945" s="149" t="s">
        <v>7238</v>
      </c>
      <c r="J4945" s="150" t="b">
        <f>Proc[[#This Row],[Requested]]=Proc[[#This Row],[CurrentParent]]</f>
        <v>1</v>
      </c>
      <c r="K4945" s="150" t="str">
        <f>IF(Proc[[#This Row],[Author]]="Marcela Urrego",VLOOKUP(LEFT(Proc[[#This Row],[Requested]],1),Table3[#All],2,0),VLOOKUP(Proc[[#This Row],[Author]],Table4[],2,0))</f>
        <v>EL</v>
      </c>
      <c r="L4945" s="150" t="s">
        <v>6435</v>
      </c>
      <c r="M4945" s="173">
        <v>45989</v>
      </c>
      <c r="N4945" s="174"/>
      <c r="O4945" s="174"/>
      <c r="P4945" s="174" t="str">
        <f ca="1">IF(Proc[[#This Row],[DaysAgeing]]&gt;5,"yep","on track")</f>
        <v>yep</v>
      </c>
      <c r="Q4945" s="3">
        <f ca="1">IF(Proc[[#This Row],[DateClosed]]="",ABS(NETWORKDAYS(Proc[[#This Row],[DateOpened]],TODAY()))-1,ABS(NETWORKDAYS(Proc[[#This Row],[DateOpened]],Proc[[#This Row],[DateClosed]]))-1)</f>
        <v>10</v>
      </c>
      <c r="R4945" s="174" t="s">
        <v>5709</v>
      </c>
      <c r="S4945" s="150"/>
    </row>
    <row r="4946" spans="1:19">
      <c r="A4946" s="149" t="s">
        <v>7039</v>
      </c>
      <c r="B4946" s="150" t="str">
        <f>IFERROR(VLOOKUP(Proc[[#This Row],[App]],Table2[],3,0),"open")</f>
        <v>ok</v>
      </c>
      <c r="C4946" s="149" t="s">
        <v>369</v>
      </c>
      <c r="D4946" t="s">
        <v>7155</v>
      </c>
      <c r="E4946" s="149" t="s">
        <v>7238</v>
      </c>
      <c r="F4946" s="150" t="s">
        <v>7238</v>
      </c>
      <c r="G4946" s="149" t="s">
        <v>406</v>
      </c>
      <c r="H4946" s="150" t="str">
        <f>IF(Proc[[#This Row],[type]]="LFF (MDG-F)",MID(Proc[[#This Row],[Obj]],13,10),"")</f>
        <v>US10TQ1002</v>
      </c>
      <c r="I4946" s="149" t="s">
        <v>7238</v>
      </c>
      <c r="J4946" s="150" t="b">
        <f>Proc[[#This Row],[Requested]]=Proc[[#This Row],[CurrentParent]]</f>
        <v>1</v>
      </c>
      <c r="K4946" s="150" t="str">
        <f>IF(Proc[[#This Row],[Author]]="Marcela Urrego",VLOOKUP(LEFT(Proc[[#This Row],[Requested]],1),Table3[#All],2,0),VLOOKUP(Proc[[#This Row],[Author]],Table4[],2,0))</f>
        <v>EL</v>
      </c>
      <c r="L4946" s="150" t="s">
        <v>6435</v>
      </c>
      <c r="M4946" s="173">
        <v>45989</v>
      </c>
      <c r="N4946" s="174"/>
      <c r="O4946" s="174"/>
      <c r="P4946" s="174" t="str">
        <f ca="1">IF(Proc[[#This Row],[DaysAgeing]]&gt;5,"yep","on track")</f>
        <v>yep</v>
      </c>
      <c r="Q4946" s="3">
        <f ca="1">IF(Proc[[#This Row],[DateClosed]]="",ABS(NETWORKDAYS(Proc[[#This Row],[DateOpened]],TODAY()))-1,ABS(NETWORKDAYS(Proc[[#This Row],[DateOpened]],Proc[[#This Row],[DateClosed]]))-1)</f>
        <v>10</v>
      </c>
      <c r="R4946" s="174" t="s">
        <v>5709</v>
      </c>
      <c r="S4946" s="150"/>
    </row>
    <row r="4947" spans="1:19">
      <c r="A4947" s="149" t="s">
        <v>7039</v>
      </c>
      <c r="B4947" s="150" t="str">
        <f>IFERROR(VLOOKUP(Proc[[#This Row],[App]],Table2[],3,0),"open")</f>
        <v>ok</v>
      </c>
      <c r="C4947" s="149" t="s">
        <v>369</v>
      </c>
      <c r="D4947" t="s">
        <v>7156</v>
      </c>
      <c r="E4947" s="149" t="s">
        <v>7238</v>
      </c>
      <c r="F4947" s="150" t="s">
        <v>7238</v>
      </c>
      <c r="G4947" s="149" t="s">
        <v>406</v>
      </c>
      <c r="H4947" s="150" t="str">
        <f>IF(Proc[[#This Row],[type]]="LFF (MDG-F)",MID(Proc[[#This Row],[Obj]],13,10),"")</f>
        <v>US10TQ1003</v>
      </c>
      <c r="I4947" s="149" t="s">
        <v>7238</v>
      </c>
      <c r="J4947" s="150" t="b">
        <f>Proc[[#This Row],[Requested]]=Proc[[#This Row],[CurrentParent]]</f>
        <v>1</v>
      </c>
      <c r="K4947" s="150" t="str">
        <f>IF(Proc[[#This Row],[Author]]="Marcela Urrego",VLOOKUP(LEFT(Proc[[#This Row],[Requested]],1),Table3[#All],2,0),VLOOKUP(Proc[[#This Row],[Author]],Table4[],2,0))</f>
        <v>EL</v>
      </c>
      <c r="L4947" s="150" t="s">
        <v>6435</v>
      </c>
      <c r="M4947" s="173">
        <v>45989</v>
      </c>
      <c r="N4947" s="174"/>
      <c r="O4947" s="174"/>
      <c r="P4947" s="174" t="str">
        <f ca="1">IF(Proc[[#This Row],[DaysAgeing]]&gt;5,"yep","on track")</f>
        <v>yep</v>
      </c>
      <c r="Q4947" s="3">
        <f ca="1">IF(Proc[[#This Row],[DateClosed]]="",ABS(NETWORKDAYS(Proc[[#This Row],[DateOpened]],TODAY()))-1,ABS(NETWORKDAYS(Proc[[#This Row],[DateOpened]],Proc[[#This Row],[DateClosed]]))-1)</f>
        <v>10</v>
      </c>
      <c r="R4947" s="174" t="s">
        <v>5709</v>
      </c>
      <c r="S4947" s="150"/>
    </row>
    <row r="4948" spans="1:19">
      <c r="A4948" s="149" t="s">
        <v>7039</v>
      </c>
      <c r="B4948" s="150" t="str">
        <f>IFERROR(VLOOKUP(Proc[[#This Row],[App]],Table2[],3,0),"open")</f>
        <v>ok</v>
      </c>
      <c r="C4948" s="149" t="s">
        <v>369</v>
      </c>
      <c r="D4948" t="s">
        <v>7157</v>
      </c>
      <c r="E4948" s="149" t="s">
        <v>7238</v>
      </c>
      <c r="F4948" s="150" t="s">
        <v>7238</v>
      </c>
      <c r="G4948" s="149" t="s">
        <v>406</v>
      </c>
      <c r="H4948" s="150" t="str">
        <f>IF(Proc[[#This Row],[type]]="LFF (MDG-F)",MID(Proc[[#This Row],[Obj]],13,10),"")</f>
        <v>US10TQ1004</v>
      </c>
      <c r="I4948" s="149" t="s">
        <v>7238</v>
      </c>
      <c r="J4948" s="150" t="b">
        <f>Proc[[#This Row],[Requested]]=Proc[[#This Row],[CurrentParent]]</f>
        <v>1</v>
      </c>
      <c r="K4948" s="150" t="str">
        <f>IF(Proc[[#This Row],[Author]]="Marcela Urrego",VLOOKUP(LEFT(Proc[[#This Row],[Requested]],1),Table3[#All],2,0),VLOOKUP(Proc[[#This Row],[Author]],Table4[],2,0))</f>
        <v>EL</v>
      </c>
      <c r="L4948" s="150" t="s">
        <v>6435</v>
      </c>
      <c r="M4948" s="173">
        <v>45989</v>
      </c>
      <c r="N4948" s="174"/>
      <c r="O4948" s="174"/>
      <c r="P4948" s="174" t="str">
        <f ca="1">IF(Proc[[#This Row],[DaysAgeing]]&gt;5,"yep","on track")</f>
        <v>yep</v>
      </c>
      <c r="Q4948" s="3">
        <f ca="1">IF(Proc[[#This Row],[DateClosed]]="",ABS(NETWORKDAYS(Proc[[#This Row],[DateOpened]],TODAY()))-1,ABS(NETWORKDAYS(Proc[[#This Row],[DateOpened]],Proc[[#This Row],[DateClosed]]))-1)</f>
        <v>10</v>
      </c>
      <c r="R4948" s="174" t="s">
        <v>5709</v>
      </c>
      <c r="S4948" s="150"/>
    </row>
    <row r="4949" spans="1:19">
      <c r="A4949" s="149" t="s">
        <v>7039</v>
      </c>
      <c r="B4949" s="150" t="str">
        <f>IFERROR(VLOOKUP(Proc[[#This Row],[App]],Table2[],3,0),"open")</f>
        <v>ok</v>
      </c>
      <c r="C4949" s="149" t="s">
        <v>369</v>
      </c>
      <c r="D4949" t="s">
        <v>7158</v>
      </c>
      <c r="E4949" s="149" t="s">
        <v>7238</v>
      </c>
      <c r="F4949" s="150" t="s">
        <v>7238</v>
      </c>
      <c r="G4949" s="149" t="s">
        <v>406</v>
      </c>
      <c r="H4949" s="150" t="str">
        <f>IF(Proc[[#This Row],[type]]="LFF (MDG-F)",MID(Proc[[#This Row],[Obj]],13,10),"")</f>
        <v>US10TQ1005</v>
      </c>
      <c r="I4949" s="149" t="s">
        <v>7238</v>
      </c>
      <c r="J4949" s="150" t="b">
        <f>Proc[[#This Row],[Requested]]=Proc[[#This Row],[CurrentParent]]</f>
        <v>1</v>
      </c>
      <c r="K4949" s="150" t="str">
        <f>IF(Proc[[#This Row],[Author]]="Marcela Urrego",VLOOKUP(LEFT(Proc[[#This Row],[Requested]],1),Table3[#All],2,0),VLOOKUP(Proc[[#This Row],[Author]],Table4[],2,0))</f>
        <v>EL</v>
      </c>
      <c r="L4949" s="150" t="s">
        <v>6435</v>
      </c>
      <c r="M4949" s="173">
        <v>45989</v>
      </c>
      <c r="N4949" s="174"/>
      <c r="O4949" s="174"/>
      <c r="P4949" s="174" t="str">
        <f ca="1">IF(Proc[[#This Row],[DaysAgeing]]&gt;5,"yep","on track")</f>
        <v>yep</v>
      </c>
      <c r="Q4949" s="3">
        <f ca="1">IF(Proc[[#This Row],[DateClosed]]="",ABS(NETWORKDAYS(Proc[[#This Row],[DateOpened]],TODAY()))-1,ABS(NETWORKDAYS(Proc[[#This Row],[DateOpened]],Proc[[#This Row],[DateClosed]]))-1)</f>
        <v>10</v>
      </c>
      <c r="R4949" s="174" t="s">
        <v>5709</v>
      </c>
      <c r="S4949" s="150"/>
    </row>
    <row r="4950" spans="1:19">
      <c r="A4950" s="149" t="s">
        <v>7039</v>
      </c>
      <c r="B4950" s="150" t="str">
        <f>IFERROR(VLOOKUP(Proc[[#This Row],[App]],Table2[],3,0),"open")</f>
        <v>ok</v>
      </c>
      <c r="C4950" s="149" t="s">
        <v>369</v>
      </c>
      <c r="D4950" t="s">
        <v>7159</v>
      </c>
      <c r="E4950" s="149" t="s">
        <v>7238</v>
      </c>
      <c r="F4950" s="150" t="s">
        <v>7238</v>
      </c>
      <c r="G4950" s="149" t="s">
        <v>406</v>
      </c>
      <c r="H4950" s="150" t="str">
        <f>IF(Proc[[#This Row],[type]]="LFF (MDG-F)",MID(Proc[[#This Row],[Obj]],13,10),"")</f>
        <v>US10TQ1006</v>
      </c>
      <c r="I4950" s="149" t="s">
        <v>7238</v>
      </c>
      <c r="J4950" s="150" t="b">
        <f>Proc[[#This Row],[Requested]]=Proc[[#This Row],[CurrentParent]]</f>
        <v>1</v>
      </c>
      <c r="K4950" s="150" t="str">
        <f>IF(Proc[[#This Row],[Author]]="Marcela Urrego",VLOOKUP(LEFT(Proc[[#This Row],[Requested]],1),Table3[#All],2,0),VLOOKUP(Proc[[#This Row],[Author]],Table4[],2,0))</f>
        <v>EL</v>
      </c>
      <c r="L4950" s="150" t="s">
        <v>6435</v>
      </c>
      <c r="M4950" s="173">
        <v>45989</v>
      </c>
      <c r="N4950" s="174"/>
      <c r="O4950" s="174"/>
      <c r="P4950" s="174" t="str">
        <f ca="1">IF(Proc[[#This Row],[DaysAgeing]]&gt;5,"yep","on track")</f>
        <v>yep</v>
      </c>
      <c r="Q4950" s="3">
        <f ca="1">IF(Proc[[#This Row],[DateClosed]]="",ABS(NETWORKDAYS(Proc[[#This Row],[DateOpened]],TODAY()))-1,ABS(NETWORKDAYS(Proc[[#This Row],[DateOpened]],Proc[[#This Row],[DateClosed]]))-1)</f>
        <v>10</v>
      </c>
      <c r="R4950" s="174" t="s">
        <v>5709</v>
      </c>
      <c r="S4950" s="150"/>
    </row>
    <row r="4951" spans="1:19">
      <c r="A4951" s="149" t="s">
        <v>7039</v>
      </c>
      <c r="B4951" s="150" t="str">
        <f>IFERROR(VLOOKUP(Proc[[#This Row],[App]],Table2[],3,0),"open")</f>
        <v>ok</v>
      </c>
      <c r="C4951" s="149" t="s">
        <v>369</v>
      </c>
      <c r="D4951" t="s">
        <v>7160</v>
      </c>
      <c r="E4951" s="149" t="s">
        <v>7238</v>
      </c>
      <c r="F4951" s="150" t="s">
        <v>7238</v>
      </c>
      <c r="G4951" s="149" t="s">
        <v>406</v>
      </c>
      <c r="H4951" s="150" t="str">
        <f>IF(Proc[[#This Row],[type]]="LFF (MDG-F)",MID(Proc[[#This Row],[Obj]],13,10),"")</f>
        <v>US10TQ1007</v>
      </c>
      <c r="I4951" s="149" t="s">
        <v>7238</v>
      </c>
      <c r="J4951" s="150" t="b">
        <f>Proc[[#This Row],[Requested]]=Proc[[#This Row],[CurrentParent]]</f>
        <v>1</v>
      </c>
      <c r="K4951" s="150" t="str">
        <f>IF(Proc[[#This Row],[Author]]="Marcela Urrego",VLOOKUP(LEFT(Proc[[#This Row],[Requested]],1),Table3[#All],2,0),VLOOKUP(Proc[[#This Row],[Author]],Table4[],2,0))</f>
        <v>EL</v>
      </c>
      <c r="L4951" s="150" t="s">
        <v>6435</v>
      </c>
      <c r="M4951" s="173">
        <v>45989</v>
      </c>
      <c r="N4951" s="174"/>
      <c r="O4951" s="174"/>
      <c r="P4951" s="174" t="str">
        <f ca="1">IF(Proc[[#This Row],[DaysAgeing]]&gt;5,"yep","on track")</f>
        <v>yep</v>
      </c>
      <c r="Q4951" s="3">
        <f ca="1">IF(Proc[[#This Row],[DateClosed]]="",ABS(NETWORKDAYS(Proc[[#This Row],[DateOpened]],TODAY()))-1,ABS(NETWORKDAYS(Proc[[#This Row],[DateOpened]],Proc[[#This Row],[DateClosed]]))-1)</f>
        <v>10</v>
      </c>
      <c r="R4951" s="174" t="s">
        <v>5709</v>
      </c>
      <c r="S4951" s="150"/>
    </row>
    <row r="4952" spans="1:19">
      <c r="A4952" s="149" t="s">
        <v>7039</v>
      </c>
      <c r="B4952" s="150" t="str">
        <f>IFERROR(VLOOKUP(Proc[[#This Row],[App]],Table2[],3,0),"open")</f>
        <v>ok</v>
      </c>
      <c r="C4952" s="149" t="s">
        <v>369</v>
      </c>
      <c r="D4952" t="s">
        <v>7161</v>
      </c>
      <c r="E4952" s="149" t="s">
        <v>7238</v>
      </c>
      <c r="F4952" s="150" t="s">
        <v>7238</v>
      </c>
      <c r="G4952" s="149" t="s">
        <v>406</v>
      </c>
      <c r="H4952" s="150" t="str">
        <f>IF(Proc[[#This Row],[type]]="LFF (MDG-F)",MID(Proc[[#This Row],[Obj]],13,10),"")</f>
        <v>US10TQ1008</v>
      </c>
      <c r="I4952" s="149" t="s">
        <v>7238</v>
      </c>
      <c r="J4952" s="150" t="b">
        <f>Proc[[#This Row],[Requested]]=Proc[[#This Row],[CurrentParent]]</f>
        <v>1</v>
      </c>
      <c r="K4952" s="150" t="str">
        <f>IF(Proc[[#This Row],[Author]]="Marcela Urrego",VLOOKUP(LEFT(Proc[[#This Row],[Requested]],1),Table3[#All],2,0),VLOOKUP(Proc[[#This Row],[Author]],Table4[],2,0))</f>
        <v>EL</v>
      </c>
      <c r="L4952" s="150" t="s">
        <v>6435</v>
      </c>
      <c r="M4952" s="173">
        <v>45989</v>
      </c>
      <c r="N4952" s="174"/>
      <c r="O4952" s="174"/>
      <c r="P4952" s="174" t="str">
        <f ca="1">IF(Proc[[#This Row],[DaysAgeing]]&gt;5,"yep","on track")</f>
        <v>yep</v>
      </c>
      <c r="Q4952" s="3">
        <f ca="1">IF(Proc[[#This Row],[DateClosed]]="",ABS(NETWORKDAYS(Proc[[#This Row],[DateOpened]],TODAY()))-1,ABS(NETWORKDAYS(Proc[[#This Row],[DateOpened]],Proc[[#This Row],[DateClosed]]))-1)</f>
        <v>10</v>
      </c>
      <c r="R4952" s="174" t="s">
        <v>5709</v>
      </c>
      <c r="S4952" s="150"/>
    </row>
    <row r="4953" spans="1:19">
      <c r="A4953" s="149" t="s">
        <v>7039</v>
      </c>
      <c r="B4953" s="150" t="str">
        <f>IFERROR(VLOOKUP(Proc[[#This Row],[App]],Table2[],3,0),"open")</f>
        <v>ok</v>
      </c>
      <c r="C4953" s="149" t="s">
        <v>369</v>
      </c>
      <c r="D4953" t="s">
        <v>7162</v>
      </c>
      <c r="E4953" s="149" t="s">
        <v>7238</v>
      </c>
      <c r="F4953" s="150" t="s">
        <v>7238</v>
      </c>
      <c r="G4953" s="149" t="s">
        <v>406</v>
      </c>
      <c r="H4953" s="150" t="str">
        <f>IF(Proc[[#This Row],[type]]="LFF (MDG-F)",MID(Proc[[#This Row],[Obj]],13,10),"")</f>
        <v>US10TQ1009</v>
      </c>
      <c r="I4953" s="149" t="s">
        <v>7238</v>
      </c>
      <c r="J4953" s="150" t="b">
        <f>Proc[[#This Row],[Requested]]=Proc[[#This Row],[CurrentParent]]</f>
        <v>1</v>
      </c>
      <c r="K4953" s="150" t="str">
        <f>IF(Proc[[#This Row],[Author]]="Marcela Urrego",VLOOKUP(LEFT(Proc[[#This Row],[Requested]],1),Table3[#All],2,0),VLOOKUP(Proc[[#This Row],[Author]],Table4[],2,0))</f>
        <v>EL</v>
      </c>
      <c r="L4953" s="150" t="s">
        <v>6435</v>
      </c>
      <c r="M4953" s="173">
        <v>45989</v>
      </c>
      <c r="N4953" s="174"/>
      <c r="O4953" s="174"/>
      <c r="P4953" s="174" t="str">
        <f ca="1">IF(Proc[[#This Row],[DaysAgeing]]&gt;5,"yep","on track")</f>
        <v>yep</v>
      </c>
      <c r="Q4953" s="3">
        <f ca="1">IF(Proc[[#This Row],[DateClosed]]="",ABS(NETWORKDAYS(Proc[[#This Row],[DateOpened]],TODAY()))-1,ABS(NETWORKDAYS(Proc[[#This Row],[DateOpened]],Proc[[#This Row],[DateClosed]]))-1)</f>
        <v>10</v>
      </c>
      <c r="R4953" s="174" t="s">
        <v>5709</v>
      </c>
      <c r="S4953" s="150"/>
    </row>
    <row r="4954" spans="1:19">
      <c r="A4954" s="149" t="s">
        <v>7039</v>
      </c>
      <c r="B4954" s="150" t="str">
        <f>IFERROR(VLOOKUP(Proc[[#This Row],[App]],Table2[],3,0),"open")</f>
        <v>ok</v>
      </c>
      <c r="C4954" s="149" t="s">
        <v>369</v>
      </c>
      <c r="D4954" t="s">
        <v>7163</v>
      </c>
      <c r="E4954" s="149" t="s">
        <v>7238</v>
      </c>
      <c r="F4954" s="150" t="s">
        <v>7238</v>
      </c>
      <c r="G4954" s="149" t="s">
        <v>406</v>
      </c>
      <c r="H4954" s="150" t="str">
        <f>IF(Proc[[#This Row],[type]]="LFF (MDG-F)",MID(Proc[[#This Row],[Obj]],13,10),"")</f>
        <v>US10TQ1010</v>
      </c>
      <c r="I4954" s="149" t="s">
        <v>7238</v>
      </c>
      <c r="J4954" s="150" t="b">
        <f>Proc[[#This Row],[Requested]]=Proc[[#This Row],[CurrentParent]]</f>
        <v>1</v>
      </c>
      <c r="K4954" s="150" t="str">
        <f>IF(Proc[[#This Row],[Author]]="Marcela Urrego",VLOOKUP(LEFT(Proc[[#This Row],[Requested]],1),Table3[#All],2,0),VLOOKUP(Proc[[#This Row],[Author]],Table4[],2,0))</f>
        <v>EL</v>
      </c>
      <c r="L4954" s="150" t="s">
        <v>6435</v>
      </c>
      <c r="M4954" s="173">
        <v>45989</v>
      </c>
      <c r="N4954" s="174"/>
      <c r="O4954" s="174"/>
      <c r="P4954" s="174" t="str">
        <f ca="1">IF(Proc[[#This Row],[DaysAgeing]]&gt;5,"yep","on track")</f>
        <v>yep</v>
      </c>
      <c r="Q4954" s="3">
        <f ca="1">IF(Proc[[#This Row],[DateClosed]]="",ABS(NETWORKDAYS(Proc[[#This Row],[DateOpened]],TODAY()))-1,ABS(NETWORKDAYS(Proc[[#This Row],[DateOpened]],Proc[[#This Row],[DateClosed]]))-1)</f>
        <v>10</v>
      </c>
      <c r="R4954" s="174" t="s">
        <v>5709</v>
      </c>
      <c r="S4954" s="150"/>
    </row>
    <row r="4955" spans="1:19">
      <c r="A4955" s="149" t="s">
        <v>7039</v>
      </c>
      <c r="B4955" s="150" t="str">
        <f>IFERROR(VLOOKUP(Proc[[#This Row],[App]],Table2[],3,0),"open")</f>
        <v>ok</v>
      </c>
      <c r="C4955" s="149" t="s">
        <v>369</v>
      </c>
      <c r="D4955" t="s">
        <v>7164</v>
      </c>
      <c r="E4955" s="149" t="s">
        <v>7238</v>
      </c>
      <c r="F4955" s="150" t="s">
        <v>7238</v>
      </c>
      <c r="G4955" s="149" t="s">
        <v>406</v>
      </c>
      <c r="H4955" s="150" t="str">
        <f>IF(Proc[[#This Row],[type]]="LFF (MDG-F)",MID(Proc[[#This Row],[Obj]],13,10),"")</f>
        <v>US10TQ1011</v>
      </c>
      <c r="I4955" s="149" t="s">
        <v>7238</v>
      </c>
      <c r="J4955" s="150" t="b">
        <f>Proc[[#This Row],[Requested]]=Proc[[#This Row],[CurrentParent]]</f>
        <v>1</v>
      </c>
      <c r="K4955" s="150" t="str">
        <f>IF(Proc[[#This Row],[Author]]="Marcela Urrego",VLOOKUP(LEFT(Proc[[#This Row],[Requested]],1),Table3[#All],2,0),VLOOKUP(Proc[[#This Row],[Author]],Table4[],2,0))</f>
        <v>EL</v>
      </c>
      <c r="L4955" s="150" t="s">
        <v>6435</v>
      </c>
      <c r="M4955" s="173">
        <v>45989</v>
      </c>
      <c r="N4955" s="174"/>
      <c r="O4955" s="174"/>
      <c r="P4955" s="174" t="str">
        <f ca="1">IF(Proc[[#This Row],[DaysAgeing]]&gt;5,"yep","on track")</f>
        <v>yep</v>
      </c>
      <c r="Q4955" s="3">
        <f ca="1">IF(Proc[[#This Row],[DateClosed]]="",ABS(NETWORKDAYS(Proc[[#This Row],[DateOpened]],TODAY()))-1,ABS(NETWORKDAYS(Proc[[#This Row],[DateOpened]],Proc[[#This Row],[DateClosed]]))-1)</f>
        <v>10</v>
      </c>
      <c r="R4955" s="174" t="s">
        <v>5709</v>
      </c>
      <c r="S4955" s="150"/>
    </row>
    <row r="4956" spans="1:19">
      <c r="A4956" s="149" t="s">
        <v>7039</v>
      </c>
      <c r="B4956" s="150" t="str">
        <f>IFERROR(VLOOKUP(Proc[[#This Row],[App]],Table2[],3,0),"open")</f>
        <v>ok</v>
      </c>
      <c r="C4956" s="149" t="s">
        <v>369</v>
      </c>
      <c r="D4956" t="s">
        <v>7165</v>
      </c>
      <c r="E4956" s="149" t="s">
        <v>7238</v>
      </c>
      <c r="F4956" s="150" t="s">
        <v>7238</v>
      </c>
      <c r="G4956" s="149" t="s">
        <v>406</v>
      </c>
      <c r="H4956" s="150" t="str">
        <f>IF(Proc[[#This Row],[type]]="LFF (MDG-F)",MID(Proc[[#This Row],[Obj]],13,10),"")</f>
        <v>US10TQ1012</v>
      </c>
      <c r="I4956" s="149" t="s">
        <v>7238</v>
      </c>
      <c r="J4956" s="150" t="b">
        <f>Proc[[#This Row],[Requested]]=Proc[[#This Row],[CurrentParent]]</f>
        <v>1</v>
      </c>
      <c r="K4956" s="150" t="str">
        <f>IF(Proc[[#This Row],[Author]]="Marcela Urrego",VLOOKUP(LEFT(Proc[[#This Row],[Requested]],1),Table3[#All],2,0),VLOOKUP(Proc[[#This Row],[Author]],Table4[],2,0))</f>
        <v>EL</v>
      </c>
      <c r="L4956" s="150" t="s">
        <v>6435</v>
      </c>
      <c r="M4956" s="173">
        <v>45989</v>
      </c>
      <c r="N4956" s="174"/>
      <c r="O4956" s="174"/>
      <c r="P4956" s="174" t="str">
        <f ca="1">IF(Proc[[#This Row],[DaysAgeing]]&gt;5,"yep","on track")</f>
        <v>yep</v>
      </c>
      <c r="Q4956" s="3">
        <f ca="1">IF(Proc[[#This Row],[DateClosed]]="",ABS(NETWORKDAYS(Proc[[#This Row],[DateOpened]],TODAY()))-1,ABS(NETWORKDAYS(Proc[[#This Row],[DateOpened]],Proc[[#This Row],[DateClosed]]))-1)</f>
        <v>10</v>
      </c>
      <c r="R4956" s="174" t="s">
        <v>5709</v>
      </c>
      <c r="S4956" s="150"/>
    </row>
    <row r="4957" spans="1:19">
      <c r="A4957" s="149" t="s">
        <v>7039</v>
      </c>
      <c r="B4957" s="150" t="str">
        <f>IFERROR(VLOOKUP(Proc[[#This Row],[App]],Table2[],3,0),"open")</f>
        <v>ok</v>
      </c>
      <c r="C4957" s="149" t="s">
        <v>369</v>
      </c>
      <c r="D4957" t="s">
        <v>7166</v>
      </c>
      <c r="E4957" s="149" t="s">
        <v>7238</v>
      </c>
      <c r="F4957" s="150" t="s">
        <v>7238</v>
      </c>
      <c r="G4957" s="149" t="s">
        <v>406</v>
      </c>
      <c r="H4957" s="150" t="str">
        <f>IF(Proc[[#This Row],[type]]="LFF (MDG-F)",MID(Proc[[#This Row],[Obj]],13,10),"")</f>
        <v>US10TQ1013</v>
      </c>
      <c r="I4957" s="149" t="s">
        <v>7238</v>
      </c>
      <c r="J4957" s="150" t="b">
        <f>Proc[[#This Row],[Requested]]=Proc[[#This Row],[CurrentParent]]</f>
        <v>1</v>
      </c>
      <c r="K4957" s="150" t="str">
        <f>IF(Proc[[#This Row],[Author]]="Marcela Urrego",VLOOKUP(LEFT(Proc[[#This Row],[Requested]],1),Table3[#All],2,0),VLOOKUP(Proc[[#This Row],[Author]],Table4[],2,0))</f>
        <v>EL</v>
      </c>
      <c r="L4957" s="150" t="s">
        <v>6435</v>
      </c>
      <c r="M4957" s="173">
        <v>45989</v>
      </c>
      <c r="N4957" s="174"/>
      <c r="O4957" s="174"/>
      <c r="P4957" s="174" t="str">
        <f ca="1">IF(Proc[[#This Row],[DaysAgeing]]&gt;5,"yep","on track")</f>
        <v>yep</v>
      </c>
      <c r="Q4957" s="3">
        <f ca="1">IF(Proc[[#This Row],[DateClosed]]="",ABS(NETWORKDAYS(Proc[[#This Row],[DateOpened]],TODAY()))-1,ABS(NETWORKDAYS(Proc[[#This Row],[DateOpened]],Proc[[#This Row],[DateClosed]]))-1)</f>
        <v>10</v>
      </c>
      <c r="R4957" s="174" t="s">
        <v>5709</v>
      </c>
      <c r="S4957" s="150"/>
    </row>
    <row r="4958" spans="1:19">
      <c r="A4958" s="149" t="s">
        <v>7039</v>
      </c>
      <c r="B4958" s="150" t="str">
        <f>IFERROR(VLOOKUP(Proc[[#This Row],[App]],Table2[],3,0),"open")</f>
        <v>ok</v>
      </c>
      <c r="C4958" s="149" t="s">
        <v>369</v>
      </c>
      <c r="D4958" t="s">
        <v>7167</v>
      </c>
      <c r="E4958" s="149" t="s">
        <v>7239</v>
      </c>
      <c r="F4958" s="150" t="s">
        <v>7239</v>
      </c>
      <c r="G4958" s="149" t="s">
        <v>406</v>
      </c>
      <c r="H4958" s="150" t="str">
        <f>IF(Proc[[#This Row],[type]]="LFF (MDG-F)",MID(Proc[[#This Row],[Obj]],13,10),"")</f>
        <v>US01TPBZ01</v>
      </c>
      <c r="I4958" s="149" t="s">
        <v>7239</v>
      </c>
      <c r="J4958" s="150" t="b">
        <f>Proc[[#This Row],[Requested]]=Proc[[#This Row],[CurrentParent]]</f>
        <v>1</v>
      </c>
      <c r="K4958" s="150" t="str">
        <f>IF(Proc[[#This Row],[Author]]="Marcela Urrego",VLOOKUP(LEFT(Proc[[#This Row],[Requested]],1),Table3[#All],2,0),VLOOKUP(Proc[[#This Row],[Author]],Table4[],2,0))</f>
        <v>EL</v>
      </c>
      <c r="L4958" s="150" t="s">
        <v>6435</v>
      </c>
      <c r="M4958" s="173">
        <v>45989</v>
      </c>
      <c r="N4958" s="174"/>
      <c r="O4958" s="174"/>
      <c r="P4958" s="174" t="str">
        <f ca="1">IF(Proc[[#This Row],[DaysAgeing]]&gt;5,"yep","on track")</f>
        <v>yep</v>
      </c>
      <c r="Q4958" s="3">
        <f ca="1">IF(Proc[[#This Row],[DateClosed]]="",ABS(NETWORKDAYS(Proc[[#This Row],[DateOpened]],TODAY()))-1,ABS(NETWORKDAYS(Proc[[#This Row],[DateOpened]],Proc[[#This Row],[DateClosed]]))-1)</f>
        <v>10</v>
      </c>
      <c r="R4958" s="174" t="s">
        <v>5709</v>
      </c>
      <c r="S4958" s="150"/>
    </row>
    <row r="4959" spans="1:19">
      <c r="A4959" s="149" t="s">
        <v>7039</v>
      </c>
      <c r="B4959" s="150" t="str">
        <f>IFERROR(VLOOKUP(Proc[[#This Row],[App]],Table2[],3,0),"open")</f>
        <v>ok</v>
      </c>
      <c r="C4959" s="149" t="s">
        <v>369</v>
      </c>
      <c r="D4959" t="s">
        <v>7168</v>
      </c>
      <c r="E4959" s="149" t="s">
        <v>7239</v>
      </c>
      <c r="F4959" s="150" t="s">
        <v>7239</v>
      </c>
      <c r="G4959" s="149" t="s">
        <v>406</v>
      </c>
      <c r="H4959" s="150" t="str">
        <f>IF(Proc[[#This Row],[type]]="LFF (MDG-F)",MID(Proc[[#This Row],[Obj]],13,10),"")</f>
        <v>US01TPBZ02</v>
      </c>
      <c r="I4959" s="149" t="s">
        <v>7239</v>
      </c>
      <c r="J4959" s="150" t="b">
        <f>Proc[[#This Row],[Requested]]=Proc[[#This Row],[CurrentParent]]</f>
        <v>1</v>
      </c>
      <c r="K4959" s="150" t="str">
        <f>IF(Proc[[#This Row],[Author]]="Marcela Urrego",VLOOKUP(LEFT(Proc[[#This Row],[Requested]],1),Table3[#All],2,0),VLOOKUP(Proc[[#This Row],[Author]],Table4[],2,0))</f>
        <v>EL</v>
      </c>
      <c r="L4959" s="150" t="s">
        <v>6435</v>
      </c>
      <c r="M4959" s="173">
        <v>45989</v>
      </c>
      <c r="N4959" s="174"/>
      <c r="O4959" s="174"/>
      <c r="P4959" s="174" t="str">
        <f ca="1">IF(Proc[[#This Row],[DaysAgeing]]&gt;5,"yep","on track")</f>
        <v>yep</v>
      </c>
      <c r="Q4959" s="3">
        <f ca="1">IF(Proc[[#This Row],[DateClosed]]="",ABS(NETWORKDAYS(Proc[[#This Row],[DateOpened]],TODAY()))-1,ABS(NETWORKDAYS(Proc[[#This Row],[DateOpened]],Proc[[#This Row],[DateClosed]]))-1)</f>
        <v>10</v>
      </c>
      <c r="R4959" s="174" t="s">
        <v>5709</v>
      </c>
      <c r="S4959" s="150"/>
    </row>
    <row r="4960" spans="1:19">
      <c r="A4960" s="149" t="s">
        <v>7039</v>
      </c>
      <c r="B4960" s="150" t="str">
        <f>IFERROR(VLOOKUP(Proc[[#This Row],[App]],Table2[],3,0),"open")</f>
        <v>ok</v>
      </c>
      <c r="C4960" s="149" t="s">
        <v>369</v>
      </c>
      <c r="D4960" t="s">
        <v>7169</v>
      </c>
      <c r="E4960" s="149" t="s">
        <v>7239</v>
      </c>
      <c r="F4960" s="150" t="s">
        <v>7239</v>
      </c>
      <c r="G4960" s="149" t="s">
        <v>406</v>
      </c>
      <c r="H4960" s="150" t="str">
        <f>IF(Proc[[#This Row],[type]]="LFF (MDG-F)",MID(Proc[[#This Row],[Obj]],13,10),"")</f>
        <v>US01TQBZ01</v>
      </c>
      <c r="I4960" s="149" t="s">
        <v>7239</v>
      </c>
      <c r="J4960" s="150" t="b">
        <f>Proc[[#This Row],[Requested]]=Proc[[#This Row],[CurrentParent]]</f>
        <v>1</v>
      </c>
      <c r="K4960" s="150" t="str">
        <f>IF(Proc[[#This Row],[Author]]="Marcela Urrego",VLOOKUP(LEFT(Proc[[#This Row],[Requested]],1),Table3[#All],2,0),VLOOKUP(Proc[[#This Row],[Author]],Table4[],2,0))</f>
        <v>EL</v>
      </c>
      <c r="L4960" s="150" t="s">
        <v>6435</v>
      </c>
      <c r="M4960" s="173">
        <v>45989</v>
      </c>
      <c r="N4960" s="174"/>
      <c r="O4960" s="174"/>
      <c r="P4960" s="174" t="str">
        <f ca="1">IF(Proc[[#This Row],[DaysAgeing]]&gt;5,"yep","on track")</f>
        <v>yep</v>
      </c>
      <c r="Q4960" s="3">
        <f ca="1">IF(Proc[[#This Row],[DateClosed]]="",ABS(NETWORKDAYS(Proc[[#This Row],[DateOpened]],TODAY()))-1,ABS(NETWORKDAYS(Proc[[#This Row],[DateOpened]],Proc[[#This Row],[DateClosed]]))-1)</f>
        <v>10</v>
      </c>
      <c r="R4960" s="174" t="s">
        <v>5709</v>
      </c>
      <c r="S4960" s="150"/>
    </row>
    <row r="4961" spans="1:19">
      <c r="A4961" s="149" t="s">
        <v>7039</v>
      </c>
      <c r="B4961" s="150" t="str">
        <f>IFERROR(VLOOKUP(Proc[[#This Row],[App]],Table2[],3,0),"open")</f>
        <v>ok</v>
      </c>
      <c r="C4961" s="149" t="s">
        <v>369</v>
      </c>
      <c r="D4961" t="s">
        <v>7170</v>
      </c>
      <c r="E4961" s="149" t="s">
        <v>7239</v>
      </c>
      <c r="F4961" s="150" t="s">
        <v>7239</v>
      </c>
      <c r="G4961" s="149" t="s">
        <v>406</v>
      </c>
      <c r="H4961" s="150" t="str">
        <f>IF(Proc[[#This Row],[type]]="LFF (MDG-F)",MID(Proc[[#This Row],[Obj]],13,10),"")</f>
        <v>US01TQHZ01</v>
      </c>
      <c r="I4961" s="149" t="s">
        <v>7239</v>
      </c>
      <c r="J4961" s="150" t="b">
        <f>Proc[[#This Row],[Requested]]=Proc[[#This Row],[CurrentParent]]</f>
        <v>1</v>
      </c>
      <c r="K4961" s="150" t="str">
        <f>IF(Proc[[#This Row],[Author]]="Marcela Urrego",VLOOKUP(LEFT(Proc[[#This Row],[Requested]],1),Table3[#All],2,0),VLOOKUP(Proc[[#This Row],[Author]],Table4[],2,0))</f>
        <v>EL</v>
      </c>
      <c r="L4961" s="150" t="s">
        <v>6435</v>
      </c>
      <c r="M4961" s="173">
        <v>45989</v>
      </c>
      <c r="N4961" s="174"/>
      <c r="O4961" s="174"/>
      <c r="P4961" s="174" t="str">
        <f ca="1">IF(Proc[[#This Row],[DaysAgeing]]&gt;5,"yep","on track")</f>
        <v>yep</v>
      </c>
      <c r="Q4961" s="3">
        <f ca="1">IF(Proc[[#This Row],[DateClosed]]="",ABS(NETWORKDAYS(Proc[[#This Row],[DateOpened]],TODAY()))-1,ABS(NETWORKDAYS(Proc[[#This Row],[DateOpened]],Proc[[#This Row],[DateClosed]]))-1)</f>
        <v>10</v>
      </c>
      <c r="R4961" s="174" t="s">
        <v>5709</v>
      </c>
      <c r="S4961" s="150"/>
    </row>
    <row r="4962" spans="1:19">
      <c r="A4962" s="149" t="s">
        <v>7039</v>
      </c>
      <c r="B4962" s="150" t="str">
        <f>IFERROR(VLOOKUP(Proc[[#This Row],[App]],Table2[],3,0),"open")</f>
        <v>ok</v>
      </c>
      <c r="C4962" s="149" t="s">
        <v>369</v>
      </c>
      <c r="D4962" t="s">
        <v>7171</v>
      </c>
      <c r="E4962" s="149" t="s">
        <v>7239</v>
      </c>
      <c r="F4962" s="150" t="s">
        <v>7239</v>
      </c>
      <c r="G4962" s="149" t="s">
        <v>406</v>
      </c>
      <c r="H4962" s="150" t="str">
        <f>IF(Proc[[#This Row],[type]]="LFF (MDG-F)",MID(Proc[[#This Row],[Obj]],13,10),"")</f>
        <v>US01TQHZ03</v>
      </c>
      <c r="I4962" s="149" t="s">
        <v>7239</v>
      </c>
      <c r="J4962" s="150" t="b">
        <f>Proc[[#This Row],[Requested]]=Proc[[#This Row],[CurrentParent]]</f>
        <v>1</v>
      </c>
      <c r="K4962" s="150" t="str">
        <f>IF(Proc[[#This Row],[Author]]="Marcela Urrego",VLOOKUP(LEFT(Proc[[#This Row],[Requested]],1),Table3[#All],2,0),VLOOKUP(Proc[[#This Row],[Author]],Table4[],2,0))</f>
        <v>EL</v>
      </c>
      <c r="L4962" s="150" t="s">
        <v>6435</v>
      </c>
      <c r="M4962" s="173">
        <v>45989</v>
      </c>
      <c r="N4962" s="174"/>
      <c r="O4962" s="174"/>
      <c r="P4962" s="174" t="str">
        <f ca="1">IF(Proc[[#This Row],[DaysAgeing]]&gt;5,"yep","on track")</f>
        <v>yep</v>
      </c>
      <c r="Q4962" s="3">
        <f ca="1">IF(Proc[[#This Row],[DateClosed]]="",ABS(NETWORKDAYS(Proc[[#This Row],[DateOpened]],TODAY()))-1,ABS(NETWORKDAYS(Proc[[#This Row],[DateOpened]],Proc[[#This Row],[DateClosed]]))-1)</f>
        <v>10</v>
      </c>
      <c r="R4962" s="174" t="s">
        <v>5709</v>
      </c>
      <c r="S4962" s="150"/>
    </row>
    <row r="4963" spans="1:19">
      <c r="A4963" s="149" t="s">
        <v>7039</v>
      </c>
      <c r="B4963" s="150" t="str">
        <f>IFERROR(VLOOKUP(Proc[[#This Row],[App]],Table2[],3,0),"open")</f>
        <v>ok</v>
      </c>
      <c r="C4963" s="149" t="s">
        <v>369</v>
      </c>
      <c r="D4963" t="s">
        <v>7172</v>
      </c>
      <c r="E4963" s="149" t="s">
        <v>7239</v>
      </c>
      <c r="F4963" s="150" t="s">
        <v>7239</v>
      </c>
      <c r="G4963" s="149" t="s">
        <v>406</v>
      </c>
      <c r="H4963" s="150" t="str">
        <f>IF(Proc[[#This Row],[type]]="LFF (MDG-F)",MID(Proc[[#This Row],[Obj]],13,10),"")</f>
        <v>US10DB3000</v>
      </c>
      <c r="I4963" s="149" t="s">
        <v>7239</v>
      </c>
      <c r="J4963" s="150" t="b">
        <f>Proc[[#This Row],[Requested]]=Proc[[#This Row],[CurrentParent]]</f>
        <v>1</v>
      </c>
      <c r="K4963" s="150" t="str">
        <f>IF(Proc[[#This Row],[Author]]="Marcela Urrego",VLOOKUP(LEFT(Proc[[#This Row],[Requested]],1),Table3[#All],2,0),VLOOKUP(Proc[[#This Row],[Author]],Table4[],2,0))</f>
        <v>EL</v>
      </c>
      <c r="L4963" s="150" t="s">
        <v>6435</v>
      </c>
      <c r="M4963" s="173">
        <v>45989</v>
      </c>
      <c r="N4963" s="174"/>
      <c r="O4963" s="174"/>
      <c r="P4963" s="174" t="str">
        <f ca="1">IF(Proc[[#This Row],[DaysAgeing]]&gt;5,"yep","on track")</f>
        <v>yep</v>
      </c>
      <c r="Q4963" s="3">
        <f ca="1">IF(Proc[[#This Row],[DateClosed]]="",ABS(NETWORKDAYS(Proc[[#This Row],[DateOpened]],TODAY()))-1,ABS(NETWORKDAYS(Proc[[#This Row],[DateOpened]],Proc[[#This Row],[DateClosed]]))-1)</f>
        <v>10</v>
      </c>
      <c r="R4963" s="174" t="s">
        <v>5709</v>
      </c>
      <c r="S4963" s="150"/>
    </row>
    <row r="4964" spans="1:19">
      <c r="A4964" s="149" t="s">
        <v>7039</v>
      </c>
      <c r="B4964" s="150" t="str">
        <f>IFERROR(VLOOKUP(Proc[[#This Row],[App]],Table2[],3,0),"open")</f>
        <v>ok</v>
      </c>
      <c r="C4964" s="149" t="s">
        <v>369</v>
      </c>
      <c r="D4964" t="s">
        <v>7173</v>
      </c>
      <c r="E4964" s="149" t="s">
        <v>7239</v>
      </c>
      <c r="F4964" s="150" t="s">
        <v>7239</v>
      </c>
      <c r="G4964" s="149" t="s">
        <v>406</v>
      </c>
      <c r="H4964" s="150" t="str">
        <f>IF(Proc[[#This Row],[type]]="LFF (MDG-F)",MID(Proc[[#This Row],[Obj]],13,10),"")</f>
        <v>US10DB3012</v>
      </c>
      <c r="I4964" s="149" t="s">
        <v>7239</v>
      </c>
      <c r="J4964" s="150" t="b">
        <f>Proc[[#This Row],[Requested]]=Proc[[#This Row],[CurrentParent]]</f>
        <v>1</v>
      </c>
      <c r="K4964" s="150" t="str">
        <f>IF(Proc[[#This Row],[Author]]="Marcela Urrego",VLOOKUP(LEFT(Proc[[#This Row],[Requested]],1),Table3[#All],2,0),VLOOKUP(Proc[[#This Row],[Author]],Table4[],2,0))</f>
        <v>EL</v>
      </c>
      <c r="L4964" s="150" t="s">
        <v>6435</v>
      </c>
      <c r="M4964" s="173">
        <v>45989</v>
      </c>
      <c r="N4964" s="174"/>
      <c r="O4964" s="174"/>
      <c r="P4964" s="174" t="str">
        <f ca="1">IF(Proc[[#This Row],[DaysAgeing]]&gt;5,"yep","on track")</f>
        <v>yep</v>
      </c>
      <c r="Q4964" s="3">
        <f ca="1">IF(Proc[[#This Row],[DateClosed]]="",ABS(NETWORKDAYS(Proc[[#This Row],[DateOpened]],TODAY()))-1,ABS(NETWORKDAYS(Proc[[#This Row],[DateOpened]],Proc[[#This Row],[DateClosed]]))-1)</f>
        <v>10</v>
      </c>
      <c r="R4964" s="174" t="s">
        <v>5709</v>
      </c>
      <c r="S4964" s="150"/>
    </row>
    <row r="4965" spans="1:19">
      <c r="A4965" s="149" t="s">
        <v>7039</v>
      </c>
      <c r="B4965" s="150" t="str">
        <f>IFERROR(VLOOKUP(Proc[[#This Row],[App]],Table2[],3,0),"open")</f>
        <v>ok</v>
      </c>
      <c r="C4965" s="149" t="s">
        <v>369</v>
      </c>
      <c r="D4965" t="s">
        <v>7174</v>
      </c>
      <c r="E4965" s="149" t="s">
        <v>7239</v>
      </c>
      <c r="F4965" s="150" t="s">
        <v>7239</v>
      </c>
      <c r="G4965" s="149" t="s">
        <v>406</v>
      </c>
      <c r="H4965" s="150" t="str">
        <f>IF(Proc[[#This Row],[type]]="LFF (MDG-F)",MID(Proc[[#This Row],[Obj]],13,10),"")</f>
        <v>US10DB3013</v>
      </c>
      <c r="I4965" s="149" t="s">
        <v>7239</v>
      </c>
      <c r="J4965" s="150" t="b">
        <f>Proc[[#This Row],[Requested]]=Proc[[#This Row],[CurrentParent]]</f>
        <v>1</v>
      </c>
      <c r="K4965" s="150" t="str">
        <f>IF(Proc[[#This Row],[Author]]="Marcela Urrego",VLOOKUP(LEFT(Proc[[#This Row],[Requested]],1),Table3[#All],2,0),VLOOKUP(Proc[[#This Row],[Author]],Table4[],2,0))</f>
        <v>EL</v>
      </c>
      <c r="L4965" s="150" t="s">
        <v>6435</v>
      </c>
      <c r="M4965" s="173">
        <v>45989</v>
      </c>
      <c r="N4965" s="174"/>
      <c r="O4965" s="174"/>
      <c r="P4965" s="174" t="str">
        <f ca="1">IF(Proc[[#This Row],[DaysAgeing]]&gt;5,"yep","on track")</f>
        <v>yep</v>
      </c>
      <c r="Q4965" s="3">
        <f ca="1">IF(Proc[[#This Row],[DateClosed]]="",ABS(NETWORKDAYS(Proc[[#This Row],[DateOpened]],TODAY()))-1,ABS(NETWORKDAYS(Proc[[#This Row],[DateOpened]],Proc[[#This Row],[DateClosed]]))-1)</f>
        <v>10</v>
      </c>
      <c r="R4965" s="174" t="s">
        <v>5709</v>
      </c>
      <c r="S4965" s="150"/>
    </row>
    <row r="4966" spans="1:19">
      <c r="A4966" s="149" t="s">
        <v>7039</v>
      </c>
      <c r="B4966" s="150" t="str">
        <f>IFERROR(VLOOKUP(Proc[[#This Row],[App]],Table2[],3,0),"open")</f>
        <v>ok</v>
      </c>
      <c r="C4966" s="149" t="s">
        <v>369</v>
      </c>
      <c r="D4966" t="s">
        <v>7175</v>
      </c>
      <c r="E4966" s="149" t="s">
        <v>7239</v>
      </c>
      <c r="F4966" s="150" t="s">
        <v>7239</v>
      </c>
      <c r="G4966" s="149" t="s">
        <v>406</v>
      </c>
      <c r="H4966" s="150" t="str">
        <f>IF(Proc[[#This Row],[type]]="LFF (MDG-F)",MID(Proc[[#This Row],[Obj]],13,10),"")</f>
        <v>US10DB3016</v>
      </c>
      <c r="I4966" s="149" t="s">
        <v>7239</v>
      </c>
      <c r="J4966" s="150" t="b">
        <f>Proc[[#This Row],[Requested]]=Proc[[#This Row],[CurrentParent]]</f>
        <v>1</v>
      </c>
      <c r="K4966" s="150" t="str">
        <f>IF(Proc[[#This Row],[Author]]="Marcela Urrego",VLOOKUP(LEFT(Proc[[#This Row],[Requested]],1),Table3[#All],2,0),VLOOKUP(Proc[[#This Row],[Author]],Table4[],2,0))</f>
        <v>EL</v>
      </c>
      <c r="L4966" s="150" t="s">
        <v>6435</v>
      </c>
      <c r="M4966" s="173">
        <v>45989</v>
      </c>
      <c r="N4966" s="174"/>
      <c r="O4966" s="174"/>
      <c r="P4966" s="174" t="str">
        <f ca="1">IF(Proc[[#This Row],[DaysAgeing]]&gt;5,"yep","on track")</f>
        <v>yep</v>
      </c>
      <c r="Q4966" s="3">
        <f ca="1">IF(Proc[[#This Row],[DateClosed]]="",ABS(NETWORKDAYS(Proc[[#This Row],[DateOpened]],TODAY()))-1,ABS(NETWORKDAYS(Proc[[#This Row],[DateOpened]],Proc[[#This Row],[DateClosed]]))-1)</f>
        <v>10</v>
      </c>
      <c r="R4966" s="174" t="s">
        <v>5709</v>
      </c>
      <c r="S4966" s="150"/>
    </row>
    <row r="4967" spans="1:19">
      <c r="A4967" s="149" t="s">
        <v>7039</v>
      </c>
      <c r="B4967" s="150" t="str">
        <f>IFERROR(VLOOKUP(Proc[[#This Row],[App]],Table2[],3,0),"open")</f>
        <v>ok</v>
      </c>
      <c r="C4967" s="149" t="s">
        <v>369</v>
      </c>
      <c r="D4967" t="s">
        <v>7176</v>
      </c>
      <c r="E4967" s="149" t="s">
        <v>7239</v>
      </c>
      <c r="F4967" s="150" t="s">
        <v>7239</v>
      </c>
      <c r="G4967" s="149" t="s">
        <v>406</v>
      </c>
      <c r="H4967" s="150" t="str">
        <f>IF(Proc[[#This Row],[type]]="LFF (MDG-F)",MID(Proc[[#This Row],[Obj]],13,10),"")</f>
        <v>US10DB3017</v>
      </c>
      <c r="I4967" s="149" t="s">
        <v>7239</v>
      </c>
      <c r="J4967" s="150" t="b">
        <f>Proc[[#This Row],[Requested]]=Proc[[#This Row],[CurrentParent]]</f>
        <v>1</v>
      </c>
      <c r="K4967" s="150" t="str">
        <f>IF(Proc[[#This Row],[Author]]="Marcela Urrego",VLOOKUP(LEFT(Proc[[#This Row],[Requested]],1),Table3[#All],2,0),VLOOKUP(Proc[[#This Row],[Author]],Table4[],2,0))</f>
        <v>EL</v>
      </c>
      <c r="L4967" s="150" t="s">
        <v>6435</v>
      </c>
      <c r="M4967" s="173">
        <v>45989</v>
      </c>
      <c r="N4967" s="174"/>
      <c r="O4967" s="174"/>
      <c r="P4967" s="174" t="str">
        <f ca="1">IF(Proc[[#This Row],[DaysAgeing]]&gt;5,"yep","on track")</f>
        <v>yep</v>
      </c>
      <c r="Q4967" s="3">
        <f ca="1">IF(Proc[[#This Row],[DateClosed]]="",ABS(NETWORKDAYS(Proc[[#This Row],[DateOpened]],TODAY()))-1,ABS(NETWORKDAYS(Proc[[#This Row],[DateOpened]],Proc[[#This Row],[DateClosed]]))-1)</f>
        <v>10</v>
      </c>
      <c r="R4967" s="174" t="s">
        <v>5709</v>
      </c>
      <c r="S4967" s="150"/>
    </row>
    <row r="4968" spans="1:19">
      <c r="A4968" s="149" t="s">
        <v>7039</v>
      </c>
      <c r="B4968" s="150" t="str">
        <f>IFERROR(VLOOKUP(Proc[[#This Row],[App]],Table2[],3,0),"open")</f>
        <v>ok</v>
      </c>
      <c r="C4968" s="149" t="s">
        <v>369</v>
      </c>
      <c r="D4968" t="s">
        <v>7177</v>
      </c>
      <c r="E4968" s="149" t="s">
        <v>7239</v>
      </c>
      <c r="F4968" s="150" t="s">
        <v>7239</v>
      </c>
      <c r="G4968" s="149" t="s">
        <v>406</v>
      </c>
      <c r="H4968" s="150" t="str">
        <f>IF(Proc[[#This Row],[type]]="LFF (MDG-F)",MID(Proc[[#This Row],[Obj]],13,10),"")</f>
        <v>US01TM2001</v>
      </c>
      <c r="I4968" s="149" t="s">
        <v>7239</v>
      </c>
      <c r="J4968" s="150" t="b">
        <f>Proc[[#This Row],[Requested]]=Proc[[#This Row],[CurrentParent]]</f>
        <v>1</v>
      </c>
      <c r="K4968" s="150" t="str">
        <f>IF(Proc[[#This Row],[Author]]="Marcela Urrego",VLOOKUP(LEFT(Proc[[#This Row],[Requested]],1),Table3[#All],2,0),VLOOKUP(Proc[[#This Row],[Author]],Table4[],2,0))</f>
        <v>EL</v>
      </c>
      <c r="L4968" s="150" t="s">
        <v>6435</v>
      </c>
      <c r="M4968" s="173">
        <v>45989</v>
      </c>
      <c r="N4968" s="174"/>
      <c r="O4968" s="174"/>
      <c r="P4968" s="174" t="str">
        <f ca="1">IF(Proc[[#This Row],[DaysAgeing]]&gt;5,"yep","on track")</f>
        <v>yep</v>
      </c>
      <c r="Q4968" s="3">
        <f ca="1">IF(Proc[[#This Row],[DateClosed]]="",ABS(NETWORKDAYS(Proc[[#This Row],[DateOpened]],TODAY()))-1,ABS(NETWORKDAYS(Proc[[#This Row],[DateOpened]],Proc[[#This Row],[DateClosed]]))-1)</f>
        <v>10</v>
      </c>
      <c r="R4968" s="174" t="s">
        <v>5709</v>
      </c>
      <c r="S4968" s="150"/>
    </row>
    <row r="4969" spans="1:19">
      <c r="A4969" s="149" t="s">
        <v>7039</v>
      </c>
      <c r="B4969" s="150" t="str">
        <f>IFERROR(VLOOKUP(Proc[[#This Row],[App]],Table2[],3,0),"open")</f>
        <v>ok</v>
      </c>
      <c r="C4969" s="149" t="s">
        <v>369</v>
      </c>
      <c r="D4969" t="s">
        <v>7178</v>
      </c>
      <c r="E4969" s="149" t="s">
        <v>7239</v>
      </c>
      <c r="F4969" s="150" t="s">
        <v>7239</v>
      </c>
      <c r="G4969" s="149" t="s">
        <v>406</v>
      </c>
      <c r="H4969" s="150" t="str">
        <f>IF(Proc[[#This Row],[type]]="LFF (MDG-F)",MID(Proc[[#This Row],[Obj]],13,10),"")</f>
        <v>US10TM2010</v>
      </c>
      <c r="I4969" s="149" t="s">
        <v>7239</v>
      </c>
      <c r="J4969" s="150" t="b">
        <f>Proc[[#This Row],[Requested]]=Proc[[#This Row],[CurrentParent]]</f>
        <v>1</v>
      </c>
      <c r="K4969" s="150" t="str">
        <f>IF(Proc[[#This Row],[Author]]="Marcela Urrego",VLOOKUP(LEFT(Proc[[#This Row],[Requested]],1),Table3[#All],2,0),VLOOKUP(Proc[[#This Row],[Author]],Table4[],2,0))</f>
        <v>EL</v>
      </c>
      <c r="L4969" s="150" t="s">
        <v>6435</v>
      </c>
      <c r="M4969" s="173">
        <v>45989</v>
      </c>
      <c r="N4969" s="174"/>
      <c r="O4969" s="174"/>
      <c r="P4969" s="174" t="str">
        <f ca="1">IF(Proc[[#This Row],[DaysAgeing]]&gt;5,"yep","on track")</f>
        <v>yep</v>
      </c>
      <c r="Q4969" s="3">
        <f ca="1">IF(Proc[[#This Row],[DateClosed]]="",ABS(NETWORKDAYS(Proc[[#This Row],[DateOpened]],TODAY()))-1,ABS(NETWORKDAYS(Proc[[#This Row],[DateOpened]],Proc[[#This Row],[DateClosed]]))-1)</f>
        <v>10</v>
      </c>
      <c r="R4969" s="174" t="s">
        <v>5709</v>
      </c>
      <c r="S4969" s="150"/>
    </row>
    <row r="4970" spans="1:19">
      <c r="A4970" s="149" t="s">
        <v>7039</v>
      </c>
      <c r="B4970" s="150" t="str">
        <f>IFERROR(VLOOKUP(Proc[[#This Row],[App]],Table2[],3,0),"open")</f>
        <v>ok</v>
      </c>
      <c r="C4970" s="149" t="s">
        <v>369</v>
      </c>
      <c r="D4970" t="s">
        <v>7179</v>
      </c>
      <c r="E4970" s="149" t="s">
        <v>7240</v>
      </c>
      <c r="F4970" s="150" t="s">
        <v>7240</v>
      </c>
      <c r="G4970" s="149" t="s">
        <v>406</v>
      </c>
      <c r="H4970" s="150" t="str">
        <f>IF(Proc[[#This Row],[type]]="LFF (MDG-F)",MID(Proc[[#This Row],[Obj]],13,10),"")</f>
        <v>US01TPPZ04</v>
      </c>
      <c r="I4970" s="149" t="s">
        <v>7240</v>
      </c>
      <c r="J4970" s="150" t="b">
        <f>Proc[[#This Row],[Requested]]=Proc[[#This Row],[CurrentParent]]</f>
        <v>1</v>
      </c>
      <c r="K4970" s="150" t="str">
        <f>IF(Proc[[#This Row],[Author]]="Marcela Urrego",VLOOKUP(LEFT(Proc[[#This Row],[Requested]],1),Table3[#All],2,0),VLOOKUP(Proc[[#This Row],[Author]],Table4[],2,0))</f>
        <v>EL</v>
      </c>
      <c r="L4970" s="150" t="s">
        <v>6435</v>
      </c>
      <c r="M4970" s="173">
        <v>45989</v>
      </c>
      <c r="N4970" s="174"/>
      <c r="O4970" s="174"/>
      <c r="P4970" s="174" t="str">
        <f ca="1">IF(Proc[[#This Row],[DaysAgeing]]&gt;5,"yep","on track")</f>
        <v>yep</v>
      </c>
      <c r="Q4970" s="3">
        <f ca="1">IF(Proc[[#This Row],[DateClosed]]="",ABS(NETWORKDAYS(Proc[[#This Row],[DateOpened]],TODAY()))-1,ABS(NETWORKDAYS(Proc[[#This Row],[DateOpened]],Proc[[#This Row],[DateClosed]]))-1)</f>
        <v>10</v>
      </c>
      <c r="R4970" s="174" t="s">
        <v>5709</v>
      </c>
      <c r="S4970" s="150"/>
    </row>
    <row r="4971" spans="1:19">
      <c r="A4971" s="149" t="s">
        <v>7039</v>
      </c>
      <c r="B4971" s="150" t="str">
        <f>IFERROR(VLOOKUP(Proc[[#This Row],[App]],Table2[],3,0),"open")</f>
        <v>ok</v>
      </c>
      <c r="C4971" s="149" t="s">
        <v>369</v>
      </c>
      <c r="D4971" t="s">
        <v>7180</v>
      </c>
      <c r="E4971" s="149" t="s">
        <v>7240</v>
      </c>
      <c r="F4971" s="150" t="s">
        <v>7240</v>
      </c>
      <c r="G4971" s="149" t="s">
        <v>406</v>
      </c>
      <c r="H4971" s="150" t="str">
        <f>IF(Proc[[#This Row],[type]]="LFF (MDG-F)",MID(Proc[[#This Row],[Obj]],13,10),"")</f>
        <v>US10DB3003</v>
      </c>
      <c r="I4971" s="149" t="s">
        <v>7240</v>
      </c>
      <c r="J4971" s="150" t="b">
        <f>Proc[[#This Row],[Requested]]=Proc[[#This Row],[CurrentParent]]</f>
        <v>1</v>
      </c>
      <c r="K4971" s="150" t="str">
        <f>IF(Proc[[#This Row],[Author]]="Marcela Urrego",VLOOKUP(LEFT(Proc[[#This Row],[Requested]],1),Table3[#All],2,0),VLOOKUP(Proc[[#This Row],[Author]],Table4[],2,0))</f>
        <v>EL</v>
      </c>
      <c r="L4971" s="150" t="s">
        <v>6435</v>
      </c>
      <c r="M4971" s="173">
        <v>45989</v>
      </c>
      <c r="N4971" s="174"/>
      <c r="O4971" s="174"/>
      <c r="P4971" s="174" t="str">
        <f ca="1">IF(Proc[[#This Row],[DaysAgeing]]&gt;5,"yep","on track")</f>
        <v>yep</v>
      </c>
      <c r="Q4971" s="3">
        <f ca="1">IF(Proc[[#This Row],[DateClosed]]="",ABS(NETWORKDAYS(Proc[[#This Row],[DateOpened]],TODAY()))-1,ABS(NETWORKDAYS(Proc[[#This Row],[DateOpened]],Proc[[#This Row],[DateClosed]]))-1)</f>
        <v>10</v>
      </c>
      <c r="R4971" s="174" t="s">
        <v>5709</v>
      </c>
      <c r="S4971" s="150"/>
    </row>
    <row r="4972" spans="1:19">
      <c r="A4972" s="149" t="s">
        <v>7039</v>
      </c>
      <c r="B4972" s="150" t="str">
        <f>IFERROR(VLOOKUP(Proc[[#This Row],[App]],Table2[],3,0),"open")</f>
        <v>ok</v>
      </c>
      <c r="C4972" s="149" t="s">
        <v>369</v>
      </c>
      <c r="D4972" t="s">
        <v>7181</v>
      </c>
      <c r="E4972" s="149" t="s">
        <v>7240</v>
      </c>
      <c r="F4972" s="150" t="s">
        <v>7240</v>
      </c>
      <c r="G4972" s="149" t="s">
        <v>406</v>
      </c>
      <c r="H4972" s="150" t="str">
        <f>IF(Proc[[#This Row],[type]]="LFF (MDG-F)",MID(Proc[[#This Row],[Obj]],13,10),"")</f>
        <v>US10TM3001</v>
      </c>
      <c r="I4972" s="149" t="s">
        <v>7240</v>
      </c>
      <c r="J4972" s="150" t="b">
        <f>Proc[[#This Row],[Requested]]=Proc[[#This Row],[CurrentParent]]</f>
        <v>1</v>
      </c>
      <c r="K4972" s="150" t="str">
        <f>IF(Proc[[#This Row],[Author]]="Marcela Urrego",VLOOKUP(LEFT(Proc[[#This Row],[Requested]],1),Table3[#All],2,0),VLOOKUP(Proc[[#This Row],[Author]],Table4[],2,0))</f>
        <v>EL</v>
      </c>
      <c r="L4972" s="150" t="s">
        <v>6435</v>
      </c>
      <c r="M4972" s="173">
        <v>45989</v>
      </c>
      <c r="N4972" s="174"/>
      <c r="O4972" s="174"/>
      <c r="P4972" s="174" t="str">
        <f ca="1">IF(Proc[[#This Row],[DaysAgeing]]&gt;5,"yep","on track")</f>
        <v>yep</v>
      </c>
      <c r="Q4972" s="3">
        <f ca="1">IF(Proc[[#This Row],[DateClosed]]="",ABS(NETWORKDAYS(Proc[[#This Row],[DateOpened]],TODAY()))-1,ABS(NETWORKDAYS(Proc[[#This Row],[DateOpened]],Proc[[#This Row],[DateClosed]]))-1)</f>
        <v>10</v>
      </c>
      <c r="R4972" s="174" t="s">
        <v>5709</v>
      </c>
      <c r="S4972" s="150"/>
    </row>
    <row r="4973" spans="1:19">
      <c r="A4973" s="149" t="s">
        <v>7039</v>
      </c>
      <c r="B4973" s="150" t="str">
        <f>IFERROR(VLOOKUP(Proc[[#This Row],[App]],Table2[],3,0),"open")</f>
        <v>ok</v>
      </c>
      <c r="C4973" s="149" t="s">
        <v>369</v>
      </c>
      <c r="D4973" t="s">
        <v>7182</v>
      </c>
      <c r="E4973" s="149" t="s">
        <v>7240</v>
      </c>
      <c r="F4973" s="150" t="s">
        <v>7240</v>
      </c>
      <c r="G4973" s="149" t="s">
        <v>406</v>
      </c>
      <c r="H4973" s="150" t="str">
        <f>IF(Proc[[#This Row],[type]]="LFF (MDG-F)",MID(Proc[[#This Row],[Obj]],13,10),"")</f>
        <v>US10TM3002</v>
      </c>
      <c r="I4973" s="149" t="s">
        <v>7240</v>
      </c>
      <c r="J4973" s="150" t="b">
        <f>Proc[[#This Row],[Requested]]=Proc[[#This Row],[CurrentParent]]</f>
        <v>1</v>
      </c>
      <c r="K4973" s="150" t="str">
        <f>IF(Proc[[#This Row],[Author]]="Marcela Urrego",VLOOKUP(LEFT(Proc[[#This Row],[Requested]],1),Table3[#All],2,0),VLOOKUP(Proc[[#This Row],[Author]],Table4[],2,0))</f>
        <v>EL</v>
      </c>
      <c r="L4973" s="150" t="s">
        <v>6435</v>
      </c>
      <c r="M4973" s="173">
        <v>45989</v>
      </c>
      <c r="N4973" s="174"/>
      <c r="O4973" s="174"/>
      <c r="P4973" s="174" t="str">
        <f ca="1">IF(Proc[[#This Row],[DaysAgeing]]&gt;5,"yep","on track")</f>
        <v>yep</v>
      </c>
      <c r="Q4973" s="3">
        <f ca="1">IF(Proc[[#This Row],[DateClosed]]="",ABS(NETWORKDAYS(Proc[[#This Row],[DateOpened]],TODAY()))-1,ABS(NETWORKDAYS(Proc[[#This Row],[DateOpened]],Proc[[#This Row],[DateClosed]]))-1)</f>
        <v>10</v>
      </c>
      <c r="R4973" s="174" t="s">
        <v>5709</v>
      </c>
      <c r="S4973" s="150"/>
    </row>
    <row r="4974" spans="1:19">
      <c r="A4974" s="149" t="s">
        <v>7039</v>
      </c>
      <c r="B4974" s="150" t="str">
        <f>IFERROR(VLOOKUP(Proc[[#This Row],[App]],Table2[],3,0),"open")</f>
        <v>ok</v>
      </c>
      <c r="C4974" s="149" t="s">
        <v>369</v>
      </c>
      <c r="D4974" t="s">
        <v>7183</v>
      </c>
      <c r="E4974" s="149" t="s">
        <v>7241</v>
      </c>
      <c r="F4974" s="150" t="s">
        <v>7241</v>
      </c>
      <c r="G4974" s="149" t="s">
        <v>406</v>
      </c>
      <c r="H4974" s="150" t="str">
        <f>IF(Proc[[#This Row],[type]]="LFF (MDG-F)",MID(Proc[[#This Row],[Obj]],13,10),"")</f>
        <v>US10DB3014</v>
      </c>
      <c r="I4974" s="149" t="s">
        <v>7241</v>
      </c>
      <c r="J4974" s="150" t="b">
        <f>Proc[[#This Row],[Requested]]=Proc[[#This Row],[CurrentParent]]</f>
        <v>1</v>
      </c>
      <c r="K4974" s="150" t="str">
        <f>IF(Proc[[#This Row],[Author]]="Marcela Urrego",VLOOKUP(LEFT(Proc[[#This Row],[Requested]],1),Table3[#All],2,0),VLOOKUP(Proc[[#This Row],[Author]],Table4[],2,0))</f>
        <v>EL</v>
      </c>
      <c r="L4974" s="150" t="s">
        <v>6435</v>
      </c>
      <c r="M4974" s="173">
        <v>45989</v>
      </c>
      <c r="N4974" s="174"/>
      <c r="O4974" s="174"/>
      <c r="P4974" s="174" t="str">
        <f ca="1">IF(Proc[[#This Row],[DaysAgeing]]&gt;5,"yep","on track")</f>
        <v>yep</v>
      </c>
      <c r="Q4974" s="3">
        <f ca="1">IF(Proc[[#This Row],[DateClosed]]="",ABS(NETWORKDAYS(Proc[[#This Row],[DateOpened]],TODAY()))-1,ABS(NETWORKDAYS(Proc[[#This Row],[DateOpened]],Proc[[#This Row],[DateClosed]]))-1)</f>
        <v>10</v>
      </c>
      <c r="R4974" s="174" t="s">
        <v>5709</v>
      </c>
      <c r="S4974" s="150"/>
    </row>
    <row r="4975" spans="1:19">
      <c r="A4975" t="s">
        <v>7192</v>
      </c>
      <c r="B4975" s="150" t="str">
        <f>IFERROR(VLOOKUP(Proc[[#This Row],[App]],Table2[],3,0),"open")</f>
        <v>ok</v>
      </c>
      <c r="C4975" s="149" t="s">
        <v>369</v>
      </c>
      <c r="D4975" t="s">
        <v>7184</v>
      </c>
      <c r="E4975" t="s">
        <v>7189</v>
      </c>
      <c r="F4975" s="150" t="s">
        <v>7189</v>
      </c>
      <c r="G4975" s="149" t="s">
        <v>406</v>
      </c>
      <c r="H4975" s="150" t="str">
        <f>IF(Proc[[#This Row],[type]]="LFF (MDG-F)",MID(Proc[[#This Row],[Obj]],13,10),"")</f>
        <v>DE10B08450</v>
      </c>
      <c r="J4975" s="150" t="b">
        <f>Proc[[#This Row],[Requested]]=Proc[[#This Row],[CurrentParent]]</f>
        <v>1</v>
      </c>
      <c r="K4975" s="150" t="str">
        <f>IF(Proc[[#This Row],[Author]]="Marcela Urrego",VLOOKUP(LEFT(Proc[[#This Row],[Requested]],1),Table3[#All],2,0),VLOOKUP(Proc[[#This Row],[Author]],Table4[],2,0))</f>
        <v>???</v>
      </c>
      <c r="L4975" s="150" t="s">
        <v>6435</v>
      </c>
      <c r="M4975" s="173">
        <v>45992</v>
      </c>
      <c r="N4975" s="174"/>
      <c r="O4975" s="174"/>
      <c r="P4975" s="174" t="str">
        <f ca="1">IF(Proc[[#This Row],[DaysAgeing]]&gt;5,"yep","on track")</f>
        <v>yep</v>
      </c>
      <c r="Q4975" s="3">
        <f ca="1">IF(Proc[[#This Row],[DateClosed]]="",ABS(NETWORKDAYS(Proc[[#This Row],[DateOpened]],TODAY()))-1,ABS(NETWORKDAYS(Proc[[#This Row],[DateOpened]],Proc[[#This Row],[DateClosed]]))-1)</f>
        <v>9</v>
      </c>
      <c r="R4975" s="174" t="s">
        <v>7193</v>
      </c>
      <c r="S4975" s="150"/>
    </row>
    <row r="4976" spans="1:19">
      <c r="A4976" t="s">
        <v>7192</v>
      </c>
      <c r="B4976" s="150" t="str">
        <f>IFERROR(VLOOKUP(Proc[[#This Row],[App]],Table2[],3,0),"open")</f>
        <v>ok</v>
      </c>
      <c r="C4976" s="149" t="s">
        <v>369</v>
      </c>
      <c r="D4976" t="s">
        <v>7185</v>
      </c>
      <c r="E4976" t="s">
        <v>7190</v>
      </c>
      <c r="F4976" s="150" t="s">
        <v>7190</v>
      </c>
      <c r="G4976" s="149" t="s">
        <v>406</v>
      </c>
      <c r="H4976" s="150" t="str">
        <f>IF(Proc[[#This Row],[type]]="LFF (MDG-F)",MID(Proc[[#This Row],[Obj]],13,10),"")</f>
        <v>DE10A48610</v>
      </c>
      <c r="J4976" s="150" t="b">
        <f>Proc[[#This Row],[Requested]]=Proc[[#This Row],[CurrentParent]]</f>
        <v>1</v>
      </c>
      <c r="K4976" s="150" t="str">
        <f>IF(Proc[[#This Row],[Author]]="Marcela Urrego",VLOOKUP(LEFT(Proc[[#This Row],[Requested]],1),Table3[#All],2,0),VLOOKUP(Proc[[#This Row],[Author]],Table4[],2,0))</f>
        <v>???</v>
      </c>
      <c r="L4976" s="150" t="s">
        <v>6435</v>
      </c>
      <c r="M4976" s="173">
        <v>45992</v>
      </c>
      <c r="N4976" s="174"/>
      <c r="O4976" s="174"/>
      <c r="P4976" s="174" t="str">
        <f ca="1">IF(Proc[[#This Row],[DaysAgeing]]&gt;5,"yep","on track")</f>
        <v>yep</v>
      </c>
      <c r="Q4976" s="3">
        <f ca="1">IF(Proc[[#This Row],[DateClosed]]="",ABS(NETWORKDAYS(Proc[[#This Row],[DateOpened]],TODAY()))-1,ABS(NETWORKDAYS(Proc[[#This Row],[DateOpened]],Proc[[#This Row],[DateClosed]]))-1)</f>
        <v>9</v>
      </c>
      <c r="R4976" s="174" t="s">
        <v>7193</v>
      </c>
      <c r="S4976" s="150"/>
    </row>
    <row r="4977" spans="1:19">
      <c r="A4977" s="149" t="s">
        <v>7192</v>
      </c>
      <c r="B4977" s="150" t="str">
        <f>IFERROR(VLOOKUP(Proc[[#This Row],[App]],Table2[],3,0),"open")</f>
        <v>ok</v>
      </c>
      <c r="C4977" s="149" t="s">
        <v>369</v>
      </c>
      <c r="D4977" t="s">
        <v>7186</v>
      </c>
      <c r="E4977" t="s">
        <v>7190</v>
      </c>
      <c r="F4977" s="150" t="s">
        <v>7190</v>
      </c>
      <c r="G4977" s="149" t="s">
        <v>406</v>
      </c>
      <c r="H4977" s="150" t="str">
        <f>IF(Proc[[#This Row],[type]]="LFF (MDG-F)",MID(Proc[[#This Row],[Obj]],13,10),"")</f>
        <v>DE10A48607</v>
      </c>
      <c r="J4977" s="150" t="b">
        <f>Proc[[#This Row],[Requested]]=Proc[[#This Row],[CurrentParent]]</f>
        <v>1</v>
      </c>
      <c r="K4977" s="150" t="str">
        <f>IF(Proc[[#This Row],[Author]]="Marcela Urrego",VLOOKUP(LEFT(Proc[[#This Row],[Requested]],1),Table3[#All],2,0),VLOOKUP(Proc[[#This Row],[Author]],Table4[],2,0))</f>
        <v>???</v>
      </c>
      <c r="L4977" s="150" t="s">
        <v>6435</v>
      </c>
      <c r="M4977" s="173">
        <v>45992</v>
      </c>
      <c r="N4977" s="174"/>
      <c r="O4977" s="174"/>
      <c r="P4977" s="174" t="str">
        <f ca="1">IF(Proc[[#This Row],[DaysAgeing]]&gt;5,"yep","on track")</f>
        <v>yep</v>
      </c>
      <c r="Q4977" s="3">
        <f ca="1">IF(Proc[[#This Row],[DateClosed]]="",ABS(NETWORKDAYS(Proc[[#This Row],[DateOpened]],TODAY()))-1,ABS(NETWORKDAYS(Proc[[#This Row],[DateOpened]],Proc[[#This Row],[DateClosed]]))-1)</f>
        <v>9</v>
      </c>
      <c r="R4977" s="174" t="s">
        <v>7193</v>
      </c>
      <c r="S4977" s="150"/>
    </row>
    <row r="4978" spans="1:19">
      <c r="A4978" s="149" t="s">
        <v>7192</v>
      </c>
      <c r="B4978" s="150" t="str">
        <f>IFERROR(VLOOKUP(Proc[[#This Row],[App]],Table2[],3,0),"open")</f>
        <v>ok</v>
      </c>
      <c r="C4978" s="149" t="s">
        <v>369</v>
      </c>
      <c r="D4978" t="s">
        <v>7187</v>
      </c>
      <c r="E4978" t="s">
        <v>4114</v>
      </c>
      <c r="F4978" s="150" t="s">
        <v>4114</v>
      </c>
      <c r="G4978" s="149" t="s">
        <v>406</v>
      </c>
      <c r="H4978" s="150" t="str">
        <f>IF(Proc[[#This Row],[type]]="LFF (MDG-F)",MID(Proc[[#This Row],[Obj]],13,10),"")</f>
        <v>DE10538392</v>
      </c>
      <c r="J4978" s="150" t="b">
        <f>Proc[[#This Row],[Requested]]=Proc[[#This Row],[CurrentParent]]</f>
        <v>1</v>
      </c>
      <c r="K4978" s="150" t="str">
        <f>IF(Proc[[#This Row],[Author]]="Marcela Urrego",VLOOKUP(LEFT(Proc[[#This Row],[Requested]],1),Table3[#All],2,0),VLOOKUP(Proc[[#This Row],[Author]],Table4[],2,0))</f>
        <v>???</v>
      </c>
      <c r="L4978" s="150" t="s">
        <v>6435</v>
      </c>
      <c r="M4978" s="173">
        <v>45992</v>
      </c>
      <c r="N4978" s="174"/>
      <c r="O4978" s="174"/>
      <c r="P4978" s="174" t="str">
        <f ca="1">IF(Proc[[#This Row],[DaysAgeing]]&gt;5,"yep","on track")</f>
        <v>yep</v>
      </c>
      <c r="Q4978" s="3">
        <f ca="1">IF(Proc[[#This Row],[DateClosed]]="",ABS(NETWORKDAYS(Proc[[#This Row],[DateOpened]],TODAY()))-1,ABS(NETWORKDAYS(Proc[[#This Row],[DateOpened]],Proc[[#This Row],[DateClosed]]))-1)</f>
        <v>9</v>
      </c>
      <c r="R4978" s="174" t="s">
        <v>7193</v>
      </c>
      <c r="S4978" s="150"/>
    </row>
    <row r="4979" spans="1:19">
      <c r="A4979" s="149" t="s">
        <v>7192</v>
      </c>
      <c r="B4979" s="150" t="str">
        <f>IFERROR(VLOOKUP(Proc[[#This Row],[App]],Table2[],3,0),"open")</f>
        <v>ok</v>
      </c>
      <c r="C4979" s="149" t="s">
        <v>369</v>
      </c>
      <c r="D4979" t="s">
        <v>7188</v>
      </c>
      <c r="E4979" t="s">
        <v>7191</v>
      </c>
      <c r="F4979" s="150" t="s">
        <v>7191</v>
      </c>
      <c r="G4979" s="149" t="s">
        <v>406</v>
      </c>
      <c r="H4979" s="150" t="str">
        <f>IF(Proc[[#This Row],[type]]="LFF (MDG-F)",MID(Proc[[#This Row],[Obj]],13,10),"")</f>
        <v>DE20700060</v>
      </c>
      <c r="J4979" s="150" t="b">
        <f>Proc[[#This Row],[Requested]]=Proc[[#This Row],[CurrentParent]]</f>
        <v>1</v>
      </c>
      <c r="K4979" s="150" t="str">
        <f>IF(Proc[[#This Row],[Author]]="Marcela Urrego",VLOOKUP(LEFT(Proc[[#This Row],[Requested]],1),Table3[#All],2,0),VLOOKUP(Proc[[#This Row],[Author]],Table4[],2,0))</f>
        <v>???</v>
      </c>
      <c r="L4979" s="150" t="s">
        <v>6435</v>
      </c>
      <c r="M4979" s="173">
        <v>45992</v>
      </c>
      <c r="N4979" s="174"/>
      <c r="O4979" s="174"/>
      <c r="P4979" s="174" t="str">
        <f ca="1">IF(Proc[[#This Row],[DaysAgeing]]&gt;5,"yep","on track")</f>
        <v>yep</v>
      </c>
      <c r="Q4979" s="3">
        <f ca="1">IF(Proc[[#This Row],[DateClosed]]="",ABS(NETWORKDAYS(Proc[[#This Row],[DateOpened]],TODAY()))-1,ABS(NETWORKDAYS(Proc[[#This Row],[DateOpened]],Proc[[#This Row],[DateClosed]]))-1)</f>
        <v>9</v>
      </c>
      <c r="R4979" s="174" t="s">
        <v>7193</v>
      </c>
      <c r="S4979" s="150"/>
    </row>
    <row r="4980" spans="1:19">
      <c r="A4980" t="s">
        <v>7195</v>
      </c>
      <c r="B4980" s="150" t="str">
        <f>IFERROR(VLOOKUP(Proc[[#This Row],[App]],Table2[],3,0),"open")</f>
        <v>ok</v>
      </c>
      <c r="C4980" s="149" t="s">
        <v>369</v>
      </c>
      <c r="D4980" t="s">
        <v>7196</v>
      </c>
      <c r="E4980" s="149" t="s">
        <v>7242</v>
      </c>
      <c r="F4980" s="150" t="s">
        <v>7242</v>
      </c>
      <c r="G4980" t="s">
        <v>400</v>
      </c>
      <c r="H4980" s="150" t="str">
        <f>IF(Proc[[#This Row],[type]]="LFF (MDG-F)",MID(Proc[[#This Row],[Obj]],13,10),"")</f>
        <v/>
      </c>
      <c r="I4980" s="149" t="s">
        <v>7242</v>
      </c>
      <c r="J4980" s="150" t="b">
        <f>Proc[[#This Row],[Requested]]=Proc[[#This Row],[CurrentParent]]</f>
        <v>1</v>
      </c>
      <c r="K4980" s="150" t="str">
        <f>IF(Proc[[#This Row],[Author]]="Marcela Urrego",VLOOKUP(LEFT(Proc[[#This Row],[Requested]],1),Table3[#All],2,0),VLOOKUP(Proc[[#This Row],[Author]],Table4[],2,0))</f>
        <v>HC</v>
      </c>
      <c r="L4980" s="150" t="s">
        <v>6435</v>
      </c>
      <c r="M4980" s="173">
        <v>45992</v>
      </c>
      <c r="N4980" s="174"/>
      <c r="O4980" s="174"/>
      <c r="P4980" s="174" t="str">
        <f ca="1">IF(Proc[[#This Row],[DaysAgeing]]&gt;5,"yep","on track")</f>
        <v>yep</v>
      </c>
      <c r="Q4980" s="3">
        <f ca="1">IF(Proc[[#This Row],[DateClosed]]="",ABS(NETWORKDAYS(Proc[[#This Row],[DateOpened]],TODAY()))-1,ABS(NETWORKDAYS(Proc[[#This Row],[DateOpened]],Proc[[#This Row],[DateClosed]]))-1)</f>
        <v>9</v>
      </c>
      <c r="R4980" s="174" t="s">
        <v>1013</v>
      </c>
      <c r="S4980" s="150"/>
    </row>
    <row r="4981" spans="1:19">
      <c r="A4981" t="s">
        <v>7195</v>
      </c>
      <c r="B4981" s="150" t="str">
        <f>IFERROR(VLOOKUP(Proc[[#This Row],[App]],Table2[],3,0),"open")</f>
        <v>ok</v>
      </c>
      <c r="C4981" s="149" t="s">
        <v>369</v>
      </c>
      <c r="D4981" t="s">
        <v>7197</v>
      </c>
      <c r="E4981" s="149" t="s">
        <v>7243</v>
      </c>
      <c r="F4981" s="150" t="s">
        <v>7243</v>
      </c>
      <c r="G4981" t="s">
        <v>400</v>
      </c>
      <c r="H4981" s="150" t="str">
        <f>IF(Proc[[#This Row],[type]]="LFF (MDG-F)",MID(Proc[[#This Row],[Obj]],13,10),"")</f>
        <v/>
      </c>
      <c r="I4981" s="149" t="s">
        <v>7243</v>
      </c>
      <c r="J4981" s="150" t="b">
        <f>Proc[[#This Row],[Requested]]=Proc[[#This Row],[CurrentParent]]</f>
        <v>1</v>
      </c>
      <c r="K4981" s="150" t="str">
        <f>IF(Proc[[#This Row],[Author]]="Marcela Urrego",VLOOKUP(LEFT(Proc[[#This Row],[Requested]],1),Table3[#All],2,0),VLOOKUP(Proc[[#This Row],[Author]],Table4[],2,0))</f>
        <v>HC</v>
      </c>
      <c r="L4981" s="150" t="s">
        <v>6435</v>
      </c>
      <c r="M4981" s="173">
        <v>45992</v>
      </c>
      <c r="N4981" s="174"/>
      <c r="O4981" s="174"/>
      <c r="P4981" s="174" t="str">
        <f ca="1">IF(Proc[[#This Row],[DaysAgeing]]&gt;5,"yep","on track")</f>
        <v>yep</v>
      </c>
      <c r="Q4981" s="3">
        <f ca="1">IF(Proc[[#This Row],[DateClosed]]="",ABS(NETWORKDAYS(Proc[[#This Row],[DateOpened]],TODAY()))-1,ABS(NETWORKDAYS(Proc[[#This Row],[DateOpened]],Proc[[#This Row],[DateClosed]]))-1)</f>
        <v>9</v>
      </c>
      <c r="R4981" s="174" t="s">
        <v>1013</v>
      </c>
      <c r="S4981" s="150"/>
    </row>
    <row r="4982" spans="1:19">
      <c r="A4982" s="149" t="s">
        <v>7195</v>
      </c>
      <c r="B4982" s="150" t="str">
        <f>IFERROR(VLOOKUP(Proc[[#This Row],[App]],Table2[],3,0),"open")</f>
        <v>ok</v>
      </c>
      <c r="C4982" s="149" t="s">
        <v>369</v>
      </c>
      <c r="D4982" t="s">
        <v>7198</v>
      </c>
      <c r="E4982" t="s">
        <v>3004</v>
      </c>
      <c r="F4982" s="150" t="s">
        <v>3004</v>
      </c>
      <c r="G4982" s="149" t="s">
        <v>400</v>
      </c>
      <c r="H4982" s="150" t="str">
        <f>IF(Proc[[#This Row],[type]]="LFF (MDG-F)",MID(Proc[[#This Row],[Obj]],13,10),"")</f>
        <v/>
      </c>
      <c r="J4982" s="150" t="b">
        <f>Proc[[#This Row],[Requested]]=Proc[[#This Row],[CurrentParent]]</f>
        <v>1</v>
      </c>
      <c r="K4982" s="150" t="str">
        <f>IF(Proc[[#This Row],[Author]]="Marcela Urrego",VLOOKUP(LEFT(Proc[[#This Row],[Requested]],1),Table3[#All],2,0),VLOOKUP(Proc[[#This Row],[Author]],Table4[],2,0))</f>
        <v>HC</v>
      </c>
      <c r="L4982" s="150" t="s">
        <v>6435</v>
      </c>
      <c r="M4982" s="173">
        <v>45992</v>
      </c>
      <c r="N4982" s="174"/>
      <c r="O4982" s="174"/>
      <c r="P4982" s="174" t="str">
        <f ca="1">IF(Proc[[#This Row],[DaysAgeing]]&gt;5,"yep","on track")</f>
        <v>yep</v>
      </c>
      <c r="Q4982" s="3">
        <f ca="1">IF(Proc[[#This Row],[DateClosed]]="",ABS(NETWORKDAYS(Proc[[#This Row],[DateOpened]],TODAY()))-1,ABS(NETWORKDAYS(Proc[[#This Row],[DateOpened]],Proc[[#This Row],[DateClosed]]))-1)</f>
        <v>9</v>
      </c>
      <c r="R4982" s="174" t="s">
        <v>1013</v>
      </c>
      <c r="S4982" s="150"/>
    </row>
    <row r="4983" spans="1:19">
      <c r="A4983" s="149" t="s">
        <v>7195</v>
      </c>
      <c r="B4983" s="150" t="str">
        <f>IFERROR(VLOOKUP(Proc[[#This Row],[App]],Table2[],3,0),"open")</f>
        <v>ok</v>
      </c>
      <c r="C4983" s="149" t="s">
        <v>369</v>
      </c>
      <c r="D4983" t="s">
        <v>7245</v>
      </c>
      <c r="E4983" s="149" t="s">
        <v>7217</v>
      </c>
      <c r="F4983" s="149" t="s">
        <v>7217</v>
      </c>
      <c r="G4983" s="149" t="s">
        <v>400</v>
      </c>
      <c r="H4983" s="150" t="str">
        <f>IF(Proc[[#This Row],[type]]="LFF (MDG-F)",MID(Proc[[#This Row],[Obj]],13,10),"")</f>
        <v/>
      </c>
      <c r="I4983" s="149" t="s">
        <v>7217</v>
      </c>
      <c r="J4983" s="150" t="b">
        <f>Proc[[#This Row],[Requested]]=Proc[[#This Row],[CurrentParent]]</f>
        <v>1</v>
      </c>
      <c r="K4983" s="150" t="str">
        <f>IF(Proc[[#This Row],[Author]]="Marcela Urrego",VLOOKUP(LEFT(Proc[[#This Row],[Requested]],1),Table3[#All],2,0),VLOOKUP(Proc[[#This Row],[Author]],Table4[],2,0))</f>
        <v>HC</v>
      </c>
      <c r="L4983" s="150" t="s">
        <v>6435</v>
      </c>
      <c r="M4983" s="173">
        <v>45992</v>
      </c>
      <c r="N4983" s="174"/>
      <c r="O4983" s="174"/>
      <c r="P4983" s="174" t="str">
        <f ca="1">IF(Proc[[#This Row],[DaysAgeing]]&gt;5,"yep","on track")</f>
        <v>yep</v>
      </c>
      <c r="Q4983" s="3">
        <f ca="1">IF(Proc[[#This Row],[DateClosed]]="",ABS(NETWORKDAYS(Proc[[#This Row],[DateOpened]],TODAY()))-1,ABS(NETWORKDAYS(Proc[[#This Row],[DateOpened]],Proc[[#This Row],[DateClosed]]))-1)</f>
        <v>9</v>
      </c>
      <c r="R4983" s="174" t="s">
        <v>1013</v>
      </c>
      <c r="S4983" s="150"/>
    </row>
    <row r="4984" spans="1:19">
      <c r="A4984" s="149" t="s">
        <v>7195</v>
      </c>
      <c r="B4984" s="150" t="str">
        <f>IFERROR(VLOOKUP(Proc[[#This Row],[App]],Table2[],3,0),"open")</f>
        <v>ok</v>
      </c>
      <c r="C4984" s="149" t="s">
        <v>369</v>
      </c>
      <c r="D4984" t="s">
        <v>7244</v>
      </c>
      <c r="E4984" s="149" t="s">
        <v>7218</v>
      </c>
      <c r="F4984" s="149" t="s">
        <v>7218</v>
      </c>
      <c r="G4984" s="149" t="s">
        <v>400</v>
      </c>
      <c r="H4984" s="150" t="str">
        <f>IF(Proc[[#This Row],[type]]="LFF (MDG-F)",MID(Proc[[#This Row],[Obj]],13,10),"")</f>
        <v/>
      </c>
      <c r="I4984" s="149" t="s">
        <v>7218</v>
      </c>
      <c r="J4984" s="150" t="b">
        <f>Proc[[#This Row],[Requested]]=Proc[[#This Row],[CurrentParent]]</f>
        <v>1</v>
      </c>
      <c r="K4984" s="150" t="str">
        <f>IF(Proc[[#This Row],[Author]]="Marcela Urrego",VLOOKUP(LEFT(Proc[[#This Row],[Requested]],1),Table3[#All],2,0),VLOOKUP(Proc[[#This Row],[Author]],Table4[],2,0))</f>
        <v>HC</v>
      </c>
      <c r="L4984" s="150" t="s">
        <v>6435</v>
      </c>
      <c r="M4984" s="173">
        <v>45992</v>
      </c>
      <c r="N4984" s="174"/>
      <c r="O4984" s="174"/>
      <c r="P4984" s="174" t="str">
        <f ca="1">IF(Proc[[#This Row],[DaysAgeing]]&gt;5,"yep","on track")</f>
        <v>yep</v>
      </c>
      <c r="Q4984" s="3">
        <f ca="1">IF(Proc[[#This Row],[DateClosed]]="",ABS(NETWORKDAYS(Proc[[#This Row],[DateOpened]],TODAY()))-1,ABS(NETWORKDAYS(Proc[[#This Row],[DateOpened]],Proc[[#This Row],[DateClosed]]))-1)</f>
        <v>9</v>
      </c>
      <c r="R4984" s="174" t="s">
        <v>1013</v>
      </c>
      <c r="S4984" s="150"/>
    </row>
    <row r="4985" spans="1:19">
      <c r="A4985" s="149" t="s">
        <v>7195</v>
      </c>
      <c r="B4985" s="150" t="str">
        <f>IFERROR(VLOOKUP(Proc[[#This Row],[App]],Table2[],3,0),"open")</f>
        <v>ok</v>
      </c>
      <c r="C4985" s="149" t="s">
        <v>369</v>
      </c>
      <c r="D4985" t="s">
        <v>7199</v>
      </c>
      <c r="E4985" t="s">
        <v>7219</v>
      </c>
      <c r="F4985" s="150" t="s">
        <v>7219</v>
      </c>
      <c r="G4985" s="149" t="s">
        <v>400</v>
      </c>
      <c r="H4985" s="150" t="str">
        <f>IF(Proc[[#This Row],[type]]="LFF (MDG-F)",MID(Proc[[#This Row],[Obj]],13,10),"")</f>
        <v/>
      </c>
      <c r="J4985" s="150" t="b">
        <f>Proc[[#This Row],[Requested]]=Proc[[#This Row],[CurrentParent]]</f>
        <v>1</v>
      </c>
      <c r="K4985" s="150" t="str">
        <f>IF(Proc[[#This Row],[Author]]="Marcela Urrego",VLOOKUP(LEFT(Proc[[#This Row],[Requested]],1),Table3[#All],2,0),VLOOKUP(Proc[[#This Row],[Author]],Table4[],2,0))</f>
        <v>HC</v>
      </c>
      <c r="L4985" s="150" t="s">
        <v>6435</v>
      </c>
      <c r="M4985" s="173">
        <v>45992</v>
      </c>
      <c r="N4985" s="174"/>
      <c r="O4985" s="174"/>
      <c r="P4985" s="174" t="str">
        <f ca="1">IF(Proc[[#This Row],[DaysAgeing]]&gt;5,"yep","on track")</f>
        <v>yep</v>
      </c>
      <c r="Q4985" s="3">
        <f ca="1">IF(Proc[[#This Row],[DateClosed]]="",ABS(NETWORKDAYS(Proc[[#This Row],[DateOpened]],TODAY()))-1,ABS(NETWORKDAYS(Proc[[#This Row],[DateOpened]],Proc[[#This Row],[DateClosed]]))-1)</f>
        <v>9</v>
      </c>
      <c r="R4985" s="174" t="s">
        <v>1013</v>
      </c>
      <c r="S4985" s="150"/>
    </row>
    <row r="4986" spans="1:19">
      <c r="A4986" s="149" t="s">
        <v>7195</v>
      </c>
      <c r="B4986" s="150" t="str">
        <f>IFERROR(VLOOKUP(Proc[[#This Row],[App]],Table2[],3,0),"open")</f>
        <v>ok</v>
      </c>
      <c r="C4986" s="149" t="s">
        <v>369</v>
      </c>
      <c r="D4986" t="s">
        <v>7200</v>
      </c>
      <c r="E4986" t="s">
        <v>7220</v>
      </c>
      <c r="F4986" s="150" t="s">
        <v>7220</v>
      </c>
      <c r="G4986" s="149" t="s">
        <v>400</v>
      </c>
      <c r="H4986" s="150" t="str">
        <f>IF(Proc[[#This Row],[type]]="LFF (MDG-F)",MID(Proc[[#This Row],[Obj]],13,10),"")</f>
        <v/>
      </c>
      <c r="J4986" s="150" t="b">
        <f>Proc[[#This Row],[Requested]]=Proc[[#This Row],[CurrentParent]]</f>
        <v>1</v>
      </c>
      <c r="K4986" s="150" t="str">
        <f>IF(Proc[[#This Row],[Author]]="Marcela Urrego",VLOOKUP(LEFT(Proc[[#This Row],[Requested]],1),Table3[#All],2,0),VLOOKUP(Proc[[#This Row],[Author]],Table4[],2,0))</f>
        <v>HC</v>
      </c>
      <c r="L4986" s="150" t="s">
        <v>6435</v>
      </c>
      <c r="M4986" s="173">
        <v>45992</v>
      </c>
      <c r="N4986" s="174"/>
      <c r="O4986" s="174"/>
      <c r="P4986" s="174" t="str">
        <f ca="1">IF(Proc[[#This Row],[DaysAgeing]]&gt;5,"yep","on track")</f>
        <v>yep</v>
      </c>
      <c r="Q4986" s="3">
        <f ca="1">IF(Proc[[#This Row],[DateClosed]]="",ABS(NETWORKDAYS(Proc[[#This Row],[DateOpened]],TODAY()))-1,ABS(NETWORKDAYS(Proc[[#This Row],[DateOpened]],Proc[[#This Row],[DateClosed]]))-1)</f>
        <v>9</v>
      </c>
      <c r="R4986" s="174" t="s">
        <v>1013</v>
      </c>
      <c r="S4986" s="150"/>
    </row>
    <row r="4987" spans="1:19">
      <c r="A4987" s="149" t="s">
        <v>7195</v>
      </c>
      <c r="B4987" s="150" t="str">
        <f>IFERROR(VLOOKUP(Proc[[#This Row],[App]],Table2[],3,0),"open")</f>
        <v>ok</v>
      </c>
      <c r="C4987" s="149" t="s">
        <v>369</v>
      </c>
      <c r="D4987" t="s">
        <v>7201</v>
      </c>
      <c r="E4987" t="s">
        <v>4068</v>
      </c>
      <c r="F4987" s="150" t="s">
        <v>4068</v>
      </c>
      <c r="G4987" s="149" t="s">
        <v>400</v>
      </c>
      <c r="H4987" s="150" t="str">
        <f>IF(Proc[[#This Row],[type]]="LFF (MDG-F)",MID(Proc[[#This Row],[Obj]],13,10),"")</f>
        <v/>
      </c>
      <c r="J4987" s="150" t="b">
        <f>Proc[[#This Row],[Requested]]=Proc[[#This Row],[CurrentParent]]</f>
        <v>1</v>
      </c>
      <c r="K4987" s="150" t="str">
        <f>IF(Proc[[#This Row],[Author]]="Marcela Urrego",VLOOKUP(LEFT(Proc[[#This Row],[Requested]],1),Table3[#All],2,0),VLOOKUP(Proc[[#This Row],[Author]],Table4[],2,0))</f>
        <v>HC</v>
      </c>
      <c r="L4987" s="150" t="s">
        <v>6435</v>
      </c>
      <c r="M4987" s="173">
        <v>45992</v>
      </c>
      <c r="N4987" s="174"/>
      <c r="O4987" s="174"/>
      <c r="P4987" s="174" t="str">
        <f ca="1">IF(Proc[[#This Row],[DaysAgeing]]&gt;5,"yep","on track")</f>
        <v>yep</v>
      </c>
      <c r="Q4987" s="3">
        <f ca="1">IF(Proc[[#This Row],[DateClosed]]="",ABS(NETWORKDAYS(Proc[[#This Row],[DateOpened]],TODAY()))-1,ABS(NETWORKDAYS(Proc[[#This Row],[DateOpened]],Proc[[#This Row],[DateClosed]]))-1)</f>
        <v>9</v>
      </c>
      <c r="R4987" s="174" t="s">
        <v>1013</v>
      </c>
      <c r="S4987" s="150"/>
    </row>
    <row r="4988" spans="1:19">
      <c r="A4988" s="149" t="s">
        <v>7195</v>
      </c>
      <c r="B4988" s="150" t="str">
        <f>IFERROR(VLOOKUP(Proc[[#This Row],[App]],Table2[],3,0),"open")</f>
        <v>ok</v>
      </c>
      <c r="C4988" s="149" t="s">
        <v>369</v>
      </c>
      <c r="D4988" t="s">
        <v>7202</v>
      </c>
      <c r="E4988" t="s">
        <v>4068</v>
      </c>
      <c r="F4988" s="150" t="s">
        <v>4068</v>
      </c>
      <c r="G4988" s="149" t="s">
        <v>400</v>
      </c>
      <c r="H4988" s="150" t="str">
        <f>IF(Proc[[#This Row],[type]]="LFF (MDG-F)",MID(Proc[[#This Row],[Obj]],13,10),"")</f>
        <v/>
      </c>
      <c r="J4988" s="150" t="b">
        <f>Proc[[#This Row],[Requested]]=Proc[[#This Row],[CurrentParent]]</f>
        <v>1</v>
      </c>
      <c r="K4988" s="150" t="str">
        <f>IF(Proc[[#This Row],[Author]]="Marcela Urrego",VLOOKUP(LEFT(Proc[[#This Row],[Requested]],1),Table3[#All],2,0),VLOOKUP(Proc[[#This Row],[Author]],Table4[],2,0))</f>
        <v>HC</v>
      </c>
      <c r="L4988" s="150" t="s">
        <v>6435</v>
      </c>
      <c r="M4988" s="173">
        <v>45992</v>
      </c>
      <c r="N4988" s="174"/>
      <c r="O4988" s="174"/>
      <c r="P4988" s="174" t="str">
        <f ca="1">IF(Proc[[#This Row],[DaysAgeing]]&gt;5,"yep","on track")</f>
        <v>yep</v>
      </c>
      <c r="Q4988" s="3">
        <f ca="1">IF(Proc[[#This Row],[DateClosed]]="",ABS(NETWORKDAYS(Proc[[#This Row],[DateOpened]],TODAY()))-1,ABS(NETWORKDAYS(Proc[[#This Row],[DateOpened]],Proc[[#This Row],[DateClosed]]))-1)</f>
        <v>9</v>
      </c>
      <c r="R4988" s="174" t="s">
        <v>1013</v>
      </c>
      <c r="S4988" s="150"/>
    </row>
    <row r="4989" spans="1:19">
      <c r="A4989" s="149" t="s">
        <v>7195</v>
      </c>
      <c r="B4989" s="150" t="str">
        <f>IFERROR(VLOOKUP(Proc[[#This Row],[App]],Table2[],3,0),"open")</f>
        <v>ok</v>
      </c>
      <c r="C4989" s="149" t="s">
        <v>369</v>
      </c>
      <c r="D4989" t="s">
        <v>7203</v>
      </c>
      <c r="E4989" t="s">
        <v>4068</v>
      </c>
      <c r="F4989" s="150" t="s">
        <v>4068</v>
      </c>
      <c r="G4989" s="149" t="s">
        <v>400</v>
      </c>
      <c r="H4989" s="150" t="str">
        <f>IF(Proc[[#This Row],[type]]="LFF (MDG-F)",MID(Proc[[#This Row],[Obj]],13,10),"")</f>
        <v/>
      </c>
      <c r="J4989" s="150" t="b">
        <f>Proc[[#This Row],[Requested]]=Proc[[#This Row],[CurrentParent]]</f>
        <v>1</v>
      </c>
      <c r="K4989" s="150" t="str">
        <f>IF(Proc[[#This Row],[Author]]="Marcela Urrego",VLOOKUP(LEFT(Proc[[#This Row],[Requested]],1),Table3[#All],2,0),VLOOKUP(Proc[[#This Row],[Author]],Table4[],2,0))</f>
        <v>HC</v>
      </c>
      <c r="L4989" s="150" t="s">
        <v>6435</v>
      </c>
      <c r="M4989" s="173">
        <v>45992</v>
      </c>
      <c r="N4989" s="174"/>
      <c r="O4989" s="174"/>
      <c r="P4989" s="174" t="str">
        <f ca="1">IF(Proc[[#This Row],[DaysAgeing]]&gt;5,"yep","on track")</f>
        <v>yep</v>
      </c>
      <c r="Q4989" s="3">
        <f ca="1">IF(Proc[[#This Row],[DateClosed]]="",ABS(NETWORKDAYS(Proc[[#This Row],[DateOpened]],TODAY()))-1,ABS(NETWORKDAYS(Proc[[#This Row],[DateOpened]],Proc[[#This Row],[DateClosed]]))-1)</f>
        <v>9</v>
      </c>
      <c r="R4989" s="174" t="s">
        <v>1013</v>
      </c>
      <c r="S4989" s="150"/>
    </row>
    <row r="4990" spans="1:19">
      <c r="A4990" s="149" t="s">
        <v>7195</v>
      </c>
      <c r="B4990" s="150" t="str">
        <f>IFERROR(VLOOKUP(Proc[[#This Row],[App]],Table2[],3,0),"open")</f>
        <v>ok</v>
      </c>
      <c r="C4990" s="149" t="s">
        <v>369</v>
      </c>
      <c r="D4990" t="s">
        <v>7204</v>
      </c>
      <c r="E4990" t="s">
        <v>4068</v>
      </c>
      <c r="F4990" s="150" t="s">
        <v>4068</v>
      </c>
      <c r="G4990" s="149" t="s">
        <v>400</v>
      </c>
      <c r="H4990" s="150" t="str">
        <f>IF(Proc[[#This Row],[type]]="LFF (MDG-F)",MID(Proc[[#This Row],[Obj]],13,10),"")</f>
        <v/>
      </c>
      <c r="J4990" s="150" t="b">
        <f>Proc[[#This Row],[Requested]]=Proc[[#This Row],[CurrentParent]]</f>
        <v>1</v>
      </c>
      <c r="K4990" s="150" t="str">
        <f>IF(Proc[[#This Row],[Author]]="Marcela Urrego",VLOOKUP(LEFT(Proc[[#This Row],[Requested]],1),Table3[#All],2,0),VLOOKUP(Proc[[#This Row],[Author]],Table4[],2,0))</f>
        <v>HC</v>
      </c>
      <c r="L4990" s="150" t="s">
        <v>6435</v>
      </c>
      <c r="M4990" s="173">
        <v>45992</v>
      </c>
      <c r="N4990" s="174"/>
      <c r="O4990" s="174"/>
      <c r="P4990" s="174" t="str">
        <f ca="1">IF(Proc[[#This Row],[DaysAgeing]]&gt;5,"yep","on track")</f>
        <v>yep</v>
      </c>
      <c r="Q4990" s="3">
        <f ca="1">IF(Proc[[#This Row],[DateClosed]]="",ABS(NETWORKDAYS(Proc[[#This Row],[DateOpened]],TODAY()))-1,ABS(NETWORKDAYS(Proc[[#This Row],[DateOpened]],Proc[[#This Row],[DateClosed]]))-1)</f>
        <v>9</v>
      </c>
      <c r="R4990" s="174" t="s">
        <v>1013</v>
      </c>
      <c r="S4990" s="150"/>
    </row>
    <row r="4991" spans="1:19">
      <c r="A4991" s="149" t="s">
        <v>7195</v>
      </c>
      <c r="B4991" s="150" t="str">
        <f>IFERROR(VLOOKUP(Proc[[#This Row],[App]],Table2[],3,0),"open")</f>
        <v>ok</v>
      </c>
      <c r="C4991" s="149" t="s">
        <v>369</v>
      </c>
      <c r="D4991" t="s">
        <v>7205</v>
      </c>
      <c r="E4991" t="s">
        <v>4068</v>
      </c>
      <c r="F4991" s="150" t="s">
        <v>4068</v>
      </c>
      <c r="G4991" s="149" t="s">
        <v>400</v>
      </c>
      <c r="H4991" s="150" t="str">
        <f>IF(Proc[[#This Row],[type]]="LFF (MDG-F)",MID(Proc[[#This Row],[Obj]],13,10),"")</f>
        <v/>
      </c>
      <c r="J4991" s="150" t="b">
        <f>Proc[[#This Row],[Requested]]=Proc[[#This Row],[CurrentParent]]</f>
        <v>1</v>
      </c>
      <c r="K4991" s="150" t="str">
        <f>IF(Proc[[#This Row],[Author]]="Marcela Urrego",VLOOKUP(LEFT(Proc[[#This Row],[Requested]],1),Table3[#All],2,0),VLOOKUP(Proc[[#This Row],[Author]],Table4[],2,0))</f>
        <v>HC</v>
      </c>
      <c r="L4991" s="150" t="s">
        <v>6435</v>
      </c>
      <c r="M4991" s="173">
        <v>45992</v>
      </c>
      <c r="N4991" s="174"/>
      <c r="O4991" s="174"/>
      <c r="P4991" s="174" t="str">
        <f ca="1">IF(Proc[[#This Row],[DaysAgeing]]&gt;5,"yep","on track")</f>
        <v>yep</v>
      </c>
      <c r="Q4991" s="3">
        <f ca="1">IF(Proc[[#This Row],[DateClosed]]="",ABS(NETWORKDAYS(Proc[[#This Row],[DateOpened]],TODAY()))-1,ABS(NETWORKDAYS(Proc[[#This Row],[DateOpened]],Proc[[#This Row],[DateClosed]]))-1)</f>
        <v>9</v>
      </c>
      <c r="R4991" s="174" t="s">
        <v>1013</v>
      </c>
      <c r="S4991" s="150"/>
    </row>
    <row r="4992" spans="1:19">
      <c r="A4992" s="149" t="s">
        <v>7195</v>
      </c>
      <c r="B4992" s="150" t="str">
        <f>IFERROR(VLOOKUP(Proc[[#This Row],[App]],Table2[],3,0),"open")</f>
        <v>ok</v>
      </c>
      <c r="C4992" s="149" t="s">
        <v>369</v>
      </c>
      <c r="D4992" t="s">
        <v>7206</v>
      </c>
      <c r="E4992" t="s">
        <v>4068</v>
      </c>
      <c r="F4992" s="150" t="s">
        <v>4068</v>
      </c>
      <c r="G4992" s="149" t="s">
        <v>400</v>
      </c>
      <c r="H4992" s="150" t="str">
        <f>IF(Proc[[#This Row],[type]]="LFF (MDG-F)",MID(Proc[[#This Row],[Obj]],13,10),"")</f>
        <v/>
      </c>
      <c r="J4992" s="150" t="b">
        <f>Proc[[#This Row],[Requested]]=Proc[[#This Row],[CurrentParent]]</f>
        <v>1</v>
      </c>
      <c r="K4992" s="150" t="str">
        <f>IF(Proc[[#This Row],[Author]]="Marcela Urrego",VLOOKUP(LEFT(Proc[[#This Row],[Requested]],1),Table3[#All],2,0),VLOOKUP(Proc[[#This Row],[Author]],Table4[],2,0))</f>
        <v>HC</v>
      </c>
      <c r="L4992" s="150" t="s">
        <v>6435</v>
      </c>
      <c r="M4992" s="173">
        <v>45992</v>
      </c>
      <c r="N4992" s="174"/>
      <c r="O4992" s="174"/>
      <c r="P4992" s="174" t="str">
        <f ca="1">IF(Proc[[#This Row],[DaysAgeing]]&gt;5,"yep","on track")</f>
        <v>yep</v>
      </c>
      <c r="Q4992" s="3">
        <f ca="1">IF(Proc[[#This Row],[DateClosed]]="",ABS(NETWORKDAYS(Proc[[#This Row],[DateOpened]],TODAY()))-1,ABS(NETWORKDAYS(Proc[[#This Row],[DateOpened]],Proc[[#This Row],[DateClosed]]))-1)</f>
        <v>9</v>
      </c>
      <c r="R4992" s="174" t="s">
        <v>1013</v>
      </c>
      <c r="S4992" s="150"/>
    </row>
    <row r="4993" spans="1:19">
      <c r="A4993" s="149" t="s">
        <v>7195</v>
      </c>
      <c r="B4993" s="150" t="str">
        <f>IFERROR(VLOOKUP(Proc[[#This Row],[App]],Table2[],3,0),"open")</f>
        <v>ok</v>
      </c>
      <c r="C4993" s="149" t="s">
        <v>369</v>
      </c>
      <c r="D4993" t="s">
        <v>7207</v>
      </c>
      <c r="E4993" t="s">
        <v>4068</v>
      </c>
      <c r="F4993" s="150" t="s">
        <v>4068</v>
      </c>
      <c r="G4993" s="149" t="s">
        <v>400</v>
      </c>
      <c r="H4993" s="150" t="str">
        <f>IF(Proc[[#This Row],[type]]="LFF (MDG-F)",MID(Proc[[#This Row],[Obj]],13,10),"")</f>
        <v/>
      </c>
      <c r="J4993" s="150" t="b">
        <f>Proc[[#This Row],[Requested]]=Proc[[#This Row],[CurrentParent]]</f>
        <v>1</v>
      </c>
      <c r="K4993" s="150" t="str">
        <f>IF(Proc[[#This Row],[Author]]="Marcela Urrego",VLOOKUP(LEFT(Proc[[#This Row],[Requested]],1),Table3[#All],2,0),VLOOKUP(Proc[[#This Row],[Author]],Table4[],2,0))</f>
        <v>HC</v>
      </c>
      <c r="L4993" s="150" t="s">
        <v>6435</v>
      </c>
      <c r="M4993" s="173">
        <v>45992</v>
      </c>
      <c r="N4993" s="174"/>
      <c r="O4993" s="174"/>
      <c r="P4993" s="174" t="str">
        <f ca="1">IF(Proc[[#This Row],[DaysAgeing]]&gt;5,"yep","on track")</f>
        <v>yep</v>
      </c>
      <c r="Q4993" s="3">
        <f ca="1">IF(Proc[[#This Row],[DateClosed]]="",ABS(NETWORKDAYS(Proc[[#This Row],[DateOpened]],TODAY()))-1,ABS(NETWORKDAYS(Proc[[#This Row],[DateOpened]],Proc[[#This Row],[DateClosed]]))-1)</f>
        <v>9</v>
      </c>
      <c r="R4993" s="174" t="s">
        <v>1013</v>
      </c>
      <c r="S4993" s="150"/>
    </row>
    <row r="4994" spans="1:19">
      <c r="A4994" s="149" t="s">
        <v>7195</v>
      </c>
      <c r="B4994" s="150" t="str">
        <f>IFERROR(VLOOKUP(Proc[[#This Row],[App]],Table2[],3,0),"open")</f>
        <v>ok</v>
      </c>
      <c r="C4994" s="149" t="s">
        <v>369</v>
      </c>
      <c r="D4994" t="s">
        <v>7208</v>
      </c>
      <c r="E4994" t="s">
        <v>4068</v>
      </c>
      <c r="F4994" s="150" t="s">
        <v>4068</v>
      </c>
      <c r="G4994" s="149" t="s">
        <v>400</v>
      </c>
      <c r="H4994" s="150" t="str">
        <f>IF(Proc[[#This Row],[type]]="LFF (MDG-F)",MID(Proc[[#This Row],[Obj]],13,10),"")</f>
        <v/>
      </c>
      <c r="J4994" s="150" t="b">
        <f>Proc[[#This Row],[Requested]]=Proc[[#This Row],[CurrentParent]]</f>
        <v>1</v>
      </c>
      <c r="K4994" s="150" t="str">
        <f>IF(Proc[[#This Row],[Author]]="Marcela Urrego",VLOOKUP(LEFT(Proc[[#This Row],[Requested]],1),Table3[#All],2,0),VLOOKUP(Proc[[#This Row],[Author]],Table4[],2,0))</f>
        <v>HC</v>
      </c>
      <c r="L4994" s="150" t="s">
        <v>6435</v>
      </c>
      <c r="M4994" s="173">
        <v>45992</v>
      </c>
      <c r="N4994" s="174"/>
      <c r="O4994" s="174"/>
      <c r="P4994" s="174" t="str">
        <f ca="1">IF(Proc[[#This Row],[DaysAgeing]]&gt;5,"yep","on track")</f>
        <v>yep</v>
      </c>
      <c r="Q4994" s="3">
        <f ca="1">IF(Proc[[#This Row],[DateClosed]]="",ABS(NETWORKDAYS(Proc[[#This Row],[DateOpened]],TODAY()))-1,ABS(NETWORKDAYS(Proc[[#This Row],[DateOpened]],Proc[[#This Row],[DateClosed]]))-1)</f>
        <v>9</v>
      </c>
      <c r="R4994" s="174" t="s">
        <v>1013</v>
      </c>
      <c r="S4994" s="150"/>
    </row>
    <row r="4995" spans="1:19">
      <c r="A4995" s="149" t="s">
        <v>7195</v>
      </c>
      <c r="B4995" s="150" t="str">
        <f>IFERROR(VLOOKUP(Proc[[#This Row],[App]],Table2[],3,0),"open")</f>
        <v>ok</v>
      </c>
      <c r="C4995" s="149" t="s">
        <v>369</v>
      </c>
      <c r="D4995" t="s">
        <v>7209</v>
      </c>
      <c r="E4995" t="s">
        <v>4068</v>
      </c>
      <c r="F4995" s="150" t="s">
        <v>4068</v>
      </c>
      <c r="G4995" s="149" t="s">
        <v>400</v>
      </c>
      <c r="H4995" s="150" t="str">
        <f>IF(Proc[[#This Row],[type]]="LFF (MDG-F)",MID(Proc[[#This Row],[Obj]],13,10),"")</f>
        <v/>
      </c>
      <c r="J4995" s="150" t="b">
        <f>Proc[[#This Row],[Requested]]=Proc[[#This Row],[CurrentParent]]</f>
        <v>1</v>
      </c>
      <c r="K4995" s="150" t="str">
        <f>IF(Proc[[#This Row],[Author]]="Marcela Urrego",VLOOKUP(LEFT(Proc[[#This Row],[Requested]],1),Table3[#All],2,0),VLOOKUP(Proc[[#This Row],[Author]],Table4[],2,0))</f>
        <v>HC</v>
      </c>
      <c r="L4995" s="150" t="s">
        <v>6435</v>
      </c>
      <c r="M4995" s="173">
        <v>45992</v>
      </c>
      <c r="N4995" s="174"/>
      <c r="O4995" s="174"/>
      <c r="P4995" s="174" t="str">
        <f ca="1">IF(Proc[[#This Row],[DaysAgeing]]&gt;5,"yep","on track")</f>
        <v>yep</v>
      </c>
      <c r="Q4995" s="3">
        <f ca="1">IF(Proc[[#This Row],[DateClosed]]="",ABS(NETWORKDAYS(Proc[[#This Row],[DateOpened]],TODAY()))-1,ABS(NETWORKDAYS(Proc[[#This Row],[DateOpened]],Proc[[#This Row],[DateClosed]]))-1)</f>
        <v>9</v>
      </c>
      <c r="R4995" s="174" t="s">
        <v>1013</v>
      </c>
      <c r="S4995" s="150"/>
    </row>
    <row r="4996" spans="1:19">
      <c r="A4996" s="149" t="s">
        <v>7195</v>
      </c>
      <c r="B4996" s="150" t="str">
        <f>IFERROR(VLOOKUP(Proc[[#This Row],[App]],Table2[],3,0),"open")</f>
        <v>ok</v>
      </c>
      <c r="C4996" s="149" t="s">
        <v>369</v>
      </c>
      <c r="D4996" t="s">
        <v>7210</v>
      </c>
      <c r="E4996" t="s">
        <v>4068</v>
      </c>
      <c r="F4996" s="150" t="s">
        <v>4068</v>
      </c>
      <c r="G4996" s="149" t="s">
        <v>400</v>
      </c>
      <c r="H4996" s="150" t="str">
        <f>IF(Proc[[#This Row],[type]]="LFF (MDG-F)",MID(Proc[[#This Row],[Obj]],13,10),"")</f>
        <v/>
      </c>
      <c r="J4996" s="150" t="b">
        <f>Proc[[#This Row],[Requested]]=Proc[[#This Row],[CurrentParent]]</f>
        <v>1</v>
      </c>
      <c r="K4996" s="150" t="str">
        <f>IF(Proc[[#This Row],[Author]]="Marcela Urrego",VLOOKUP(LEFT(Proc[[#This Row],[Requested]],1),Table3[#All],2,0),VLOOKUP(Proc[[#This Row],[Author]],Table4[],2,0))</f>
        <v>HC</v>
      </c>
      <c r="L4996" s="150" t="s">
        <v>6435</v>
      </c>
      <c r="M4996" s="173">
        <v>45992</v>
      </c>
      <c r="N4996" s="174"/>
      <c r="O4996" s="174"/>
      <c r="P4996" s="174" t="str">
        <f ca="1">IF(Proc[[#This Row],[DaysAgeing]]&gt;5,"yep","on track")</f>
        <v>yep</v>
      </c>
      <c r="Q4996" s="3">
        <f ca="1">IF(Proc[[#This Row],[DateClosed]]="",ABS(NETWORKDAYS(Proc[[#This Row],[DateOpened]],TODAY()))-1,ABS(NETWORKDAYS(Proc[[#This Row],[DateOpened]],Proc[[#This Row],[DateClosed]]))-1)</f>
        <v>9</v>
      </c>
      <c r="R4996" s="174" t="s">
        <v>1013</v>
      </c>
      <c r="S4996" s="150"/>
    </row>
    <row r="4997" spans="1:19">
      <c r="A4997" s="149" t="s">
        <v>7195</v>
      </c>
      <c r="B4997" s="150" t="str">
        <f>IFERROR(VLOOKUP(Proc[[#This Row],[App]],Table2[],3,0),"open")</f>
        <v>ok</v>
      </c>
      <c r="C4997" s="149" t="s">
        <v>369</v>
      </c>
      <c r="D4997" t="s">
        <v>7211</v>
      </c>
      <c r="E4997" t="s">
        <v>4068</v>
      </c>
      <c r="F4997" s="150" t="s">
        <v>4068</v>
      </c>
      <c r="G4997" s="149" t="s">
        <v>400</v>
      </c>
      <c r="H4997" s="150" t="str">
        <f>IF(Proc[[#This Row],[type]]="LFF (MDG-F)",MID(Proc[[#This Row],[Obj]],13,10),"")</f>
        <v/>
      </c>
      <c r="J4997" s="150" t="b">
        <f>Proc[[#This Row],[Requested]]=Proc[[#This Row],[CurrentParent]]</f>
        <v>1</v>
      </c>
      <c r="K4997" s="150" t="str">
        <f>IF(Proc[[#This Row],[Author]]="Marcela Urrego",VLOOKUP(LEFT(Proc[[#This Row],[Requested]],1),Table3[#All],2,0),VLOOKUP(Proc[[#This Row],[Author]],Table4[],2,0))</f>
        <v>HC</v>
      </c>
      <c r="L4997" s="150" t="s">
        <v>6435</v>
      </c>
      <c r="M4997" s="173">
        <v>45992</v>
      </c>
      <c r="N4997" s="174"/>
      <c r="O4997" s="174"/>
      <c r="P4997" s="174" t="str">
        <f ca="1">IF(Proc[[#This Row],[DaysAgeing]]&gt;5,"yep","on track")</f>
        <v>yep</v>
      </c>
      <c r="Q4997" s="3">
        <f ca="1">IF(Proc[[#This Row],[DateClosed]]="",ABS(NETWORKDAYS(Proc[[#This Row],[DateOpened]],TODAY()))-1,ABS(NETWORKDAYS(Proc[[#This Row],[DateOpened]],Proc[[#This Row],[DateClosed]]))-1)</f>
        <v>9</v>
      </c>
      <c r="R4997" s="174" t="s">
        <v>1013</v>
      </c>
      <c r="S4997" s="150"/>
    </row>
    <row r="4998" spans="1:19">
      <c r="A4998" s="149" t="s">
        <v>7195</v>
      </c>
      <c r="B4998" s="150" t="str">
        <f>IFERROR(VLOOKUP(Proc[[#This Row],[App]],Table2[],3,0),"open")</f>
        <v>ok</v>
      </c>
      <c r="C4998" s="149" t="s">
        <v>369</v>
      </c>
      <c r="D4998" t="s">
        <v>7212</v>
      </c>
      <c r="E4998" t="s">
        <v>4068</v>
      </c>
      <c r="F4998" s="150" t="s">
        <v>4068</v>
      </c>
      <c r="G4998" s="149" t="s">
        <v>400</v>
      </c>
      <c r="H4998" s="150" t="str">
        <f>IF(Proc[[#This Row],[type]]="LFF (MDG-F)",MID(Proc[[#This Row],[Obj]],13,10),"")</f>
        <v/>
      </c>
      <c r="J4998" s="150" t="b">
        <f>Proc[[#This Row],[Requested]]=Proc[[#This Row],[CurrentParent]]</f>
        <v>1</v>
      </c>
      <c r="K4998" s="150" t="str">
        <f>IF(Proc[[#This Row],[Author]]="Marcela Urrego",VLOOKUP(LEFT(Proc[[#This Row],[Requested]],1),Table3[#All],2,0),VLOOKUP(Proc[[#This Row],[Author]],Table4[],2,0))</f>
        <v>HC</v>
      </c>
      <c r="L4998" s="150" t="s">
        <v>6435</v>
      </c>
      <c r="M4998" s="173">
        <v>45992</v>
      </c>
      <c r="N4998" s="174"/>
      <c r="O4998" s="174"/>
      <c r="P4998" s="174" t="str">
        <f ca="1">IF(Proc[[#This Row],[DaysAgeing]]&gt;5,"yep","on track")</f>
        <v>yep</v>
      </c>
      <c r="Q4998" s="3">
        <f ca="1">IF(Proc[[#This Row],[DateClosed]]="",ABS(NETWORKDAYS(Proc[[#This Row],[DateOpened]],TODAY()))-1,ABS(NETWORKDAYS(Proc[[#This Row],[DateOpened]],Proc[[#This Row],[DateClosed]]))-1)</f>
        <v>9</v>
      </c>
      <c r="R4998" s="174" t="s">
        <v>1013</v>
      </c>
      <c r="S4998" s="150"/>
    </row>
    <row r="4999" spans="1:19">
      <c r="A4999" s="149" t="s">
        <v>7195</v>
      </c>
      <c r="B4999" s="150" t="str">
        <f>IFERROR(VLOOKUP(Proc[[#This Row],[App]],Table2[],3,0),"open")</f>
        <v>ok</v>
      </c>
      <c r="C4999" s="149" t="s">
        <v>369</v>
      </c>
      <c r="D4999" t="s">
        <v>7213</v>
      </c>
      <c r="E4999" t="s">
        <v>4068</v>
      </c>
      <c r="F4999" s="150" t="s">
        <v>4068</v>
      </c>
      <c r="G4999" s="149" t="s">
        <v>400</v>
      </c>
      <c r="H4999" s="150" t="str">
        <f>IF(Proc[[#This Row],[type]]="LFF (MDG-F)",MID(Proc[[#This Row],[Obj]],13,10),"")</f>
        <v/>
      </c>
      <c r="J4999" s="150" t="b">
        <f>Proc[[#This Row],[Requested]]=Proc[[#This Row],[CurrentParent]]</f>
        <v>1</v>
      </c>
      <c r="K4999" s="150" t="str">
        <f>IF(Proc[[#This Row],[Author]]="Marcela Urrego",VLOOKUP(LEFT(Proc[[#This Row],[Requested]],1),Table3[#All],2,0),VLOOKUP(Proc[[#This Row],[Author]],Table4[],2,0))</f>
        <v>HC</v>
      </c>
      <c r="L4999" s="150" t="s">
        <v>6435</v>
      </c>
      <c r="M4999" s="173">
        <v>45992</v>
      </c>
      <c r="N4999" s="174"/>
      <c r="O4999" s="174"/>
      <c r="P4999" s="174" t="str">
        <f ca="1">IF(Proc[[#This Row],[DaysAgeing]]&gt;5,"yep","on track")</f>
        <v>yep</v>
      </c>
      <c r="Q4999" s="3">
        <f ca="1">IF(Proc[[#This Row],[DateClosed]]="",ABS(NETWORKDAYS(Proc[[#This Row],[DateOpened]],TODAY()))-1,ABS(NETWORKDAYS(Proc[[#This Row],[DateOpened]],Proc[[#This Row],[DateClosed]]))-1)</f>
        <v>9</v>
      </c>
      <c r="R4999" s="174" t="s">
        <v>1013</v>
      </c>
      <c r="S4999" s="150"/>
    </row>
    <row r="5000" spans="1:19">
      <c r="A5000" s="149" t="s">
        <v>7195</v>
      </c>
      <c r="B5000" s="150" t="str">
        <f>IFERROR(VLOOKUP(Proc[[#This Row],[App]],Table2[],3,0),"open")</f>
        <v>ok</v>
      </c>
      <c r="C5000" s="149" t="s">
        <v>369</v>
      </c>
      <c r="D5000" t="s">
        <v>7214</v>
      </c>
      <c r="E5000" t="s">
        <v>4068</v>
      </c>
      <c r="F5000" s="150" t="s">
        <v>4068</v>
      </c>
      <c r="G5000" s="149" t="s">
        <v>400</v>
      </c>
      <c r="H5000" s="150" t="str">
        <f>IF(Proc[[#This Row],[type]]="LFF (MDG-F)",MID(Proc[[#This Row],[Obj]],13,10),"")</f>
        <v/>
      </c>
      <c r="J5000" s="150" t="b">
        <f>Proc[[#This Row],[Requested]]=Proc[[#This Row],[CurrentParent]]</f>
        <v>1</v>
      </c>
      <c r="K5000" s="150" t="str">
        <f>IF(Proc[[#This Row],[Author]]="Marcela Urrego",VLOOKUP(LEFT(Proc[[#This Row],[Requested]],1),Table3[#All],2,0),VLOOKUP(Proc[[#This Row],[Author]],Table4[],2,0))</f>
        <v>HC</v>
      </c>
      <c r="L5000" s="150" t="s">
        <v>6435</v>
      </c>
      <c r="M5000" s="173">
        <v>45992</v>
      </c>
      <c r="N5000" s="174"/>
      <c r="O5000" s="174"/>
      <c r="P5000" s="174" t="str">
        <f ca="1">IF(Proc[[#This Row],[DaysAgeing]]&gt;5,"yep","on track")</f>
        <v>yep</v>
      </c>
      <c r="Q5000" s="3">
        <f ca="1">IF(Proc[[#This Row],[DateClosed]]="",ABS(NETWORKDAYS(Proc[[#This Row],[DateOpened]],TODAY()))-1,ABS(NETWORKDAYS(Proc[[#This Row],[DateOpened]],Proc[[#This Row],[DateClosed]]))-1)</f>
        <v>9</v>
      </c>
      <c r="R5000" s="174" t="s">
        <v>1013</v>
      </c>
      <c r="S5000" s="150"/>
    </row>
    <row r="5001" spans="1:19">
      <c r="A5001" s="149" t="s">
        <v>7195</v>
      </c>
      <c r="B5001" s="150" t="str">
        <f>IFERROR(VLOOKUP(Proc[[#This Row],[App]],Table2[],3,0),"open")</f>
        <v>ok</v>
      </c>
      <c r="C5001" s="149" t="s">
        <v>369</v>
      </c>
      <c r="D5001" t="s">
        <v>7215</v>
      </c>
      <c r="E5001" t="s">
        <v>4068</v>
      </c>
      <c r="F5001" s="150" t="s">
        <v>4068</v>
      </c>
      <c r="G5001" s="149" t="s">
        <v>400</v>
      </c>
      <c r="H5001" s="150" t="str">
        <f>IF(Proc[[#This Row],[type]]="LFF (MDG-F)",MID(Proc[[#This Row],[Obj]],13,10),"")</f>
        <v/>
      </c>
      <c r="J5001" s="150" t="b">
        <f>Proc[[#This Row],[Requested]]=Proc[[#This Row],[CurrentParent]]</f>
        <v>1</v>
      </c>
      <c r="K5001" s="150" t="str">
        <f>IF(Proc[[#This Row],[Author]]="Marcela Urrego",VLOOKUP(LEFT(Proc[[#This Row],[Requested]],1),Table3[#All],2,0),VLOOKUP(Proc[[#This Row],[Author]],Table4[],2,0))</f>
        <v>HC</v>
      </c>
      <c r="L5001" s="150" t="s">
        <v>6435</v>
      </c>
      <c r="M5001" s="173">
        <v>45992</v>
      </c>
      <c r="N5001" s="174"/>
      <c r="O5001" s="174"/>
      <c r="P5001" s="174" t="str">
        <f ca="1">IF(Proc[[#This Row],[DaysAgeing]]&gt;5,"yep","on track")</f>
        <v>yep</v>
      </c>
      <c r="Q5001" s="3">
        <f ca="1">IF(Proc[[#This Row],[DateClosed]]="",ABS(NETWORKDAYS(Proc[[#This Row],[DateOpened]],TODAY()))-1,ABS(NETWORKDAYS(Proc[[#This Row],[DateOpened]],Proc[[#This Row],[DateClosed]]))-1)</f>
        <v>9</v>
      </c>
      <c r="R5001" s="174" t="s">
        <v>1013</v>
      </c>
      <c r="S5001" s="150"/>
    </row>
    <row r="5002" spans="1:19">
      <c r="A5002" s="149" t="s">
        <v>7195</v>
      </c>
      <c r="B5002" s="150" t="str">
        <f>IFERROR(VLOOKUP(Proc[[#This Row],[App]],Table2[],3,0),"open")</f>
        <v>ok</v>
      </c>
      <c r="C5002" s="149" t="s">
        <v>369</v>
      </c>
      <c r="D5002" t="s">
        <v>7216</v>
      </c>
      <c r="E5002" t="s">
        <v>4068</v>
      </c>
      <c r="F5002" s="150" t="s">
        <v>4068</v>
      </c>
      <c r="G5002" s="149" t="s">
        <v>400</v>
      </c>
      <c r="H5002" s="150" t="str">
        <f>IF(Proc[[#This Row],[type]]="LFF (MDG-F)",MID(Proc[[#This Row],[Obj]],13,10),"")</f>
        <v/>
      </c>
      <c r="J5002" s="150" t="b">
        <f>Proc[[#This Row],[Requested]]=Proc[[#This Row],[CurrentParent]]</f>
        <v>1</v>
      </c>
      <c r="K5002" s="150" t="str">
        <f>IF(Proc[[#This Row],[Author]]="Marcela Urrego",VLOOKUP(LEFT(Proc[[#This Row],[Requested]],1),Table3[#All],2,0),VLOOKUP(Proc[[#This Row],[Author]],Table4[],2,0))</f>
        <v>HC</v>
      </c>
      <c r="L5002" s="150" t="s">
        <v>6435</v>
      </c>
      <c r="M5002" s="173">
        <v>45992</v>
      </c>
      <c r="N5002" s="174"/>
      <c r="O5002" s="174"/>
      <c r="P5002" s="174" t="str">
        <f ca="1">IF(Proc[[#This Row],[DaysAgeing]]&gt;5,"yep","on track")</f>
        <v>yep</v>
      </c>
      <c r="Q5002" s="3">
        <f ca="1">IF(Proc[[#This Row],[DateClosed]]="",ABS(NETWORKDAYS(Proc[[#This Row],[DateOpened]],TODAY()))-1,ABS(NETWORKDAYS(Proc[[#This Row],[DateOpened]],Proc[[#This Row],[DateClosed]]))-1)</f>
        <v>9</v>
      </c>
      <c r="R5002" s="174" t="s">
        <v>1013</v>
      </c>
      <c r="S5002" s="150"/>
    </row>
    <row r="5003" spans="1:19">
      <c r="A5003" t="s">
        <v>7221</v>
      </c>
      <c r="B5003" s="150" t="str">
        <f>IFERROR(VLOOKUP(Proc[[#This Row],[App]],Table2[],3,0),"open")</f>
        <v>ok</v>
      </c>
      <c r="C5003" s="149" t="s">
        <v>369</v>
      </c>
      <c r="D5003" t="s">
        <v>6783</v>
      </c>
      <c r="E5003" t="s">
        <v>759</v>
      </c>
      <c r="F5003" s="150" t="s">
        <v>759</v>
      </c>
      <c r="G5003" t="s">
        <v>400</v>
      </c>
      <c r="H5003" s="150" t="str">
        <f>IF(Proc[[#This Row],[type]]="LFF (MDG-F)",MID(Proc[[#This Row],[Obj]],13,10),"")</f>
        <v/>
      </c>
      <c r="J5003" s="150" t="b">
        <f>Proc[[#This Row],[Requested]]=Proc[[#This Row],[CurrentParent]]</f>
        <v>1</v>
      </c>
      <c r="K5003" s="150" t="str">
        <f>IF(Proc[[#This Row],[Author]]="Marcela Urrego",VLOOKUP(LEFT(Proc[[#This Row],[Requested]],1),Table3[#All],2,0),VLOOKUP(Proc[[#This Row],[Author]],Table4[],2,0))</f>
        <v>MGF</v>
      </c>
      <c r="L5003" s="150" t="s">
        <v>6435</v>
      </c>
      <c r="M5003" s="173">
        <v>45993</v>
      </c>
      <c r="N5003" s="174"/>
      <c r="O5003" s="174"/>
      <c r="P5003" s="174" t="str">
        <f ca="1">IF(Proc[[#This Row],[DaysAgeing]]&gt;5,"yep","on track")</f>
        <v>yep</v>
      </c>
      <c r="Q5003" s="3">
        <f ca="1">IF(Proc[[#This Row],[DateClosed]]="",ABS(NETWORKDAYS(Proc[[#This Row],[DateOpened]],TODAY()))-1,ABS(NETWORKDAYS(Proc[[#This Row],[DateOpened]],Proc[[#This Row],[DateClosed]]))-1)</f>
        <v>8</v>
      </c>
      <c r="R5003" s="174" t="s">
        <v>1459</v>
      </c>
      <c r="S5003" s="150"/>
    </row>
    <row r="5004" spans="1:19">
      <c r="A5004" t="s">
        <v>7221</v>
      </c>
      <c r="B5004" s="150" t="str">
        <f>IFERROR(VLOOKUP(Proc[[#This Row],[App]],Table2[],3,0),"open")</f>
        <v>ok</v>
      </c>
      <c r="C5004" s="149" t="s">
        <v>369</v>
      </c>
      <c r="D5004" t="s">
        <v>5278</v>
      </c>
      <c r="E5004" s="149" t="s">
        <v>7223</v>
      </c>
      <c r="F5004" s="150" t="s">
        <v>7223</v>
      </c>
      <c r="G5004" t="s">
        <v>406</v>
      </c>
      <c r="H5004" s="150" t="str">
        <f>IF(Proc[[#This Row],[type]]="LFF (MDG-F)",MID(Proc[[#This Row],[Obj]],13,10),"")</f>
        <v>CN90GM4004</v>
      </c>
      <c r="I5004" s="149" t="s">
        <v>7223</v>
      </c>
      <c r="J5004" s="150" t="b">
        <f>Proc[[#This Row],[Requested]]=Proc[[#This Row],[CurrentParent]]</f>
        <v>1</v>
      </c>
      <c r="K5004" s="150" t="str">
        <f>IF(Proc[[#This Row],[Author]]="Marcela Urrego",VLOOKUP(LEFT(Proc[[#This Row],[Requested]],1),Table3[#All],2,0),VLOOKUP(Proc[[#This Row],[Author]],Table4[],2,0))</f>
        <v>MGF</v>
      </c>
      <c r="L5004" s="150" t="s">
        <v>6435</v>
      </c>
      <c r="M5004" s="173">
        <v>45993</v>
      </c>
      <c r="N5004" s="174"/>
      <c r="O5004" s="174"/>
      <c r="P5004" s="174" t="str">
        <f ca="1">IF(Proc[[#This Row],[DaysAgeing]]&gt;5,"yep","on track")</f>
        <v>yep</v>
      </c>
      <c r="Q5004" s="3">
        <f ca="1">IF(Proc[[#This Row],[DateClosed]]="",ABS(NETWORKDAYS(Proc[[#This Row],[DateOpened]],TODAY()))-1,ABS(NETWORKDAYS(Proc[[#This Row],[DateOpened]],Proc[[#This Row],[DateClosed]]))-1)</f>
        <v>8</v>
      </c>
      <c r="R5004" s="174" t="s">
        <v>1459</v>
      </c>
      <c r="S5004" s="150"/>
    </row>
    <row r="5005" spans="1:19">
      <c r="A5005" s="149" t="s">
        <v>7221</v>
      </c>
      <c r="B5005" s="150" t="str">
        <f>IFERROR(VLOOKUP(Proc[[#This Row],[App]],Table2[],3,0),"open")</f>
        <v>ok</v>
      </c>
      <c r="C5005" s="149" t="s">
        <v>369</v>
      </c>
      <c r="D5005" t="s">
        <v>5293</v>
      </c>
      <c r="E5005" s="149" t="s">
        <v>7224</v>
      </c>
      <c r="F5005" s="150" t="s">
        <v>7224</v>
      </c>
      <c r="G5005" t="s">
        <v>400</v>
      </c>
      <c r="H5005" s="150" t="str">
        <f>IF(Proc[[#This Row],[type]]="LFF (MDG-F)",MID(Proc[[#This Row],[Obj]],13,10),"")</f>
        <v/>
      </c>
      <c r="I5005" s="149" t="s">
        <v>7224</v>
      </c>
      <c r="J5005" s="150" t="b">
        <f>Proc[[#This Row],[Requested]]=Proc[[#This Row],[CurrentParent]]</f>
        <v>1</v>
      </c>
      <c r="K5005" s="150" t="str">
        <f>IF(Proc[[#This Row],[Author]]="Marcela Urrego",VLOOKUP(LEFT(Proc[[#This Row],[Requested]],1),Table3[#All],2,0),VLOOKUP(Proc[[#This Row],[Author]],Table4[],2,0))</f>
        <v>MGF</v>
      </c>
      <c r="L5005" s="150" t="s">
        <v>6435</v>
      </c>
      <c r="M5005" s="173">
        <v>45993</v>
      </c>
      <c r="N5005" s="174"/>
      <c r="O5005" s="174"/>
      <c r="P5005" s="174" t="str">
        <f ca="1">IF(Proc[[#This Row],[DaysAgeing]]&gt;5,"yep","on track")</f>
        <v>yep</v>
      </c>
      <c r="Q5005" s="3">
        <f ca="1">IF(Proc[[#This Row],[DateClosed]]="",ABS(NETWORKDAYS(Proc[[#This Row],[DateOpened]],TODAY()))-1,ABS(NETWORKDAYS(Proc[[#This Row],[DateOpened]],Proc[[#This Row],[DateClosed]]))-1)</f>
        <v>8</v>
      </c>
      <c r="R5005" s="174" t="s">
        <v>1459</v>
      </c>
      <c r="S5005" s="150"/>
    </row>
    <row r="5006" spans="1:19">
      <c r="A5006" s="149" t="s">
        <v>7221</v>
      </c>
      <c r="B5006" s="150" t="str">
        <f>IFERROR(VLOOKUP(Proc[[#This Row],[App]],Table2[],3,0),"open")</f>
        <v>ok</v>
      </c>
      <c r="C5006" s="149" t="s">
        <v>369</v>
      </c>
      <c r="D5006" t="s">
        <v>5297</v>
      </c>
      <c r="E5006" s="149" t="s">
        <v>7225</v>
      </c>
      <c r="F5006" s="150" t="s">
        <v>7225</v>
      </c>
      <c r="G5006" t="s">
        <v>400</v>
      </c>
      <c r="H5006" s="150" t="str">
        <f>IF(Proc[[#This Row],[type]]="LFF (MDG-F)",MID(Proc[[#This Row],[Obj]],13,10),"")</f>
        <v/>
      </c>
      <c r="I5006" s="149" t="s">
        <v>7225</v>
      </c>
      <c r="J5006" s="150" t="b">
        <f>Proc[[#This Row],[Requested]]=Proc[[#This Row],[CurrentParent]]</f>
        <v>1</v>
      </c>
      <c r="K5006" s="150" t="str">
        <f>IF(Proc[[#This Row],[Author]]="Marcela Urrego",VLOOKUP(LEFT(Proc[[#This Row],[Requested]],1),Table3[#All],2,0),VLOOKUP(Proc[[#This Row],[Author]],Table4[],2,0))</f>
        <v>MGF</v>
      </c>
      <c r="L5006" s="150" t="s">
        <v>6435</v>
      </c>
      <c r="M5006" s="173">
        <v>45993</v>
      </c>
      <c r="N5006" s="174"/>
      <c r="O5006" s="174"/>
      <c r="P5006" s="174" t="str">
        <f ca="1">IF(Proc[[#This Row],[DaysAgeing]]&gt;5,"yep","on track")</f>
        <v>yep</v>
      </c>
      <c r="Q5006" s="3">
        <f ca="1">IF(Proc[[#This Row],[DateClosed]]="",ABS(NETWORKDAYS(Proc[[#This Row],[DateOpened]],TODAY()))-1,ABS(NETWORKDAYS(Proc[[#This Row],[DateOpened]],Proc[[#This Row],[DateClosed]]))-1)</f>
        <v>8</v>
      </c>
      <c r="R5006" s="174" t="s">
        <v>1459</v>
      </c>
      <c r="S5006" s="150"/>
    </row>
    <row r="5007" spans="1:19">
      <c r="A5007" s="149" t="s">
        <v>7221</v>
      </c>
      <c r="B5007" s="150" t="str">
        <f>IFERROR(VLOOKUP(Proc[[#This Row],[App]],Table2[],3,0),"open")</f>
        <v>ok</v>
      </c>
      <c r="C5007" s="149" t="s">
        <v>369</v>
      </c>
      <c r="D5007" t="s">
        <v>5440</v>
      </c>
      <c r="E5007" s="149" t="s">
        <v>7226</v>
      </c>
      <c r="F5007" s="150" t="s">
        <v>7226</v>
      </c>
      <c r="G5007" s="149" t="s">
        <v>400</v>
      </c>
      <c r="H5007" s="150" t="str">
        <f>IF(Proc[[#This Row],[type]]="LFF (MDG-F)",MID(Proc[[#This Row],[Obj]],13,10),"")</f>
        <v/>
      </c>
      <c r="I5007" s="149" t="s">
        <v>7226</v>
      </c>
      <c r="J5007" s="150" t="b">
        <f>Proc[[#This Row],[Requested]]=Proc[[#This Row],[CurrentParent]]</f>
        <v>1</v>
      </c>
      <c r="K5007" s="150" t="str">
        <f>IF(Proc[[#This Row],[Author]]="Marcela Urrego",VLOOKUP(LEFT(Proc[[#This Row],[Requested]],1),Table3[#All],2,0),VLOOKUP(Proc[[#This Row],[Author]],Table4[],2,0))</f>
        <v>MGF</v>
      </c>
      <c r="L5007" s="150" t="s">
        <v>6435</v>
      </c>
      <c r="M5007" s="173">
        <v>45993</v>
      </c>
      <c r="N5007" s="174"/>
      <c r="O5007" s="174"/>
      <c r="P5007" s="174" t="str">
        <f ca="1">IF(Proc[[#This Row],[DaysAgeing]]&gt;5,"yep","on track")</f>
        <v>yep</v>
      </c>
      <c r="Q5007" s="3">
        <f ca="1">IF(Proc[[#This Row],[DateClosed]]="",ABS(NETWORKDAYS(Proc[[#This Row],[DateOpened]],TODAY()))-1,ABS(NETWORKDAYS(Proc[[#This Row],[DateOpened]],Proc[[#This Row],[DateClosed]]))-1)</f>
        <v>8</v>
      </c>
      <c r="R5007" s="174" t="s">
        <v>1459</v>
      </c>
      <c r="S5007" s="150"/>
    </row>
    <row r="5008" spans="1:19">
      <c r="A5008" s="149" t="s">
        <v>7221</v>
      </c>
      <c r="B5008" s="150" t="str">
        <f>IFERROR(VLOOKUP(Proc[[#This Row],[App]],Table2[],3,0),"open")</f>
        <v>ok</v>
      </c>
      <c r="C5008" s="149" t="s">
        <v>369</v>
      </c>
      <c r="D5008" t="s">
        <v>5305</v>
      </c>
      <c r="E5008" s="149" t="s">
        <v>7223</v>
      </c>
      <c r="F5008" s="150" t="s">
        <v>7223</v>
      </c>
      <c r="G5008" s="149" t="s">
        <v>400</v>
      </c>
      <c r="H5008" s="150" t="str">
        <f>IF(Proc[[#This Row],[type]]="LFF (MDG-F)",MID(Proc[[#This Row],[Obj]],13,10),"")</f>
        <v/>
      </c>
      <c r="I5008" s="149" t="s">
        <v>7223</v>
      </c>
      <c r="J5008" s="150" t="b">
        <f>Proc[[#This Row],[Requested]]=Proc[[#This Row],[CurrentParent]]</f>
        <v>1</v>
      </c>
      <c r="K5008" s="150" t="str">
        <f>IF(Proc[[#This Row],[Author]]="Marcela Urrego",VLOOKUP(LEFT(Proc[[#This Row],[Requested]],1),Table3[#All],2,0),VLOOKUP(Proc[[#This Row],[Author]],Table4[],2,0))</f>
        <v>MGF</v>
      </c>
      <c r="L5008" s="150" t="s">
        <v>6435</v>
      </c>
      <c r="M5008" s="173">
        <v>45993</v>
      </c>
      <c r="N5008" s="174"/>
      <c r="O5008" s="174"/>
      <c r="P5008" s="174" t="str">
        <f ca="1">IF(Proc[[#This Row],[DaysAgeing]]&gt;5,"yep","on track")</f>
        <v>yep</v>
      </c>
      <c r="Q5008" s="3">
        <f ca="1">IF(Proc[[#This Row],[DateClosed]]="",ABS(NETWORKDAYS(Proc[[#This Row],[DateOpened]],TODAY()))-1,ABS(NETWORKDAYS(Proc[[#This Row],[DateOpened]],Proc[[#This Row],[DateClosed]]))-1)</f>
        <v>8</v>
      </c>
      <c r="R5008" s="174" t="s">
        <v>1459</v>
      </c>
      <c r="S5008" s="150"/>
    </row>
    <row r="5009" spans="1:19">
      <c r="A5009" s="149" t="s">
        <v>7221</v>
      </c>
      <c r="B5009" s="150" t="str">
        <f>IFERROR(VLOOKUP(Proc[[#This Row],[App]],Table2[],3,0),"open")</f>
        <v>ok</v>
      </c>
      <c r="C5009" s="149" t="s">
        <v>369</v>
      </c>
      <c r="D5009" t="s">
        <v>5350</v>
      </c>
      <c r="E5009" s="149" t="s">
        <v>7225</v>
      </c>
      <c r="F5009" s="150" t="s">
        <v>7225</v>
      </c>
      <c r="G5009" t="s">
        <v>406</v>
      </c>
      <c r="H5009" s="150" t="str">
        <f>IF(Proc[[#This Row],[type]]="LFF (MDG-F)",MID(Proc[[#This Row],[Obj]],13,10),"")</f>
        <v>DE10GMS041</v>
      </c>
      <c r="I5009" s="149" t="s">
        <v>7225</v>
      </c>
      <c r="J5009" s="150" t="b">
        <f>Proc[[#This Row],[Requested]]=Proc[[#This Row],[CurrentParent]]</f>
        <v>1</v>
      </c>
      <c r="K5009" s="150" t="str">
        <f>IF(Proc[[#This Row],[Author]]="Marcela Urrego",VLOOKUP(LEFT(Proc[[#This Row],[Requested]],1),Table3[#All],2,0),VLOOKUP(Proc[[#This Row],[Author]],Table4[],2,0))</f>
        <v>MGF</v>
      </c>
      <c r="L5009" s="150" t="s">
        <v>6435</v>
      </c>
      <c r="M5009" s="173">
        <v>45993</v>
      </c>
      <c r="N5009" s="174"/>
      <c r="O5009" s="174"/>
      <c r="P5009" s="174" t="str">
        <f ca="1">IF(Proc[[#This Row],[DaysAgeing]]&gt;5,"yep","on track")</f>
        <v>yep</v>
      </c>
      <c r="Q5009" s="3">
        <f ca="1">IF(Proc[[#This Row],[DateClosed]]="",ABS(NETWORKDAYS(Proc[[#This Row],[DateOpened]],TODAY()))-1,ABS(NETWORKDAYS(Proc[[#This Row],[DateOpened]],Proc[[#This Row],[DateClosed]]))-1)</f>
        <v>8</v>
      </c>
      <c r="R5009" s="174" t="s">
        <v>1459</v>
      </c>
      <c r="S5009" s="150"/>
    </row>
    <row r="5010" spans="1:19">
      <c r="A5010" s="149" t="s">
        <v>7221</v>
      </c>
      <c r="B5010" s="150" t="str">
        <f>IFERROR(VLOOKUP(Proc[[#This Row],[App]],Table2[],3,0),"open")</f>
        <v>ok</v>
      </c>
      <c r="C5010" s="149" t="s">
        <v>369</v>
      </c>
      <c r="D5010" t="s">
        <v>5438</v>
      </c>
      <c r="E5010" s="149" t="s">
        <v>7226</v>
      </c>
      <c r="F5010" s="150" t="s">
        <v>7226</v>
      </c>
      <c r="G5010" t="s">
        <v>406</v>
      </c>
      <c r="H5010" s="150" t="str">
        <f>IF(Proc[[#This Row],[type]]="LFF (MDG-F)",MID(Proc[[#This Row],[Obj]],13,10),"")</f>
        <v>DE10GMS070</v>
      </c>
      <c r="I5010" s="149" t="s">
        <v>7226</v>
      </c>
      <c r="J5010" s="150" t="b">
        <f>Proc[[#This Row],[Requested]]=Proc[[#This Row],[CurrentParent]]</f>
        <v>1</v>
      </c>
      <c r="K5010" s="150" t="str">
        <f>IF(Proc[[#This Row],[Author]]="Marcela Urrego",VLOOKUP(LEFT(Proc[[#This Row],[Requested]],1),Table3[#All],2,0),VLOOKUP(Proc[[#This Row],[Author]],Table4[],2,0))</f>
        <v>MGF</v>
      </c>
      <c r="L5010" s="150" t="s">
        <v>6435</v>
      </c>
      <c r="M5010" s="173">
        <v>45993</v>
      </c>
      <c r="N5010" s="174"/>
      <c r="O5010" s="174"/>
      <c r="P5010" s="174" t="str">
        <f ca="1">IF(Proc[[#This Row],[DaysAgeing]]&gt;5,"yep","on track")</f>
        <v>yep</v>
      </c>
      <c r="Q5010" s="3">
        <f ca="1">IF(Proc[[#This Row],[DateClosed]]="",ABS(NETWORKDAYS(Proc[[#This Row],[DateOpened]],TODAY()))-1,ABS(NETWORKDAYS(Proc[[#This Row],[DateOpened]],Proc[[#This Row],[DateClosed]]))-1)</f>
        <v>8</v>
      </c>
      <c r="R5010" s="174" t="s">
        <v>1459</v>
      </c>
      <c r="S5010" s="150"/>
    </row>
    <row r="5011" spans="1:19">
      <c r="A5011" s="149" t="s">
        <v>7221</v>
      </c>
      <c r="B5011" s="150" t="str">
        <f>IFERROR(VLOOKUP(Proc[[#This Row],[App]],Table2[],3,0),"open")</f>
        <v>ok</v>
      </c>
      <c r="C5011" s="149" t="s">
        <v>369</v>
      </c>
      <c r="D5011" t="s">
        <v>5338</v>
      </c>
      <c r="E5011" s="149" t="s">
        <v>7225</v>
      </c>
      <c r="F5011" s="150" t="s">
        <v>7225</v>
      </c>
      <c r="G5011" t="s">
        <v>406</v>
      </c>
      <c r="H5011" s="150" t="str">
        <f>IF(Proc[[#This Row],[type]]="LFF (MDG-F)",MID(Proc[[#This Row],[Obj]],13,10),"")</f>
        <v>DE10669632</v>
      </c>
      <c r="I5011" s="149" t="s">
        <v>7225</v>
      </c>
      <c r="J5011" s="150" t="b">
        <f>Proc[[#This Row],[Requested]]=Proc[[#This Row],[CurrentParent]]</f>
        <v>1</v>
      </c>
      <c r="K5011" s="150" t="str">
        <f>IF(Proc[[#This Row],[Author]]="Marcela Urrego",VLOOKUP(LEFT(Proc[[#This Row],[Requested]],1),Table3[#All],2,0),VLOOKUP(Proc[[#This Row],[Author]],Table4[],2,0))</f>
        <v>MGF</v>
      </c>
      <c r="L5011" s="150" t="s">
        <v>6435</v>
      </c>
      <c r="M5011" s="174">
        <v>45993</v>
      </c>
      <c r="N5011" s="174"/>
      <c r="O5011" s="174"/>
      <c r="P5011" s="174" t="str">
        <f ca="1">IF(Proc[[#This Row],[DaysAgeing]]&gt;5,"yep","on track")</f>
        <v>yep</v>
      </c>
      <c r="Q5011" s="3">
        <f ca="1">IF(Proc[[#This Row],[DateClosed]]="",ABS(NETWORKDAYS(Proc[[#This Row],[DateOpened]],TODAY()))-1,ABS(NETWORKDAYS(Proc[[#This Row],[DateOpened]],Proc[[#This Row],[DateClosed]]))-1)</f>
        <v>8</v>
      </c>
      <c r="R5011" s="174" t="s">
        <v>1459</v>
      </c>
      <c r="S5011" s="150"/>
    </row>
    <row r="5012" spans="1:19">
      <c r="A5012" s="149" t="s">
        <v>7221</v>
      </c>
      <c r="B5012" s="150" t="str">
        <f>IFERROR(VLOOKUP(Proc[[#This Row],[App]],Table2[],3,0),"open")</f>
        <v>ok</v>
      </c>
      <c r="C5012" s="149" t="s">
        <v>369</v>
      </c>
      <c r="D5012" t="s">
        <v>5361</v>
      </c>
      <c r="E5012" s="149" t="s">
        <v>7223</v>
      </c>
      <c r="F5012" s="150" t="s">
        <v>7223</v>
      </c>
      <c r="G5012" t="s">
        <v>400</v>
      </c>
      <c r="H5012" s="150" t="str">
        <f>IF(Proc[[#This Row],[type]]="LFF (MDG-F)",MID(Proc[[#This Row],[Obj]],13,10),"")</f>
        <v/>
      </c>
      <c r="I5012" s="149" t="s">
        <v>7223</v>
      </c>
      <c r="J5012" s="150" t="b">
        <f>Proc[[#This Row],[Requested]]=Proc[[#This Row],[CurrentParent]]</f>
        <v>1</v>
      </c>
      <c r="K5012" s="150" t="str">
        <f>IF(Proc[[#This Row],[Author]]="Marcela Urrego",VLOOKUP(LEFT(Proc[[#This Row],[Requested]],1),Table3[#All],2,0),VLOOKUP(Proc[[#This Row],[Author]],Table4[],2,0))</f>
        <v>MGF</v>
      </c>
      <c r="L5012" s="150" t="s">
        <v>6435</v>
      </c>
      <c r="M5012" s="174">
        <v>45993</v>
      </c>
      <c r="N5012" s="174"/>
      <c r="O5012" s="174"/>
      <c r="P5012" s="174" t="str">
        <f ca="1">IF(Proc[[#This Row],[DaysAgeing]]&gt;5,"yep","on track")</f>
        <v>yep</v>
      </c>
      <c r="Q5012" s="3">
        <f ca="1">IF(Proc[[#This Row],[DateClosed]]="",ABS(NETWORKDAYS(Proc[[#This Row],[DateOpened]],TODAY()))-1,ABS(NETWORKDAYS(Proc[[#This Row],[DateOpened]],Proc[[#This Row],[DateClosed]]))-1)</f>
        <v>8</v>
      </c>
      <c r="R5012" s="174" t="s">
        <v>1459</v>
      </c>
      <c r="S5012" s="150"/>
    </row>
    <row r="5013" spans="1:19">
      <c r="A5013" s="149" t="s">
        <v>7221</v>
      </c>
      <c r="B5013" s="150" t="str">
        <f>IFERROR(VLOOKUP(Proc[[#This Row],[App]],Table2[],3,0),"open")</f>
        <v>ok</v>
      </c>
      <c r="C5013" s="149" t="s">
        <v>369</v>
      </c>
      <c r="D5013" t="s">
        <v>7222</v>
      </c>
      <c r="E5013" s="149" t="s">
        <v>7227</v>
      </c>
      <c r="F5013" s="150" t="s">
        <v>7227</v>
      </c>
      <c r="G5013" s="149" t="s">
        <v>400</v>
      </c>
      <c r="H5013" s="150" t="str">
        <f>IF(Proc[[#This Row],[type]]="LFF (MDG-F)",MID(Proc[[#This Row],[Obj]],13,10),"")</f>
        <v/>
      </c>
      <c r="I5013" s="149" t="s">
        <v>7227</v>
      </c>
      <c r="J5013" s="150" t="b">
        <f>Proc[[#This Row],[Requested]]=Proc[[#This Row],[CurrentParent]]</f>
        <v>1</v>
      </c>
      <c r="K5013" s="150" t="str">
        <f>IF(Proc[[#This Row],[Author]]="Marcela Urrego",VLOOKUP(LEFT(Proc[[#This Row],[Requested]],1),Table3[#All],2,0),VLOOKUP(Proc[[#This Row],[Author]],Table4[],2,0))</f>
        <v>MGF</v>
      </c>
      <c r="L5013" s="150" t="s">
        <v>6435</v>
      </c>
      <c r="M5013" s="174">
        <v>45993</v>
      </c>
      <c r="N5013" s="174"/>
      <c r="O5013" s="174"/>
      <c r="P5013" s="174" t="str">
        <f ca="1">IF(Proc[[#This Row],[DaysAgeing]]&gt;5,"yep","on track")</f>
        <v>yep</v>
      </c>
      <c r="Q5013" s="3">
        <f ca="1">IF(Proc[[#This Row],[DateClosed]]="",ABS(NETWORKDAYS(Proc[[#This Row],[DateOpened]],TODAY()))-1,ABS(NETWORKDAYS(Proc[[#This Row],[DateOpened]],Proc[[#This Row],[DateClosed]]))-1)</f>
        <v>8</v>
      </c>
      <c r="R5013" s="174" t="s">
        <v>1459</v>
      </c>
      <c r="S5013" s="150"/>
    </row>
    <row r="5014" spans="1:19">
      <c r="A5014" t="s">
        <v>7247</v>
      </c>
      <c r="B5014" s="150" t="str">
        <f>IFERROR(VLOOKUP(Proc[[#This Row],[App]],Table2[],3,0),"open")</f>
        <v>ok</v>
      </c>
      <c r="C5014" s="149" t="s">
        <v>369</v>
      </c>
      <c r="D5014" t="s">
        <v>7248</v>
      </c>
      <c r="E5014" t="s">
        <v>4939</v>
      </c>
      <c r="F5014" s="150" t="s">
        <v>4939</v>
      </c>
      <c r="G5014" s="149" t="s">
        <v>400</v>
      </c>
      <c r="H5014" s="150" t="str">
        <f>IF(Proc[[#This Row],[type]]="LFF (MDG-F)",MID(Proc[[#This Row],[Obj]],13,10),"")</f>
        <v/>
      </c>
      <c r="J5014" s="150" t="b">
        <f>Proc[[#This Row],[Requested]]=Proc[[#This Row],[CurrentParent]]</f>
        <v>1</v>
      </c>
      <c r="K5014" s="150" t="str">
        <f>IF(Proc[[#This Row],[Author]]="Marcela Urrego",VLOOKUP(LEFT(Proc[[#This Row],[Requested]],1),Table3[#All],2,0),VLOOKUP(Proc[[#This Row],[Author]],Table4[],2,0))</f>
        <v>HC</v>
      </c>
      <c r="L5014" s="150" t="s">
        <v>6435</v>
      </c>
      <c r="M5014" s="174">
        <v>45994</v>
      </c>
      <c r="N5014" s="175"/>
      <c r="O5014" s="175"/>
      <c r="P5014" s="175" t="str">
        <f ca="1">IF(Proc[[#This Row],[DaysAgeing]]&gt;5,"yep","on track")</f>
        <v>yep</v>
      </c>
      <c r="Q5014" s="3">
        <f ca="1">IF(Proc[[#This Row],[DateClosed]]="",ABS(NETWORKDAYS(Proc[[#This Row],[DateOpened]],TODAY()))-1,ABS(NETWORKDAYS(Proc[[#This Row],[DateOpened]],Proc[[#This Row],[DateClosed]]))-1)</f>
        <v>7</v>
      </c>
      <c r="R5014" s="175" t="s">
        <v>415</v>
      </c>
      <c r="S5014" s="150"/>
    </row>
    <row r="5015" spans="1:19">
      <c r="A5015" s="149" t="s">
        <v>7247</v>
      </c>
      <c r="B5015" s="150" t="str">
        <f>IFERROR(VLOOKUP(Proc[[#This Row],[App]],Table2[],3,0),"open")</f>
        <v>ok</v>
      </c>
      <c r="C5015" s="149" t="s">
        <v>369</v>
      </c>
      <c r="D5015" t="s">
        <v>7249</v>
      </c>
      <c r="E5015" t="s">
        <v>4939</v>
      </c>
      <c r="F5015" s="150" t="s">
        <v>4939</v>
      </c>
      <c r="G5015" s="149" t="s">
        <v>400</v>
      </c>
      <c r="H5015" s="150" t="str">
        <f>IF(Proc[[#This Row],[type]]="LFF (MDG-F)",MID(Proc[[#This Row],[Obj]],13,10),"")</f>
        <v/>
      </c>
      <c r="J5015" s="150" t="b">
        <f>Proc[[#This Row],[Requested]]=Proc[[#This Row],[CurrentParent]]</f>
        <v>1</v>
      </c>
      <c r="K5015" s="150" t="str">
        <f>IF(Proc[[#This Row],[Author]]="Marcela Urrego",VLOOKUP(LEFT(Proc[[#This Row],[Requested]],1),Table3[#All],2,0),VLOOKUP(Proc[[#This Row],[Author]],Table4[],2,0))</f>
        <v>HC</v>
      </c>
      <c r="L5015" s="150" t="s">
        <v>6435</v>
      </c>
      <c r="M5015" s="174">
        <v>45994</v>
      </c>
      <c r="N5015" s="175"/>
      <c r="O5015" s="175"/>
      <c r="P5015" s="175" t="str">
        <f ca="1">IF(Proc[[#This Row],[DaysAgeing]]&gt;5,"yep","on track")</f>
        <v>yep</v>
      </c>
      <c r="Q5015" s="3">
        <f ca="1">IF(Proc[[#This Row],[DateClosed]]="",ABS(NETWORKDAYS(Proc[[#This Row],[DateOpened]],TODAY()))-1,ABS(NETWORKDAYS(Proc[[#This Row],[DateOpened]],Proc[[#This Row],[DateClosed]]))-1)</f>
        <v>7</v>
      </c>
      <c r="R5015" s="175" t="s">
        <v>415</v>
      </c>
      <c r="S5015" s="150"/>
    </row>
    <row r="5016" spans="1:19">
      <c r="A5016" s="149" t="s">
        <v>7247</v>
      </c>
      <c r="B5016" s="150" t="str">
        <f>IFERROR(VLOOKUP(Proc[[#This Row],[App]],Table2[],3,0),"open")</f>
        <v>ok</v>
      </c>
      <c r="C5016" s="149" t="s">
        <v>369</v>
      </c>
      <c r="D5016" t="s">
        <v>7250</v>
      </c>
      <c r="E5016" t="s">
        <v>4939</v>
      </c>
      <c r="F5016" s="150" t="s">
        <v>4939</v>
      </c>
      <c r="G5016" s="149" t="s">
        <v>400</v>
      </c>
      <c r="H5016" s="150" t="str">
        <f>IF(Proc[[#This Row],[type]]="LFF (MDG-F)",MID(Proc[[#This Row],[Obj]],13,10),"")</f>
        <v/>
      </c>
      <c r="J5016" s="150" t="b">
        <f>Proc[[#This Row],[Requested]]=Proc[[#This Row],[CurrentParent]]</f>
        <v>1</v>
      </c>
      <c r="K5016" s="150" t="str">
        <f>IF(Proc[[#This Row],[Author]]="Marcela Urrego",VLOOKUP(LEFT(Proc[[#This Row],[Requested]],1),Table3[#All],2,0),VLOOKUP(Proc[[#This Row],[Author]],Table4[],2,0))</f>
        <v>HC</v>
      </c>
      <c r="L5016" s="150" t="s">
        <v>6435</v>
      </c>
      <c r="M5016" s="174">
        <v>45994</v>
      </c>
      <c r="N5016" s="175"/>
      <c r="O5016" s="175"/>
      <c r="P5016" s="175" t="str">
        <f ca="1">IF(Proc[[#This Row],[DaysAgeing]]&gt;5,"yep","on track")</f>
        <v>yep</v>
      </c>
      <c r="Q5016" s="3">
        <f ca="1">IF(Proc[[#This Row],[DateClosed]]="",ABS(NETWORKDAYS(Proc[[#This Row],[DateOpened]],TODAY()))-1,ABS(NETWORKDAYS(Proc[[#This Row],[DateOpened]],Proc[[#This Row],[DateClosed]]))-1)</f>
        <v>7</v>
      </c>
      <c r="R5016" s="175" t="s">
        <v>415</v>
      </c>
      <c r="S5016" s="150"/>
    </row>
    <row r="5017" spans="1:19">
      <c r="A5017" t="s">
        <v>7252</v>
      </c>
      <c r="B5017" s="150" t="str">
        <f>IFERROR(VLOOKUP(Proc[[#This Row],[App]],Table2[],3,0),"open")</f>
        <v>ok</v>
      </c>
      <c r="C5017" s="149" t="s">
        <v>369</v>
      </c>
      <c r="D5017" t="s">
        <v>7251</v>
      </c>
      <c r="E5017" s="149" t="s">
        <v>4939</v>
      </c>
      <c r="F5017" s="150" t="str">
        <f>VLOOKUP(Proc[[#This Row],[Obj]],Sheet3!A:B,2,0)</f>
        <v>H000004401</v>
      </c>
      <c r="G5017" s="149" t="s">
        <v>400</v>
      </c>
      <c r="H5017" s="150" t="str">
        <f>IF(Proc[[#This Row],[type]]="LFF (MDG-F)",MID(Proc[[#This Row],[Obj]],13,10),"")</f>
        <v/>
      </c>
      <c r="J5017" s="150" t="b">
        <f>Proc[[#This Row],[Requested]]=Proc[[#This Row],[CurrentParent]]</f>
        <v>1</v>
      </c>
      <c r="K5017" s="150" t="str">
        <f>IF(Proc[[#This Row],[Author]]="Marcela Urrego",VLOOKUP(LEFT(Proc[[#This Row],[Requested]],1),Table3[#All],2,0),VLOOKUP(Proc[[#This Row],[Author]],Table4[],2,0))</f>
        <v>HC</v>
      </c>
      <c r="L5017" s="150" t="s">
        <v>6435</v>
      </c>
      <c r="M5017" s="174">
        <v>45994</v>
      </c>
      <c r="N5017" s="175"/>
      <c r="O5017" s="175"/>
      <c r="P5017" s="175" t="str">
        <f ca="1">IF(Proc[[#This Row],[DaysAgeing]]&gt;5,"yep","on track")</f>
        <v>yep</v>
      </c>
      <c r="Q5017" s="3">
        <f ca="1">IF(Proc[[#This Row],[DateClosed]]="",ABS(NETWORKDAYS(Proc[[#This Row],[DateOpened]],TODAY()))-1,ABS(NETWORKDAYS(Proc[[#This Row],[DateOpened]],Proc[[#This Row],[DateClosed]]))-1)</f>
        <v>7</v>
      </c>
      <c r="R5017" s="175" t="s">
        <v>415</v>
      </c>
      <c r="S5017" s="150"/>
    </row>
    <row r="5018" spans="1:19">
      <c r="A5018" t="s">
        <v>7252</v>
      </c>
      <c r="B5018" s="150" t="str">
        <f>IFERROR(VLOOKUP(Proc[[#This Row],[App]],Table2[],3,0),"open")</f>
        <v>ok</v>
      </c>
      <c r="C5018" s="149" t="s">
        <v>369</v>
      </c>
      <c r="D5018" t="s">
        <v>7253</v>
      </c>
      <c r="E5018" s="149" t="s">
        <v>4939</v>
      </c>
      <c r="F5018" s="150" t="str">
        <f>VLOOKUP(Proc[[#This Row],[Obj]],Sheet3!A:B,2,0)</f>
        <v>H000004401</v>
      </c>
      <c r="G5018" s="149" t="s">
        <v>400</v>
      </c>
      <c r="H5018" s="150" t="str">
        <f>IF(Proc[[#This Row],[type]]="LFF (MDG-F)",MID(Proc[[#This Row],[Obj]],13,10),"")</f>
        <v/>
      </c>
      <c r="J5018" s="150" t="b">
        <f>Proc[[#This Row],[Requested]]=Proc[[#This Row],[CurrentParent]]</f>
        <v>1</v>
      </c>
      <c r="K5018" s="150" t="str">
        <f>IF(Proc[[#This Row],[Author]]="Marcela Urrego",VLOOKUP(LEFT(Proc[[#This Row],[Requested]],1),Table3[#All],2,0),VLOOKUP(Proc[[#This Row],[Author]],Table4[],2,0))</f>
        <v>HC</v>
      </c>
      <c r="L5018" s="150" t="s">
        <v>6435</v>
      </c>
      <c r="M5018" s="174">
        <v>45994</v>
      </c>
      <c r="N5018" s="175"/>
      <c r="O5018" s="175"/>
      <c r="P5018" s="175" t="str">
        <f ca="1">IF(Proc[[#This Row],[DaysAgeing]]&gt;5,"yep","on track")</f>
        <v>yep</v>
      </c>
      <c r="Q5018" s="3">
        <f ca="1">IF(Proc[[#This Row],[DateClosed]]="",ABS(NETWORKDAYS(Proc[[#This Row],[DateOpened]],TODAY()))-1,ABS(NETWORKDAYS(Proc[[#This Row],[DateOpened]],Proc[[#This Row],[DateClosed]]))-1)</f>
        <v>7</v>
      </c>
      <c r="R5018" s="175" t="s">
        <v>415</v>
      </c>
      <c r="S5018" s="150"/>
    </row>
    <row r="5019" spans="1:19">
      <c r="A5019" s="149" t="s">
        <v>7252</v>
      </c>
      <c r="B5019" s="150" t="str">
        <f>IFERROR(VLOOKUP(Proc[[#This Row],[App]],Table2[],3,0),"open")</f>
        <v>ok</v>
      </c>
      <c r="C5019" s="149" t="s">
        <v>369</v>
      </c>
      <c r="D5019" t="s">
        <v>7254</v>
      </c>
      <c r="E5019" s="149" t="s">
        <v>4939</v>
      </c>
      <c r="F5019" s="150" t="str">
        <f>VLOOKUP(Proc[[#This Row],[Obj]],Sheet3!A:B,2,0)</f>
        <v>H000004401</v>
      </c>
      <c r="G5019" s="149" t="s">
        <v>400</v>
      </c>
      <c r="H5019" s="150" t="str">
        <f>IF(Proc[[#This Row],[type]]="LFF (MDG-F)",MID(Proc[[#This Row],[Obj]],13,10),"")</f>
        <v/>
      </c>
      <c r="J5019" s="150" t="b">
        <f>Proc[[#This Row],[Requested]]=Proc[[#This Row],[CurrentParent]]</f>
        <v>1</v>
      </c>
      <c r="K5019" s="150" t="str">
        <f>IF(Proc[[#This Row],[Author]]="Marcela Urrego",VLOOKUP(LEFT(Proc[[#This Row],[Requested]],1),Table3[#All],2,0),VLOOKUP(Proc[[#This Row],[Author]],Table4[],2,0))</f>
        <v>HC</v>
      </c>
      <c r="L5019" s="150" t="s">
        <v>6435</v>
      </c>
      <c r="M5019" s="174">
        <v>45994</v>
      </c>
      <c r="N5019" s="175"/>
      <c r="O5019" s="175"/>
      <c r="P5019" s="175" t="str">
        <f ca="1">IF(Proc[[#This Row],[DaysAgeing]]&gt;5,"yep","on track")</f>
        <v>yep</v>
      </c>
      <c r="Q5019" s="3">
        <f ca="1">IF(Proc[[#This Row],[DateClosed]]="",ABS(NETWORKDAYS(Proc[[#This Row],[DateOpened]],TODAY()))-1,ABS(NETWORKDAYS(Proc[[#This Row],[DateOpened]],Proc[[#This Row],[DateClosed]]))-1)</f>
        <v>7</v>
      </c>
      <c r="R5019" s="175" t="s">
        <v>415</v>
      </c>
      <c r="S5019" s="150"/>
    </row>
    <row r="5020" spans="1:19">
      <c r="A5020" s="149" t="s">
        <v>7252</v>
      </c>
      <c r="B5020" s="150" t="str">
        <f>IFERROR(VLOOKUP(Proc[[#This Row],[App]],Table2[],3,0),"open")</f>
        <v>ok</v>
      </c>
      <c r="C5020" s="149" t="s">
        <v>369</v>
      </c>
      <c r="D5020" t="s">
        <v>7255</v>
      </c>
      <c r="E5020" s="149" t="s">
        <v>4939</v>
      </c>
      <c r="F5020" s="150" t="str">
        <f>VLOOKUP(Proc[[#This Row],[Obj]],Sheet3!A:B,2,0)</f>
        <v>H000004401</v>
      </c>
      <c r="G5020" s="149" t="s">
        <v>400</v>
      </c>
      <c r="H5020" s="150" t="str">
        <f>IF(Proc[[#This Row],[type]]="LFF (MDG-F)",MID(Proc[[#This Row],[Obj]],13,10),"")</f>
        <v/>
      </c>
      <c r="J5020" s="150" t="b">
        <f>Proc[[#This Row],[Requested]]=Proc[[#This Row],[CurrentParent]]</f>
        <v>1</v>
      </c>
      <c r="K5020" s="150" t="str">
        <f>IF(Proc[[#This Row],[Author]]="Marcela Urrego",VLOOKUP(LEFT(Proc[[#This Row],[Requested]],1),Table3[#All],2,0),VLOOKUP(Proc[[#This Row],[Author]],Table4[],2,0))</f>
        <v>HC</v>
      </c>
      <c r="L5020" s="150" t="s">
        <v>6435</v>
      </c>
      <c r="M5020" s="174">
        <v>45994</v>
      </c>
      <c r="N5020" s="175"/>
      <c r="O5020" s="175"/>
      <c r="P5020" s="175" t="str">
        <f ca="1">IF(Proc[[#This Row],[DaysAgeing]]&gt;5,"yep","on track")</f>
        <v>yep</v>
      </c>
      <c r="Q5020" s="3">
        <f ca="1">IF(Proc[[#This Row],[DateClosed]]="",ABS(NETWORKDAYS(Proc[[#This Row],[DateOpened]],TODAY()))-1,ABS(NETWORKDAYS(Proc[[#This Row],[DateOpened]],Proc[[#This Row],[DateClosed]]))-1)</f>
        <v>7</v>
      </c>
      <c r="R5020" s="175" t="s">
        <v>415</v>
      </c>
      <c r="S5020" s="150"/>
    </row>
    <row r="5021" spans="1:19">
      <c r="A5021" s="149" t="s">
        <v>7252</v>
      </c>
      <c r="B5021" s="150" t="str">
        <f>IFERROR(VLOOKUP(Proc[[#This Row],[App]],Table2[],3,0),"open")</f>
        <v>ok</v>
      </c>
      <c r="C5021" s="149" t="s">
        <v>369</v>
      </c>
      <c r="D5021" t="s">
        <v>7256</v>
      </c>
      <c r="E5021" s="149" t="s">
        <v>4939</v>
      </c>
      <c r="F5021" s="150" t="str">
        <f>VLOOKUP(Proc[[#This Row],[Obj]],Sheet3!A:B,2,0)</f>
        <v>H000004401</v>
      </c>
      <c r="G5021" s="149" t="s">
        <v>400</v>
      </c>
      <c r="H5021" s="150" t="str">
        <f>IF(Proc[[#This Row],[type]]="LFF (MDG-F)",MID(Proc[[#This Row],[Obj]],13,10),"")</f>
        <v/>
      </c>
      <c r="J5021" s="150" t="b">
        <f>Proc[[#This Row],[Requested]]=Proc[[#This Row],[CurrentParent]]</f>
        <v>1</v>
      </c>
      <c r="K5021" s="150" t="str">
        <f>IF(Proc[[#This Row],[Author]]="Marcela Urrego",VLOOKUP(LEFT(Proc[[#This Row],[Requested]],1),Table3[#All],2,0),VLOOKUP(Proc[[#This Row],[Author]],Table4[],2,0))</f>
        <v>HC</v>
      </c>
      <c r="L5021" s="150" t="s">
        <v>6435</v>
      </c>
      <c r="M5021" s="174">
        <v>45994</v>
      </c>
      <c r="N5021" s="175"/>
      <c r="O5021" s="175"/>
      <c r="P5021" s="175" t="str">
        <f ca="1">IF(Proc[[#This Row],[DaysAgeing]]&gt;5,"yep","on track")</f>
        <v>yep</v>
      </c>
      <c r="Q5021" s="3">
        <f ca="1">IF(Proc[[#This Row],[DateClosed]]="",ABS(NETWORKDAYS(Proc[[#This Row],[DateOpened]],TODAY()))-1,ABS(NETWORKDAYS(Proc[[#This Row],[DateOpened]],Proc[[#This Row],[DateClosed]]))-1)</f>
        <v>7</v>
      </c>
      <c r="R5021" s="175" t="s">
        <v>415</v>
      </c>
      <c r="S5021" s="150"/>
    </row>
    <row r="5022" spans="1:19">
      <c r="A5022" s="149" t="s">
        <v>7252</v>
      </c>
      <c r="B5022" s="150" t="str">
        <f>IFERROR(VLOOKUP(Proc[[#This Row],[App]],Table2[],3,0),"open")</f>
        <v>ok</v>
      </c>
      <c r="C5022" s="149" t="s">
        <v>369</v>
      </c>
      <c r="D5022" t="s">
        <v>7257</v>
      </c>
      <c r="E5022" s="149" t="s">
        <v>4939</v>
      </c>
      <c r="F5022" s="150" t="str">
        <f>VLOOKUP(Proc[[#This Row],[Obj]],Sheet3!A:B,2,0)</f>
        <v>H000004401</v>
      </c>
      <c r="G5022" s="149" t="s">
        <v>400</v>
      </c>
      <c r="H5022" s="150" t="str">
        <f>IF(Proc[[#This Row],[type]]="LFF (MDG-F)",MID(Proc[[#This Row],[Obj]],13,10),"")</f>
        <v/>
      </c>
      <c r="J5022" s="150" t="b">
        <f>Proc[[#This Row],[Requested]]=Proc[[#This Row],[CurrentParent]]</f>
        <v>1</v>
      </c>
      <c r="K5022" s="150" t="str">
        <f>IF(Proc[[#This Row],[Author]]="Marcela Urrego",VLOOKUP(LEFT(Proc[[#This Row],[Requested]],1),Table3[#All],2,0),VLOOKUP(Proc[[#This Row],[Author]],Table4[],2,0))</f>
        <v>HC</v>
      </c>
      <c r="L5022" s="150" t="s">
        <v>6435</v>
      </c>
      <c r="M5022" s="174">
        <v>45994</v>
      </c>
      <c r="N5022" s="175"/>
      <c r="O5022" s="175"/>
      <c r="P5022" s="175" t="str">
        <f ca="1">IF(Proc[[#This Row],[DaysAgeing]]&gt;5,"yep","on track")</f>
        <v>yep</v>
      </c>
      <c r="Q5022" s="3">
        <f ca="1">IF(Proc[[#This Row],[DateClosed]]="",ABS(NETWORKDAYS(Proc[[#This Row],[DateOpened]],TODAY()))-1,ABS(NETWORKDAYS(Proc[[#This Row],[DateOpened]],Proc[[#This Row],[DateClosed]]))-1)</f>
        <v>7</v>
      </c>
      <c r="R5022" s="175" t="s">
        <v>415</v>
      </c>
      <c r="S5022" s="150"/>
    </row>
    <row r="5023" spans="1:19">
      <c r="A5023" t="s">
        <v>7258</v>
      </c>
      <c r="B5023" s="150" t="str">
        <f>IFERROR(VLOOKUP(Proc[[#This Row],[App]],Table2[],3,0),"open")</f>
        <v>ok</v>
      </c>
      <c r="C5023" s="8" t="s">
        <v>377</v>
      </c>
      <c r="D5023" t="s">
        <v>4295</v>
      </c>
      <c r="E5023" t="s">
        <v>7269</v>
      </c>
      <c r="F5023" s="150" t="s">
        <v>7302</v>
      </c>
      <c r="G5023" s="149" t="s">
        <v>400</v>
      </c>
      <c r="H5023" s="150" t="str">
        <f>IF(Proc[[#This Row],[type]]="LFF (MDG-F)",MID(Proc[[#This Row],[Obj]],13,10),"")</f>
        <v/>
      </c>
      <c r="J5023" s="150" t="b">
        <f>Proc[[#This Row],[Requested]]=Proc[[#This Row],[CurrentParent]]</f>
        <v>0</v>
      </c>
      <c r="K5023" s="150" t="str">
        <f>IF(Proc[[#This Row],[Author]]="Marcela Urrego",VLOOKUP(LEFT(Proc[[#This Row],[Requested]],1),Table3[#All],2,0),VLOOKUP(Proc[[#This Row],[Author]],Table4[],2,0))</f>
        <v>HC</v>
      </c>
      <c r="L5023" s="150" t="s">
        <v>6435</v>
      </c>
      <c r="M5023" s="174">
        <v>45994</v>
      </c>
      <c r="N5023" s="175"/>
      <c r="O5023" s="175"/>
      <c r="P5023" s="175" t="str">
        <f ca="1">IF(Proc[[#This Row],[DaysAgeing]]&gt;5,"yep","on track")</f>
        <v>yep</v>
      </c>
      <c r="Q5023" s="3">
        <f ca="1">IF(Proc[[#This Row],[DateClosed]]="",ABS(NETWORKDAYS(Proc[[#This Row],[DateOpened]],TODAY()))-1,ABS(NETWORKDAYS(Proc[[#This Row],[DateOpened]],Proc[[#This Row],[DateClosed]]))-1)</f>
        <v>7</v>
      </c>
      <c r="R5023" s="175" t="s">
        <v>415</v>
      </c>
      <c r="S5023" s="150"/>
    </row>
    <row r="5024" spans="1:19">
      <c r="A5024" t="s">
        <v>7258</v>
      </c>
      <c r="B5024" s="150" t="str">
        <f>IFERROR(VLOOKUP(Proc[[#This Row],[App]],Table2[],3,0),"open")</f>
        <v>ok</v>
      </c>
      <c r="C5024" s="149" t="s">
        <v>369</v>
      </c>
      <c r="D5024" t="s">
        <v>7259</v>
      </c>
      <c r="E5024" t="s">
        <v>7270</v>
      </c>
      <c r="F5024" s="150" t="s">
        <v>7270</v>
      </c>
      <c r="G5024" s="149" t="s">
        <v>400</v>
      </c>
      <c r="H5024" s="150" t="str">
        <f>IF(Proc[[#This Row],[type]]="LFF (MDG-F)",MID(Proc[[#This Row],[Obj]],13,10),"")</f>
        <v/>
      </c>
      <c r="J5024" s="150" t="b">
        <f>Proc[[#This Row],[Requested]]=Proc[[#This Row],[CurrentParent]]</f>
        <v>1</v>
      </c>
      <c r="K5024" s="150" t="str">
        <f>IF(Proc[[#This Row],[Author]]="Marcela Urrego",VLOOKUP(LEFT(Proc[[#This Row],[Requested]],1),Table3[#All],2,0),VLOOKUP(Proc[[#This Row],[Author]],Table4[],2,0))</f>
        <v>HC</v>
      </c>
      <c r="L5024" s="150" t="s">
        <v>6435</v>
      </c>
      <c r="M5024" s="174">
        <v>45994</v>
      </c>
      <c r="N5024" s="175"/>
      <c r="O5024" s="175"/>
      <c r="P5024" s="175" t="str">
        <f ca="1">IF(Proc[[#This Row],[DaysAgeing]]&gt;5,"yep","on track")</f>
        <v>yep</v>
      </c>
      <c r="Q5024" s="3">
        <f ca="1">IF(Proc[[#This Row],[DateClosed]]="",ABS(NETWORKDAYS(Proc[[#This Row],[DateOpened]],TODAY()))-1,ABS(NETWORKDAYS(Proc[[#This Row],[DateOpened]],Proc[[#This Row],[DateClosed]]))-1)</f>
        <v>7</v>
      </c>
      <c r="R5024" s="175" t="s">
        <v>415</v>
      </c>
      <c r="S5024" s="150"/>
    </row>
    <row r="5025" spans="1:19">
      <c r="A5025" s="149" t="s">
        <v>7258</v>
      </c>
      <c r="B5025" s="150" t="str">
        <f>IFERROR(VLOOKUP(Proc[[#This Row],[App]],Table2[],3,0),"open")</f>
        <v>ok</v>
      </c>
      <c r="C5025" s="149" t="s">
        <v>369</v>
      </c>
      <c r="D5025" t="s">
        <v>7260</v>
      </c>
      <c r="E5025" t="s">
        <v>7270</v>
      </c>
      <c r="F5025" s="150" t="s">
        <v>7270</v>
      </c>
      <c r="G5025" s="149" t="s">
        <v>400</v>
      </c>
      <c r="H5025" s="150" t="str">
        <f>IF(Proc[[#This Row],[type]]="LFF (MDG-F)",MID(Proc[[#This Row],[Obj]],13,10),"")</f>
        <v/>
      </c>
      <c r="J5025" s="150" t="b">
        <f>Proc[[#This Row],[Requested]]=Proc[[#This Row],[CurrentParent]]</f>
        <v>1</v>
      </c>
      <c r="K5025" s="150" t="str">
        <f>IF(Proc[[#This Row],[Author]]="Marcela Urrego",VLOOKUP(LEFT(Proc[[#This Row],[Requested]],1),Table3[#All],2,0),VLOOKUP(Proc[[#This Row],[Author]],Table4[],2,0))</f>
        <v>HC</v>
      </c>
      <c r="L5025" s="150" t="s">
        <v>6435</v>
      </c>
      <c r="M5025" s="174">
        <v>45994</v>
      </c>
      <c r="N5025" s="175"/>
      <c r="O5025" s="175"/>
      <c r="P5025" s="175" t="str">
        <f ca="1">IF(Proc[[#This Row],[DaysAgeing]]&gt;5,"yep","on track")</f>
        <v>yep</v>
      </c>
      <c r="Q5025" s="3">
        <f ca="1">IF(Proc[[#This Row],[DateClosed]]="",ABS(NETWORKDAYS(Proc[[#This Row],[DateOpened]],TODAY()))-1,ABS(NETWORKDAYS(Proc[[#This Row],[DateOpened]],Proc[[#This Row],[DateClosed]]))-1)</f>
        <v>7</v>
      </c>
      <c r="R5025" s="175" t="s">
        <v>415</v>
      </c>
      <c r="S5025" s="150"/>
    </row>
    <row r="5026" spans="1:19">
      <c r="A5026" s="149" t="s">
        <v>7258</v>
      </c>
      <c r="B5026" s="150" t="str">
        <f>IFERROR(VLOOKUP(Proc[[#This Row],[App]],Table2[],3,0),"open")</f>
        <v>ok</v>
      </c>
      <c r="C5026" s="149" t="s">
        <v>369</v>
      </c>
      <c r="D5026" t="s">
        <v>7261</v>
      </c>
      <c r="E5026" t="s">
        <v>7270</v>
      </c>
      <c r="F5026" s="150" t="s">
        <v>7270</v>
      </c>
      <c r="G5026" s="149" t="s">
        <v>400</v>
      </c>
      <c r="H5026" s="150" t="str">
        <f>IF(Proc[[#This Row],[type]]="LFF (MDG-F)",MID(Proc[[#This Row],[Obj]],13,10),"")</f>
        <v/>
      </c>
      <c r="J5026" s="150" t="b">
        <f>Proc[[#This Row],[Requested]]=Proc[[#This Row],[CurrentParent]]</f>
        <v>1</v>
      </c>
      <c r="K5026" s="150" t="str">
        <f>IF(Proc[[#This Row],[Author]]="Marcela Urrego",VLOOKUP(LEFT(Proc[[#This Row],[Requested]],1),Table3[#All],2,0),VLOOKUP(Proc[[#This Row],[Author]],Table4[],2,0))</f>
        <v>HC</v>
      </c>
      <c r="L5026" s="150" t="s">
        <v>6435</v>
      </c>
      <c r="M5026" s="174">
        <v>45994</v>
      </c>
      <c r="N5026" s="175"/>
      <c r="O5026" s="175"/>
      <c r="P5026" s="175" t="str">
        <f ca="1">IF(Proc[[#This Row],[DaysAgeing]]&gt;5,"yep","on track")</f>
        <v>yep</v>
      </c>
      <c r="Q5026" s="3">
        <f ca="1">IF(Proc[[#This Row],[DateClosed]]="",ABS(NETWORKDAYS(Proc[[#This Row],[DateOpened]],TODAY()))-1,ABS(NETWORKDAYS(Proc[[#This Row],[DateOpened]],Proc[[#This Row],[DateClosed]]))-1)</f>
        <v>7</v>
      </c>
      <c r="R5026" s="175" t="s">
        <v>415</v>
      </c>
      <c r="S5026" s="150"/>
    </row>
    <row r="5027" spans="1:19">
      <c r="A5027" s="149" t="s">
        <v>7258</v>
      </c>
      <c r="B5027" s="150" t="str">
        <f>IFERROR(VLOOKUP(Proc[[#This Row],[App]],Table2[],3,0),"open")</f>
        <v>ok</v>
      </c>
      <c r="C5027" s="149" t="s">
        <v>369</v>
      </c>
      <c r="D5027" t="s">
        <v>7262</v>
      </c>
      <c r="E5027" t="s">
        <v>7270</v>
      </c>
      <c r="F5027" s="150" t="s">
        <v>7270</v>
      </c>
      <c r="G5027" s="149" t="s">
        <v>400</v>
      </c>
      <c r="H5027" s="150" t="str">
        <f>IF(Proc[[#This Row],[type]]="LFF (MDG-F)",MID(Proc[[#This Row],[Obj]],13,10),"")</f>
        <v/>
      </c>
      <c r="J5027" s="150" t="b">
        <f>Proc[[#This Row],[Requested]]=Proc[[#This Row],[CurrentParent]]</f>
        <v>1</v>
      </c>
      <c r="K5027" s="150" t="str">
        <f>IF(Proc[[#This Row],[Author]]="Marcela Urrego",VLOOKUP(LEFT(Proc[[#This Row],[Requested]],1),Table3[#All],2,0),VLOOKUP(Proc[[#This Row],[Author]],Table4[],2,0))</f>
        <v>HC</v>
      </c>
      <c r="L5027" s="150" t="s">
        <v>6435</v>
      </c>
      <c r="M5027" s="174">
        <v>45994</v>
      </c>
      <c r="N5027" s="175"/>
      <c r="O5027" s="175"/>
      <c r="P5027" s="175" t="str">
        <f ca="1">IF(Proc[[#This Row],[DaysAgeing]]&gt;5,"yep","on track")</f>
        <v>yep</v>
      </c>
      <c r="Q5027" s="3">
        <f ca="1">IF(Proc[[#This Row],[DateClosed]]="",ABS(NETWORKDAYS(Proc[[#This Row],[DateOpened]],TODAY()))-1,ABS(NETWORKDAYS(Proc[[#This Row],[DateOpened]],Proc[[#This Row],[DateClosed]]))-1)</f>
        <v>7</v>
      </c>
      <c r="R5027" s="175" t="s">
        <v>415</v>
      </c>
      <c r="S5027" s="150"/>
    </row>
    <row r="5028" spans="1:19">
      <c r="A5028" s="149" t="s">
        <v>7258</v>
      </c>
      <c r="B5028" s="150" t="str">
        <f>IFERROR(VLOOKUP(Proc[[#This Row],[App]],Table2[],3,0),"open")</f>
        <v>ok</v>
      </c>
      <c r="C5028" s="149" t="s">
        <v>369</v>
      </c>
      <c r="D5028" t="s">
        <v>7263</v>
      </c>
      <c r="E5028" t="s">
        <v>7270</v>
      </c>
      <c r="F5028" s="150" t="s">
        <v>7270</v>
      </c>
      <c r="G5028" s="149" t="s">
        <v>400</v>
      </c>
      <c r="H5028" s="150" t="str">
        <f>IF(Proc[[#This Row],[type]]="LFF (MDG-F)",MID(Proc[[#This Row],[Obj]],13,10),"")</f>
        <v/>
      </c>
      <c r="J5028" s="150" t="b">
        <f>Proc[[#This Row],[Requested]]=Proc[[#This Row],[CurrentParent]]</f>
        <v>1</v>
      </c>
      <c r="K5028" s="150" t="str">
        <f>IF(Proc[[#This Row],[Author]]="Marcela Urrego",VLOOKUP(LEFT(Proc[[#This Row],[Requested]],1),Table3[#All],2,0),VLOOKUP(Proc[[#This Row],[Author]],Table4[],2,0))</f>
        <v>HC</v>
      </c>
      <c r="L5028" s="150" t="s">
        <v>6435</v>
      </c>
      <c r="M5028" s="174">
        <v>45994</v>
      </c>
      <c r="N5028" s="175"/>
      <c r="O5028" s="175"/>
      <c r="P5028" s="175" t="str">
        <f ca="1">IF(Proc[[#This Row],[DaysAgeing]]&gt;5,"yep","on track")</f>
        <v>yep</v>
      </c>
      <c r="Q5028" s="3">
        <f ca="1">IF(Proc[[#This Row],[DateClosed]]="",ABS(NETWORKDAYS(Proc[[#This Row],[DateOpened]],TODAY()))-1,ABS(NETWORKDAYS(Proc[[#This Row],[DateOpened]],Proc[[#This Row],[DateClosed]]))-1)</f>
        <v>7</v>
      </c>
      <c r="R5028" s="175" t="s">
        <v>415</v>
      </c>
      <c r="S5028" s="150"/>
    </row>
    <row r="5029" spans="1:19">
      <c r="A5029" s="149" t="s">
        <v>7258</v>
      </c>
      <c r="B5029" s="150" t="str">
        <f>IFERROR(VLOOKUP(Proc[[#This Row],[App]],Table2[],3,0),"open")</f>
        <v>ok</v>
      </c>
      <c r="C5029" s="149" t="s">
        <v>369</v>
      </c>
      <c r="D5029" t="s">
        <v>7264</v>
      </c>
      <c r="E5029" t="s">
        <v>7271</v>
      </c>
      <c r="F5029" s="150" t="s">
        <v>7271</v>
      </c>
      <c r="G5029" s="149" t="s">
        <v>400</v>
      </c>
      <c r="H5029" s="150" t="str">
        <f>IF(Proc[[#This Row],[type]]="LFF (MDG-F)",MID(Proc[[#This Row],[Obj]],13,10),"")</f>
        <v/>
      </c>
      <c r="J5029" s="150" t="b">
        <f>Proc[[#This Row],[Requested]]=Proc[[#This Row],[CurrentParent]]</f>
        <v>1</v>
      </c>
      <c r="K5029" s="150" t="str">
        <f>IF(Proc[[#This Row],[Author]]="Marcela Urrego",VLOOKUP(LEFT(Proc[[#This Row],[Requested]],1),Table3[#All],2,0),VLOOKUP(Proc[[#This Row],[Author]],Table4[],2,0))</f>
        <v>HC</v>
      </c>
      <c r="L5029" s="150" t="s">
        <v>6435</v>
      </c>
      <c r="M5029" s="174">
        <v>45994</v>
      </c>
      <c r="N5029" s="175"/>
      <c r="O5029" s="175"/>
      <c r="P5029" s="175" t="str">
        <f ca="1">IF(Proc[[#This Row],[DaysAgeing]]&gt;5,"yep","on track")</f>
        <v>yep</v>
      </c>
      <c r="Q5029" s="3">
        <f ca="1">IF(Proc[[#This Row],[DateClosed]]="",ABS(NETWORKDAYS(Proc[[#This Row],[DateOpened]],TODAY()))-1,ABS(NETWORKDAYS(Proc[[#This Row],[DateOpened]],Proc[[#This Row],[DateClosed]]))-1)</f>
        <v>7</v>
      </c>
      <c r="R5029" s="175" t="s">
        <v>415</v>
      </c>
      <c r="S5029" s="150"/>
    </row>
    <row r="5030" spans="1:19">
      <c r="A5030" s="149" t="s">
        <v>7258</v>
      </c>
      <c r="B5030" s="150" t="str">
        <f>IFERROR(VLOOKUP(Proc[[#This Row],[App]],Table2[],3,0),"open")</f>
        <v>ok</v>
      </c>
      <c r="C5030" s="149" t="s">
        <v>369</v>
      </c>
      <c r="D5030" t="s">
        <v>7265</v>
      </c>
      <c r="E5030" t="s">
        <v>7272</v>
      </c>
      <c r="F5030" s="150" t="s">
        <v>7272</v>
      </c>
      <c r="G5030" s="149" t="s">
        <v>400</v>
      </c>
      <c r="H5030" s="150" t="str">
        <f>IF(Proc[[#This Row],[type]]="LFF (MDG-F)",MID(Proc[[#This Row],[Obj]],13,10),"")</f>
        <v/>
      </c>
      <c r="J5030" s="150" t="b">
        <f>Proc[[#This Row],[Requested]]=Proc[[#This Row],[CurrentParent]]</f>
        <v>1</v>
      </c>
      <c r="K5030" s="150" t="str">
        <f>IF(Proc[[#This Row],[Author]]="Marcela Urrego",VLOOKUP(LEFT(Proc[[#This Row],[Requested]],1),Table3[#All],2,0),VLOOKUP(Proc[[#This Row],[Author]],Table4[],2,0))</f>
        <v>HC</v>
      </c>
      <c r="L5030" s="150" t="s">
        <v>6435</v>
      </c>
      <c r="M5030" s="174">
        <v>45994</v>
      </c>
      <c r="N5030" s="175"/>
      <c r="O5030" s="175"/>
      <c r="P5030" s="175" t="str">
        <f ca="1">IF(Proc[[#This Row],[DaysAgeing]]&gt;5,"yep","on track")</f>
        <v>yep</v>
      </c>
      <c r="Q5030" s="3">
        <f ca="1">IF(Proc[[#This Row],[DateClosed]]="",ABS(NETWORKDAYS(Proc[[#This Row],[DateOpened]],TODAY()))-1,ABS(NETWORKDAYS(Proc[[#This Row],[DateOpened]],Proc[[#This Row],[DateClosed]]))-1)</f>
        <v>7</v>
      </c>
      <c r="R5030" s="175" t="s">
        <v>415</v>
      </c>
      <c r="S5030" s="150"/>
    </row>
    <row r="5031" spans="1:19">
      <c r="A5031" s="149" t="s">
        <v>7258</v>
      </c>
      <c r="B5031" s="150" t="str">
        <f>IFERROR(VLOOKUP(Proc[[#This Row],[App]],Table2[],3,0),"open")</f>
        <v>ok</v>
      </c>
      <c r="C5031" s="149" t="s">
        <v>369</v>
      </c>
      <c r="D5031" t="s">
        <v>7266</v>
      </c>
      <c r="E5031" t="s">
        <v>7272</v>
      </c>
      <c r="F5031" s="150" t="s">
        <v>7272</v>
      </c>
      <c r="G5031" s="149" t="s">
        <v>400</v>
      </c>
      <c r="H5031" s="150" t="str">
        <f>IF(Proc[[#This Row],[type]]="LFF (MDG-F)",MID(Proc[[#This Row],[Obj]],13,10),"")</f>
        <v/>
      </c>
      <c r="J5031" s="150" t="b">
        <f>Proc[[#This Row],[Requested]]=Proc[[#This Row],[CurrentParent]]</f>
        <v>1</v>
      </c>
      <c r="K5031" s="150" t="str">
        <f>IF(Proc[[#This Row],[Author]]="Marcela Urrego",VLOOKUP(LEFT(Proc[[#This Row],[Requested]],1),Table3[#All],2,0),VLOOKUP(Proc[[#This Row],[Author]],Table4[],2,0))</f>
        <v>HC</v>
      </c>
      <c r="L5031" s="150" t="s">
        <v>6435</v>
      </c>
      <c r="M5031" s="174">
        <v>45994</v>
      </c>
      <c r="N5031" s="175"/>
      <c r="O5031" s="175"/>
      <c r="P5031" s="175" t="str">
        <f ca="1">IF(Proc[[#This Row],[DaysAgeing]]&gt;5,"yep","on track")</f>
        <v>yep</v>
      </c>
      <c r="Q5031" s="3">
        <f ca="1">IF(Proc[[#This Row],[DateClosed]]="",ABS(NETWORKDAYS(Proc[[#This Row],[DateOpened]],TODAY()))-1,ABS(NETWORKDAYS(Proc[[#This Row],[DateOpened]],Proc[[#This Row],[DateClosed]]))-1)</f>
        <v>7</v>
      </c>
      <c r="R5031" s="175" t="s">
        <v>415</v>
      </c>
      <c r="S5031" s="150"/>
    </row>
    <row r="5032" spans="1:19">
      <c r="A5032" s="149" t="s">
        <v>7258</v>
      </c>
      <c r="B5032" s="150" t="str">
        <f>IFERROR(VLOOKUP(Proc[[#This Row],[App]],Table2[],3,0),"open")</f>
        <v>ok</v>
      </c>
      <c r="C5032" s="149" t="s">
        <v>369</v>
      </c>
      <c r="D5032" t="s">
        <v>7267</v>
      </c>
      <c r="E5032" t="s">
        <v>4939</v>
      </c>
      <c r="F5032" s="150" t="s">
        <v>4939</v>
      </c>
      <c r="G5032" s="149" t="s">
        <v>400</v>
      </c>
      <c r="H5032" s="150" t="str">
        <f>IF(Proc[[#This Row],[type]]="LFF (MDG-F)",MID(Proc[[#This Row],[Obj]],13,10),"")</f>
        <v/>
      </c>
      <c r="J5032" s="150" t="b">
        <f>Proc[[#This Row],[Requested]]=Proc[[#This Row],[CurrentParent]]</f>
        <v>1</v>
      </c>
      <c r="K5032" s="150" t="str">
        <f>IF(Proc[[#This Row],[Author]]="Marcela Urrego",VLOOKUP(LEFT(Proc[[#This Row],[Requested]],1),Table3[#All],2,0),VLOOKUP(Proc[[#This Row],[Author]],Table4[],2,0))</f>
        <v>HC</v>
      </c>
      <c r="L5032" s="150" t="s">
        <v>6435</v>
      </c>
      <c r="M5032" s="174">
        <v>45994</v>
      </c>
      <c r="N5032" s="175"/>
      <c r="O5032" s="175"/>
      <c r="P5032" s="175" t="str">
        <f ca="1">IF(Proc[[#This Row],[DaysAgeing]]&gt;5,"yep","on track")</f>
        <v>yep</v>
      </c>
      <c r="Q5032" s="3">
        <f ca="1">IF(Proc[[#This Row],[DateClosed]]="",ABS(NETWORKDAYS(Proc[[#This Row],[DateOpened]],TODAY()))-1,ABS(NETWORKDAYS(Proc[[#This Row],[DateOpened]],Proc[[#This Row],[DateClosed]]))-1)</f>
        <v>7</v>
      </c>
      <c r="R5032" s="175" t="s">
        <v>415</v>
      </c>
      <c r="S5032" s="150"/>
    </row>
    <row r="5033" spans="1:19">
      <c r="A5033" s="149" t="s">
        <v>7258</v>
      </c>
      <c r="B5033" s="150" t="str">
        <f>IFERROR(VLOOKUP(Proc[[#This Row],[App]],Table2[],3,0),"open")</f>
        <v>ok</v>
      </c>
      <c r="C5033" s="149" t="s">
        <v>369</v>
      </c>
      <c r="D5033" t="s">
        <v>7251</v>
      </c>
      <c r="E5033" t="s">
        <v>4914</v>
      </c>
      <c r="F5033" s="150" t="s">
        <v>4914</v>
      </c>
      <c r="G5033" s="149" t="s">
        <v>400</v>
      </c>
      <c r="H5033" s="150" t="str">
        <f>IF(Proc[[#This Row],[type]]="LFF (MDG-F)",MID(Proc[[#This Row],[Obj]],13,10),"")</f>
        <v/>
      </c>
      <c r="J5033" s="150" t="b">
        <f>Proc[[#This Row],[Requested]]=Proc[[#This Row],[CurrentParent]]</f>
        <v>1</v>
      </c>
      <c r="K5033" s="150" t="str">
        <f>IF(Proc[[#This Row],[Author]]="Marcela Urrego",VLOOKUP(LEFT(Proc[[#This Row],[Requested]],1),Table3[#All],2,0),VLOOKUP(Proc[[#This Row],[Author]],Table4[],2,0))</f>
        <v>HC</v>
      </c>
      <c r="L5033" s="150" t="s">
        <v>6435</v>
      </c>
      <c r="M5033" s="174">
        <v>45994</v>
      </c>
      <c r="N5033" s="175"/>
      <c r="O5033" s="175"/>
      <c r="P5033" s="175" t="str">
        <f ca="1">IF(Proc[[#This Row],[DaysAgeing]]&gt;5,"yep","on track")</f>
        <v>yep</v>
      </c>
      <c r="Q5033" s="3">
        <f ca="1">IF(Proc[[#This Row],[DateClosed]]="",ABS(NETWORKDAYS(Proc[[#This Row],[DateOpened]],TODAY()))-1,ABS(NETWORKDAYS(Proc[[#This Row],[DateOpened]],Proc[[#This Row],[DateClosed]]))-1)</f>
        <v>7</v>
      </c>
      <c r="R5033" s="175" t="s">
        <v>415</v>
      </c>
      <c r="S5033" s="150"/>
    </row>
    <row r="5034" spans="1:19">
      <c r="A5034" s="149" t="s">
        <v>7258</v>
      </c>
      <c r="B5034" s="150" t="str">
        <f>IFERROR(VLOOKUP(Proc[[#This Row],[App]],Table2[],3,0),"open")</f>
        <v>ok</v>
      </c>
      <c r="C5034" s="149" t="s">
        <v>369</v>
      </c>
      <c r="D5034" t="s">
        <v>7268</v>
      </c>
      <c r="E5034" t="s">
        <v>2419</v>
      </c>
      <c r="F5034" s="150" t="s">
        <v>2419</v>
      </c>
      <c r="G5034" s="149" t="s">
        <v>400</v>
      </c>
      <c r="H5034" s="150" t="str">
        <f>IF(Proc[[#This Row],[type]]="LFF (MDG-F)",MID(Proc[[#This Row],[Obj]],13,10),"")</f>
        <v/>
      </c>
      <c r="J5034" s="150" t="b">
        <f>Proc[[#This Row],[Requested]]=Proc[[#This Row],[CurrentParent]]</f>
        <v>1</v>
      </c>
      <c r="K5034" s="150" t="str">
        <f>IF(Proc[[#This Row],[Author]]="Marcela Urrego",VLOOKUP(LEFT(Proc[[#This Row],[Requested]],1),Table3[#All],2,0),VLOOKUP(Proc[[#This Row],[Author]],Table4[],2,0))</f>
        <v>HC</v>
      </c>
      <c r="L5034" s="150" t="s">
        <v>6435</v>
      </c>
      <c r="M5034" s="174">
        <v>45994</v>
      </c>
      <c r="N5034" s="175"/>
      <c r="O5034" s="175"/>
      <c r="P5034" s="175" t="str">
        <f ca="1">IF(Proc[[#This Row],[DaysAgeing]]&gt;5,"yep","on track")</f>
        <v>yep</v>
      </c>
      <c r="Q5034" s="3">
        <f ca="1">IF(Proc[[#This Row],[DateClosed]]="",ABS(NETWORKDAYS(Proc[[#This Row],[DateOpened]],TODAY()))-1,ABS(NETWORKDAYS(Proc[[#This Row],[DateOpened]],Proc[[#This Row],[DateClosed]]))-1)</f>
        <v>7</v>
      </c>
      <c r="R5034" s="175" t="s">
        <v>415</v>
      </c>
      <c r="S5034" s="150"/>
    </row>
    <row r="5035" spans="1:19">
      <c r="A5035" t="s">
        <v>7273</v>
      </c>
      <c r="B5035" s="150" t="str">
        <f>IFERROR(VLOOKUP(Proc[[#This Row],[App]],Table2[],3,0),"open")</f>
        <v>ok</v>
      </c>
      <c r="C5035" s="149" t="s">
        <v>369</v>
      </c>
      <c r="D5035" t="s">
        <v>7274</v>
      </c>
      <c r="E5035" t="s">
        <v>4939</v>
      </c>
      <c r="F5035" s="150" t="str">
        <f>VLOOKUP(Proc[[#This Row],[Obj]],Sheet3!A:B,2,0)</f>
        <v>H000004401</v>
      </c>
      <c r="G5035" s="149" t="s">
        <v>400</v>
      </c>
      <c r="H5035" s="150" t="str">
        <f>IF(Proc[[#This Row],[type]]="LFF (MDG-F)",MID(Proc[[#This Row],[Obj]],13,10),"")</f>
        <v/>
      </c>
      <c r="J5035" s="150" t="b">
        <f>Proc[[#This Row],[Requested]]=Proc[[#This Row],[CurrentParent]]</f>
        <v>1</v>
      </c>
      <c r="K5035" s="150" t="str">
        <f>IF(Proc[[#This Row],[Author]]="Marcela Urrego",VLOOKUP(LEFT(Proc[[#This Row],[Requested]],1),Table3[#All],2,0),VLOOKUP(Proc[[#This Row],[Author]],Table4[],2,0))</f>
        <v>HC</v>
      </c>
      <c r="L5035" s="150" t="s">
        <v>6435</v>
      </c>
      <c r="M5035" s="174">
        <v>45994</v>
      </c>
      <c r="N5035" s="175"/>
      <c r="O5035" s="175"/>
      <c r="P5035" s="175" t="str">
        <f ca="1">IF(Proc[[#This Row],[DaysAgeing]]&gt;5,"yep","on track")</f>
        <v>yep</v>
      </c>
      <c r="Q5035" s="3">
        <f ca="1">IF(Proc[[#This Row],[DateClosed]]="",ABS(NETWORKDAYS(Proc[[#This Row],[DateOpened]],TODAY()))-1,ABS(NETWORKDAYS(Proc[[#This Row],[DateOpened]],Proc[[#This Row],[DateClosed]]))-1)</f>
        <v>7</v>
      </c>
      <c r="R5035" s="175" t="s">
        <v>415</v>
      </c>
      <c r="S5035" s="150"/>
    </row>
    <row r="5036" spans="1:19">
      <c r="A5036" t="s">
        <v>7273</v>
      </c>
      <c r="B5036" s="150" t="str">
        <f>IFERROR(VLOOKUP(Proc[[#This Row],[App]],Table2[],3,0),"open")</f>
        <v>ok</v>
      </c>
      <c r="C5036" s="149" t="s">
        <v>369</v>
      </c>
      <c r="D5036" t="s">
        <v>7275</v>
      </c>
      <c r="E5036" t="s">
        <v>4939</v>
      </c>
      <c r="F5036" s="150" t="str">
        <f>VLOOKUP(Proc[[#This Row],[Obj]],Sheet3!A:B,2,0)</f>
        <v>H000004401</v>
      </c>
      <c r="G5036" s="149" t="s">
        <v>400</v>
      </c>
      <c r="H5036" s="150" t="str">
        <f>IF(Proc[[#This Row],[type]]="LFF (MDG-F)",MID(Proc[[#This Row],[Obj]],13,10),"")</f>
        <v/>
      </c>
      <c r="J5036" s="150" t="b">
        <f>Proc[[#This Row],[Requested]]=Proc[[#This Row],[CurrentParent]]</f>
        <v>1</v>
      </c>
      <c r="K5036" s="150" t="str">
        <f>IF(Proc[[#This Row],[Author]]="Marcela Urrego",VLOOKUP(LEFT(Proc[[#This Row],[Requested]],1),Table3[#All],2,0),VLOOKUP(Proc[[#This Row],[Author]],Table4[],2,0))</f>
        <v>HC</v>
      </c>
      <c r="L5036" s="150" t="s">
        <v>6435</v>
      </c>
      <c r="M5036" s="174">
        <v>45994</v>
      </c>
      <c r="N5036" s="175"/>
      <c r="O5036" s="175"/>
      <c r="P5036" s="175" t="str">
        <f ca="1">IF(Proc[[#This Row],[DaysAgeing]]&gt;5,"yep","on track")</f>
        <v>yep</v>
      </c>
      <c r="Q5036" s="3">
        <f ca="1">IF(Proc[[#This Row],[DateClosed]]="",ABS(NETWORKDAYS(Proc[[#This Row],[DateOpened]],TODAY()))-1,ABS(NETWORKDAYS(Proc[[#This Row],[DateOpened]],Proc[[#This Row],[DateClosed]]))-1)</f>
        <v>7</v>
      </c>
      <c r="R5036" s="175" t="s">
        <v>415</v>
      </c>
      <c r="S5036" s="150"/>
    </row>
    <row r="5037" spans="1:19">
      <c r="A5037" s="149" t="s">
        <v>7273</v>
      </c>
      <c r="B5037" s="150" t="str">
        <f>IFERROR(VLOOKUP(Proc[[#This Row],[App]],Table2[],3,0),"open")</f>
        <v>ok</v>
      </c>
      <c r="C5037" s="149" t="s">
        <v>369</v>
      </c>
      <c r="D5037" t="s">
        <v>7276</v>
      </c>
      <c r="E5037" t="s">
        <v>4939</v>
      </c>
      <c r="F5037" s="150" t="str">
        <f>VLOOKUP(Proc[[#This Row],[Obj]],Sheet3!A:B,2,0)</f>
        <v>H000004401</v>
      </c>
      <c r="G5037" s="149" t="s">
        <v>400</v>
      </c>
      <c r="H5037" s="150" t="str">
        <f>IF(Proc[[#This Row],[type]]="LFF (MDG-F)",MID(Proc[[#This Row],[Obj]],13,10),"")</f>
        <v/>
      </c>
      <c r="J5037" s="150" t="b">
        <f>Proc[[#This Row],[Requested]]=Proc[[#This Row],[CurrentParent]]</f>
        <v>1</v>
      </c>
      <c r="K5037" s="150" t="str">
        <f>IF(Proc[[#This Row],[Author]]="Marcela Urrego",VLOOKUP(LEFT(Proc[[#This Row],[Requested]],1),Table3[#All],2,0),VLOOKUP(Proc[[#This Row],[Author]],Table4[],2,0))</f>
        <v>HC</v>
      </c>
      <c r="L5037" s="150" t="s">
        <v>6435</v>
      </c>
      <c r="M5037" s="174">
        <v>45994</v>
      </c>
      <c r="N5037" s="175"/>
      <c r="O5037" s="175"/>
      <c r="P5037" s="175" t="str">
        <f ca="1">IF(Proc[[#This Row],[DaysAgeing]]&gt;5,"yep","on track")</f>
        <v>yep</v>
      </c>
      <c r="Q5037" s="3">
        <f ca="1">IF(Proc[[#This Row],[DateClosed]]="",ABS(NETWORKDAYS(Proc[[#This Row],[DateOpened]],TODAY()))-1,ABS(NETWORKDAYS(Proc[[#This Row],[DateOpened]],Proc[[#This Row],[DateClosed]]))-1)</f>
        <v>7</v>
      </c>
      <c r="R5037" s="175" t="s">
        <v>415</v>
      </c>
      <c r="S5037" s="150"/>
    </row>
    <row r="5038" spans="1:19">
      <c r="A5038" s="149" t="s">
        <v>7273</v>
      </c>
      <c r="B5038" s="150" t="str">
        <f>IFERROR(VLOOKUP(Proc[[#This Row],[App]],Table2[],3,0),"open")</f>
        <v>ok</v>
      </c>
      <c r="C5038" s="149" t="s">
        <v>369</v>
      </c>
      <c r="D5038" t="s">
        <v>7277</v>
      </c>
      <c r="E5038" t="s">
        <v>4939</v>
      </c>
      <c r="F5038" s="150" t="str">
        <f>VLOOKUP(Proc[[#This Row],[Obj]],Sheet3!A:B,2,0)</f>
        <v>H000004401</v>
      </c>
      <c r="G5038" s="149" t="s">
        <v>400</v>
      </c>
      <c r="H5038" s="150" t="str">
        <f>IF(Proc[[#This Row],[type]]="LFF (MDG-F)",MID(Proc[[#This Row],[Obj]],13,10),"")</f>
        <v/>
      </c>
      <c r="J5038" s="150" t="b">
        <f>Proc[[#This Row],[Requested]]=Proc[[#This Row],[CurrentParent]]</f>
        <v>1</v>
      </c>
      <c r="K5038" s="150" t="str">
        <f>IF(Proc[[#This Row],[Author]]="Marcela Urrego",VLOOKUP(LEFT(Proc[[#This Row],[Requested]],1),Table3[#All],2,0),VLOOKUP(Proc[[#This Row],[Author]],Table4[],2,0))</f>
        <v>HC</v>
      </c>
      <c r="L5038" s="150" t="s">
        <v>6435</v>
      </c>
      <c r="M5038" s="174">
        <v>45994</v>
      </c>
      <c r="N5038" s="175"/>
      <c r="O5038" s="175"/>
      <c r="P5038" s="175" t="str">
        <f ca="1">IF(Proc[[#This Row],[DaysAgeing]]&gt;5,"yep","on track")</f>
        <v>yep</v>
      </c>
      <c r="Q5038" s="3">
        <f ca="1">IF(Proc[[#This Row],[DateClosed]]="",ABS(NETWORKDAYS(Proc[[#This Row],[DateOpened]],TODAY()))-1,ABS(NETWORKDAYS(Proc[[#This Row],[DateOpened]],Proc[[#This Row],[DateClosed]]))-1)</f>
        <v>7</v>
      </c>
      <c r="R5038" s="175" t="s">
        <v>415</v>
      </c>
      <c r="S5038" s="150"/>
    </row>
    <row r="5039" spans="1:19">
      <c r="A5039" s="149" t="s">
        <v>7273</v>
      </c>
      <c r="B5039" s="150" t="str">
        <f>IFERROR(VLOOKUP(Proc[[#This Row],[App]],Table2[],3,0),"open")</f>
        <v>ok</v>
      </c>
      <c r="C5039" s="149" t="s">
        <v>369</v>
      </c>
      <c r="D5039" t="s">
        <v>7278</v>
      </c>
      <c r="E5039" s="149" t="s">
        <v>4939</v>
      </c>
      <c r="F5039" s="150" t="str">
        <f>VLOOKUP(Proc[[#This Row],[Obj]],Sheet3!A:B,2,0)</f>
        <v>H000004401</v>
      </c>
      <c r="G5039" s="149" t="s">
        <v>400</v>
      </c>
      <c r="H5039" s="150" t="str">
        <f>IF(Proc[[#This Row],[type]]="LFF (MDG-F)",MID(Proc[[#This Row],[Obj]],13,10),"")</f>
        <v/>
      </c>
      <c r="J5039" s="150" t="b">
        <f>Proc[[#This Row],[Requested]]=Proc[[#This Row],[CurrentParent]]</f>
        <v>1</v>
      </c>
      <c r="K5039" s="150" t="str">
        <f>IF(Proc[[#This Row],[Author]]="Marcela Urrego",VLOOKUP(LEFT(Proc[[#This Row],[Requested]],1),Table3[#All],2,0),VLOOKUP(Proc[[#This Row],[Author]],Table4[],2,0))</f>
        <v>HC</v>
      </c>
      <c r="L5039" s="150" t="s">
        <v>6435</v>
      </c>
      <c r="M5039" s="174">
        <v>45994</v>
      </c>
      <c r="N5039" s="175"/>
      <c r="O5039" s="175"/>
      <c r="P5039" s="175" t="str">
        <f ca="1">IF(Proc[[#This Row],[DaysAgeing]]&gt;5,"yep","on track")</f>
        <v>yep</v>
      </c>
      <c r="Q5039" s="3">
        <f ca="1">IF(Proc[[#This Row],[DateClosed]]="",ABS(NETWORKDAYS(Proc[[#This Row],[DateOpened]],TODAY()))-1,ABS(NETWORKDAYS(Proc[[#This Row],[DateOpened]],Proc[[#This Row],[DateClosed]]))-1)</f>
        <v>7</v>
      </c>
      <c r="R5039" s="175" t="s">
        <v>415</v>
      </c>
      <c r="S5039" s="150"/>
    </row>
    <row r="5040" spans="1:19">
      <c r="A5040" t="s">
        <v>7279</v>
      </c>
      <c r="B5040" s="150" t="str">
        <f>IFERROR(VLOOKUP(Proc[[#This Row],[App]],Table2[],3,0),"open")</f>
        <v>ok</v>
      </c>
      <c r="C5040" s="149" t="s">
        <v>369</v>
      </c>
      <c r="D5040" t="s">
        <v>7280</v>
      </c>
      <c r="E5040" t="s">
        <v>7281</v>
      </c>
      <c r="F5040" s="150" t="s">
        <v>7281</v>
      </c>
      <c r="G5040" s="149" t="s">
        <v>400</v>
      </c>
      <c r="H5040" s="150" t="str">
        <f>IF(Proc[[#This Row],[type]]="LFF (MDG-F)",MID(Proc[[#This Row],[Obj]],13,10),"")</f>
        <v/>
      </c>
      <c r="J5040" s="150" t="b">
        <f>Proc[[#This Row],[Requested]]=Proc[[#This Row],[CurrentParent]]</f>
        <v>1</v>
      </c>
      <c r="K5040" s="150" t="str">
        <f>IF(Proc[[#This Row],[Author]]="Marcela Urrego",VLOOKUP(LEFT(Proc[[#This Row],[Requested]],1),Table3[#All],2,0),VLOOKUP(Proc[[#This Row],[Author]],Table4[],2,0))</f>
        <v>HC</v>
      </c>
      <c r="L5040" s="150" t="s">
        <v>6435</v>
      </c>
      <c r="M5040" s="174">
        <v>45995</v>
      </c>
      <c r="N5040" s="175"/>
      <c r="O5040" s="175"/>
      <c r="P5040" s="175" t="str">
        <f ca="1">IF(Proc[[#This Row],[DaysAgeing]]&gt;5,"yep","on track")</f>
        <v>yep</v>
      </c>
      <c r="Q5040" s="3">
        <f ca="1">IF(Proc[[#This Row],[DateClosed]]="",ABS(NETWORKDAYS(Proc[[#This Row],[DateOpened]],TODAY()))-1,ABS(NETWORKDAYS(Proc[[#This Row],[DateOpened]],Proc[[#This Row],[DateClosed]]))-1)</f>
        <v>6</v>
      </c>
      <c r="R5040" s="175" t="s">
        <v>764</v>
      </c>
      <c r="S5040" s="150"/>
    </row>
    <row r="5041" spans="1:19">
      <c r="A5041" t="s">
        <v>7283</v>
      </c>
      <c r="B5041" s="150" t="str">
        <f>IFERROR(VLOOKUP(Proc[[#This Row],[App]],Table2[],3,0),"open")</f>
        <v>ok</v>
      </c>
      <c r="C5041" t="s">
        <v>369</v>
      </c>
      <c r="D5041" t="s">
        <v>7284</v>
      </c>
      <c r="E5041" t="s">
        <v>425</v>
      </c>
      <c r="F5041" s="150" t="str">
        <f>VLOOKUP(Proc[[#This Row],[Obj]],Sheet3!A:B,2,0)</f>
        <v>G000000895</v>
      </c>
      <c r="G5041" s="149" t="s">
        <v>400</v>
      </c>
      <c r="H5041" s="150" t="str">
        <f>IF(Proc[[#This Row],[type]]="LFF (MDG-F)",MID(Proc[[#This Row],[Obj]],13,10),"")</f>
        <v/>
      </c>
      <c r="J5041" s="150" t="b">
        <f>Proc[[#This Row],[Requested]]=Proc[[#This Row],[CurrentParent]]</f>
        <v>1</v>
      </c>
      <c r="K5041" s="150" t="str">
        <f>IF(Proc[[#This Row],[Author]]="Marcela Urrego",VLOOKUP(LEFT(Proc[[#This Row],[Requested]],1),Table3[#All],2,0),VLOOKUP(Proc[[#This Row],[Author]],Table4[],2,0))</f>
        <v>MGF</v>
      </c>
      <c r="L5041" s="150" t="s">
        <v>6435</v>
      </c>
      <c r="M5041" s="174">
        <v>45995</v>
      </c>
      <c r="N5041" s="175"/>
      <c r="O5041" s="175"/>
      <c r="P5041" s="175" t="str">
        <f ca="1">IF(Proc[[#This Row],[DaysAgeing]]&gt;5,"yep","on track")</f>
        <v>yep</v>
      </c>
      <c r="Q5041" s="3">
        <f ca="1">IF(Proc[[#This Row],[DateClosed]]="",ABS(NETWORKDAYS(Proc[[#This Row],[DateOpened]],TODAY()))-1,ABS(NETWORKDAYS(Proc[[#This Row],[DateOpened]],Proc[[#This Row],[DateClosed]]))-1)</f>
        <v>6</v>
      </c>
      <c r="R5041" s="175" t="s">
        <v>1459</v>
      </c>
      <c r="S5041" s="150"/>
    </row>
    <row r="5042" spans="1:19">
      <c r="A5042" t="s">
        <v>7285</v>
      </c>
      <c r="B5042" s="150" t="str">
        <f>IFERROR(VLOOKUP(Proc[[#This Row],[App]],Table2[],3,0),"open")</f>
        <v>ok</v>
      </c>
      <c r="C5042" s="149" t="s">
        <v>369</v>
      </c>
      <c r="D5042" t="s">
        <v>7286</v>
      </c>
      <c r="E5042" t="s">
        <v>4937</v>
      </c>
      <c r="F5042" s="150" t="s">
        <v>4937</v>
      </c>
      <c r="G5042" s="149" t="s">
        <v>400</v>
      </c>
      <c r="H5042" s="150" t="str">
        <f>IF(Proc[[#This Row],[type]]="LFF (MDG-F)",MID(Proc[[#This Row],[Obj]],13,10),"")</f>
        <v/>
      </c>
      <c r="J5042" s="150" t="b">
        <f>Proc[[#This Row],[Requested]]=Proc[[#This Row],[CurrentParent]]</f>
        <v>1</v>
      </c>
      <c r="K5042" s="150" t="str">
        <f>IF(Proc[[#This Row],[Author]]="Marcela Urrego",VLOOKUP(LEFT(Proc[[#This Row],[Requested]],1),Table3[#All],2,0),VLOOKUP(Proc[[#This Row],[Author]],Table4[],2,0))</f>
        <v>HC</v>
      </c>
      <c r="L5042" s="150" t="s">
        <v>6435</v>
      </c>
      <c r="M5042" s="174">
        <v>45996</v>
      </c>
      <c r="N5042" s="175"/>
      <c r="O5042" s="175"/>
      <c r="P5042" s="175" t="str">
        <f ca="1">IF(Proc[[#This Row],[DaysAgeing]]&gt;5,"yep","on track")</f>
        <v>on track</v>
      </c>
      <c r="Q5042" s="3">
        <f ca="1">IF(Proc[[#This Row],[DateClosed]]="",ABS(NETWORKDAYS(Proc[[#This Row],[DateOpened]],TODAY()))-1,ABS(NETWORKDAYS(Proc[[#This Row],[DateOpened]],Proc[[#This Row],[DateClosed]]))-1)</f>
        <v>5</v>
      </c>
      <c r="R5042" s="175" t="s">
        <v>415</v>
      </c>
      <c r="S5042" s="150"/>
    </row>
    <row r="5043" spans="1:19">
      <c r="A5043" t="s">
        <v>7285</v>
      </c>
      <c r="B5043" s="150" t="str">
        <f>IFERROR(VLOOKUP(Proc[[#This Row],[App]],Table2[],3,0),"open")</f>
        <v>ok</v>
      </c>
      <c r="C5043" s="149" t="s">
        <v>369</v>
      </c>
      <c r="D5043" t="s">
        <v>7287</v>
      </c>
      <c r="E5043" t="s">
        <v>7296</v>
      </c>
      <c r="F5043" s="150" t="s">
        <v>7296</v>
      </c>
      <c r="G5043" s="149" t="s">
        <v>400</v>
      </c>
      <c r="H5043" s="150" t="str">
        <f>IF(Proc[[#This Row],[type]]="LFF (MDG-F)",MID(Proc[[#This Row],[Obj]],13,10),"")</f>
        <v/>
      </c>
      <c r="J5043" s="150" t="b">
        <f>Proc[[#This Row],[Requested]]=Proc[[#This Row],[CurrentParent]]</f>
        <v>1</v>
      </c>
      <c r="K5043" s="150" t="str">
        <f>IF(Proc[[#This Row],[Author]]="Marcela Urrego",VLOOKUP(LEFT(Proc[[#This Row],[Requested]],1),Table3[#All],2,0),VLOOKUP(Proc[[#This Row],[Author]],Table4[],2,0))</f>
        <v>HC</v>
      </c>
      <c r="L5043" s="150" t="s">
        <v>6435</v>
      </c>
      <c r="M5043" s="174">
        <v>45996</v>
      </c>
      <c r="N5043" s="175"/>
      <c r="O5043" s="175"/>
      <c r="P5043" s="175" t="str">
        <f ca="1">IF(Proc[[#This Row],[DaysAgeing]]&gt;5,"yep","on track")</f>
        <v>on track</v>
      </c>
      <c r="Q5043" s="3">
        <f ca="1">IF(Proc[[#This Row],[DateClosed]]="",ABS(NETWORKDAYS(Proc[[#This Row],[DateOpened]],TODAY()))-1,ABS(NETWORKDAYS(Proc[[#This Row],[DateOpened]],Proc[[#This Row],[DateClosed]]))-1)</f>
        <v>5</v>
      </c>
      <c r="R5043" s="175" t="s">
        <v>415</v>
      </c>
      <c r="S5043" s="150"/>
    </row>
    <row r="5044" spans="1:19">
      <c r="A5044" s="149" t="s">
        <v>7285</v>
      </c>
      <c r="B5044" s="150" t="str">
        <f>IFERROR(VLOOKUP(Proc[[#This Row],[App]],Table2[],3,0),"open")</f>
        <v>ok</v>
      </c>
      <c r="C5044" s="149" t="s">
        <v>369</v>
      </c>
      <c r="D5044" t="s">
        <v>7288</v>
      </c>
      <c r="E5044" t="s">
        <v>7297</v>
      </c>
      <c r="F5044" s="150" t="s">
        <v>7297</v>
      </c>
      <c r="G5044" s="149" t="s">
        <v>400</v>
      </c>
      <c r="H5044" s="150" t="str">
        <f>IF(Proc[[#This Row],[type]]="LFF (MDG-F)",MID(Proc[[#This Row],[Obj]],13,10),"")</f>
        <v/>
      </c>
      <c r="J5044" s="150" t="b">
        <f>Proc[[#This Row],[Requested]]=Proc[[#This Row],[CurrentParent]]</f>
        <v>1</v>
      </c>
      <c r="K5044" s="150" t="str">
        <f>IF(Proc[[#This Row],[Author]]="Marcela Urrego",VLOOKUP(LEFT(Proc[[#This Row],[Requested]],1),Table3[#All],2,0),VLOOKUP(Proc[[#This Row],[Author]],Table4[],2,0))</f>
        <v>HC</v>
      </c>
      <c r="L5044" s="150" t="s">
        <v>6435</v>
      </c>
      <c r="M5044" s="174">
        <v>45996</v>
      </c>
      <c r="N5044" s="175"/>
      <c r="O5044" s="175"/>
      <c r="P5044" s="175" t="str">
        <f ca="1">IF(Proc[[#This Row],[DaysAgeing]]&gt;5,"yep","on track")</f>
        <v>on track</v>
      </c>
      <c r="Q5044" s="3">
        <f ca="1">IF(Proc[[#This Row],[DateClosed]]="",ABS(NETWORKDAYS(Proc[[#This Row],[DateOpened]],TODAY()))-1,ABS(NETWORKDAYS(Proc[[#This Row],[DateOpened]],Proc[[#This Row],[DateClosed]]))-1)</f>
        <v>5</v>
      </c>
      <c r="R5044" s="175" t="s">
        <v>415</v>
      </c>
      <c r="S5044" s="150"/>
    </row>
    <row r="5045" spans="1:19">
      <c r="A5045" s="149" t="s">
        <v>7285</v>
      </c>
      <c r="B5045" s="150" t="str">
        <f>IFERROR(VLOOKUP(Proc[[#This Row],[App]],Table2[],3,0),"open")</f>
        <v>ok</v>
      </c>
      <c r="C5045" s="149" t="s">
        <v>369</v>
      </c>
      <c r="D5045" t="s">
        <v>7289</v>
      </c>
      <c r="E5045" t="s">
        <v>7298</v>
      </c>
      <c r="F5045" s="150" t="s">
        <v>7298</v>
      </c>
      <c r="G5045" s="149" t="s">
        <v>400</v>
      </c>
      <c r="H5045" s="150" t="str">
        <f>IF(Proc[[#This Row],[type]]="LFF (MDG-F)",MID(Proc[[#This Row],[Obj]],13,10),"")</f>
        <v/>
      </c>
      <c r="J5045" s="150" t="b">
        <f>Proc[[#This Row],[Requested]]=Proc[[#This Row],[CurrentParent]]</f>
        <v>1</v>
      </c>
      <c r="K5045" s="150" t="str">
        <f>IF(Proc[[#This Row],[Author]]="Marcela Urrego",VLOOKUP(LEFT(Proc[[#This Row],[Requested]],1),Table3[#All],2,0),VLOOKUP(Proc[[#This Row],[Author]],Table4[],2,0))</f>
        <v>HC</v>
      </c>
      <c r="L5045" s="150" t="s">
        <v>6435</v>
      </c>
      <c r="M5045" s="174">
        <v>45996</v>
      </c>
      <c r="N5045" s="175"/>
      <c r="O5045" s="175"/>
      <c r="P5045" s="175" t="str">
        <f ca="1">IF(Proc[[#This Row],[DaysAgeing]]&gt;5,"yep","on track")</f>
        <v>on track</v>
      </c>
      <c r="Q5045" s="3">
        <f ca="1">IF(Proc[[#This Row],[DateClosed]]="",ABS(NETWORKDAYS(Proc[[#This Row],[DateOpened]],TODAY()))-1,ABS(NETWORKDAYS(Proc[[#This Row],[DateOpened]],Proc[[#This Row],[DateClosed]]))-1)</f>
        <v>5</v>
      </c>
      <c r="R5045" s="175" t="s">
        <v>415</v>
      </c>
      <c r="S5045" s="150"/>
    </row>
    <row r="5046" spans="1:19">
      <c r="A5046" s="149" t="s">
        <v>7285</v>
      </c>
      <c r="B5046" s="150" t="str">
        <f>IFERROR(VLOOKUP(Proc[[#This Row],[App]],Table2[],3,0),"open")</f>
        <v>ok</v>
      </c>
      <c r="C5046" s="149" t="s">
        <v>369</v>
      </c>
      <c r="D5046" t="s">
        <v>7290</v>
      </c>
      <c r="E5046" t="s">
        <v>7298</v>
      </c>
      <c r="F5046" s="150" t="s">
        <v>7298</v>
      </c>
      <c r="G5046" s="149" t="s">
        <v>400</v>
      </c>
      <c r="H5046" s="150" t="str">
        <f>IF(Proc[[#This Row],[type]]="LFF (MDG-F)",MID(Proc[[#This Row],[Obj]],13,10),"")</f>
        <v/>
      </c>
      <c r="J5046" s="150" t="b">
        <f>Proc[[#This Row],[Requested]]=Proc[[#This Row],[CurrentParent]]</f>
        <v>1</v>
      </c>
      <c r="K5046" s="150" t="str">
        <f>IF(Proc[[#This Row],[Author]]="Marcela Urrego",VLOOKUP(LEFT(Proc[[#This Row],[Requested]],1),Table3[#All],2,0),VLOOKUP(Proc[[#This Row],[Author]],Table4[],2,0))</f>
        <v>HC</v>
      </c>
      <c r="L5046" s="150" t="s">
        <v>6435</v>
      </c>
      <c r="M5046" s="174">
        <v>45996</v>
      </c>
      <c r="N5046" s="175"/>
      <c r="O5046" s="175"/>
      <c r="P5046" s="175" t="str">
        <f ca="1">IF(Proc[[#This Row],[DaysAgeing]]&gt;5,"yep","on track")</f>
        <v>on track</v>
      </c>
      <c r="Q5046" s="3">
        <f ca="1">IF(Proc[[#This Row],[DateClosed]]="",ABS(NETWORKDAYS(Proc[[#This Row],[DateOpened]],TODAY()))-1,ABS(NETWORKDAYS(Proc[[#This Row],[DateOpened]],Proc[[#This Row],[DateClosed]]))-1)</f>
        <v>5</v>
      </c>
      <c r="R5046" s="175" t="s">
        <v>415</v>
      </c>
      <c r="S5046" s="150"/>
    </row>
    <row r="5047" spans="1:19">
      <c r="A5047" s="149" t="s">
        <v>7285</v>
      </c>
      <c r="B5047" s="150" t="str">
        <f>IFERROR(VLOOKUP(Proc[[#This Row],[App]],Table2[],3,0),"open")</f>
        <v>ok</v>
      </c>
      <c r="C5047" s="149" t="s">
        <v>369</v>
      </c>
      <c r="D5047" t="s">
        <v>7291</v>
      </c>
      <c r="E5047" t="s">
        <v>7299</v>
      </c>
      <c r="F5047" s="150" t="s">
        <v>7299</v>
      </c>
      <c r="G5047" s="149" t="s">
        <v>400</v>
      </c>
      <c r="H5047" s="150" t="str">
        <f>IF(Proc[[#This Row],[type]]="LFF (MDG-F)",MID(Proc[[#This Row],[Obj]],13,10),"")</f>
        <v/>
      </c>
      <c r="J5047" s="150" t="b">
        <f>Proc[[#This Row],[Requested]]=Proc[[#This Row],[CurrentParent]]</f>
        <v>1</v>
      </c>
      <c r="K5047" s="150" t="str">
        <f>IF(Proc[[#This Row],[Author]]="Marcela Urrego",VLOOKUP(LEFT(Proc[[#This Row],[Requested]],1),Table3[#All],2,0),VLOOKUP(Proc[[#This Row],[Author]],Table4[],2,0))</f>
        <v>HC</v>
      </c>
      <c r="L5047" s="150" t="s">
        <v>6435</v>
      </c>
      <c r="M5047" s="174">
        <v>45996</v>
      </c>
      <c r="N5047" s="175"/>
      <c r="O5047" s="175"/>
      <c r="P5047" s="175" t="str">
        <f ca="1">IF(Proc[[#This Row],[DaysAgeing]]&gt;5,"yep","on track")</f>
        <v>on track</v>
      </c>
      <c r="Q5047" s="3">
        <f ca="1">IF(Proc[[#This Row],[DateClosed]]="",ABS(NETWORKDAYS(Proc[[#This Row],[DateOpened]],TODAY()))-1,ABS(NETWORKDAYS(Proc[[#This Row],[DateOpened]],Proc[[#This Row],[DateClosed]]))-1)</f>
        <v>5</v>
      </c>
      <c r="R5047" s="175" t="s">
        <v>415</v>
      </c>
      <c r="S5047" s="150"/>
    </row>
    <row r="5048" spans="1:19">
      <c r="A5048" s="149" t="s">
        <v>7285</v>
      </c>
      <c r="B5048" s="150" t="str">
        <f>IFERROR(VLOOKUP(Proc[[#This Row],[App]],Table2[],3,0),"open")</f>
        <v>ok</v>
      </c>
      <c r="C5048" s="149" t="s">
        <v>369</v>
      </c>
      <c r="D5048" t="s">
        <v>7292</v>
      </c>
      <c r="E5048" t="s">
        <v>7299</v>
      </c>
      <c r="F5048" s="150" t="s">
        <v>7299</v>
      </c>
      <c r="G5048" s="149" t="s">
        <v>400</v>
      </c>
      <c r="H5048" s="150" t="str">
        <f>IF(Proc[[#This Row],[type]]="LFF (MDG-F)",MID(Proc[[#This Row],[Obj]],13,10),"")</f>
        <v/>
      </c>
      <c r="J5048" s="150" t="b">
        <f>Proc[[#This Row],[Requested]]=Proc[[#This Row],[CurrentParent]]</f>
        <v>1</v>
      </c>
      <c r="K5048" s="150" t="str">
        <f>IF(Proc[[#This Row],[Author]]="Marcela Urrego",VLOOKUP(LEFT(Proc[[#This Row],[Requested]],1),Table3[#All],2,0),VLOOKUP(Proc[[#This Row],[Author]],Table4[],2,0))</f>
        <v>HC</v>
      </c>
      <c r="L5048" s="150" t="s">
        <v>6435</v>
      </c>
      <c r="M5048" s="174">
        <v>45996</v>
      </c>
      <c r="N5048" s="175"/>
      <c r="O5048" s="175"/>
      <c r="P5048" s="175" t="str">
        <f ca="1">IF(Proc[[#This Row],[DaysAgeing]]&gt;5,"yep","on track")</f>
        <v>on track</v>
      </c>
      <c r="Q5048" s="3">
        <f ca="1">IF(Proc[[#This Row],[DateClosed]]="",ABS(NETWORKDAYS(Proc[[#This Row],[DateOpened]],TODAY()))-1,ABS(NETWORKDAYS(Proc[[#This Row],[DateOpened]],Proc[[#This Row],[DateClosed]]))-1)</f>
        <v>5</v>
      </c>
      <c r="R5048" s="175" t="s">
        <v>415</v>
      </c>
      <c r="S5048" s="150"/>
    </row>
    <row r="5049" spans="1:19">
      <c r="A5049" s="149" t="s">
        <v>7285</v>
      </c>
      <c r="B5049" s="150" t="str">
        <f>IFERROR(VLOOKUP(Proc[[#This Row],[App]],Table2[],3,0),"open")</f>
        <v>ok</v>
      </c>
      <c r="C5049" s="149" t="s">
        <v>369</v>
      </c>
      <c r="D5049" t="s">
        <v>7293</v>
      </c>
      <c r="E5049" t="s">
        <v>7299</v>
      </c>
      <c r="F5049" s="150" t="s">
        <v>7299</v>
      </c>
      <c r="G5049" s="149" t="s">
        <v>400</v>
      </c>
      <c r="H5049" s="150" t="str">
        <f>IF(Proc[[#This Row],[type]]="LFF (MDG-F)",MID(Proc[[#This Row],[Obj]],13,10),"")</f>
        <v/>
      </c>
      <c r="J5049" s="150" t="b">
        <f>Proc[[#This Row],[Requested]]=Proc[[#This Row],[CurrentParent]]</f>
        <v>1</v>
      </c>
      <c r="K5049" s="150" t="str">
        <f>IF(Proc[[#This Row],[Author]]="Marcela Urrego",VLOOKUP(LEFT(Proc[[#This Row],[Requested]],1),Table3[#All],2,0),VLOOKUP(Proc[[#This Row],[Author]],Table4[],2,0))</f>
        <v>HC</v>
      </c>
      <c r="L5049" s="150" t="s">
        <v>6435</v>
      </c>
      <c r="M5049" s="174">
        <v>45996</v>
      </c>
      <c r="N5049" s="175"/>
      <c r="O5049" s="175"/>
      <c r="P5049" s="175" t="str">
        <f ca="1">IF(Proc[[#This Row],[DaysAgeing]]&gt;5,"yep","on track")</f>
        <v>on track</v>
      </c>
      <c r="Q5049" s="3">
        <f ca="1">IF(Proc[[#This Row],[DateClosed]]="",ABS(NETWORKDAYS(Proc[[#This Row],[DateOpened]],TODAY()))-1,ABS(NETWORKDAYS(Proc[[#This Row],[DateOpened]],Proc[[#This Row],[DateClosed]]))-1)</f>
        <v>5</v>
      </c>
      <c r="R5049" s="175" t="s">
        <v>415</v>
      </c>
      <c r="S5049" s="150"/>
    </row>
    <row r="5050" spans="1:19">
      <c r="A5050" s="149" t="s">
        <v>7285</v>
      </c>
      <c r="B5050" s="150" t="str">
        <f>IFERROR(VLOOKUP(Proc[[#This Row],[App]],Table2[],3,0),"open")</f>
        <v>ok</v>
      </c>
      <c r="C5050" s="149" t="s">
        <v>369</v>
      </c>
      <c r="D5050" t="s">
        <v>7294</v>
      </c>
      <c r="E5050" t="s">
        <v>7299</v>
      </c>
      <c r="F5050" s="150" t="s">
        <v>7299</v>
      </c>
      <c r="G5050" s="149" t="s">
        <v>400</v>
      </c>
      <c r="H5050" s="150" t="str">
        <f>IF(Proc[[#This Row],[type]]="LFF (MDG-F)",MID(Proc[[#This Row],[Obj]],13,10),"")</f>
        <v/>
      </c>
      <c r="J5050" s="150" t="b">
        <f>Proc[[#This Row],[Requested]]=Proc[[#This Row],[CurrentParent]]</f>
        <v>1</v>
      </c>
      <c r="K5050" s="150" t="str">
        <f>IF(Proc[[#This Row],[Author]]="Marcela Urrego",VLOOKUP(LEFT(Proc[[#This Row],[Requested]],1),Table3[#All],2,0),VLOOKUP(Proc[[#This Row],[Author]],Table4[],2,0))</f>
        <v>HC</v>
      </c>
      <c r="L5050" s="150" t="s">
        <v>6435</v>
      </c>
      <c r="M5050" s="174">
        <v>45996</v>
      </c>
      <c r="N5050" s="175"/>
      <c r="O5050" s="175"/>
      <c r="P5050" s="175" t="str">
        <f ca="1">IF(Proc[[#This Row],[DaysAgeing]]&gt;5,"yep","on track")</f>
        <v>on track</v>
      </c>
      <c r="Q5050" s="3">
        <f ca="1">IF(Proc[[#This Row],[DateClosed]]="",ABS(NETWORKDAYS(Proc[[#This Row],[DateOpened]],TODAY()))-1,ABS(NETWORKDAYS(Proc[[#This Row],[DateOpened]],Proc[[#This Row],[DateClosed]]))-1)</f>
        <v>5</v>
      </c>
      <c r="R5050" s="175" t="s">
        <v>415</v>
      </c>
      <c r="S5050" s="150"/>
    </row>
    <row r="5051" spans="1:19">
      <c r="A5051" s="149" t="s">
        <v>7285</v>
      </c>
      <c r="B5051" s="150" t="str">
        <f>IFERROR(VLOOKUP(Proc[[#This Row],[App]],Table2[],3,0),"open")</f>
        <v>ok</v>
      </c>
      <c r="C5051" s="149" t="s">
        <v>369</v>
      </c>
      <c r="D5051" t="s">
        <v>7295</v>
      </c>
      <c r="E5051" t="s">
        <v>7299</v>
      </c>
      <c r="F5051" s="150" t="s">
        <v>7299</v>
      </c>
      <c r="G5051" s="149" t="s">
        <v>400</v>
      </c>
      <c r="H5051" s="150" t="str">
        <f>IF(Proc[[#This Row],[type]]="LFF (MDG-F)",MID(Proc[[#This Row],[Obj]],13,10),"")</f>
        <v/>
      </c>
      <c r="J5051" s="150" t="b">
        <f>Proc[[#This Row],[Requested]]=Proc[[#This Row],[CurrentParent]]</f>
        <v>1</v>
      </c>
      <c r="K5051" s="150" t="str">
        <f>IF(Proc[[#This Row],[Author]]="Marcela Urrego",VLOOKUP(LEFT(Proc[[#This Row],[Requested]],1),Table3[#All],2,0),VLOOKUP(Proc[[#This Row],[Author]],Table4[],2,0))</f>
        <v>HC</v>
      </c>
      <c r="L5051" s="150" t="s">
        <v>6435</v>
      </c>
      <c r="M5051" s="174">
        <v>45996</v>
      </c>
      <c r="N5051" s="175"/>
      <c r="O5051" s="175"/>
      <c r="P5051" s="175" t="str">
        <f ca="1">IF(Proc[[#This Row],[DaysAgeing]]&gt;5,"yep","on track")</f>
        <v>on track</v>
      </c>
      <c r="Q5051" s="3">
        <f ca="1">IF(Proc[[#This Row],[DateClosed]]="",ABS(NETWORKDAYS(Proc[[#This Row],[DateOpened]],TODAY()))-1,ABS(NETWORKDAYS(Proc[[#This Row],[DateOpened]],Proc[[#This Row],[DateClosed]]))-1)</f>
        <v>5</v>
      </c>
      <c r="R5051" s="175" t="s">
        <v>415</v>
      </c>
      <c r="S5051" s="150"/>
    </row>
    <row r="5052" spans="1:19">
      <c r="A5052" t="s">
        <v>7301</v>
      </c>
      <c r="B5052" s="150" t="str">
        <f>IFERROR(VLOOKUP(Proc[[#This Row],[App]],Table2[],3,0),"open")</f>
        <v>ok</v>
      </c>
      <c r="C5052" s="149" t="s">
        <v>369</v>
      </c>
      <c r="D5052" t="s">
        <v>7253</v>
      </c>
      <c r="E5052" t="s">
        <v>7300</v>
      </c>
      <c r="F5052" s="150" t="s">
        <v>7300</v>
      </c>
      <c r="G5052" s="149" t="s">
        <v>400</v>
      </c>
      <c r="H5052" s="150" t="str">
        <f>IF(Proc[[#This Row],[type]]="LFF (MDG-F)",MID(Proc[[#This Row],[Obj]],13,10),"")</f>
        <v/>
      </c>
      <c r="J5052" s="150" t="b">
        <f>Proc[[#This Row],[Requested]]=Proc[[#This Row],[CurrentParent]]</f>
        <v>1</v>
      </c>
      <c r="K5052" s="150" t="str">
        <f>IF(Proc[[#This Row],[Author]]="Marcela Urrego",VLOOKUP(LEFT(Proc[[#This Row],[Requested]],1),Table3[#All],2,0),VLOOKUP(Proc[[#This Row],[Author]],Table4[],2,0))</f>
        <v>HC</v>
      </c>
      <c r="L5052" s="150" t="s">
        <v>6435</v>
      </c>
      <c r="M5052" s="174">
        <v>45996</v>
      </c>
      <c r="N5052" s="175"/>
      <c r="O5052" s="175"/>
      <c r="P5052" s="175" t="str">
        <f ca="1">IF(Proc[[#This Row],[DaysAgeing]]&gt;5,"yep","on track")</f>
        <v>on track</v>
      </c>
      <c r="Q5052" s="3">
        <f ca="1">IF(Proc[[#This Row],[DateClosed]]="",ABS(NETWORKDAYS(Proc[[#This Row],[DateOpened]],TODAY()))-1,ABS(NETWORKDAYS(Proc[[#This Row],[DateOpened]],Proc[[#This Row],[DateClosed]]))-1)</f>
        <v>5</v>
      </c>
      <c r="R5052" s="175" t="s">
        <v>415</v>
      </c>
      <c r="S5052" s="150"/>
    </row>
    <row r="5053" spans="1:19">
      <c r="A5053" t="s">
        <v>7301</v>
      </c>
      <c r="B5053" s="150" t="str">
        <f>IFERROR(VLOOKUP(Proc[[#This Row],[App]],Table2[],3,0),"open")</f>
        <v>ok</v>
      </c>
      <c r="C5053" s="149" t="s">
        <v>369</v>
      </c>
      <c r="D5053" t="s">
        <v>7254</v>
      </c>
      <c r="E5053" t="s">
        <v>7300</v>
      </c>
      <c r="F5053" s="150" t="s">
        <v>7300</v>
      </c>
      <c r="G5053" s="149" t="s">
        <v>400</v>
      </c>
      <c r="H5053" s="150" t="str">
        <f>IF(Proc[[#This Row],[type]]="LFF (MDG-F)",MID(Proc[[#This Row],[Obj]],13,10),"")</f>
        <v/>
      </c>
      <c r="J5053" s="150" t="b">
        <f>Proc[[#This Row],[Requested]]=Proc[[#This Row],[CurrentParent]]</f>
        <v>1</v>
      </c>
      <c r="K5053" s="150" t="str">
        <f>IF(Proc[[#This Row],[Author]]="Marcela Urrego",VLOOKUP(LEFT(Proc[[#This Row],[Requested]],1),Table3[#All],2,0),VLOOKUP(Proc[[#This Row],[Author]],Table4[],2,0))</f>
        <v>HC</v>
      </c>
      <c r="L5053" s="150" t="s">
        <v>6435</v>
      </c>
      <c r="M5053" s="174">
        <v>45996</v>
      </c>
      <c r="N5053" s="175"/>
      <c r="O5053" s="175"/>
      <c r="P5053" s="175" t="str">
        <f ca="1">IF(Proc[[#This Row],[DaysAgeing]]&gt;5,"yep","on track")</f>
        <v>on track</v>
      </c>
      <c r="Q5053" s="3">
        <f ca="1">IF(Proc[[#This Row],[DateClosed]]="",ABS(NETWORKDAYS(Proc[[#This Row],[DateOpened]],TODAY()))-1,ABS(NETWORKDAYS(Proc[[#This Row],[DateOpened]],Proc[[#This Row],[DateClosed]]))-1)</f>
        <v>5</v>
      </c>
      <c r="R5053" s="175" t="s">
        <v>415</v>
      </c>
      <c r="S5053" s="150"/>
    </row>
    <row r="5054" spans="1:19">
      <c r="A5054" s="149" t="s">
        <v>7301</v>
      </c>
      <c r="B5054" s="150" t="str">
        <f>IFERROR(VLOOKUP(Proc[[#This Row],[App]],Table2[],3,0),"open")</f>
        <v>ok</v>
      </c>
      <c r="C5054" s="149" t="s">
        <v>369</v>
      </c>
      <c r="D5054" t="s">
        <v>7255</v>
      </c>
      <c r="E5054" t="s">
        <v>7300</v>
      </c>
      <c r="F5054" s="150" t="s">
        <v>7300</v>
      </c>
      <c r="G5054" s="149" t="s">
        <v>400</v>
      </c>
      <c r="H5054" s="150" t="str">
        <f>IF(Proc[[#This Row],[type]]="LFF (MDG-F)",MID(Proc[[#This Row],[Obj]],13,10),"")</f>
        <v/>
      </c>
      <c r="J5054" s="150" t="b">
        <f>Proc[[#This Row],[Requested]]=Proc[[#This Row],[CurrentParent]]</f>
        <v>1</v>
      </c>
      <c r="K5054" s="150" t="str">
        <f>IF(Proc[[#This Row],[Author]]="Marcela Urrego",VLOOKUP(LEFT(Proc[[#This Row],[Requested]],1),Table3[#All],2,0),VLOOKUP(Proc[[#This Row],[Author]],Table4[],2,0))</f>
        <v>HC</v>
      </c>
      <c r="L5054" s="150" t="s">
        <v>6435</v>
      </c>
      <c r="M5054" s="174">
        <v>45996</v>
      </c>
      <c r="N5054" s="175"/>
      <c r="O5054" s="175"/>
      <c r="P5054" s="175" t="str">
        <f ca="1">IF(Proc[[#This Row],[DaysAgeing]]&gt;5,"yep","on track")</f>
        <v>on track</v>
      </c>
      <c r="Q5054" s="3">
        <f ca="1">IF(Proc[[#This Row],[DateClosed]]="",ABS(NETWORKDAYS(Proc[[#This Row],[DateOpened]],TODAY()))-1,ABS(NETWORKDAYS(Proc[[#This Row],[DateOpened]],Proc[[#This Row],[DateClosed]]))-1)</f>
        <v>5</v>
      </c>
      <c r="R5054" s="175" t="s">
        <v>415</v>
      </c>
      <c r="S5054" s="150"/>
    </row>
    <row r="5055" spans="1:19">
      <c r="A5055" s="149" t="s">
        <v>7301</v>
      </c>
      <c r="B5055" s="150" t="str">
        <f>IFERROR(VLOOKUP(Proc[[#This Row],[App]],Table2[],3,0),"open")</f>
        <v>ok</v>
      </c>
      <c r="C5055" s="149" t="s">
        <v>369</v>
      </c>
      <c r="D5055" t="s">
        <v>7256</v>
      </c>
      <c r="E5055" t="s">
        <v>7300</v>
      </c>
      <c r="F5055" s="150" t="s">
        <v>7300</v>
      </c>
      <c r="G5055" s="149" t="s">
        <v>400</v>
      </c>
      <c r="H5055" s="150" t="str">
        <f>IF(Proc[[#This Row],[type]]="LFF (MDG-F)",MID(Proc[[#This Row],[Obj]],13,10),"")</f>
        <v/>
      </c>
      <c r="J5055" s="150" t="b">
        <f>Proc[[#This Row],[Requested]]=Proc[[#This Row],[CurrentParent]]</f>
        <v>1</v>
      </c>
      <c r="K5055" s="150" t="str">
        <f>IF(Proc[[#This Row],[Author]]="Marcela Urrego",VLOOKUP(LEFT(Proc[[#This Row],[Requested]],1),Table3[#All],2,0),VLOOKUP(Proc[[#This Row],[Author]],Table4[],2,0))</f>
        <v>HC</v>
      </c>
      <c r="L5055" s="150" t="s">
        <v>6435</v>
      </c>
      <c r="M5055" s="174">
        <v>45996</v>
      </c>
      <c r="N5055" s="175"/>
      <c r="O5055" s="175"/>
      <c r="P5055" s="175" t="str">
        <f ca="1">IF(Proc[[#This Row],[DaysAgeing]]&gt;5,"yep","on track")</f>
        <v>on track</v>
      </c>
      <c r="Q5055" s="3">
        <f ca="1">IF(Proc[[#This Row],[DateClosed]]="",ABS(NETWORKDAYS(Proc[[#This Row],[DateOpened]],TODAY()))-1,ABS(NETWORKDAYS(Proc[[#This Row],[DateOpened]],Proc[[#This Row],[DateClosed]]))-1)</f>
        <v>5</v>
      </c>
      <c r="R5055" s="175" t="s">
        <v>415</v>
      </c>
      <c r="S5055" s="150"/>
    </row>
    <row r="5056" spans="1:19">
      <c r="A5056" s="149" t="s">
        <v>7301</v>
      </c>
      <c r="B5056" s="150" t="str">
        <f>IFERROR(VLOOKUP(Proc[[#This Row],[App]],Table2[],3,0),"open")</f>
        <v>ok</v>
      </c>
      <c r="C5056" s="149" t="s">
        <v>369</v>
      </c>
      <c r="D5056" t="s">
        <v>7257</v>
      </c>
      <c r="E5056" t="s">
        <v>7300</v>
      </c>
      <c r="F5056" s="150" t="s">
        <v>7300</v>
      </c>
      <c r="G5056" s="149" t="s">
        <v>400</v>
      </c>
      <c r="H5056" s="150" t="str">
        <f>IF(Proc[[#This Row],[type]]="LFF (MDG-F)",MID(Proc[[#This Row],[Obj]],13,10),"")</f>
        <v/>
      </c>
      <c r="J5056" s="150" t="b">
        <f>Proc[[#This Row],[Requested]]=Proc[[#This Row],[CurrentParent]]</f>
        <v>1</v>
      </c>
      <c r="K5056" s="150" t="str">
        <f>IF(Proc[[#This Row],[Author]]="Marcela Urrego",VLOOKUP(LEFT(Proc[[#This Row],[Requested]],1),Table3[#All],2,0),VLOOKUP(Proc[[#This Row],[Author]],Table4[],2,0))</f>
        <v>HC</v>
      </c>
      <c r="L5056" s="150" t="s">
        <v>6435</v>
      </c>
      <c r="M5056" s="174">
        <v>45996</v>
      </c>
      <c r="N5056" s="175"/>
      <c r="O5056" s="175"/>
      <c r="P5056" s="175" t="str">
        <f ca="1">IF(Proc[[#This Row],[DaysAgeing]]&gt;5,"yep","on track")</f>
        <v>on track</v>
      </c>
      <c r="Q5056" s="3">
        <f ca="1">IF(Proc[[#This Row],[DateClosed]]="",ABS(NETWORKDAYS(Proc[[#This Row],[DateOpened]],TODAY()))-1,ABS(NETWORKDAYS(Proc[[#This Row],[DateOpened]],Proc[[#This Row],[DateClosed]]))-1)</f>
        <v>5</v>
      </c>
      <c r="R5056" s="175" t="s">
        <v>415</v>
      </c>
      <c r="S5056" s="150"/>
    </row>
    <row r="5057" spans="1:19">
      <c r="A5057" s="149" t="s">
        <v>7301</v>
      </c>
      <c r="B5057" s="150" t="str">
        <f>IFERROR(VLOOKUP(Proc[[#This Row],[App]],Table2[],3,0),"open")</f>
        <v>ok</v>
      </c>
      <c r="C5057" s="149" t="s">
        <v>369</v>
      </c>
      <c r="D5057" t="s">
        <v>7274</v>
      </c>
      <c r="E5057" t="s">
        <v>7299</v>
      </c>
      <c r="F5057" s="150" t="s">
        <v>7299</v>
      </c>
      <c r="G5057" s="149" t="s">
        <v>400</v>
      </c>
      <c r="H5057" s="150" t="str">
        <f>IF(Proc[[#This Row],[type]]="LFF (MDG-F)",MID(Proc[[#This Row],[Obj]],13,10),"")</f>
        <v/>
      </c>
      <c r="J5057" s="150" t="b">
        <f>Proc[[#This Row],[Requested]]=Proc[[#This Row],[CurrentParent]]</f>
        <v>1</v>
      </c>
      <c r="K5057" s="150" t="str">
        <f>IF(Proc[[#This Row],[Author]]="Marcela Urrego",VLOOKUP(LEFT(Proc[[#This Row],[Requested]],1),Table3[#All],2,0),VLOOKUP(Proc[[#This Row],[Author]],Table4[],2,0))</f>
        <v>HC</v>
      </c>
      <c r="L5057" s="150" t="s">
        <v>6435</v>
      </c>
      <c r="M5057" s="174">
        <v>45996</v>
      </c>
      <c r="N5057" s="175"/>
      <c r="O5057" s="175"/>
      <c r="P5057" s="175" t="str">
        <f ca="1">IF(Proc[[#This Row],[DaysAgeing]]&gt;5,"yep","on track")</f>
        <v>on track</v>
      </c>
      <c r="Q5057" s="3">
        <f ca="1">IF(Proc[[#This Row],[DateClosed]]="",ABS(NETWORKDAYS(Proc[[#This Row],[DateOpened]],TODAY()))-1,ABS(NETWORKDAYS(Proc[[#This Row],[DateOpened]],Proc[[#This Row],[DateClosed]]))-1)</f>
        <v>5</v>
      </c>
      <c r="R5057" s="175" t="s">
        <v>415</v>
      </c>
      <c r="S5057" s="150"/>
    </row>
    <row r="5058" spans="1:19">
      <c r="A5058" s="149" t="s">
        <v>7301</v>
      </c>
      <c r="B5058" s="150" t="str">
        <f>IFERROR(VLOOKUP(Proc[[#This Row],[App]],Table2[],3,0),"open")</f>
        <v>ok</v>
      </c>
      <c r="C5058" s="149" t="s">
        <v>369</v>
      </c>
      <c r="D5058" t="s">
        <v>7275</v>
      </c>
      <c r="E5058" t="s">
        <v>7299</v>
      </c>
      <c r="F5058" s="150" t="s">
        <v>7299</v>
      </c>
      <c r="G5058" s="149" t="s">
        <v>400</v>
      </c>
      <c r="H5058" s="150" t="str">
        <f>IF(Proc[[#This Row],[type]]="LFF (MDG-F)",MID(Proc[[#This Row],[Obj]],13,10),"")</f>
        <v/>
      </c>
      <c r="J5058" s="150" t="b">
        <f>Proc[[#This Row],[Requested]]=Proc[[#This Row],[CurrentParent]]</f>
        <v>1</v>
      </c>
      <c r="K5058" s="150" t="str">
        <f>IF(Proc[[#This Row],[Author]]="Marcela Urrego",VLOOKUP(LEFT(Proc[[#This Row],[Requested]],1),Table3[#All],2,0),VLOOKUP(Proc[[#This Row],[Author]],Table4[],2,0))</f>
        <v>HC</v>
      </c>
      <c r="L5058" s="150" t="s">
        <v>6435</v>
      </c>
      <c r="M5058" s="174">
        <v>45996</v>
      </c>
      <c r="N5058" s="175"/>
      <c r="O5058" s="175"/>
      <c r="P5058" s="175" t="str">
        <f ca="1">IF(Proc[[#This Row],[DaysAgeing]]&gt;5,"yep","on track")</f>
        <v>on track</v>
      </c>
      <c r="Q5058" s="3">
        <f ca="1">IF(Proc[[#This Row],[DateClosed]]="",ABS(NETWORKDAYS(Proc[[#This Row],[DateOpened]],TODAY()))-1,ABS(NETWORKDAYS(Proc[[#This Row],[DateOpened]],Proc[[#This Row],[DateClosed]]))-1)</f>
        <v>5</v>
      </c>
      <c r="R5058" s="175" t="s">
        <v>415</v>
      </c>
      <c r="S5058" s="150"/>
    </row>
    <row r="5059" spans="1:19">
      <c r="A5059" s="149" t="s">
        <v>7301</v>
      </c>
      <c r="B5059" s="150" t="str">
        <f>IFERROR(VLOOKUP(Proc[[#This Row],[App]],Table2[],3,0),"open")</f>
        <v>ok</v>
      </c>
      <c r="C5059" s="149" t="s">
        <v>369</v>
      </c>
      <c r="D5059" t="s">
        <v>7276</v>
      </c>
      <c r="E5059" t="s">
        <v>7299</v>
      </c>
      <c r="F5059" s="150" t="s">
        <v>7299</v>
      </c>
      <c r="G5059" s="149" t="s">
        <v>400</v>
      </c>
      <c r="H5059" s="150" t="str">
        <f>IF(Proc[[#This Row],[type]]="LFF (MDG-F)",MID(Proc[[#This Row],[Obj]],13,10),"")</f>
        <v/>
      </c>
      <c r="J5059" s="150" t="b">
        <f>Proc[[#This Row],[Requested]]=Proc[[#This Row],[CurrentParent]]</f>
        <v>1</v>
      </c>
      <c r="K5059" s="150" t="str">
        <f>IF(Proc[[#This Row],[Author]]="Marcela Urrego",VLOOKUP(LEFT(Proc[[#This Row],[Requested]],1),Table3[#All],2,0),VLOOKUP(Proc[[#This Row],[Author]],Table4[],2,0))</f>
        <v>HC</v>
      </c>
      <c r="L5059" s="150" t="s">
        <v>6435</v>
      </c>
      <c r="M5059" s="174">
        <v>45996</v>
      </c>
      <c r="N5059" s="175"/>
      <c r="O5059" s="175"/>
      <c r="P5059" s="175" t="str">
        <f ca="1">IF(Proc[[#This Row],[DaysAgeing]]&gt;5,"yep","on track")</f>
        <v>on track</v>
      </c>
      <c r="Q5059" s="3">
        <f ca="1">IF(Proc[[#This Row],[DateClosed]]="",ABS(NETWORKDAYS(Proc[[#This Row],[DateOpened]],TODAY()))-1,ABS(NETWORKDAYS(Proc[[#This Row],[DateOpened]],Proc[[#This Row],[DateClosed]]))-1)</f>
        <v>5</v>
      </c>
      <c r="R5059" s="175" t="s">
        <v>415</v>
      </c>
      <c r="S5059" s="150"/>
    </row>
    <row r="5060" spans="1:19">
      <c r="A5060" s="149" t="s">
        <v>7301</v>
      </c>
      <c r="B5060" s="150" t="str">
        <f>IFERROR(VLOOKUP(Proc[[#This Row],[App]],Table2[],3,0),"open")</f>
        <v>ok</v>
      </c>
      <c r="C5060" s="149" t="s">
        <v>369</v>
      </c>
      <c r="D5060" t="s">
        <v>7277</v>
      </c>
      <c r="E5060" t="s">
        <v>7299</v>
      </c>
      <c r="F5060" s="150" t="s">
        <v>7299</v>
      </c>
      <c r="G5060" s="149" t="s">
        <v>400</v>
      </c>
      <c r="H5060" s="150" t="str">
        <f>IF(Proc[[#This Row],[type]]="LFF (MDG-F)",MID(Proc[[#This Row],[Obj]],13,10),"")</f>
        <v/>
      </c>
      <c r="J5060" s="150" t="b">
        <f>Proc[[#This Row],[Requested]]=Proc[[#This Row],[CurrentParent]]</f>
        <v>1</v>
      </c>
      <c r="K5060" s="150" t="str">
        <f>IF(Proc[[#This Row],[Author]]="Marcela Urrego",VLOOKUP(LEFT(Proc[[#This Row],[Requested]],1),Table3[#All],2,0),VLOOKUP(Proc[[#This Row],[Author]],Table4[],2,0))</f>
        <v>HC</v>
      </c>
      <c r="L5060" s="150" t="s">
        <v>6435</v>
      </c>
      <c r="M5060" s="174">
        <v>45996</v>
      </c>
      <c r="N5060" s="175"/>
      <c r="O5060" s="175"/>
      <c r="P5060" s="175" t="str">
        <f ca="1">IF(Proc[[#This Row],[DaysAgeing]]&gt;5,"yep","on track")</f>
        <v>on track</v>
      </c>
      <c r="Q5060" s="3">
        <f ca="1">IF(Proc[[#This Row],[DateClosed]]="",ABS(NETWORKDAYS(Proc[[#This Row],[DateOpened]],TODAY()))-1,ABS(NETWORKDAYS(Proc[[#This Row],[DateOpened]],Proc[[#This Row],[DateClosed]]))-1)</f>
        <v>5</v>
      </c>
      <c r="R5060" s="175" t="s">
        <v>415</v>
      </c>
      <c r="S5060" s="150"/>
    </row>
    <row r="5061" spans="1:19">
      <c r="A5061" s="149" t="s">
        <v>7301</v>
      </c>
      <c r="B5061" s="150" t="str">
        <f>IFERROR(VLOOKUP(Proc[[#This Row],[App]],Table2[],3,0),"open")</f>
        <v>ok</v>
      </c>
      <c r="C5061" s="149" t="s">
        <v>369</v>
      </c>
      <c r="D5061" t="s">
        <v>7278</v>
      </c>
      <c r="E5061" t="s">
        <v>7299</v>
      </c>
      <c r="F5061" s="150" t="s">
        <v>7299</v>
      </c>
      <c r="G5061" s="149" t="s">
        <v>400</v>
      </c>
      <c r="H5061" s="150" t="str">
        <f>IF(Proc[[#This Row],[type]]="LFF (MDG-F)",MID(Proc[[#This Row],[Obj]],13,10),"")</f>
        <v/>
      </c>
      <c r="J5061" s="150" t="b">
        <f>Proc[[#This Row],[Requested]]=Proc[[#This Row],[CurrentParent]]</f>
        <v>1</v>
      </c>
      <c r="K5061" s="150" t="str">
        <f>IF(Proc[[#This Row],[Author]]="Marcela Urrego",VLOOKUP(LEFT(Proc[[#This Row],[Requested]],1),Table3[#All],2,0),VLOOKUP(Proc[[#This Row],[Author]],Table4[],2,0))</f>
        <v>HC</v>
      </c>
      <c r="L5061" s="150" t="s">
        <v>6435</v>
      </c>
      <c r="M5061" s="174">
        <v>45996</v>
      </c>
      <c r="N5061" s="175"/>
      <c r="O5061" s="175"/>
      <c r="P5061" s="175" t="str">
        <f ca="1">IF(Proc[[#This Row],[DaysAgeing]]&gt;5,"yep","on track")</f>
        <v>on track</v>
      </c>
      <c r="Q5061" s="3">
        <f ca="1">IF(Proc[[#This Row],[DateClosed]]="",ABS(NETWORKDAYS(Proc[[#This Row],[DateOpened]],TODAY()))-1,ABS(NETWORKDAYS(Proc[[#This Row],[DateOpened]],Proc[[#This Row],[DateClosed]]))-1)</f>
        <v>5</v>
      </c>
      <c r="R5061" s="175" t="s">
        <v>415</v>
      </c>
      <c r="S5061" s="150"/>
    </row>
    <row r="5062" spans="1:19">
      <c r="A5062" t="s">
        <v>7303</v>
      </c>
      <c r="B5062" s="150" t="str">
        <f>IFERROR(VLOOKUP(Proc[[#This Row],[App]],Table2[],3,0),"open")</f>
        <v>ok</v>
      </c>
      <c r="C5062" s="149" t="s">
        <v>369</v>
      </c>
      <c r="D5062" t="s">
        <v>7289</v>
      </c>
      <c r="E5062" t="s">
        <v>7282</v>
      </c>
      <c r="F5062" s="150" t="str">
        <f>VLOOKUP(Proc[[#This Row],[Obj]],Sheet3!A:B,2,0)</f>
        <v>H000000725</v>
      </c>
      <c r="G5062" s="149" t="s">
        <v>400</v>
      </c>
      <c r="H5062" s="150" t="str">
        <f>IF(Proc[[#This Row],[type]]="LFF (MDG-F)",MID(Proc[[#This Row],[Obj]],13,10),"")</f>
        <v/>
      </c>
      <c r="J5062" s="150" t="b">
        <f>Proc[[#This Row],[Requested]]=Proc[[#This Row],[CurrentParent]]</f>
        <v>1</v>
      </c>
      <c r="K5062" s="150" t="str">
        <f>IF(Proc[[#This Row],[Author]]="Marcela Urrego",VLOOKUP(LEFT(Proc[[#This Row],[Requested]],1),Table3[#All],2,0),VLOOKUP(Proc[[#This Row],[Author]],Table4[],2,0))</f>
        <v>HC</v>
      </c>
      <c r="L5062" s="150" t="s">
        <v>6435</v>
      </c>
      <c r="M5062" s="175">
        <v>45999</v>
      </c>
      <c r="N5062" s="175"/>
      <c r="O5062" s="175"/>
      <c r="P5062" s="175" t="str">
        <f ca="1">IF(Proc[[#This Row],[DaysAgeing]]&gt;5,"yep","on track")</f>
        <v>on track</v>
      </c>
      <c r="Q5062" s="3">
        <f ca="1">IF(Proc[[#This Row],[DateClosed]]="",ABS(NETWORKDAYS(Proc[[#This Row],[DateOpened]],TODAY()))-1,ABS(NETWORKDAYS(Proc[[#This Row],[DateOpened]],Proc[[#This Row],[DateClosed]]))-1)</f>
        <v>4</v>
      </c>
      <c r="R5062" s="175" t="s">
        <v>415</v>
      </c>
      <c r="S5062" s="150"/>
    </row>
    <row r="5063" spans="1:19">
      <c r="A5063" s="149" t="s">
        <v>7303</v>
      </c>
      <c r="B5063" s="150" t="str">
        <f>IFERROR(VLOOKUP(Proc[[#This Row],[App]],Table2[],3,0),"open")</f>
        <v>ok</v>
      </c>
      <c r="C5063" s="149" t="s">
        <v>369</v>
      </c>
      <c r="D5063" t="s">
        <v>7290</v>
      </c>
      <c r="E5063" t="s">
        <v>7282</v>
      </c>
      <c r="F5063" s="150" t="str">
        <f>VLOOKUP(Proc[[#This Row],[Obj]],Sheet3!A:B,2,0)</f>
        <v>H000000725</v>
      </c>
      <c r="G5063" s="149" t="s">
        <v>400</v>
      </c>
      <c r="H5063" s="150" t="str">
        <f>IF(Proc[[#This Row],[type]]="LFF (MDG-F)",MID(Proc[[#This Row],[Obj]],13,10),"")</f>
        <v/>
      </c>
      <c r="J5063" s="150" t="b">
        <f>Proc[[#This Row],[Requested]]=Proc[[#This Row],[CurrentParent]]</f>
        <v>1</v>
      </c>
      <c r="K5063" s="150" t="str">
        <f>IF(Proc[[#This Row],[Author]]="Marcela Urrego",VLOOKUP(LEFT(Proc[[#This Row],[Requested]],1),Table3[#All],2,0),VLOOKUP(Proc[[#This Row],[Author]],Table4[],2,0))</f>
        <v>HC</v>
      </c>
      <c r="L5063" s="150" t="s">
        <v>6435</v>
      </c>
      <c r="M5063" s="175">
        <v>45999</v>
      </c>
      <c r="N5063" s="175"/>
      <c r="O5063" s="175"/>
      <c r="P5063" s="175" t="str">
        <f ca="1">IF(Proc[[#This Row],[DaysAgeing]]&gt;5,"yep","on track")</f>
        <v>on track</v>
      </c>
      <c r="Q5063" s="3">
        <f ca="1">IF(Proc[[#This Row],[DateClosed]]="",ABS(NETWORKDAYS(Proc[[#This Row],[DateOpened]],TODAY()))-1,ABS(NETWORKDAYS(Proc[[#This Row],[DateOpened]],Proc[[#This Row],[DateClosed]]))-1)</f>
        <v>4</v>
      </c>
      <c r="R5063" s="175" t="s">
        <v>415</v>
      </c>
      <c r="S5063" s="150"/>
    </row>
    <row r="5064" spans="1:19">
      <c r="A5064" t="s">
        <v>7304</v>
      </c>
      <c r="B5064" s="150" t="str">
        <f>IFERROR(VLOOKUP(Proc[[#This Row],[App]],Table2[],3,0),"open")</f>
        <v>ok</v>
      </c>
      <c r="C5064" s="149" t="s">
        <v>369</v>
      </c>
      <c r="D5064" t="s">
        <v>7305</v>
      </c>
      <c r="E5064" t="s">
        <v>496</v>
      </c>
      <c r="F5064" s="150" t="str">
        <f>VLOOKUP(Proc[[#This Row],[Obj]],Sheet3!A:B,2,0)</f>
        <v>L000013461</v>
      </c>
      <c r="G5064" t="s">
        <v>400</v>
      </c>
      <c r="H5064" s="150" t="str">
        <f>IF(Proc[[#This Row],[type]]="LFF (MDG-F)",MID(Proc[[#This Row],[Obj]],13,10),"")</f>
        <v/>
      </c>
      <c r="J5064" s="150" t="b">
        <f>Proc[[#This Row],[Requested]]=Proc[[#This Row],[CurrentParent]]</f>
        <v>1</v>
      </c>
      <c r="K5064" s="150" t="str">
        <f>IF(Proc[[#This Row],[Author]]="Marcela Urrego",VLOOKUP(LEFT(Proc[[#This Row],[Requested]],1),Table3[#All],2,0),VLOOKUP(Proc[[#This Row],[Author]],Table4[],2,0))</f>
        <v>LS</v>
      </c>
      <c r="L5064" s="150" t="s">
        <v>6435</v>
      </c>
      <c r="M5064" s="175">
        <v>45999</v>
      </c>
      <c r="N5064" s="175"/>
      <c r="O5064" s="175"/>
      <c r="P5064" s="175" t="str">
        <f ca="1">IF(Proc[[#This Row],[DaysAgeing]]&gt;5,"yep","on track")</f>
        <v>on track</v>
      </c>
      <c r="Q5064" s="3">
        <f ca="1">IF(Proc[[#This Row],[DateClosed]]="",ABS(NETWORKDAYS(Proc[[#This Row],[DateOpened]],TODAY()))-1,ABS(NETWORKDAYS(Proc[[#This Row],[DateOpened]],Proc[[#This Row],[DateClosed]]))-1)</f>
        <v>4</v>
      </c>
      <c r="R5064" s="175" t="s">
        <v>489</v>
      </c>
      <c r="S5064" s="150"/>
    </row>
    <row r="5065" spans="1:19">
      <c r="A5065" s="149" t="s">
        <v>7304</v>
      </c>
      <c r="B5065" s="150" t="str">
        <f>IFERROR(VLOOKUP(Proc[[#This Row],[App]],Table2[],3,0),"open")</f>
        <v>ok</v>
      </c>
      <c r="C5065" s="149" t="s">
        <v>369</v>
      </c>
      <c r="D5065" t="s">
        <v>7306</v>
      </c>
      <c r="E5065" t="s">
        <v>7331</v>
      </c>
      <c r="F5065" s="150" t="str">
        <f>VLOOKUP(Proc[[#This Row],[Obj]],Sheet3!A:B,2,0)</f>
        <v>L000009635</v>
      </c>
      <c r="G5065" s="149" t="s">
        <v>400</v>
      </c>
      <c r="H5065" s="150" t="str">
        <f>IF(Proc[[#This Row],[type]]="LFF (MDG-F)",MID(Proc[[#This Row],[Obj]],13,10),"")</f>
        <v/>
      </c>
      <c r="J5065" s="150" t="b">
        <f>Proc[[#This Row],[Requested]]=Proc[[#This Row],[CurrentParent]]</f>
        <v>1</v>
      </c>
      <c r="K5065" s="150" t="str">
        <f>IF(Proc[[#This Row],[Author]]="Marcela Urrego",VLOOKUP(LEFT(Proc[[#This Row],[Requested]],1),Table3[#All],2,0),VLOOKUP(Proc[[#This Row],[Author]],Table4[],2,0))</f>
        <v>LS</v>
      </c>
      <c r="L5065" s="150" t="s">
        <v>6435</v>
      </c>
      <c r="M5065" s="175">
        <v>45999</v>
      </c>
      <c r="N5065" s="175"/>
      <c r="O5065" s="175"/>
      <c r="P5065" s="175" t="str">
        <f ca="1">IF(Proc[[#This Row],[DaysAgeing]]&gt;5,"yep","on track")</f>
        <v>on track</v>
      </c>
      <c r="Q5065" s="3">
        <f ca="1">IF(Proc[[#This Row],[DateClosed]]="",ABS(NETWORKDAYS(Proc[[#This Row],[DateOpened]],TODAY()))-1,ABS(NETWORKDAYS(Proc[[#This Row],[DateOpened]],Proc[[#This Row],[DateClosed]]))-1)</f>
        <v>4</v>
      </c>
      <c r="R5065" s="175" t="s">
        <v>489</v>
      </c>
      <c r="S5065" s="150"/>
    </row>
    <row r="5066" spans="1:19">
      <c r="A5066" s="149" t="s">
        <v>7304</v>
      </c>
      <c r="B5066" s="150" t="str">
        <f>IFERROR(VLOOKUP(Proc[[#This Row],[App]],Table2[],3,0),"open")</f>
        <v>ok</v>
      </c>
      <c r="C5066" s="149" t="s">
        <v>369</v>
      </c>
      <c r="D5066" t="s">
        <v>7307</v>
      </c>
      <c r="E5066" t="s">
        <v>2776</v>
      </c>
      <c r="F5066" s="150" t="str">
        <f>VLOOKUP(Proc[[#This Row],[Obj]],Sheet3!A:B,2,0)</f>
        <v>L000013359</v>
      </c>
      <c r="G5066" s="149" t="s">
        <v>400</v>
      </c>
      <c r="H5066" s="150" t="str">
        <f>IF(Proc[[#This Row],[type]]="LFF (MDG-F)",MID(Proc[[#This Row],[Obj]],13,10),"")</f>
        <v/>
      </c>
      <c r="J5066" s="150" t="b">
        <f>Proc[[#This Row],[Requested]]=Proc[[#This Row],[CurrentParent]]</f>
        <v>1</v>
      </c>
      <c r="K5066" s="150" t="str">
        <f>IF(Proc[[#This Row],[Author]]="Marcela Urrego",VLOOKUP(LEFT(Proc[[#This Row],[Requested]],1),Table3[#All],2,0),VLOOKUP(Proc[[#This Row],[Author]],Table4[],2,0))</f>
        <v>LS</v>
      </c>
      <c r="L5066" s="150" t="s">
        <v>6435</v>
      </c>
      <c r="M5066" s="175">
        <v>45999</v>
      </c>
      <c r="N5066" s="175"/>
      <c r="O5066" s="175"/>
      <c r="P5066" s="175" t="str">
        <f ca="1">IF(Proc[[#This Row],[DaysAgeing]]&gt;5,"yep","on track")</f>
        <v>on track</v>
      </c>
      <c r="Q5066" s="3">
        <f ca="1">IF(Proc[[#This Row],[DateClosed]]="",ABS(NETWORKDAYS(Proc[[#This Row],[DateOpened]],TODAY()))-1,ABS(NETWORKDAYS(Proc[[#This Row],[DateOpened]],Proc[[#This Row],[DateClosed]]))-1)</f>
        <v>4</v>
      </c>
      <c r="R5066" s="175" t="s">
        <v>489</v>
      </c>
      <c r="S5066" s="150"/>
    </row>
    <row r="5067" spans="1:19">
      <c r="A5067" s="149" t="s">
        <v>7304</v>
      </c>
      <c r="B5067" s="150" t="str">
        <f>IFERROR(VLOOKUP(Proc[[#This Row],[App]],Table2[],3,0),"open")</f>
        <v>ok</v>
      </c>
      <c r="C5067" s="149" t="s">
        <v>369</v>
      </c>
      <c r="D5067" t="s">
        <v>7308</v>
      </c>
      <c r="E5067" t="s">
        <v>4890</v>
      </c>
      <c r="F5067" s="150" t="str">
        <f>VLOOKUP(Proc[[#This Row],[Obj]],Sheet3!A:B,2,0)</f>
        <v>L000010020</v>
      </c>
      <c r="G5067" s="149" t="s">
        <v>400</v>
      </c>
      <c r="H5067" s="150" t="str">
        <f>IF(Proc[[#This Row],[type]]="LFF (MDG-F)",MID(Proc[[#This Row],[Obj]],13,10),"")</f>
        <v/>
      </c>
      <c r="J5067" s="150" t="b">
        <f>Proc[[#This Row],[Requested]]=Proc[[#This Row],[CurrentParent]]</f>
        <v>1</v>
      </c>
      <c r="K5067" s="150" t="str">
        <f>IF(Proc[[#This Row],[Author]]="Marcela Urrego",VLOOKUP(LEFT(Proc[[#This Row],[Requested]],1),Table3[#All],2,0),VLOOKUP(Proc[[#This Row],[Author]],Table4[],2,0))</f>
        <v>LS</v>
      </c>
      <c r="L5067" s="150" t="s">
        <v>6435</v>
      </c>
      <c r="M5067" s="175">
        <v>45999</v>
      </c>
      <c r="N5067" s="175"/>
      <c r="O5067" s="175"/>
      <c r="P5067" s="175" t="str">
        <f ca="1">IF(Proc[[#This Row],[DaysAgeing]]&gt;5,"yep","on track")</f>
        <v>on track</v>
      </c>
      <c r="Q5067" s="3">
        <f ca="1">IF(Proc[[#This Row],[DateClosed]]="",ABS(NETWORKDAYS(Proc[[#This Row],[DateOpened]],TODAY()))-1,ABS(NETWORKDAYS(Proc[[#This Row],[DateOpened]],Proc[[#This Row],[DateClosed]]))-1)</f>
        <v>4</v>
      </c>
      <c r="R5067" s="175" t="s">
        <v>489</v>
      </c>
      <c r="S5067" s="150"/>
    </row>
    <row r="5068" spans="1:19">
      <c r="A5068" s="149" t="s">
        <v>7304</v>
      </c>
      <c r="B5068" s="150" t="str">
        <f>IFERROR(VLOOKUP(Proc[[#This Row],[App]],Table2[],3,0),"open")</f>
        <v>ok</v>
      </c>
      <c r="C5068" s="149" t="s">
        <v>369</v>
      </c>
      <c r="D5068" t="s">
        <v>7309</v>
      </c>
      <c r="E5068" t="s">
        <v>2206</v>
      </c>
      <c r="F5068" s="150" t="str">
        <f>VLOOKUP(Proc[[#This Row],[Obj]],Sheet3!A:B,2,0)</f>
        <v>L000010037</v>
      </c>
      <c r="G5068" s="149" t="s">
        <v>400</v>
      </c>
      <c r="H5068" s="150" t="str">
        <f>IF(Proc[[#This Row],[type]]="LFF (MDG-F)",MID(Proc[[#This Row],[Obj]],13,10),"")</f>
        <v/>
      </c>
      <c r="J5068" s="150" t="b">
        <f>Proc[[#This Row],[Requested]]=Proc[[#This Row],[CurrentParent]]</f>
        <v>1</v>
      </c>
      <c r="K5068" s="150" t="str">
        <f>IF(Proc[[#This Row],[Author]]="Marcela Urrego",VLOOKUP(LEFT(Proc[[#This Row],[Requested]],1),Table3[#All],2,0),VLOOKUP(Proc[[#This Row],[Author]],Table4[],2,0))</f>
        <v>LS</v>
      </c>
      <c r="L5068" s="150" t="s">
        <v>6435</v>
      </c>
      <c r="M5068" s="175">
        <v>45999</v>
      </c>
      <c r="N5068" s="175"/>
      <c r="O5068" s="175"/>
      <c r="P5068" s="175" t="str">
        <f ca="1">IF(Proc[[#This Row],[DaysAgeing]]&gt;5,"yep","on track")</f>
        <v>on track</v>
      </c>
      <c r="Q5068" s="3">
        <f ca="1">IF(Proc[[#This Row],[DateClosed]]="",ABS(NETWORKDAYS(Proc[[#This Row],[DateOpened]],TODAY()))-1,ABS(NETWORKDAYS(Proc[[#This Row],[DateOpened]],Proc[[#This Row],[DateClosed]]))-1)</f>
        <v>4</v>
      </c>
      <c r="R5068" s="175" t="s">
        <v>489</v>
      </c>
      <c r="S5068" s="150"/>
    </row>
    <row r="5069" spans="1:19">
      <c r="A5069" s="149" t="s">
        <v>7304</v>
      </c>
      <c r="B5069" s="150" t="str">
        <f>IFERROR(VLOOKUP(Proc[[#This Row],[App]],Table2[],3,0),"open")</f>
        <v>ok</v>
      </c>
      <c r="C5069" s="149" t="s">
        <v>369</v>
      </c>
      <c r="D5069" t="s">
        <v>7310</v>
      </c>
      <c r="E5069" t="s">
        <v>7332</v>
      </c>
      <c r="F5069" s="150" t="str">
        <f>VLOOKUP(Proc[[#This Row],[Obj]],Sheet3!A:B,2,0)</f>
        <v>L000005341</v>
      </c>
      <c r="G5069" s="149" t="s">
        <v>400</v>
      </c>
      <c r="H5069" s="150" t="str">
        <f>IF(Proc[[#This Row],[type]]="LFF (MDG-F)",MID(Proc[[#This Row],[Obj]],13,10),"")</f>
        <v/>
      </c>
      <c r="J5069" s="150" t="b">
        <f>Proc[[#This Row],[Requested]]=Proc[[#This Row],[CurrentParent]]</f>
        <v>1</v>
      </c>
      <c r="K5069" s="150" t="str">
        <f>IF(Proc[[#This Row],[Author]]="Marcela Urrego",VLOOKUP(LEFT(Proc[[#This Row],[Requested]],1),Table3[#All],2,0),VLOOKUP(Proc[[#This Row],[Author]],Table4[],2,0))</f>
        <v>LS</v>
      </c>
      <c r="L5069" s="150" t="s">
        <v>6435</v>
      </c>
      <c r="M5069" s="175">
        <v>45999</v>
      </c>
      <c r="N5069" s="175"/>
      <c r="O5069" s="175"/>
      <c r="P5069" s="175" t="str">
        <f ca="1">IF(Proc[[#This Row],[DaysAgeing]]&gt;5,"yep","on track")</f>
        <v>on track</v>
      </c>
      <c r="Q5069" s="3">
        <f ca="1">IF(Proc[[#This Row],[DateClosed]]="",ABS(NETWORKDAYS(Proc[[#This Row],[DateOpened]],TODAY()))-1,ABS(NETWORKDAYS(Proc[[#This Row],[DateOpened]],Proc[[#This Row],[DateClosed]]))-1)</f>
        <v>4</v>
      </c>
      <c r="R5069" s="175" t="s">
        <v>489</v>
      </c>
      <c r="S5069" s="150"/>
    </row>
    <row r="5070" spans="1:19">
      <c r="A5070" s="149" t="s">
        <v>7304</v>
      </c>
      <c r="B5070" s="150" t="str">
        <f>IFERROR(VLOOKUP(Proc[[#This Row],[App]],Table2[],3,0),"open")</f>
        <v>ok</v>
      </c>
      <c r="C5070" s="149" t="s">
        <v>369</v>
      </c>
      <c r="D5070" t="s">
        <v>7311</v>
      </c>
      <c r="E5070" t="s">
        <v>7333</v>
      </c>
      <c r="F5070" s="150" t="str">
        <f>VLOOKUP(Proc[[#This Row],[Obj]],Sheet3!A:B,2,0)</f>
        <v>L000007080</v>
      </c>
      <c r="G5070" s="149" t="s">
        <v>400</v>
      </c>
      <c r="H5070" s="150" t="str">
        <f>IF(Proc[[#This Row],[type]]="LFF (MDG-F)",MID(Proc[[#This Row],[Obj]],13,10),"")</f>
        <v/>
      </c>
      <c r="J5070" s="150" t="b">
        <f>Proc[[#This Row],[Requested]]=Proc[[#This Row],[CurrentParent]]</f>
        <v>1</v>
      </c>
      <c r="K5070" s="150" t="str">
        <f>IF(Proc[[#This Row],[Author]]="Marcela Urrego",VLOOKUP(LEFT(Proc[[#This Row],[Requested]],1),Table3[#All],2,0),VLOOKUP(Proc[[#This Row],[Author]],Table4[],2,0))</f>
        <v>LS</v>
      </c>
      <c r="L5070" s="150" t="s">
        <v>6435</v>
      </c>
      <c r="M5070" s="175">
        <v>45999</v>
      </c>
      <c r="N5070" s="175"/>
      <c r="O5070" s="175"/>
      <c r="P5070" s="175" t="str">
        <f ca="1">IF(Proc[[#This Row],[DaysAgeing]]&gt;5,"yep","on track")</f>
        <v>on track</v>
      </c>
      <c r="Q5070" s="3">
        <f ca="1">IF(Proc[[#This Row],[DateClosed]]="",ABS(NETWORKDAYS(Proc[[#This Row],[DateOpened]],TODAY()))-1,ABS(NETWORKDAYS(Proc[[#This Row],[DateOpened]],Proc[[#This Row],[DateClosed]]))-1)</f>
        <v>4</v>
      </c>
      <c r="R5070" s="175" t="s">
        <v>489</v>
      </c>
      <c r="S5070" s="150"/>
    </row>
    <row r="5071" spans="1:19">
      <c r="A5071" s="149" t="s">
        <v>7304</v>
      </c>
      <c r="B5071" s="150" t="str">
        <f>IFERROR(VLOOKUP(Proc[[#This Row],[App]],Table2[],3,0),"open")</f>
        <v>ok</v>
      </c>
      <c r="C5071" s="149" t="s">
        <v>369</v>
      </c>
      <c r="D5071" t="s">
        <v>7312</v>
      </c>
      <c r="E5071" t="s">
        <v>7334</v>
      </c>
      <c r="F5071" s="150" t="str">
        <f>VLOOKUP(Proc[[#This Row],[Obj]],Sheet3!A:B,2,0)</f>
        <v>L000013317</v>
      </c>
      <c r="G5071" s="149" t="s">
        <v>400</v>
      </c>
      <c r="H5071" s="150" t="str">
        <f>IF(Proc[[#This Row],[type]]="LFF (MDG-F)",MID(Proc[[#This Row],[Obj]],13,10),"")</f>
        <v/>
      </c>
      <c r="J5071" s="150" t="b">
        <f>Proc[[#This Row],[Requested]]=Proc[[#This Row],[CurrentParent]]</f>
        <v>1</v>
      </c>
      <c r="K5071" s="150" t="str">
        <f>IF(Proc[[#This Row],[Author]]="Marcela Urrego",VLOOKUP(LEFT(Proc[[#This Row],[Requested]],1),Table3[#All],2,0),VLOOKUP(Proc[[#This Row],[Author]],Table4[],2,0))</f>
        <v>LS</v>
      </c>
      <c r="L5071" s="150" t="s">
        <v>6435</v>
      </c>
      <c r="M5071" s="175">
        <v>45999</v>
      </c>
      <c r="N5071" s="175"/>
      <c r="O5071" s="175"/>
      <c r="P5071" s="175" t="str">
        <f ca="1">IF(Proc[[#This Row],[DaysAgeing]]&gt;5,"yep","on track")</f>
        <v>on track</v>
      </c>
      <c r="Q5071" s="3">
        <f ca="1">IF(Proc[[#This Row],[DateClosed]]="",ABS(NETWORKDAYS(Proc[[#This Row],[DateOpened]],TODAY()))-1,ABS(NETWORKDAYS(Proc[[#This Row],[DateOpened]],Proc[[#This Row],[DateClosed]]))-1)</f>
        <v>4</v>
      </c>
      <c r="R5071" s="175" t="s">
        <v>489</v>
      </c>
      <c r="S5071" s="150"/>
    </row>
    <row r="5072" spans="1:19">
      <c r="A5072" s="149" t="s">
        <v>7304</v>
      </c>
      <c r="B5072" s="150" t="str">
        <f>IFERROR(VLOOKUP(Proc[[#This Row],[App]],Table2[],3,0),"open")</f>
        <v>ok</v>
      </c>
      <c r="C5072" s="149" t="s">
        <v>369</v>
      </c>
      <c r="D5072" t="s">
        <v>7313</v>
      </c>
      <c r="E5072" t="s">
        <v>7335</v>
      </c>
      <c r="F5072" s="150" t="str">
        <f>VLOOKUP(Proc[[#This Row],[Obj]],Sheet3!A:B,2,0)</f>
        <v>L000013227</v>
      </c>
      <c r="G5072" s="149" t="s">
        <v>400</v>
      </c>
      <c r="H5072" s="150" t="str">
        <f>IF(Proc[[#This Row],[type]]="LFF (MDG-F)",MID(Proc[[#This Row],[Obj]],13,10),"")</f>
        <v/>
      </c>
      <c r="J5072" s="150" t="b">
        <f>Proc[[#This Row],[Requested]]=Proc[[#This Row],[CurrentParent]]</f>
        <v>1</v>
      </c>
      <c r="K5072" s="150" t="str">
        <f>IF(Proc[[#This Row],[Author]]="Marcela Urrego",VLOOKUP(LEFT(Proc[[#This Row],[Requested]],1),Table3[#All],2,0),VLOOKUP(Proc[[#This Row],[Author]],Table4[],2,0))</f>
        <v>LS</v>
      </c>
      <c r="L5072" s="150" t="s">
        <v>6435</v>
      </c>
      <c r="M5072" s="175">
        <v>45999</v>
      </c>
      <c r="N5072" s="175"/>
      <c r="O5072" s="175"/>
      <c r="P5072" s="175" t="str">
        <f ca="1">IF(Proc[[#This Row],[DaysAgeing]]&gt;5,"yep","on track")</f>
        <v>on track</v>
      </c>
      <c r="Q5072" s="3">
        <f ca="1">IF(Proc[[#This Row],[DateClosed]]="",ABS(NETWORKDAYS(Proc[[#This Row],[DateOpened]],TODAY()))-1,ABS(NETWORKDAYS(Proc[[#This Row],[DateOpened]],Proc[[#This Row],[DateClosed]]))-1)</f>
        <v>4</v>
      </c>
      <c r="R5072" s="175" t="s">
        <v>489</v>
      </c>
      <c r="S5072" s="150"/>
    </row>
    <row r="5073" spans="1:19">
      <c r="A5073" s="149" t="s">
        <v>7304</v>
      </c>
      <c r="B5073" s="150" t="str">
        <f>IFERROR(VLOOKUP(Proc[[#This Row],[App]],Table2[],3,0),"open")</f>
        <v>ok</v>
      </c>
      <c r="C5073" s="149" t="s">
        <v>369</v>
      </c>
      <c r="D5073" t="s">
        <v>7314</v>
      </c>
      <c r="E5073" t="s">
        <v>7336</v>
      </c>
      <c r="F5073" s="150" t="str">
        <f>VLOOKUP(Proc[[#This Row],[Obj]],Sheet3!A:B,2,0)</f>
        <v>L000011186</v>
      </c>
      <c r="G5073" s="149" t="s">
        <v>400</v>
      </c>
      <c r="H5073" s="150" t="str">
        <f>IF(Proc[[#This Row],[type]]="LFF (MDG-F)",MID(Proc[[#This Row],[Obj]],13,10),"")</f>
        <v/>
      </c>
      <c r="J5073" s="150" t="b">
        <f>Proc[[#This Row],[Requested]]=Proc[[#This Row],[CurrentParent]]</f>
        <v>1</v>
      </c>
      <c r="K5073" s="150" t="str">
        <f>IF(Proc[[#This Row],[Author]]="Marcela Urrego",VLOOKUP(LEFT(Proc[[#This Row],[Requested]],1),Table3[#All],2,0),VLOOKUP(Proc[[#This Row],[Author]],Table4[],2,0))</f>
        <v>LS</v>
      </c>
      <c r="L5073" s="150" t="s">
        <v>6435</v>
      </c>
      <c r="M5073" s="175">
        <v>45999</v>
      </c>
      <c r="N5073" s="175"/>
      <c r="O5073" s="175"/>
      <c r="P5073" s="175" t="str">
        <f ca="1">IF(Proc[[#This Row],[DaysAgeing]]&gt;5,"yep","on track")</f>
        <v>on track</v>
      </c>
      <c r="Q5073" s="3">
        <f ca="1">IF(Proc[[#This Row],[DateClosed]]="",ABS(NETWORKDAYS(Proc[[#This Row],[DateOpened]],TODAY()))-1,ABS(NETWORKDAYS(Proc[[#This Row],[DateOpened]],Proc[[#This Row],[DateClosed]]))-1)</f>
        <v>4</v>
      </c>
      <c r="R5073" s="175" t="s">
        <v>489</v>
      </c>
      <c r="S5073" s="150"/>
    </row>
    <row r="5074" spans="1:19">
      <c r="A5074" s="149" t="s">
        <v>7304</v>
      </c>
      <c r="B5074" s="150" t="str">
        <f>IFERROR(VLOOKUP(Proc[[#This Row],[App]],Table2[],3,0),"open")</f>
        <v>ok</v>
      </c>
      <c r="C5074" s="149" t="s">
        <v>369</v>
      </c>
      <c r="D5074" t="s">
        <v>7315</v>
      </c>
      <c r="E5074" t="s">
        <v>7336</v>
      </c>
      <c r="F5074" s="150" t="str">
        <f>VLOOKUP(Proc[[#This Row],[Obj]],Sheet3!A:B,2,0)</f>
        <v>L000011186</v>
      </c>
      <c r="G5074" s="149" t="s">
        <v>400</v>
      </c>
      <c r="H5074" s="150" t="str">
        <f>IF(Proc[[#This Row],[type]]="LFF (MDG-F)",MID(Proc[[#This Row],[Obj]],13,10),"")</f>
        <v/>
      </c>
      <c r="J5074" s="150" t="b">
        <f>Proc[[#This Row],[Requested]]=Proc[[#This Row],[CurrentParent]]</f>
        <v>1</v>
      </c>
      <c r="K5074" s="150" t="str">
        <f>IF(Proc[[#This Row],[Author]]="Marcela Urrego",VLOOKUP(LEFT(Proc[[#This Row],[Requested]],1),Table3[#All],2,0),VLOOKUP(Proc[[#This Row],[Author]],Table4[],2,0))</f>
        <v>LS</v>
      </c>
      <c r="L5074" s="150" t="s">
        <v>6435</v>
      </c>
      <c r="M5074" s="175">
        <v>45999</v>
      </c>
      <c r="N5074" s="175"/>
      <c r="O5074" s="175"/>
      <c r="P5074" s="175" t="str">
        <f ca="1">IF(Proc[[#This Row],[DaysAgeing]]&gt;5,"yep","on track")</f>
        <v>on track</v>
      </c>
      <c r="Q5074" s="3">
        <f ca="1">IF(Proc[[#This Row],[DateClosed]]="",ABS(NETWORKDAYS(Proc[[#This Row],[DateOpened]],TODAY()))-1,ABS(NETWORKDAYS(Proc[[#This Row],[DateOpened]],Proc[[#This Row],[DateClosed]]))-1)</f>
        <v>4</v>
      </c>
      <c r="R5074" s="175" t="s">
        <v>489</v>
      </c>
      <c r="S5074" s="150"/>
    </row>
    <row r="5075" spans="1:19">
      <c r="A5075" s="149" t="s">
        <v>7304</v>
      </c>
      <c r="B5075" s="150" t="str">
        <f>IFERROR(VLOOKUP(Proc[[#This Row],[App]],Table2[],3,0),"open")</f>
        <v>ok</v>
      </c>
      <c r="C5075" s="149" t="s">
        <v>369</v>
      </c>
      <c r="D5075" t="s">
        <v>7316</v>
      </c>
      <c r="E5075" t="s">
        <v>7337</v>
      </c>
      <c r="F5075" s="150" t="str">
        <f>VLOOKUP(Proc[[#This Row],[Obj]],Sheet3!A:B,2,0)</f>
        <v>L000011185</v>
      </c>
      <c r="G5075" s="149" t="s">
        <v>400</v>
      </c>
      <c r="H5075" s="150" t="str">
        <f>IF(Proc[[#This Row],[type]]="LFF (MDG-F)",MID(Proc[[#This Row],[Obj]],13,10),"")</f>
        <v/>
      </c>
      <c r="J5075" s="150" t="b">
        <f>Proc[[#This Row],[Requested]]=Proc[[#This Row],[CurrentParent]]</f>
        <v>1</v>
      </c>
      <c r="K5075" s="150" t="str">
        <f>IF(Proc[[#This Row],[Author]]="Marcela Urrego",VLOOKUP(LEFT(Proc[[#This Row],[Requested]],1),Table3[#All],2,0),VLOOKUP(Proc[[#This Row],[Author]],Table4[],2,0))</f>
        <v>LS</v>
      </c>
      <c r="L5075" s="150" t="s">
        <v>6435</v>
      </c>
      <c r="M5075" s="175">
        <v>45999</v>
      </c>
      <c r="N5075" s="175"/>
      <c r="O5075" s="175"/>
      <c r="P5075" s="175" t="str">
        <f ca="1">IF(Proc[[#This Row],[DaysAgeing]]&gt;5,"yep","on track")</f>
        <v>on track</v>
      </c>
      <c r="Q5075" s="3">
        <f ca="1">IF(Proc[[#This Row],[DateClosed]]="",ABS(NETWORKDAYS(Proc[[#This Row],[DateOpened]],TODAY()))-1,ABS(NETWORKDAYS(Proc[[#This Row],[DateOpened]],Proc[[#This Row],[DateClosed]]))-1)</f>
        <v>4</v>
      </c>
      <c r="R5075" s="175" t="s">
        <v>489</v>
      </c>
      <c r="S5075" s="150"/>
    </row>
    <row r="5076" spans="1:19">
      <c r="A5076" s="149" t="s">
        <v>7304</v>
      </c>
      <c r="B5076" s="150" t="str">
        <f>IFERROR(VLOOKUP(Proc[[#This Row],[App]],Table2[],3,0),"open")</f>
        <v>ok</v>
      </c>
      <c r="C5076" s="149" t="s">
        <v>369</v>
      </c>
      <c r="D5076" t="s">
        <v>7317</v>
      </c>
      <c r="E5076" t="s">
        <v>7337</v>
      </c>
      <c r="F5076" s="150" t="str">
        <f>VLOOKUP(Proc[[#This Row],[Obj]],Sheet3!A:B,2,0)</f>
        <v>L000011185</v>
      </c>
      <c r="G5076" s="149" t="s">
        <v>400</v>
      </c>
      <c r="H5076" s="150" t="str">
        <f>IF(Proc[[#This Row],[type]]="LFF (MDG-F)",MID(Proc[[#This Row],[Obj]],13,10),"")</f>
        <v/>
      </c>
      <c r="J5076" s="150" t="b">
        <f>Proc[[#This Row],[Requested]]=Proc[[#This Row],[CurrentParent]]</f>
        <v>1</v>
      </c>
      <c r="K5076" s="150" t="str">
        <f>IF(Proc[[#This Row],[Author]]="Marcela Urrego",VLOOKUP(LEFT(Proc[[#This Row],[Requested]],1),Table3[#All],2,0),VLOOKUP(Proc[[#This Row],[Author]],Table4[],2,0))</f>
        <v>LS</v>
      </c>
      <c r="L5076" s="150" t="s">
        <v>6435</v>
      </c>
      <c r="M5076" s="175">
        <v>45999</v>
      </c>
      <c r="N5076" s="175"/>
      <c r="O5076" s="175"/>
      <c r="P5076" s="175" t="str">
        <f ca="1">IF(Proc[[#This Row],[DaysAgeing]]&gt;5,"yep","on track")</f>
        <v>on track</v>
      </c>
      <c r="Q5076" s="3">
        <f ca="1">IF(Proc[[#This Row],[DateClosed]]="",ABS(NETWORKDAYS(Proc[[#This Row],[DateOpened]],TODAY()))-1,ABS(NETWORKDAYS(Proc[[#This Row],[DateOpened]],Proc[[#This Row],[DateClosed]]))-1)</f>
        <v>4</v>
      </c>
      <c r="R5076" s="175" t="s">
        <v>489</v>
      </c>
      <c r="S5076" s="150"/>
    </row>
    <row r="5077" spans="1:19">
      <c r="A5077" s="149" t="s">
        <v>7304</v>
      </c>
      <c r="B5077" s="150" t="str">
        <f>IFERROR(VLOOKUP(Proc[[#This Row],[App]],Table2[],3,0),"open")</f>
        <v>ok</v>
      </c>
      <c r="C5077" s="149" t="s">
        <v>369</v>
      </c>
      <c r="D5077" t="s">
        <v>7318</v>
      </c>
      <c r="E5077" t="s">
        <v>6956</v>
      </c>
      <c r="F5077" s="150" t="str">
        <f>VLOOKUP(Proc[[#This Row],[Obj]],Sheet3!A:B,2,0)</f>
        <v>L000013915</v>
      </c>
      <c r="G5077" s="149" t="s">
        <v>400</v>
      </c>
      <c r="H5077" s="150" t="str">
        <f>IF(Proc[[#This Row],[type]]="LFF (MDG-F)",MID(Proc[[#This Row],[Obj]],13,10),"")</f>
        <v/>
      </c>
      <c r="J5077" s="150" t="b">
        <f>Proc[[#This Row],[Requested]]=Proc[[#This Row],[CurrentParent]]</f>
        <v>1</v>
      </c>
      <c r="K5077" s="150" t="str">
        <f>IF(Proc[[#This Row],[Author]]="Marcela Urrego",VLOOKUP(LEFT(Proc[[#This Row],[Requested]],1),Table3[#All],2,0),VLOOKUP(Proc[[#This Row],[Author]],Table4[],2,0))</f>
        <v>LS</v>
      </c>
      <c r="L5077" s="150" t="s">
        <v>6435</v>
      </c>
      <c r="M5077" s="175">
        <v>45999</v>
      </c>
      <c r="N5077" s="175"/>
      <c r="O5077" s="175"/>
      <c r="P5077" s="175" t="str">
        <f ca="1">IF(Proc[[#This Row],[DaysAgeing]]&gt;5,"yep","on track")</f>
        <v>on track</v>
      </c>
      <c r="Q5077" s="3">
        <f ca="1">IF(Proc[[#This Row],[DateClosed]]="",ABS(NETWORKDAYS(Proc[[#This Row],[DateOpened]],TODAY()))-1,ABS(NETWORKDAYS(Proc[[#This Row],[DateOpened]],Proc[[#This Row],[DateClosed]]))-1)</f>
        <v>4</v>
      </c>
      <c r="R5077" s="175" t="s">
        <v>489</v>
      </c>
      <c r="S5077" s="150"/>
    </row>
    <row r="5078" spans="1:19">
      <c r="A5078" s="149" t="s">
        <v>7304</v>
      </c>
      <c r="B5078" s="150" t="str">
        <f>IFERROR(VLOOKUP(Proc[[#This Row],[App]],Table2[],3,0),"open")</f>
        <v>ok</v>
      </c>
      <c r="C5078" s="149" t="s">
        <v>369</v>
      </c>
      <c r="D5078" t="s">
        <v>7319</v>
      </c>
      <c r="E5078" t="s">
        <v>7338</v>
      </c>
      <c r="F5078" s="150" t="str">
        <f>VLOOKUP(Proc[[#This Row],[Obj]],Sheet3!A:B,2,0)</f>
        <v>L000009119</v>
      </c>
      <c r="G5078" s="149" t="s">
        <v>400</v>
      </c>
      <c r="H5078" s="150" t="str">
        <f>IF(Proc[[#This Row],[type]]="LFF (MDG-F)",MID(Proc[[#This Row],[Obj]],13,10),"")</f>
        <v/>
      </c>
      <c r="J5078" s="150" t="b">
        <f>Proc[[#This Row],[Requested]]=Proc[[#This Row],[CurrentParent]]</f>
        <v>1</v>
      </c>
      <c r="K5078" s="150" t="str">
        <f>IF(Proc[[#This Row],[Author]]="Marcela Urrego",VLOOKUP(LEFT(Proc[[#This Row],[Requested]],1),Table3[#All],2,0),VLOOKUP(Proc[[#This Row],[Author]],Table4[],2,0))</f>
        <v>LS</v>
      </c>
      <c r="L5078" s="150" t="s">
        <v>6435</v>
      </c>
      <c r="M5078" s="175">
        <v>45999</v>
      </c>
      <c r="N5078" s="175"/>
      <c r="O5078" s="175"/>
      <c r="P5078" s="175" t="str">
        <f ca="1">IF(Proc[[#This Row],[DaysAgeing]]&gt;5,"yep","on track")</f>
        <v>on track</v>
      </c>
      <c r="Q5078" s="3">
        <f ca="1">IF(Proc[[#This Row],[DateClosed]]="",ABS(NETWORKDAYS(Proc[[#This Row],[DateOpened]],TODAY()))-1,ABS(NETWORKDAYS(Proc[[#This Row],[DateOpened]],Proc[[#This Row],[DateClosed]]))-1)</f>
        <v>4</v>
      </c>
      <c r="R5078" s="175" t="s">
        <v>489</v>
      </c>
      <c r="S5078" s="150"/>
    </row>
    <row r="5079" spans="1:19">
      <c r="A5079" s="149" t="s">
        <v>7304</v>
      </c>
      <c r="B5079" s="150" t="str">
        <f>IFERROR(VLOOKUP(Proc[[#This Row],[App]],Table2[],3,0),"open")</f>
        <v>ok</v>
      </c>
      <c r="C5079" s="149" t="s">
        <v>369</v>
      </c>
      <c r="D5079" t="s">
        <v>7320</v>
      </c>
      <c r="E5079" t="s">
        <v>7338</v>
      </c>
      <c r="F5079" s="150" t="str">
        <f>VLOOKUP(Proc[[#This Row],[Obj]],Sheet3!A:B,2,0)</f>
        <v>L000009119</v>
      </c>
      <c r="G5079" s="149" t="s">
        <v>400</v>
      </c>
      <c r="H5079" s="150" t="str">
        <f>IF(Proc[[#This Row],[type]]="LFF (MDG-F)",MID(Proc[[#This Row],[Obj]],13,10),"")</f>
        <v/>
      </c>
      <c r="J5079" s="150" t="b">
        <f>Proc[[#This Row],[Requested]]=Proc[[#This Row],[CurrentParent]]</f>
        <v>1</v>
      </c>
      <c r="K5079" s="150" t="str">
        <f>IF(Proc[[#This Row],[Author]]="Marcela Urrego",VLOOKUP(LEFT(Proc[[#This Row],[Requested]],1),Table3[#All],2,0),VLOOKUP(Proc[[#This Row],[Author]],Table4[],2,0))</f>
        <v>LS</v>
      </c>
      <c r="L5079" s="150" t="s">
        <v>6435</v>
      </c>
      <c r="M5079" s="175">
        <v>45999</v>
      </c>
      <c r="N5079" s="175"/>
      <c r="O5079" s="175"/>
      <c r="P5079" s="175" t="str">
        <f ca="1">IF(Proc[[#This Row],[DaysAgeing]]&gt;5,"yep","on track")</f>
        <v>on track</v>
      </c>
      <c r="Q5079" s="3">
        <f ca="1">IF(Proc[[#This Row],[DateClosed]]="",ABS(NETWORKDAYS(Proc[[#This Row],[DateOpened]],TODAY()))-1,ABS(NETWORKDAYS(Proc[[#This Row],[DateOpened]],Proc[[#This Row],[DateClosed]]))-1)</f>
        <v>4</v>
      </c>
      <c r="R5079" s="175" t="s">
        <v>489</v>
      </c>
      <c r="S5079" s="150"/>
    </row>
    <row r="5080" spans="1:19">
      <c r="A5080" s="149" t="s">
        <v>7304</v>
      </c>
      <c r="B5080" s="150" t="str">
        <f>IFERROR(VLOOKUP(Proc[[#This Row],[App]],Table2[],3,0),"open")</f>
        <v>ok</v>
      </c>
      <c r="C5080" s="149" t="s">
        <v>369</v>
      </c>
      <c r="D5080" t="s">
        <v>7321</v>
      </c>
      <c r="E5080" t="s">
        <v>7338</v>
      </c>
      <c r="F5080" s="150" t="str">
        <f>VLOOKUP(Proc[[#This Row],[Obj]],Sheet3!A:B,2,0)</f>
        <v>L000009119</v>
      </c>
      <c r="G5080" s="149" t="s">
        <v>400</v>
      </c>
      <c r="H5080" s="150" t="str">
        <f>IF(Proc[[#This Row],[type]]="LFF (MDG-F)",MID(Proc[[#This Row],[Obj]],13,10),"")</f>
        <v/>
      </c>
      <c r="J5080" s="150" t="b">
        <f>Proc[[#This Row],[Requested]]=Proc[[#This Row],[CurrentParent]]</f>
        <v>1</v>
      </c>
      <c r="K5080" s="150" t="str">
        <f>IF(Proc[[#This Row],[Author]]="Marcela Urrego",VLOOKUP(LEFT(Proc[[#This Row],[Requested]],1),Table3[#All],2,0),VLOOKUP(Proc[[#This Row],[Author]],Table4[],2,0))</f>
        <v>LS</v>
      </c>
      <c r="L5080" s="150" t="s">
        <v>6435</v>
      </c>
      <c r="M5080" s="175">
        <v>45999</v>
      </c>
      <c r="N5080" s="175"/>
      <c r="O5080" s="175"/>
      <c r="P5080" s="175" t="str">
        <f ca="1">IF(Proc[[#This Row],[DaysAgeing]]&gt;5,"yep","on track")</f>
        <v>on track</v>
      </c>
      <c r="Q5080" s="3">
        <f ca="1">IF(Proc[[#This Row],[DateClosed]]="",ABS(NETWORKDAYS(Proc[[#This Row],[DateOpened]],TODAY()))-1,ABS(NETWORKDAYS(Proc[[#This Row],[DateOpened]],Proc[[#This Row],[DateClosed]]))-1)</f>
        <v>4</v>
      </c>
      <c r="R5080" s="175" t="s">
        <v>489</v>
      </c>
      <c r="S5080" s="150"/>
    </row>
    <row r="5081" spans="1:19">
      <c r="A5081" s="149" t="s">
        <v>7304</v>
      </c>
      <c r="B5081" s="150" t="str">
        <f>IFERROR(VLOOKUP(Proc[[#This Row],[App]],Table2[],3,0),"open")</f>
        <v>ok</v>
      </c>
      <c r="C5081" s="149" t="s">
        <v>369</v>
      </c>
      <c r="D5081" t="s">
        <v>7322</v>
      </c>
      <c r="E5081" t="s">
        <v>7338</v>
      </c>
      <c r="F5081" s="150" t="str">
        <f>VLOOKUP(Proc[[#This Row],[Obj]],Sheet3!A:B,2,0)</f>
        <v>L000009119</v>
      </c>
      <c r="G5081" s="149" t="s">
        <v>400</v>
      </c>
      <c r="H5081" s="150" t="str">
        <f>IF(Proc[[#This Row],[type]]="LFF (MDG-F)",MID(Proc[[#This Row],[Obj]],13,10),"")</f>
        <v/>
      </c>
      <c r="J5081" s="150" t="b">
        <f>Proc[[#This Row],[Requested]]=Proc[[#This Row],[CurrentParent]]</f>
        <v>1</v>
      </c>
      <c r="K5081" s="150" t="str">
        <f>IF(Proc[[#This Row],[Author]]="Marcela Urrego",VLOOKUP(LEFT(Proc[[#This Row],[Requested]],1),Table3[#All],2,0),VLOOKUP(Proc[[#This Row],[Author]],Table4[],2,0))</f>
        <v>LS</v>
      </c>
      <c r="L5081" s="150" t="s">
        <v>6435</v>
      </c>
      <c r="M5081" s="175">
        <v>45999</v>
      </c>
      <c r="N5081" s="175"/>
      <c r="O5081" s="175"/>
      <c r="P5081" s="175" t="str">
        <f ca="1">IF(Proc[[#This Row],[DaysAgeing]]&gt;5,"yep","on track")</f>
        <v>on track</v>
      </c>
      <c r="Q5081" s="3">
        <f ca="1">IF(Proc[[#This Row],[DateClosed]]="",ABS(NETWORKDAYS(Proc[[#This Row],[DateOpened]],TODAY()))-1,ABS(NETWORKDAYS(Proc[[#This Row],[DateOpened]],Proc[[#This Row],[DateClosed]]))-1)</f>
        <v>4</v>
      </c>
      <c r="R5081" s="175" t="s">
        <v>489</v>
      </c>
      <c r="S5081" s="150"/>
    </row>
    <row r="5082" spans="1:19">
      <c r="A5082" s="149" t="s">
        <v>7304</v>
      </c>
      <c r="B5082" s="150" t="str">
        <f>IFERROR(VLOOKUP(Proc[[#This Row],[App]],Table2[],3,0),"open")</f>
        <v>ok</v>
      </c>
      <c r="C5082" s="149" t="s">
        <v>369</v>
      </c>
      <c r="D5082" t="s">
        <v>7323</v>
      </c>
      <c r="E5082" t="s">
        <v>7338</v>
      </c>
      <c r="F5082" s="150" t="str">
        <f>VLOOKUP(Proc[[#This Row],[Obj]],Sheet3!A:B,2,0)</f>
        <v>L000009119</v>
      </c>
      <c r="G5082" s="149" t="s">
        <v>400</v>
      </c>
      <c r="H5082" s="150" t="str">
        <f>IF(Proc[[#This Row],[type]]="LFF (MDG-F)",MID(Proc[[#This Row],[Obj]],13,10),"")</f>
        <v/>
      </c>
      <c r="J5082" s="150" t="b">
        <f>Proc[[#This Row],[Requested]]=Proc[[#This Row],[CurrentParent]]</f>
        <v>1</v>
      </c>
      <c r="K5082" s="150" t="str">
        <f>IF(Proc[[#This Row],[Author]]="Marcela Urrego",VLOOKUP(LEFT(Proc[[#This Row],[Requested]],1),Table3[#All],2,0),VLOOKUP(Proc[[#This Row],[Author]],Table4[],2,0))</f>
        <v>LS</v>
      </c>
      <c r="L5082" s="150" t="s">
        <v>6435</v>
      </c>
      <c r="M5082" s="175">
        <v>45999</v>
      </c>
      <c r="N5082" s="175"/>
      <c r="O5082" s="175"/>
      <c r="P5082" s="175" t="str">
        <f ca="1">IF(Proc[[#This Row],[DaysAgeing]]&gt;5,"yep","on track")</f>
        <v>on track</v>
      </c>
      <c r="Q5082" s="3">
        <f ca="1">IF(Proc[[#This Row],[DateClosed]]="",ABS(NETWORKDAYS(Proc[[#This Row],[DateOpened]],TODAY()))-1,ABS(NETWORKDAYS(Proc[[#This Row],[DateOpened]],Proc[[#This Row],[DateClosed]]))-1)</f>
        <v>4</v>
      </c>
      <c r="R5082" s="175" t="s">
        <v>489</v>
      </c>
      <c r="S5082" s="150"/>
    </row>
    <row r="5083" spans="1:19">
      <c r="A5083" s="149" t="s">
        <v>7304</v>
      </c>
      <c r="B5083" s="150" t="str">
        <f>IFERROR(VLOOKUP(Proc[[#This Row],[App]],Table2[],3,0),"open")</f>
        <v>ok</v>
      </c>
      <c r="C5083" s="149" t="s">
        <v>369</v>
      </c>
      <c r="D5083" t="s">
        <v>7324</v>
      </c>
      <c r="E5083" t="s">
        <v>7338</v>
      </c>
      <c r="F5083" s="150" t="str">
        <f>VLOOKUP(Proc[[#This Row],[Obj]],Sheet3!A:B,2,0)</f>
        <v>L000009119</v>
      </c>
      <c r="G5083" s="149" t="s">
        <v>400</v>
      </c>
      <c r="H5083" s="150" t="str">
        <f>IF(Proc[[#This Row],[type]]="LFF (MDG-F)",MID(Proc[[#This Row],[Obj]],13,10),"")</f>
        <v/>
      </c>
      <c r="J5083" s="150" t="b">
        <f>Proc[[#This Row],[Requested]]=Proc[[#This Row],[CurrentParent]]</f>
        <v>1</v>
      </c>
      <c r="K5083" s="150" t="str">
        <f>IF(Proc[[#This Row],[Author]]="Marcela Urrego",VLOOKUP(LEFT(Proc[[#This Row],[Requested]],1),Table3[#All],2,0),VLOOKUP(Proc[[#This Row],[Author]],Table4[],2,0))</f>
        <v>LS</v>
      </c>
      <c r="L5083" s="150" t="s">
        <v>6435</v>
      </c>
      <c r="M5083" s="175">
        <v>45999</v>
      </c>
      <c r="N5083" s="175"/>
      <c r="O5083" s="175"/>
      <c r="P5083" s="175" t="str">
        <f ca="1">IF(Proc[[#This Row],[DaysAgeing]]&gt;5,"yep","on track")</f>
        <v>on track</v>
      </c>
      <c r="Q5083" s="3">
        <f ca="1">IF(Proc[[#This Row],[DateClosed]]="",ABS(NETWORKDAYS(Proc[[#This Row],[DateOpened]],TODAY()))-1,ABS(NETWORKDAYS(Proc[[#This Row],[DateOpened]],Proc[[#This Row],[DateClosed]]))-1)</f>
        <v>4</v>
      </c>
      <c r="R5083" s="175" t="s">
        <v>489</v>
      </c>
      <c r="S5083" s="150"/>
    </row>
    <row r="5084" spans="1:19">
      <c r="A5084" s="149" t="s">
        <v>7304</v>
      </c>
      <c r="B5084" s="150" t="str">
        <f>IFERROR(VLOOKUP(Proc[[#This Row],[App]],Table2[],3,0),"open")</f>
        <v>ok</v>
      </c>
      <c r="C5084" s="149" t="s">
        <v>369</v>
      </c>
      <c r="D5084" t="s">
        <v>7325</v>
      </c>
      <c r="E5084" t="s">
        <v>7338</v>
      </c>
      <c r="F5084" s="150" t="str">
        <f>VLOOKUP(Proc[[#This Row],[Obj]],Sheet3!A:B,2,0)</f>
        <v>L000009119</v>
      </c>
      <c r="G5084" s="149" t="s">
        <v>400</v>
      </c>
      <c r="H5084" s="150" t="str">
        <f>IF(Proc[[#This Row],[type]]="LFF (MDG-F)",MID(Proc[[#This Row],[Obj]],13,10),"")</f>
        <v/>
      </c>
      <c r="J5084" s="150" t="b">
        <f>Proc[[#This Row],[Requested]]=Proc[[#This Row],[CurrentParent]]</f>
        <v>1</v>
      </c>
      <c r="K5084" s="150" t="str">
        <f>IF(Proc[[#This Row],[Author]]="Marcela Urrego",VLOOKUP(LEFT(Proc[[#This Row],[Requested]],1),Table3[#All],2,0),VLOOKUP(Proc[[#This Row],[Author]],Table4[],2,0))</f>
        <v>LS</v>
      </c>
      <c r="L5084" s="150" t="s">
        <v>6435</v>
      </c>
      <c r="M5084" s="175">
        <v>45999</v>
      </c>
      <c r="N5084" s="175"/>
      <c r="O5084" s="175"/>
      <c r="P5084" s="175" t="str">
        <f ca="1">IF(Proc[[#This Row],[DaysAgeing]]&gt;5,"yep","on track")</f>
        <v>on track</v>
      </c>
      <c r="Q5084" s="3">
        <f ca="1">IF(Proc[[#This Row],[DateClosed]]="",ABS(NETWORKDAYS(Proc[[#This Row],[DateOpened]],TODAY()))-1,ABS(NETWORKDAYS(Proc[[#This Row],[DateOpened]],Proc[[#This Row],[DateClosed]]))-1)</f>
        <v>4</v>
      </c>
      <c r="R5084" s="175" t="s">
        <v>489</v>
      </c>
      <c r="S5084" s="150"/>
    </row>
    <row r="5085" spans="1:19">
      <c r="A5085" s="149" t="s">
        <v>7304</v>
      </c>
      <c r="B5085" s="150" t="str">
        <f>IFERROR(VLOOKUP(Proc[[#This Row],[App]],Table2[],3,0),"open")</f>
        <v>ok</v>
      </c>
      <c r="C5085" s="149" t="s">
        <v>369</v>
      </c>
      <c r="D5085" t="s">
        <v>7326</v>
      </c>
      <c r="E5085" t="s">
        <v>7338</v>
      </c>
      <c r="F5085" s="150" t="str">
        <f>VLOOKUP(Proc[[#This Row],[Obj]],Sheet3!A:B,2,0)</f>
        <v>L000009119</v>
      </c>
      <c r="G5085" s="149" t="s">
        <v>400</v>
      </c>
      <c r="H5085" s="150" t="str">
        <f>IF(Proc[[#This Row],[type]]="LFF (MDG-F)",MID(Proc[[#This Row],[Obj]],13,10),"")</f>
        <v/>
      </c>
      <c r="J5085" s="150" t="b">
        <f>Proc[[#This Row],[Requested]]=Proc[[#This Row],[CurrentParent]]</f>
        <v>1</v>
      </c>
      <c r="K5085" s="150" t="str">
        <f>IF(Proc[[#This Row],[Author]]="Marcela Urrego",VLOOKUP(LEFT(Proc[[#This Row],[Requested]],1),Table3[#All],2,0),VLOOKUP(Proc[[#This Row],[Author]],Table4[],2,0))</f>
        <v>LS</v>
      </c>
      <c r="L5085" s="150" t="s">
        <v>6435</v>
      </c>
      <c r="M5085" s="175">
        <v>45999</v>
      </c>
      <c r="N5085" s="175"/>
      <c r="O5085" s="175"/>
      <c r="P5085" s="175" t="str">
        <f ca="1">IF(Proc[[#This Row],[DaysAgeing]]&gt;5,"yep","on track")</f>
        <v>on track</v>
      </c>
      <c r="Q5085" s="3">
        <f ca="1">IF(Proc[[#This Row],[DateClosed]]="",ABS(NETWORKDAYS(Proc[[#This Row],[DateOpened]],TODAY()))-1,ABS(NETWORKDAYS(Proc[[#This Row],[DateOpened]],Proc[[#This Row],[DateClosed]]))-1)</f>
        <v>4</v>
      </c>
      <c r="R5085" s="175" t="s">
        <v>489</v>
      </c>
      <c r="S5085" s="150"/>
    </row>
    <row r="5086" spans="1:19">
      <c r="A5086" s="149" t="s">
        <v>7304</v>
      </c>
      <c r="B5086" s="150" t="str">
        <f>IFERROR(VLOOKUP(Proc[[#This Row],[App]],Table2[],3,0),"open")</f>
        <v>ok</v>
      </c>
      <c r="C5086" s="149" t="s">
        <v>369</v>
      </c>
      <c r="D5086" t="s">
        <v>7327</v>
      </c>
      <c r="E5086" t="s">
        <v>7339</v>
      </c>
      <c r="F5086" s="150" t="str">
        <f>VLOOKUP(Proc[[#This Row],[Obj]],Sheet3!A:B,2,0)</f>
        <v>L000005269</v>
      </c>
      <c r="G5086" s="149" t="s">
        <v>400</v>
      </c>
      <c r="H5086" s="150" t="str">
        <f>IF(Proc[[#This Row],[type]]="LFF (MDG-F)",MID(Proc[[#This Row],[Obj]],13,10),"")</f>
        <v/>
      </c>
      <c r="J5086" s="150" t="b">
        <f>Proc[[#This Row],[Requested]]=Proc[[#This Row],[CurrentParent]]</f>
        <v>1</v>
      </c>
      <c r="K5086" s="150" t="str">
        <f>IF(Proc[[#This Row],[Author]]="Marcela Urrego",VLOOKUP(LEFT(Proc[[#This Row],[Requested]],1),Table3[#All],2,0),VLOOKUP(Proc[[#This Row],[Author]],Table4[],2,0))</f>
        <v>LS</v>
      </c>
      <c r="L5086" s="150" t="s">
        <v>6435</v>
      </c>
      <c r="M5086" s="175">
        <v>45999</v>
      </c>
      <c r="N5086" s="175"/>
      <c r="O5086" s="175"/>
      <c r="P5086" s="175" t="str">
        <f ca="1">IF(Proc[[#This Row],[DaysAgeing]]&gt;5,"yep","on track")</f>
        <v>on track</v>
      </c>
      <c r="Q5086" s="3">
        <f ca="1">IF(Proc[[#This Row],[DateClosed]]="",ABS(NETWORKDAYS(Proc[[#This Row],[DateOpened]],TODAY()))-1,ABS(NETWORKDAYS(Proc[[#This Row],[DateOpened]],Proc[[#This Row],[DateClosed]]))-1)</f>
        <v>4</v>
      </c>
      <c r="R5086" s="175" t="s">
        <v>489</v>
      </c>
      <c r="S5086" s="150"/>
    </row>
    <row r="5087" spans="1:19">
      <c r="A5087" s="149" t="s">
        <v>7304</v>
      </c>
      <c r="B5087" s="150" t="str">
        <f>IFERROR(VLOOKUP(Proc[[#This Row],[App]],Table2[],3,0),"open")</f>
        <v>ok</v>
      </c>
      <c r="C5087" s="149" t="s">
        <v>369</v>
      </c>
      <c r="D5087" t="s">
        <v>7328</v>
      </c>
      <c r="E5087" t="s">
        <v>7340</v>
      </c>
      <c r="F5087" s="150" t="str">
        <f>VLOOKUP(Proc[[#This Row],[Obj]],Sheet3!A:B,2,0)</f>
        <v>L000011184</v>
      </c>
      <c r="G5087" s="149" t="s">
        <v>400</v>
      </c>
      <c r="H5087" s="150" t="str">
        <f>IF(Proc[[#This Row],[type]]="LFF (MDG-F)",MID(Proc[[#This Row],[Obj]],13,10),"")</f>
        <v/>
      </c>
      <c r="J5087" s="150" t="b">
        <f>Proc[[#This Row],[Requested]]=Proc[[#This Row],[CurrentParent]]</f>
        <v>1</v>
      </c>
      <c r="K5087" s="150" t="str">
        <f>IF(Proc[[#This Row],[Author]]="Marcela Urrego",VLOOKUP(LEFT(Proc[[#This Row],[Requested]],1),Table3[#All],2,0),VLOOKUP(Proc[[#This Row],[Author]],Table4[],2,0))</f>
        <v>LS</v>
      </c>
      <c r="L5087" s="150" t="s">
        <v>6435</v>
      </c>
      <c r="M5087" s="175">
        <v>45999</v>
      </c>
      <c r="N5087" s="175"/>
      <c r="O5087" s="175"/>
      <c r="P5087" s="175" t="str">
        <f ca="1">IF(Proc[[#This Row],[DaysAgeing]]&gt;5,"yep","on track")</f>
        <v>on track</v>
      </c>
      <c r="Q5087" s="3">
        <f ca="1">IF(Proc[[#This Row],[DateClosed]]="",ABS(NETWORKDAYS(Proc[[#This Row],[DateOpened]],TODAY()))-1,ABS(NETWORKDAYS(Proc[[#This Row],[DateOpened]],Proc[[#This Row],[DateClosed]]))-1)</f>
        <v>4</v>
      </c>
      <c r="R5087" s="175" t="s">
        <v>489</v>
      </c>
      <c r="S5087" s="150"/>
    </row>
    <row r="5088" spans="1:19">
      <c r="A5088" s="149" t="s">
        <v>7304</v>
      </c>
      <c r="B5088" s="150" t="str">
        <f>IFERROR(VLOOKUP(Proc[[#This Row],[App]],Table2[],3,0),"open")</f>
        <v>ok</v>
      </c>
      <c r="C5088" s="149" t="s">
        <v>369</v>
      </c>
      <c r="D5088" t="s">
        <v>7329</v>
      </c>
      <c r="E5088" t="s">
        <v>7341</v>
      </c>
      <c r="F5088" s="150" t="str">
        <f>VLOOKUP(Proc[[#This Row],[Obj]],Sheet3!A:B,2,0)</f>
        <v>L000011188</v>
      </c>
      <c r="G5088" s="149" t="s">
        <v>400</v>
      </c>
      <c r="H5088" s="150" t="str">
        <f>IF(Proc[[#This Row],[type]]="LFF (MDG-F)",MID(Proc[[#This Row],[Obj]],13,10),"")</f>
        <v/>
      </c>
      <c r="J5088" s="150" t="b">
        <f>Proc[[#This Row],[Requested]]=Proc[[#This Row],[CurrentParent]]</f>
        <v>1</v>
      </c>
      <c r="K5088" s="150" t="str">
        <f>IF(Proc[[#This Row],[Author]]="Marcela Urrego",VLOOKUP(LEFT(Proc[[#This Row],[Requested]],1),Table3[#All],2,0),VLOOKUP(Proc[[#This Row],[Author]],Table4[],2,0))</f>
        <v>LS</v>
      </c>
      <c r="L5088" s="150" t="s">
        <v>6435</v>
      </c>
      <c r="M5088" s="175">
        <v>45999</v>
      </c>
      <c r="N5088" s="175"/>
      <c r="O5088" s="175"/>
      <c r="P5088" s="175" t="str">
        <f ca="1">IF(Proc[[#This Row],[DaysAgeing]]&gt;5,"yep","on track")</f>
        <v>on track</v>
      </c>
      <c r="Q5088" s="3">
        <f ca="1">IF(Proc[[#This Row],[DateClosed]]="",ABS(NETWORKDAYS(Proc[[#This Row],[DateOpened]],TODAY()))-1,ABS(NETWORKDAYS(Proc[[#This Row],[DateOpened]],Proc[[#This Row],[DateClosed]]))-1)</f>
        <v>4</v>
      </c>
      <c r="R5088" s="175" t="s">
        <v>489</v>
      </c>
      <c r="S5088" s="150"/>
    </row>
    <row r="5089" spans="1:19">
      <c r="A5089" s="149" t="s">
        <v>7304</v>
      </c>
      <c r="B5089" s="150" t="str">
        <f>IFERROR(VLOOKUP(Proc[[#This Row],[App]],Table2[],3,0),"open")</f>
        <v>ok</v>
      </c>
      <c r="C5089" s="149" t="s">
        <v>369</v>
      </c>
      <c r="D5089" t="s">
        <v>7330</v>
      </c>
      <c r="E5089" t="s">
        <v>4100</v>
      </c>
      <c r="F5089" s="150" t="str">
        <f>VLOOKUP(Proc[[#This Row],[Obj]],Sheet3!A:B,2,0)</f>
        <v>L000011451</v>
      </c>
      <c r="G5089" s="149" t="s">
        <v>400</v>
      </c>
      <c r="H5089" s="150" t="str">
        <f>IF(Proc[[#This Row],[type]]="LFF (MDG-F)",MID(Proc[[#This Row],[Obj]],13,10),"")</f>
        <v/>
      </c>
      <c r="J5089" s="150" t="b">
        <f>Proc[[#This Row],[Requested]]=Proc[[#This Row],[CurrentParent]]</f>
        <v>1</v>
      </c>
      <c r="K5089" s="150" t="str">
        <f>IF(Proc[[#This Row],[Author]]="Marcela Urrego",VLOOKUP(LEFT(Proc[[#This Row],[Requested]],1),Table3[#All],2,0),VLOOKUP(Proc[[#This Row],[Author]],Table4[],2,0))</f>
        <v>LS</v>
      </c>
      <c r="L5089" s="150" t="s">
        <v>6435</v>
      </c>
      <c r="M5089" s="175">
        <v>45999</v>
      </c>
      <c r="N5089" s="175"/>
      <c r="O5089" s="175"/>
      <c r="P5089" s="175" t="str">
        <f ca="1">IF(Proc[[#This Row],[DaysAgeing]]&gt;5,"yep","on track")</f>
        <v>on track</v>
      </c>
      <c r="Q5089" s="3">
        <f ca="1">IF(Proc[[#This Row],[DateClosed]]="",ABS(NETWORKDAYS(Proc[[#This Row],[DateOpened]],TODAY()))-1,ABS(NETWORKDAYS(Proc[[#This Row],[DateOpened]],Proc[[#This Row],[DateClosed]]))-1)</f>
        <v>4</v>
      </c>
      <c r="R5089" s="175" t="s">
        <v>489</v>
      </c>
      <c r="S5089" s="150"/>
    </row>
    <row r="5090" spans="1:19">
      <c r="A5090" t="s">
        <v>7343</v>
      </c>
      <c r="B5090" s="150" t="str">
        <f>IFERROR(VLOOKUP(Proc[[#This Row],[App]],Table2[],3,0),"open")</f>
        <v>open</v>
      </c>
      <c r="C5090" s="149" t="s">
        <v>370</v>
      </c>
      <c r="D5090" t="s">
        <v>7342</v>
      </c>
      <c r="E5090" t="s">
        <v>4829</v>
      </c>
      <c r="F5090" s="150" t="str">
        <f>VLOOKUP(Proc[[#This Row],[Obj]],Sheet4!A:B,2,0)</f>
        <v>DFLTPGCOH_MISSING_NODES</v>
      </c>
      <c r="G5090" s="149" t="s">
        <v>400</v>
      </c>
      <c r="H5090" s="150" t="str">
        <f>IF(Proc[[#This Row],[type]]="LFF (MDG-F)",MID(Proc[[#This Row],[Obj]],13,10),"")</f>
        <v/>
      </c>
      <c r="J5090" s="150" t="b">
        <f>Proc[[#This Row],[Requested]]=Proc[[#This Row],[CurrentParent]]</f>
        <v>0</v>
      </c>
      <c r="K5090" s="150" t="str">
        <f>IF(Proc[[#This Row],[Author]]="Marcela Urrego",VLOOKUP(LEFT(Proc[[#This Row],[Requested]],1),Table3[#All],2,0),VLOOKUP(Proc[[#This Row],[Author]],Table4[],2,0))</f>
        <v>HC</v>
      </c>
      <c r="L5090" s="150" t="s">
        <v>6435</v>
      </c>
      <c r="M5090" s="175">
        <v>45999</v>
      </c>
      <c r="N5090" s="175"/>
      <c r="O5090" s="175"/>
      <c r="P5090" s="175" t="str">
        <f ca="1">IF(Proc[[#This Row],[DaysAgeing]]&gt;5,"yep","on track")</f>
        <v>on track</v>
      </c>
      <c r="Q5090" s="3">
        <f ca="1">IF(Proc[[#This Row],[DateClosed]]="",ABS(NETWORKDAYS(Proc[[#This Row],[DateOpened]],TODAY()))-1,ABS(NETWORKDAYS(Proc[[#This Row],[DateOpened]],Proc[[#This Row],[DateClosed]]))-1)</f>
        <v>4</v>
      </c>
      <c r="R5090" s="175" t="s">
        <v>415</v>
      </c>
      <c r="S5090" s="150"/>
    </row>
    <row r="5091" spans="1:19">
      <c r="A5091" t="s">
        <v>7352</v>
      </c>
      <c r="B5091" s="150" t="str">
        <f>IFERROR(VLOOKUP(Proc[[#This Row],[App]],Table2[],3,0),"open")</f>
        <v>ok</v>
      </c>
      <c r="C5091" s="149" t="s">
        <v>369</v>
      </c>
      <c r="D5091" t="s">
        <v>7344</v>
      </c>
      <c r="E5091" t="s">
        <v>7349</v>
      </c>
      <c r="F5091" s="150" t="str">
        <f>VLOOKUP(Proc[[#This Row],[Obj]],Sheet3!A:B,2,0)</f>
        <v>L000013903</v>
      </c>
      <c r="G5091" t="s">
        <v>400</v>
      </c>
      <c r="H5091" s="150" t="str">
        <f>IF(Proc[[#This Row],[type]]="LFF (MDG-F)",MID(Proc[[#This Row],[Obj]],13,10),"")</f>
        <v/>
      </c>
      <c r="J5091" s="150" t="b">
        <f>Proc[[#This Row],[Requested]]=Proc[[#This Row],[CurrentParent]]</f>
        <v>1</v>
      </c>
      <c r="K5091" s="150" t="str">
        <f>IF(Proc[[#This Row],[Author]]="Marcela Urrego",VLOOKUP(LEFT(Proc[[#This Row],[Requested]],1),Table3[#All],2,0),VLOOKUP(Proc[[#This Row],[Author]],Table4[],2,0))</f>
        <v>LS</v>
      </c>
      <c r="L5091" s="150" t="s">
        <v>6435</v>
      </c>
      <c r="M5091" s="175">
        <v>45999</v>
      </c>
      <c r="N5091" s="175"/>
      <c r="O5091" s="175"/>
      <c r="P5091" s="175" t="str">
        <f ca="1">IF(Proc[[#This Row],[DaysAgeing]]&gt;5,"yep","on track")</f>
        <v>on track</v>
      </c>
      <c r="Q5091" s="3">
        <f ca="1">IF(Proc[[#This Row],[DateClosed]]="",ABS(NETWORKDAYS(Proc[[#This Row],[DateOpened]],TODAY()))-1,ABS(NETWORKDAYS(Proc[[#This Row],[DateOpened]],Proc[[#This Row],[DateClosed]]))-1)</f>
        <v>4</v>
      </c>
      <c r="R5091" s="175" t="s">
        <v>489</v>
      </c>
      <c r="S5091" s="150"/>
    </row>
    <row r="5092" spans="1:19">
      <c r="A5092" s="149" t="s">
        <v>7352</v>
      </c>
      <c r="B5092" s="150" t="str">
        <f>IFERROR(VLOOKUP(Proc[[#This Row],[App]],Table2[],3,0),"open")</f>
        <v>ok</v>
      </c>
      <c r="C5092" s="149" t="s">
        <v>369</v>
      </c>
      <c r="D5092" t="s">
        <v>7345</v>
      </c>
      <c r="E5092" t="s">
        <v>7350</v>
      </c>
      <c r="F5092" s="149" t="s">
        <v>7350</v>
      </c>
      <c r="G5092" t="s">
        <v>406</v>
      </c>
      <c r="H5092" s="150" t="str">
        <f>IF(Proc[[#This Row],[type]]="LFF (MDG-F)",MID(Proc[[#This Row],[Obj]],13,10),"")</f>
        <v>DE10Z0319A</v>
      </c>
      <c r="J5092" s="150" t="b">
        <f>Proc[[#This Row],[Requested]]=Proc[[#This Row],[CurrentParent]]</f>
        <v>1</v>
      </c>
      <c r="K5092" s="150" t="str">
        <f>IF(Proc[[#This Row],[Author]]="Marcela Urrego",VLOOKUP(LEFT(Proc[[#This Row],[Requested]],1),Table3[#All],2,0),VLOOKUP(Proc[[#This Row],[Author]],Table4[],2,0))</f>
        <v>LS</v>
      </c>
      <c r="L5092" s="150" t="s">
        <v>6435</v>
      </c>
      <c r="M5092" s="175">
        <v>45999</v>
      </c>
      <c r="N5092" s="175"/>
      <c r="O5092" s="175"/>
      <c r="P5092" s="175" t="str">
        <f ca="1">IF(Proc[[#This Row],[DaysAgeing]]&gt;5,"yep","on track")</f>
        <v>on track</v>
      </c>
      <c r="Q5092" s="3">
        <f ca="1">IF(Proc[[#This Row],[DateClosed]]="",ABS(NETWORKDAYS(Proc[[#This Row],[DateOpened]],TODAY()))-1,ABS(NETWORKDAYS(Proc[[#This Row],[DateOpened]],Proc[[#This Row],[DateClosed]]))-1)</f>
        <v>4</v>
      </c>
      <c r="R5092" s="175" t="s">
        <v>489</v>
      </c>
      <c r="S5092" s="150"/>
    </row>
    <row r="5093" spans="1:19">
      <c r="A5093" s="149" t="s">
        <v>7352</v>
      </c>
      <c r="B5093" s="150" t="str">
        <f>IFERROR(VLOOKUP(Proc[[#This Row],[App]],Table2[],3,0),"open")</f>
        <v>ok</v>
      </c>
      <c r="C5093" s="149" t="s">
        <v>369</v>
      </c>
      <c r="D5093" t="s">
        <v>7346</v>
      </c>
      <c r="E5093" t="s">
        <v>7350</v>
      </c>
      <c r="F5093" s="150" t="str">
        <f>VLOOKUP(Proc[[#This Row],[Obj]],Sheet3!A:B,2,0)</f>
        <v>L000013905</v>
      </c>
      <c r="G5093" s="149" t="s">
        <v>400</v>
      </c>
      <c r="H5093" s="150" t="str">
        <f>IF(Proc[[#This Row],[type]]="LFF (MDG-F)",MID(Proc[[#This Row],[Obj]],13,10),"")</f>
        <v/>
      </c>
      <c r="J5093" s="150" t="b">
        <f>Proc[[#This Row],[Requested]]=Proc[[#This Row],[CurrentParent]]</f>
        <v>1</v>
      </c>
      <c r="K5093" s="150" t="str">
        <f>IF(Proc[[#This Row],[Author]]="Marcela Urrego",VLOOKUP(LEFT(Proc[[#This Row],[Requested]],1),Table3[#All],2,0),VLOOKUP(Proc[[#This Row],[Author]],Table4[],2,0))</f>
        <v>LS</v>
      </c>
      <c r="L5093" s="150" t="s">
        <v>6435</v>
      </c>
      <c r="M5093" s="175">
        <v>45999</v>
      </c>
      <c r="N5093" s="175"/>
      <c r="O5093" s="175"/>
      <c r="P5093" s="175" t="str">
        <f ca="1">IF(Proc[[#This Row],[DaysAgeing]]&gt;5,"yep","on track")</f>
        <v>on track</v>
      </c>
      <c r="Q5093" s="3">
        <f ca="1">IF(Proc[[#This Row],[DateClosed]]="",ABS(NETWORKDAYS(Proc[[#This Row],[DateOpened]],TODAY()))-1,ABS(NETWORKDAYS(Proc[[#This Row],[DateOpened]],Proc[[#This Row],[DateClosed]]))-1)</f>
        <v>4</v>
      </c>
      <c r="R5093" s="175" t="s">
        <v>489</v>
      </c>
      <c r="S5093" s="150"/>
    </row>
    <row r="5094" spans="1:19">
      <c r="A5094" s="149" t="s">
        <v>7352</v>
      </c>
      <c r="B5094" s="150" t="str">
        <f>IFERROR(VLOOKUP(Proc[[#This Row],[App]],Table2[],3,0),"open")</f>
        <v>ok</v>
      </c>
      <c r="C5094" s="149" t="s">
        <v>369</v>
      </c>
      <c r="D5094" t="s">
        <v>7347</v>
      </c>
      <c r="E5094" t="s">
        <v>7350</v>
      </c>
      <c r="F5094" s="150" t="str">
        <f>VLOOKUP(Proc[[#This Row],[Obj]],Sheet3!A:B,2,0)</f>
        <v>L000013905</v>
      </c>
      <c r="G5094" s="149" t="s">
        <v>400</v>
      </c>
      <c r="H5094" s="150" t="str">
        <f>IF(Proc[[#This Row],[type]]="LFF (MDG-F)",MID(Proc[[#This Row],[Obj]],13,10),"")</f>
        <v/>
      </c>
      <c r="J5094" s="150" t="b">
        <f>Proc[[#This Row],[Requested]]=Proc[[#This Row],[CurrentParent]]</f>
        <v>1</v>
      </c>
      <c r="K5094" s="150" t="str">
        <f>IF(Proc[[#This Row],[Author]]="Marcela Urrego",VLOOKUP(LEFT(Proc[[#This Row],[Requested]],1),Table3[#All],2,0),VLOOKUP(Proc[[#This Row],[Author]],Table4[],2,0))</f>
        <v>LS</v>
      </c>
      <c r="L5094" s="150" t="s">
        <v>6435</v>
      </c>
      <c r="M5094" s="175">
        <v>45999</v>
      </c>
      <c r="N5094" s="175"/>
      <c r="O5094" s="175"/>
      <c r="P5094" s="175" t="str">
        <f ca="1">IF(Proc[[#This Row],[DaysAgeing]]&gt;5,"yep","on track")</f>
        <v>on track</v>
      </c>
      <c r="Q5094" s="3">
        <f ca="1">IF(Proc[[#This Row],[DateClosed]]="",ABS(NETWORKDAYS(Proc[[#This Row],[DateOpened]],TODAY()))-1,ABS(NETWORKDAYS(Proc[[#This Row],[DateOpened]],Proc[[#This Row],[DateClosed]]))-1)</f>
        <v>4</v>
      </c>
      <c r="R5094" s="175" t="s">
        <v>489</v>
      </c>
      <c r="S5094" s="150"/>
    </row>
    <row r="5095" spans="1:19">
      <c r="A5095" s="149" t="s">
        <v>7352</v>
      </c>
      <c r="B5095" s="150" t="str">
        <f>IFERROR(VLOOKUP(Proc[[#This Row],[App]],Table2[],3,0),"open")</f>
        <v>ok</v>
      </c>
      <c r="C5095" s="149" t="s">
        <v>369</v>
      </c>
      <c r="D5095" t="s">
        <v>7348</v>
      </c>
      <c r="E5095" t="s">
        <v>7351</v>
      </c>
      <c r="F5095" s="150" t="str">
        <f>VLOOKUP(Proc[[#This Row],[Obj]],Sheet3!A:B,2,0)</f>
        <v>L000005321</v>
      </c>
      <c r="G5095" s="149" t="s">
        <v>400</v>
      </c>
      <c r="H5095" s="150" t="str">
        <f>IF(Proc[[#This Row],[type]]="LFF (MDG-F)",MID(Proc[[#This Row],[Obj]],13,10),"")</f>
        <v/>
      </c>
      <c r="J5095" s="150" t="b">
        <f>Proc[[#This Row],[Requested]]=Proc[[#This Row],[CurrentParent]]</f>
        <v>1</v>
      </c>
      <c r="K5095" s="150" t="str">
        <f>IF(Proc[[#This Row],[Author]]="Marcela Urrego",VLOOKUP(LEFT(Proc[[#This Row],[Requested]],1),Table3[#All],2,0),VLOOKUP(Proc[[#This Row],[Author]],Table4[],2,0))</f>
        <v>LS</v>
      </c>
      <c r="L5095" s="150" t="s">
        <v>6435</v>
      </c>
      <c r="M5095" s="175">
        <v>45999</v>
      </c>
      <c r="N5095" s="175"/>
      <c r="O5095" s="175"/>
      <c r="P5095" s="175" t="str">
        <f ca="1">IF(Proc[[#This Row],[DaysAgeing]]&gt;5,"yep","on track")</f>
        <v>on track</v>
      </c>
      <c r="Q5095" s="3">
        <f ca="1">IF(Proc[[#This Row],[DateClosed]]="",ABS(NETWORKDAYS(Proc[[#This Row],[DateOpened]],TODAY()))-1,ABS(NETWORKDAYS(Proc[[#This Row],[DateOpened]],Proc[[#This Row],[DateClosed]]))-1)</f>
        <v>4</v>
      </c>
      <c r="R5095" s="175" t="s">
        <v>489</v>
      </c>
      <c r="S5095" s="150"/>
    </row>
    <row r="5096" spans="1:19">
      <c r="A5096" t="s">
        <v>7379</v>
      </c>
      <c r="B5096" s="150" t="str">
        <f>IFERROR(VLOOKUP(Proc[[#This Row],[App]],Table2[],3,0),"open")</f>
        <v>ok</v>
      </c>
      <c r="C5096" s="149" t="s">
        <v>369</v>
      </c>
      <c r="D5096" t="s">
        <v>7380</v>
      </c>
      <c r="E5096" t="s">
        <v>419</v>
      </c>
      <c r="F5096" s="150" t="str">
        <f>VLOOKUP(Proc[[#This Row],[Obj]],Sheet4!A:B,2,0)</f>
        <v>P000001013</v>
      </c>
      <c r="G5096" t="s">
        <v>400</v>
      </c>
      <c r="H5096" s="150" t="str">
        <f>IF(Proc[[#This Row],[type]]="LFF (MDG-F)",MID(Proc[[#This Row],[Obj]],13,10),"")</f>
        <v/>
      </c>
      <c r="J5096" s="150" t="b">
        <f>Proc[[#This Row],[Requested]]=Proc[[#This Row],[CurrentParent]]</f>
        <v>1</v>
      </c>
      <c r="K5096" s="150" t="str">
        <f>IF(Proc[[#This Row],[Author]]="Marcela Urrego",VLOOKUP(LEFT(Proc[[#This Row],[Requested]],1),Table3[#All],2,0),VLOOKUP(Proc[[#This Row],[Author]],Table4[],2,0))</f>
        <v>EL</v>
      </c>
      <c r="L5096" s="150" t="s">
        <v>6435</v>
      </c>
      <c r="M5096" s="175">
        <v>46001</v>
      </c>
      <c r="N5096" s="175"/>
      <c r="O5096" s="175"/>
      <c r="P5096" s="175" t="str">
        <f ca="1">IF(Proc[[#This Row],[DaysAgeing]]&gt;5,"yep","on track")</f>
        <v>on track</v>
      </c>
      <c r="Q5096" s="3">
        <f ca="1">IF(Proc[[#This Row],[DateClosed]]="",ABS(NETWORKDAYS(Proc[[#This Row],[DateOpened]],TODAY()))-1,ABS(NETWORKDAYS(Proc[[#This Row],[DateOpened]],Proc[[#This Row],[DateClosed]]))-1)</f>
        <v>2</v>
      </c>
      <c r="R5096" s="175" t="s">
        <v>5709</v>
      </c>
      <c r="S5096" s="150"/>
    </row>
    <row r="5097" spans="1:19">
      <c r="A5097" s="149" t="s">
        <v>7379</v>
      </c>
      <c r="B5097" s="150" t="str">
        <f>IFERROR(VLOOKUP(Proc[[#This Row],[App]],Table2[],3,0),"open")</f>
        <v>ok</v>
      </c>
      <c r="C5097" s="149" t="s">
        <v>369</v>
      </c>
      <c r="D5097" t="s">
        <v>7381</v>
      </c>
      <c r="E5097" s="149" t="s">
        <v>419</v>
      </c>
      <c r="F5097" s="150" t="str">
        <f>VLOOKUP(Proc[[#This Row],[Obj]],Sheet4!A:B,2,0)</f>
        <v>P000001013</v>
      </c>
      <c r="G5097" s="149" t="s">
        <v>400</v>
      </c>
      <c r="H5097" s="150" t="str">
        <f>IF(Proc[[#This Row],[type]]="LFF (MDG-F)",MID(Proc[[#This Row],[Obj]],13,10),"")</f>
        <v/>
      </c>
      <c r="J5097" s="150" t="b">
        <f>Proc[[#This Row],[Requested]]=Proc[[#This Row],[CurrentParent]]</f>
        <v>1</v>
      </c>
      <c r="K5097" s="150" t="str">
        <f>IF(Proc[[#This Row],[Author]]="Marcela Urrego",VLOOKUP(LEFT(Proc[[#This Row],[Requested]],1),Table3[#All],2,0),VLOOKUP(Proc[[#This Row],[Author]],Table4[],2,0))</f>
        <v>EL</v>
      </c>
      <c r="L5097" s="150" t="s">
        <v>6435</v>
      </c>
      <c r="M5097" s="175">
        <v>46001</v>
      </c>
      <c r="N5097" s="175"/>
      <c r="O5097" s="175"/>
      <c r="P5097" s="175" t="str">
        <f ca="1">IF(Proc[[#This Row],[DaysAgeing]]&gt;5,"yep","on track")</f>
        <v>on track</v>
      </c>
      <c r="Q5097" s="3">
        <f ca="1">IF(Proc[[#This Row],[DateClosed]]="",ABS(NETWORKDAYS(Proc[[#This Row],[DateOpened]],TODAY()))-1,ABS(NETWORKDAYS(Proc[[#This Row],[DateOpened]],Proc[[#This Row],[DateClosed]]))-1)</f>
        <v>2</v>
      </c>
      <c r="R5097" s="175" t="s">
        <v>5709</v>
      </c>
      <c r="S5097" s="150"/>
    </row>
    <row r="5098" spans="1:19">
      <c r="A5098" s="149" t="s">
        <v>7379</v>
      </c>
      <c r="B5098" s="150" t="str">
        <f>IFERROR(VLOOKUP(Proc[[#This Row],[App]],Table2[],3,0),"open")</f>
        <v>ok</v>
      </c>
      <c r="C5098" s="149" t="s">
        <v>369</v>
      </c>
      <c r="D5098" t="s">
        <v>7382</v>
      </c>
      <c r="E5098" s="149" t="s">
        <v>419</v>
      </c>
      <c r="F5098" s="150" t="str">
        <f>VLOOKUP(Proc[[#This Row],[Obj]],Sheet4!A:B,2,0)</f>
        <v>P000001013</v>
      </c>
      <c r="G5098" s="149" t="s">
        <v>400</v>
      </c>
      <c r="H5098" s="150"/>
      <c r="J5098" s="150" t="b">
        <f>Proc[[#This Row],[Requested]]=Proc[[#This Row],[CurrentParent]]</f>
        <v>1</v>
      </c>
      <c r="K5098" s="150" t="str">
        <f>IF(Proc[[#This Row],[Author]]="Marcela Urrego",VLOOKUP(LEFT(Proc[[#This Row],[Requested]],1),Table3[#All],2,0),VLOOKUP(Proc[[#This Row],[Author]],Table4[],2,0))</f>
        <v>EL</v>
      </c>
      <c r="L5098" s="150" t="s">
        <v>6435</v>
      </c>
      <c r="M5098" s="175">
        <v>46001</v>
      </c>
      <c r="N5098" s="175"/>
      <c r="O5098" s="175"/>
      <c r="P5098" s="175" t="str">
        <f ca="1">IF(Proc[[#This Row],[DaysAgeing]]&gt;5,"yep","on track")</f>
        <v>on track</v>
      </c>
      <c r="Q5098" s="3">
        <f ca="1">IF(Proc[[#This Row],[DateClosed]]="",ABS(NETWORKDAYS(Proc[[#This Row],[DateOpened]],TODAY()))-1,ABS(NETWORKDAYS(Proc[[#This Row],[DateOpened]],Proc[[#This Row],[DateClosed]]))-1)</f>
        <v>2</v>
      </c>
      <c r="R5098" s="175" t="s">
        <v>5709</v>
      </c>
      <c r="S5098" s="150"/>
    </row>
    <row r="5099" spans="1:19">
      <c r="A5099" s="149" t="s">
        <v>7379</v>
      </c>
      <c r="B5099" s="150" t="str">
        <f>IFERROR(VLOOKUP(Proc[[#This Row],[App]],Table2[],3,0),"open")</f>
        <v>ok</v>
      </c>
      <c r="C5099" s="149" t="s">
        <v>369</v>
      </c>
      <c r="D5099" t="s">
        <v>7383</v>
      </c>
      <c r="E5099" s="149" t="s">
        <v>419</v>
      </c>
      <c r="F5099" s="150" t="str">
        <f>VLOOKUP(Proc[[#This Row],[Obj]],Sheet4!A:B,2,0)</f>
        <v>P000001013</v>
      </c>
      <c r="G5099" s="149" t="s">
        <v>400</v>
      </c>
      <c r="H5099" s="150" t="str">
        <f>IF(Proc[[#This Row],[type]]="LFF (MDG-F)",MID(Proc[[#This Row],[Obj]],13,10),"")</f>
        <v/>
      </c>
      <c r="J5099" s="150" t="b">
        <f>Proc[[#This Row],[Requested]]=Proc[[#This Row],[CurrentParent]]</f>
        <v>1</v>
      </c>
      <c r="K5099" s="150" t="str">
        <f>IF(Proc[[#This Row],[Author]]="Marcela Urrego",VLOOKUP(LEFT(Proc[[#This Row],[Requested]],1),Table3[#All],2,0),VLOOKUP(Proc[[#This Row],[Author]],Table4[],2,0))</f>
        <v>EL</v>
      </c>
      <c r="L5099" s="150" t="s">
        <v>6435</v>
      </c>
      <c r="M5099" s="175">
        <v>46001</v>
      </c>
      <c r="N5099" s="175"/>
      <c r="O5099" s="175"/>
      <c r="P5099" s="175" t="str">
        <f ca="1">IF(Proc[[#This Row],[DaysAgeing]]&gt;5,"yep","on track")</f>
        <v>on track</v>
      </c>
      <c r="Q5099" s="3">
        <f ca="1">IF(Proc[[#This Row],[DateClosed]]="",ABS(NETWORKDAYS(Proc[[#This Row],[DateOpened]],TODAY()))-1,ABS(NETWORKDAYS(Proc[[#This Row],[DateOpened]],Proc[[#This Row],[DateClosed]]))-1)</f>
        <v>2</v>
      </c>
      <c r="R5099" s="175" t="s">
        <v>5709</v>
      </c>
      <c r="S5099" s="150"/>
    </row>
    <row r="5100" spans="1:19">
      <c r="A5100" s="149" t="s">
        <v>7379</v>
      </c>
      <c r="B5100" s="150" t="str">
        <f>IFERROR(VLOOKUP(Proc[[#This Row],[App]],Table2[],3,0),"open")</f>
        <v>ok</v>
      </c>
      <c r="C5100" s="149" t="s">
        <v>369</v>
      </c>
      <c r="D5100" t="s">
        <v>7384</v>
      </c>
      <c r="E5100" s="149" t="s">
        <v>419</v>
      </c>
      <c r="F5100" s="150" t="str">
        <f>VLOOKUP(Proc[[#This Row],[Obj]],Sheet4!A:B,2,0)</f>
        <v>P000001013</v>
      </c>
      <c r="G5100" s="149" t="s">
        <v>400</v>
      </c>
      <c r="H5100" s="150" t="str">
        <f>IF(Proc[[#This Row],[type]]="LFF (MDG-F)",MID(Proc[[#This Row],[Obj]],13,10),"")</f>
        <v/>
      </c>
      <c r="J5100" s="150" t="b">
        <f>Proc[[#This Row],[Requested]]=Proc[[#This Row],[CurrentParent]]</f>
        <v>1</v>
      </c>
      <c r="K5100" s="150" t="str">
        <f>IF(Proc[[#This Row],[Author]]="Marcela Urrego",VLOOKUP(LEFT(Proc[[#This Row],[Requested]],1),Table3[#All],2,0),VLOOKUP(Proc[[#This Row],[Author]],Table4[],2,0))</f>
        <v>EL</v>
      </c>
      <c r="L5100" s="150" t="s">
        <v>6435</v>
      </c>
      <c r="M5100" s="175">
        <v>46001</v>
      </c>
      <c r="N5100" s="175"/>
      <c r="O5100" s="175"/>
      <c r="P5100" s="175" t="str">
        <f ca="1">IF(Proc[[#This Row],[DaysAgeing]]&gt;5,"yep","on track")</f>
        <v>on track</v>
      </c>
      <c r="Q5100" s="3">
        <f ca="1">IF(Proc[[#This Row],[DateClosed]]="",ABS(NETWORKDAYS(Proc[[#This Row],[DateOpened]],TODAY()))-1,ABS(NETWORKDAYS(Proc[[#This Row],[DateOpened]],Proc[[#This Row],[DateClosed]]))-1)</f>
        <v>2</v>
      </c>
      <c r="R5100" s="175" t="s">
        <v>5709</v>
      </c>
      <c r="S5100" s="150"/>
    </row>
    <row r="5101" spans="1:19">
      <c r="A5101" s="149" t="s">
        <v>7379</v>
      </c>
      <c r="B5101" s="150" t="str">
        <f>IFERROR(VLOOKUP(Proc[[#This Row],[App]],Table2[],3,0),"open")</f>
        <v>ok</v>
      </c>
      <c r="C5101" s="149" t="s">
        <v>369</v>
      </c>
      <c r="D5101" t="s">
        <v>7385</v>
      </c>
      <c r="E5101" s="149" t="s">
        <v>419</v>
      </c>
      <c r="F5101" s="150" t="str">
        <f>VLOOKUP(Proc[[#This Row],[Obj]],Sheet4!A:B,2,0)</f>
        <v>P000001013</v>
      </c>
      <c r="G5101" s="149" t="s">
        <v>400</v>
      </c>
      <c r="H5101" s="150" t="str">
        <f>IF(Proc[[#This Row],[type]]="LFF (MDG-F)",MID(Proc[[#This Row],[Obj]],13,10),"")</f>
        <v/>
      </c>
      <c r="J5101" s="150" t="b">
        <f>Proc[[#This Row],[Requested]]=Proc[[#This Row],[CurrentParent]]</f>
        <v>1</v>
      </c>
      <c r="K5101" s="150" t="str">
        <f>IF(Proc[[#This Row],[Author]]="Marcela Urrego",VLOOKUP(LEFT(Proc[[#This Row],[Requested]],1),Table3[#All],2,0),VLOOKUP(Proc[[#This Row],[Author]],Table4[],2,0))</f>
        <v>EL</v>
      </c>
      <c r="L5101" s="150" t="s">
        <v>6435</v>
      </c>
      <c r="M5101" s="175">
        <v>46001</v>
      </c>
      <c r="N5101" s="175"/>
      <c r="O5101" s="175"/>
      <c r="P5101" s="175" t="str">
        <f ca="1">IF(Proc[[#This Row],[DaysAgeing]]&gt;5,"yep","on track")</f>
        <v>on track</v>
      </c>
      <c r="Q5101" s="3">
        <f ca="1">IF(Proc[[#This Row],[DateClosed]]="",ABS(NETWORKDAYS(Proc[[#This Row],[DateOpened]],TODAY()))-1,ABS(NETWORKDAYS(Proc[[#This Row],[DateOpened]],Proc[[#This Row],[DateClosed]]))-1)</f>
        <v>2</v>
      </c>
      <c r="R5101" s="175" t="s">
        <v>5709</v>
      </c>
      <c r="S5101" s="150"/>
    </row>
    <row r="5102" spans="1:19">
      <c r="A5102" s="149" t="s">
        <v>7379</v>
      </c>
      <c r="B5102" s="150" t="str">
        <f>IFERROR(VLOOKUP(Proc[[#This Row],[App]],Table2[],3,0),"open")</f>
        <v>ok</v>
      </c>
      <c r="C5102" s="149" t="s">
        <v>369</v>
      </c>
      <c r="D5102" t="s">
        <v>7386</v>
      </c>
      <c r="E5102" s="149" t="s">
        <v>419</v>
      </c>
      <c r="F5102" s="150" t="str">
        <f>VLOOKUP(Proc[[#This Row],[Obj]],Sheet4!A:B,2,0)</f>
        <v>P000001013</v>
      </c>
      <c r="G5102" s="149" t="s">
        <v>400</v>
      </c>
      <c r="H5102" s="150" t="str">
        <f>IF(Proc[[#This Row],[type]]="LFF (MDG-F)",MID(Proc[[#This Row],[Obj]],13,10),"")</f>
        <v/>
      </c>
      <c r="J5102" s="150" t="b">
        <f>Proc[[#This Row],[Requested]]=Proc[[#This Row],[CurrentParent]]</f>
        <v>1</v>
      </c>
      <c r="K5102" s="150" t="str">
        <f>IF(Proc[[#This Row],[Author]]="Marcela Urrego",VLOOKUP(LEFT(Proc[[#This Row],[Requested]],1),Table3[#All],2,0),VLOOKUP(Proc[[#This Row],[Author]],Table4[],2,0))</f>
        <v>EL</v>
      </c>
      <c r="L5102" s="150" t="s">
        <v>6435</v>
      </c>
      <c r="M5102" s="175">
        <v>46001</v>
      </c>
      <c r="N5102" s="175"/>
      <c r="O5102" s="175"/>
      <c r="P5102" s="175" t="str">
        <f ca="1">IF(Proc[[#This Row],[DaysAgeing]]&gt;5,"yep","on track")</f>
        <v>on track</v>
      </c>
      <c r="Q5102" s="3">
        <f ca="1">IF(Proc[[#This Row],[DateClosed]]="",ABS(NETWORKDAYS(Proc[[#This Row],[DateOpened]],TODAY()))-1,ABS(NETWORKDAYS(Proc[[#This Row],[DateOpened]],Proc[[#This Row],[DateClosed]]))-1)</f>
        <v>2</v>
      </c>
      <c r="R5102" s="175" t="s">
        <v>5709</v>
      </c>
      <c r="S5102" s="150"/>
    </row>
    <row r="5103" spans="1:19">
      <c r="A5103" s="149" t="s">
        <v>7379</v>
      </c>
      <c r="B5103" s="150" t="str">
        <f>IFERROR(VLOOKUP(Proc[[#This Row],[App]],Table2[],3,0),"open")</f>
        <v>ok</v>
      </c>
      <c r="C5103" s="149" t="s">
        <v>369</v>
      </c>
      <c r="D5103" t="s">
        <v>2785</v>
      </c>
      <c r="E5103" s="149" t="s">
        <v>419</v>
      </c>
      <c r="F5103" s="150" t="str">
        <f>VLOOKUP(Proc[[#This Row],[Obj]],Sheet4!A:B,2,0)</f>
        <v>P000001013</v>
      </c>
      <c r="G5103" s="149" t="s">
        <v>400</v>
      </c>
      <c r="H5103" s="150" t="str">
        <f>IF(Proc[[#This Row],[type]]="LFF (MDG-F)",MID(Proc[[#This Row],[Obj]],13,10),"")</f>
        <v/>
      </c>
      <c r="J5103" s="150" t="b">
        <f>Proc[[#This Row],[Requested]]=Proc[[#This Row],[CurrentParent]]</f>
        <v>1</v>
      </c>
      <c r="K5103" s="150" t="str">
        <f>IF(Proc[[#This Row],[Author]]="Marcela Urrego",VLOOKUP(LEFT(Proc[[#This Row],[Requested]],1),Table3[#All],2,0),VLOOKUP(Proc[[#This Row],[Author]],Table4[],2,0))</f>
        <v>EL</v>
      </c>
      <c r="L5103" s="150" t="s">
        <v>6435</v>
      </c>
      <c r="M5103" s="175">
        <v>46001</v>
      </c>
      <c r="N5103" s="175"/>
      <c r="O5103" s="175"/>
      <c r="P5103" s="175" t="str">
        <f ca="1">IF(Proc[[#This Row],[DaysAgeing]]&gt;5,"yep","on track")</f>
        <v>on track</v>
      </c>
      <c r="Q5103" s="3">
        <f ca="1">IF(Proc[[#This Row],[DateClosed]]="",ABS(NETWORKDAYS(Proc[[#This Row],[DateOpened]],TODAY()))-1,ABS(NETWORKDAYS(Proc[[#This Row],[DateOpened]],Proc[[#This Row],[DateClosed]]))-1)</f>
        <v>2</v>
      </c>
      <c r="R5103" s="175" t="s">
        <v>5709</v>
      </c>
      <c r="S5103" s="150"/>
    </row>
    <row r="5104" spans="1:19">
      <c r="A5104" t="s">
        <v>7393</v>
      </c>
      <c r="B5104" s="150" t="str">
        <f>IFERROR(VLOOKUP(Proc[[#This Row],[App]],Table2[],3,0),"open")</f>
        <v>open</v>
      </c>
      <c r="C5104" t="s">
        <v>370</v>
      </c>
      <c r="D5104" t="s">
        <v>7395</v>
      </c>
      <c r="E5104" t="s">
        <v>7394</v>
      </c>
      <c r="F5104" s="150"/>
      <c r="G5104" s="149" t="s">
        <v>400</v>
      </c>
      <c r="H5104" s="150" t="str">
        <f>IF(Proc[[#This Row],[type]]="LFF (MDG-F)",MID(Proc[[#This Row],[Obj]],13,10),"")</f>
        <v/>
      </c>
      <c r="J5104" s="150" t="b">
        <f>Proc[[#This Row],[Requested]]=Proc[[#This Row],[CurrentParent]]</f>
        <v>0</v>
      </c>
      <c r="K5104" s="150" t="str">
        <f>IF(Proc[[#This Row],[Author]]="Marcela Urrego",VLOOKUP(LEFT(Proc[[#This Row],[Requested]],1),Table3[#All],2,0),VLOOKUP(Proc[[#This Row],[Author]],Table4[],2,0))</f>
        <v>EL</v>
      </c>
      <c r="L5104" s="150" t="s">
        <v>6435</v>
      </c>
      <c r="M5104" s="177">
        <v>46003</v>
      </c>
      <c r="N5104" s="177"/>
      <c r="O5104" s="177"/>
      <c r="P5104" s="177" t="str">
        <f ca="1">IF(Proc[[#This Row],[DaysAgeing]]&gt;5,"yep","on track")</f>
        <v>on track</v>
      </c>
      <c r="Q5104" s="3">
        <f ca="1">IF(Proc[[#This Row],[DateClosed]]="",ABS(NETWORKDAYS(Proc[[#This Row],[DateOpened]],TODAY()))-1,ABS(NETWORKDAYS(Proc[[#This Row],[DateOpened]],Proc[[#This Row],[DateClosed]]))-1)</f>
        <v>0</v>
      </c>
      <c r="R5104" s="177" t="s">
        <v>780</v>
      </c>
      <c r="S5104" s="150"/>
    </row>
    <row r="5105" spans="1:19">
      <c r="A5105" t="s">
        <v>7393</v>
      </c>
      <c r="B5105" s="150" t="str">
        <f>IFERROR(VLOOKUP(Proc[[#This Row],[App]],Table2[],3,0),"open")</f>
        <v>open</v>
      </c>
      <c r="C5105" s="149" t="s">
        <v>692</v>
      </c>
      <c r="D5105" t="s">
        <v>7396</v>
      </c>
      <c r="E5105" t="s">
        <v>2467</v>
      </c>
      <c r="F5105" s="150"/>
      <c r="G5105" s="149" t="s">
        <v>400</v>
      </c>
      <c r="H5105" s="150" t="str">
        <f>IF(Proc[[#This Row],[type]]="LFF (MDG-F)",MID(Proc[[#This Row],[Obj]],13,10),"")</f>
        <v/>
      </c>
      <c r="J5105" s="150" t="b">
        <f>Proc[[#This Row],[Requested]]=Proc[[#This Row],[CurrentParent]]</f>
        <v>0</v>
      </c>
      <c r="K5105" s="150" t="str">
        <f>IF(Proc[[#This Row],[Author]]="Marcela Urrego",VLOOKUP(LEFT(Proc[[#This Row],[Requested]],1),Table3[#All],2,0),VLOOKUP(Proc[[#This Row],[Author]],Table4[],2,0))</f>
        <v>EL</v>
      </c>
      <c r="L5105" s="150" t="s">
        <v>6435</v>
      </c>
      <c r="M5105" s="177">
        <v>46003</v>
      </c>
      <c r="N5105" s="177"/>
      <c r="O5105" s="177"/>
      <c r="P5105" s="177" t="str">
        <f ca="1">IF(Proc[[#This Row],[DaysAgeing]]&gt;5,"yep","on track")</f>
        <v>on track</v>
      </c>
      <c r="Q5105" s="3">
        <f ca="1">IF(Proc[[#This Row],[DateClosed]]="",ABS(NETWORKDAYS(Proc[[#This Row],[DateOpened]],TODAY()))-1,ABS(NETWORKDAYS(Proc[[#This Row],[DateOpened]],Proc[[#This Row],[DateClosed]]))-1)</f>
        <v>0</v>
      </c>
      <c r="R5105" s="177" t="s">
        <v>780</v>
      </c>
      <c r="S5105" s="150"/>
    </row>
    <row r="5106" spans="1:19">
      <c r="A5106" s="149" t="s">
        <v>7393</v>
      </c>
      <c r="B5106" s="150" t="str">
        <f>IFERROR(VLOOKUP(Proc[[#This Row],[App]],Table2[],3,0),"open")</f>
        <v>open</v>
      </c>
      <c r="C5106" s="149" t="s">
        <v>375</v>
      </c>
      <c r="D5106" t="s">
        <v>7390</v>
      </c>
      <c r="E5106" t="s">
        <v>6828</v>
      </c>
      <c r="F5106" s="150"/>
      <c r="G5106" t="s">
        <v>406</v>
      </c>
      <c r="H5106" s="150" t="str">
        <f>IF(Proc[[#This Row],[type]]="LFF (MDG-F)",MID(Proc[[#This Row],[Obj]],13,10),"")</f>
        <v>DE04OF1000</v>
      </c>
      <c r="I5106" t="s">
        <v>7400</v>
      </c>
      <c r="J5106" s="150" t="b">
        <f>Proc[[#This Row],[Requested]]=Proc[[#This Row],[CurrentParent]]</f>
        <v>0</v>
      </c>
      <c r="K5106" s="150" t="str">
        <f>IF(Proc[[#This Row],[Author]]="Marcela Urrego",VLOOKUP(LEFT(Proc[[#This Row],[Requested]],1),Table3[#All],2,0),VLOOKUP(Proc[[#This Row],[Author]],Table4[],2,0))</f>
        <v>EL</v>
      </c>
      <c r="L5106" s="150" t="s">
        <v>6435</v>
      </c>
      <c r="M5106" s="177">
        <v>46003</v>
      </c>
      <c r="N5106" s="177"/>
      <c r="O5106" s="177"/>
      <c r="P5106" s="177" t="str">
        <f ca="1">IF(Proc[[#This Row],[DaysAgeing]]&gt;5,"yep","on track")</f>
        <v>on track</v>
      </c>
      <c r="Q5106" s="3">
        <f ca="1">IF(Proc[[#This Row],[DateClosed]]="",ABS(NETWORKDAYS(Proc[[#This Row],[DateOpened]],TODAY()))-1,ABS(NETWORKDAYS(Proc[[#This Row],[DateOpened]],Proc[[#This Row],[DateClosed]]))-1)</f>
        <v>0</v>
      </c>
      <c r="R5106" s="177" t="s">
        <v>780</v>
      </c>
      <c r="S5106" s="150"/>
    </row>
    <row r="5107" spans="1:19">
      <c r="A5107" s="149" t="s">
        <v>7393</v>
      </c>
      <c r="B5107" s="150" t="str">
        <f>IFERROR(VLOOKUP(Proc[[#This Row],[App]],Table2[],3,0),"open")</f>
        <v>open</v>
      </c>
      <c r="C5107" s="149" t="s">
        <v>375</v>
      </c>
      <c r="D5107" t="s">
        <v>7391</v>
      </c>
      <c r="E5107" t="s">
        <v>426</v>
      </c>
      <c r="F5107" s="150"/>
      <c r="G5107" t="s">
        <v>406</v>
      </c>
      <c r="H5107" s="150" t="str">
        <f>IF(Proc[[#This Row],[type]]="LFF (MDG-F)",MID(Proc[[#This Row],[Obj]],13,10),"")</f>
        <v>DE01OF0304</v>
      </c>
      <c r="I5107" s="149" t="s">
        <v>7400</v>
      </c>
      <c r="J5107" s="150" t="b">
        <f>Proc[[#This Row],[Requested]]=Proc[[#This Row],[CurrentParent]]</f>
        <v>0</v>
      </c>
      <c r="K5107" s="150" t="str">
        <f>IF(Proc[[#This Row],[Author]]="Marcela Urrego",VLOOKUP(LEFT(Proc[[#This Row],[Requested]],1),Table3[#All],2,0),VLOOKUP(Proc[[#This Row],[Author]],Table4[],2,0))</f>
        <v>EL</v>
      </c>
      <c r="L5107" s="150" t="s">
        <v>6435</v>
      </c>
      <c r="M5107" s="177">
        <v>46003</v>
      </c>
      <c r="N5107" s="177"/>
      <c r="O5107" s="177"/>
      <c r="P5107" s="177" t="str">
        <f ca="1">IF(Proc[[#This Row],[DaysAgeing]]&gt;5,"yep","on track")</f>
        <v>on track</v>
      </c>
      <c r="Q5107" s="3">
        <f ca="1">IF(Proc[[#This Row],[DateClosed]]="",ABS(NETWORKDAYS(Proc[[#This Row],[DateOpened]],TODAY()))-1,ABS(NETWORKDAYS(Proc[[#This Row],[DateOpened]],Proc[[#This Row],[DateClosed]]))-1)</f>
        <v>0</v>
      </c>
      <c r="R5107" s="177" t="s">
        <v>780</v>
      </c>
      <c r="S5107" s="150"/>
    </row>
    <row r="5108" spans="1:19">
      <c r="A5108" s="149" t="s">
        <v>7393</v>
      </c>
      <c r="B5108" s="150" t="str">
        <f>IFERROR(VLOOKUP(Proc[[#This Row],[App]],Table2[],3,0),"open")</f>
        <v>open</v>
      </c>
      <c r="C5108" s="149" t="s">
        <v>375</v>
      </c>
      <c r="D5108" t="s">
        <v>7392</v>
      </c>
      <c r="E5108" t="s">
        <v>426</v>
      </c>
      <c r="F5108" s="150"/>
      <c r="G5108" t="s">
        <v>406</v>
      </c>
      <c r="H5108" s="150" t="str">
        <f>IF(Proc[[#This Row],[type]]="LFF (MDG-F)",MID(Proc[[#This Row],[Obj]],13,10),"")</f>
        <v>TW02TPTA14</v>
      </c>
      <c r="I5108" s="149" t="s">
        <v>7400</v>
      </c>
      <c r="J5108" s="150" t="b">
        <f>Proc[[#This Row],[Requested]]=Proc[[#This Row],[CurrentParent]]</f>
        <v>0</v>
      </c>
      <c r="K5108" s="150" t="str">
        <f>IF(Proc[[#This Row],[Author]]="Marcela Urrego",VLOOKUP(LEFT(Proc[[#This Row],[Requested]],1),Table3[#All],2,0),VLOOKUP(Proc[[#This Row],[Author]],Table4[],2,0))</f>
        <v>EL</v>
      </c>
      <c r="L5108" s="150" t="s">
        <v>6435</v>
      </c>
      <c r="M5108" s="177">
        <v>46003</v>
      </c>
      <c r="N5108" s="177"/>
      <c r="O5108" s="177"/>
      <c r="P5108" s="177" t="str">
        <f ca="1">IF(Proc[[#This Row],[DaysAgeing]]&gt;5,"yep","on track")</f>
        <v>on track</v>
      </c>
      <c r="Q5108" s="3">
        <f ca="1">IF(Proc[[#This Row],[DateClosed]]="",ABS(NETWORKDAYS(Proc[[#This Row],[DateOpened]],TODAY()))-1,ABS(NETWORKDAYS(Proc[[#This Row],[DateOpened]],Proc[[#This Row],[DateClosed]]))-1)</f>
        <v>0</v>
      </c>
      <c r="R5108" s="177" t="s">
        <v>780</v>
      </c>
      <c r="S5108" s="150"/>
    </row>
    <row r="5109" spans="1:19">
      <c r="A5109" t="s">
        <v>7404</v>
      </c>
      <c r="B5109" s="150" t="str">
        <f>IFERROR(VLOOKUP(Proc[[#This Row],[App]],Table2[],3,0),"open")</f>
        <v>open</v>
      </c>
      <c r="C5109" t="s">
        <v>370</v>
      </c>
      <c r="D5109" t="s">
        <v>7401</v>
      </c>
      <c r="E5109" t="s">
        <v>7405</v>
      </c>
      <c r="F5109" s="150" t="s">
        <v>7409</v>
      </c>
      <c r="G5109" t="s">
        <v>400</v>
      </c>
      <c r="H5109" s="150" t="str">
        <f>IF(Proc[[#This Row],[type]]="LFF (MDG-F)",MID(Proc[[#This Row],[Obj]],13,10),"")</f>
        <v/>
      </c>
      <c r="J5109" s="150" t="b">
        <f>Proc[[#This Row],[Requested]]=Proc[[#This Row],[CurrentParent]]</f>
        <v>0</v>
      </c>
      <c r="K5109" s="150" t="str">
        <f>IF(Proc[[#This Row],[Author]]="Marcela Urrego",VLOOKUP(LEFT(Proc[[#This Row],[Requested]],1),Table3[#All],2,0),VLOOKUP(Proc[[#This Row],[Author]],Table4[],2,0))</f>
        <v>LS</v>
      </c>
      <c r="L5109" s="150" t="s">
        <v>6435</v>
      </c>
      <c r="M5109" s="177">
        <v>46006</v>
      </c>
      <c r="N5109" s="178"/>
      <c r="O5109" s="178"/>
      <c r="P5109" s="178" t="str">
        <f ca="1">IF(Proc[[#This Row],[DaysAgeing]]&gt;5,"yep","on track")</f>
        <v>on track</v>
      </c>
      <c r="Q5109" s="3">
        <f ca="1">IF(Proc[[#This Row],[DateClosed]]="",ABS(NETWORKDAYS(Proc[[#This Row],[DateOpened]],TODAY()))-1,ABS(NETWORKDAYS(Proc[[#This Row],[DateOpened]],Proc[[#This Row],[DateClosed]]))-1)</f>
        <v>0</v>
      </c>
      <c r="R5109" s="178" t="s">
        <v>489</v>
      </c>
      <c r="S5109" s="150"/>
    </row>
    <row r="5110" spans="1:19">
      <c r="A5110" t="s">
        <v>7404</v>
      </c>
      <c r="B5110" s="150" t="str">
        <f>IFERROR(VLOOKUP(Proc[[#This Row],[App]],Table2[],3,0),"open")</f>
        <v>open</v>
      </c>
      <c r="C5110" t="s">
        <v>370</v>
      </c>
      <c r="D5110" t="s">
        <v>3472</v>
      </c>
      <c r="E5110" t="s">
        <v>6956</v>
      </c>
      <c r="F5110" s="150" t="s">
        <v>3514</v>
      </c>
      <c r="G5110" t="s">
        <v>400</v>
      </c>
      <c r="H5110" s="150" t="str">
        <f>IF(Proc[[#This Row],[type]]="LFF (MDG-F)",MID(Proc[[#This Row],[Obj]],13,10),"")</f>
        <v/>
      </c>
      <c r="J5110" s="150" t="b">
        <f>Proc[[#This Row],[Requested]]=Proc[[#This Row],[CurrentParent]]</f>
        <v>0</v>
      </c>
      <c r="K5110" s="150" t="str">
        <f>IF(Proc[[#This Row],[Author]]="Marcela Urrego",VLOOKUP(LEFT(Proc[[#This Row],[Requested]],1),Table3[#All],2,0),VLOOKUP(Proc[[#This Row],[Author]],Table4[],2,0))</f>
        <v>LS</v>
      </c>
      <c r="L5110" s="150" t="s">
        <v>6435</v>
      </c>
      <c r="M5110" s="177">
        <v>46006</v>
      </c>
      <c r="N5110" s="178"/>
      <c r="O5110" s="178"/>
      <c r="P5110" s="178" t="str">
        <f ca="1">IF(Proc[[#This Row],[DaysAgeing]]&gt;5,"yep","on track")</f>
        <v>on track</v>
      </c>
      <c r="Q5110" s="3">
        <f ca="1">IF(Proc[[#This Row],[DateClosed]]="",ABS(NETWORKDAYS(Proc[[#This Row],[DateOpened]],TODAY()))-1,ABS(NETWORKDAYS(Proc[[#This Row],[DateOpened]],Proc[[#This Row],[DateClosed]]))-1)</f>
        <v>0</v>
      </c>
      <c r="R5110" s="178" t="s">
        <v>489</v>
      </c>
      <c r="S5110" s="150"/>
    </row>
    <row r="5111" spans="1:19">
      <c r="A5111" s="149" t="s">
        <v>7404</v>
      </c>
      <c r="B5111" s="150" t="str">
        <f>IFERROR(VLOOKUP(Proc[[#This Row],[App]],Table2[],3,0),"open")</f>
        <v>open</v>
      </c>
      <c r="C5111" s="149" t="s">
        <v>370</v>
      </c>
      <c r="D5111" t="s">
        <v>3456</v>
      </c>
      <c r="E5111" t="s">
        <v>6956</v>
      </c>
      <c r="F5111" s="150" t="s">
        <v>3514</v>
      </c>
      <c r="G5111" s="149" t="s">
        <v>400</v>
      </c>
      <c r="H5111" s="150" t="str">
        <f>IF(Proc[[#This Row],[type]]="LFF (MDG-F)",MID(Proc[[#This Row],[Obj]],13,10),"")</f>
        <v/>
      </c>
      <c r="J5111" s="150" t="b">
        <f>Proc[[#This Row],[Requested]]=Proc[[#This Row],[CurrentParent]]</f>
        <v>0</v>
      </c>
      <c r="K5111" s="150" t="str">
        <f>IF(Proc[[#This Row],[Author]]="Marcela Urrego",VLOOKUP(LEFT(Proc[[#This Row],[Requested]],1),Table3[#All],2,0),VLOOKUP(Proc[[#This Row],[Author]],Table4[],2,0))</f>
        <v>LS</v>
      </c>
      <c r="L5111" s="150" t="s">
        <v>6435</v>
      </c>
      <c r="M5111" s="177">
        <v>46006</v>
      </c>
      <c r="N5111" s="178"/>
      <c r="O5111" s="178"/>
      <c r="P5111" s="178" t="str">
        <f ca="1">IF(Proc[[#This Row],[DaysAgeing]]&gt;5,"yep","on track")</f>
        <v>on track</v>
      </c>
      <c r="Q5111" s="3">
        <f ca="1">IF(Proc[[#This Row],[DateClosed]]="",ABS(NETWORKDAYS(Proc[[#This Row],[DateOpened]],TODAY()))-1,ABS(NETWORKDAYS(Proc[[#This Row],[DateOpened]],Proc[[#This Row],[DateClosed]]))-1)</f>
        <v>0</v>
      </c>
      <c r="R5111" s="178" t="s">
        <v>489</v>
      </c>
      <c r="S5111" s="150"/>
    </row>
    <row r="5112" spans="1:19">
      <c r="A5112" s="149" t="s">
        <v>7404</v>
      </c>
      <c r="B5112" s="150" t="str">
        <f>IFERROR(VLOOKUP(Proc[[#This Row],[App]],Table2[],3,0),"open")</f>
        <v>open</v>
      </c>
      <c r="C5112" s="149" t="s">
        <v>370</v>
      </c>
      <c r="D5112" t="s">
        <v>7402</v>
      </c>
      <c r="E5112" t="s">
        <v>7406</v>
      </c>
      <c r="F5112" s="150" t="s">
        <v>2371</v>
      </c>
      <c r="G5112" s="149" t="s">
        <v>400</v>
      </c>
      <c r="H5112" s="150" t="str">
        <f>IF(Proc[[#This Row],[type]]="LFF (MDG-F)",MID(Proc[[#This Row],[Obj]],13,10),"")</f>
        <v/>
      </c>
      <c r="J5112" s="150" t="b">
        <f>Proc[[#This Row],[Requested]]=Proc[[#This Row],[CurrentParent]]</f>
        <v>0</v>
      </c>
      <c r="K5112" s="150" t="str">
        <f>IF(Proc[[#This Row],[Author]]="Marcela Urrego",VLOOKUP(LEFT(Proc[[#This Row],[Requested]],1),Table3[#All],2,0),VLOOKUP(Proc[[#This Row],[Author]],Table4[],2,0))</f>
        <v>LS</v>
      </c>
      <c r="L5112" s="150" t="s">
        <v>6435</v>
      </c>
      <c r="M5112" s="177">
        <v>46006</v>
      </c>
      <c r="N5112" s="178"/>
      <c r="O5112" s="178"/>
      <c r="P5112" s="178" t="str">
        <f ca="1">IF(Proc[[#This Row],[DaysAgeing]]&gt;5,"yep","on track")</f>
        <v>on track</v>
      </c>
      <c r="Q5112" s="3">
        <f ca="1">IF(Proc[[#This Row],[DateClosed]]="",ABS(NETWORKDAYS(Proc[[#This Row],[DateOpened]],TODAY()))-1,ABS(NETWORKDAYS(Proc[[#This Row],[DateOpened]],Proc[[#This Row],[DateClosed]]))-1)</f>
        <v>0</v>
      </c>
      <c r="R5112" s="178" t="s">
        <v>489</v>
      </c>
      <c r="S5112" s="150"/>
    </row>
    <row r="5113" spans="1:19">
      <c r="A5113" s="149" t="s">
        <v>7404</v>
      </c>
      <c r="B5113" s="150" t="str">
        <f>IFERROR(VLOOKUP(Proc[[#This Row],[App]],Table2[],3,0),"open")</f>
        <v>open</v>
      </c>
      <c r="C5113" s="149" t="s">
        <v>370</v>
      </c>
      <c r="D5113" t="s">
        <v>7403</v>
      </c>
      <c r="E5113" t="s">
        <v>7407</v>
      </c>
      <c r="F5113" s="150" t="s">
        <v>2371</v>
      </c>
      <c r="G5113" s="149" t="s">
        <v>400</v>
      </c>
      <c r="H5113" s="150" t="str">
        <f>IF(Proc[[#This Row],[type]]="LFF (MDG-F)",MID(Proc[[#This Row],[Obj]],13,10),"")</f>
        <v/>
      </c>
      <c r="J5113" s="150" t="b">
        <f>Proc[[#This Row],[Requested]]=Proc[[#This Row],[CurrentParent]]</f>
        <v>0</v>
      </c>
      <c r="K5113" s="150" t="str">
        <f>IF(Proc[[#This Row],[Author]]="Marcela Urrego",VLOOKUP(LEFT(Proc[[#This Row],[Requested]],1),Table3[#All],2,0),VLOOKUP(Proc[[#This Row],[Author]],Table4[],2,0))</f>
        <v>LS</v>
      </c>
      <c r="L5113" s="150" t="s">
        <v>6435</v>
      </c>
      <c r="M5113" s="177">
        <v>46006</v>
      </c>
      <c r="N5113" s="178"/>
      <c r="O5113" s="178"/>
      <c r="P5113" s="178" t="str">
        <f ca="1">IF(Proc[[#This Row],[DaysAgeing]]&gt;5,"yep","on track")</f>
        <v>on track</v>
      </c>
      <c r="Q5113" s="3">
        <f ca="1">IF(Proc[[#This Row],[DateClosed]]="",ABS(NETWORKDAYS(Proc[[#This Row],[DateOpened]],TODAY()))-1,ABS(NETWORKDAYS(Proc[[#This Row],[DateOpened]],Proc[[#This Row],[DateClosed]]))-1)</f>
        <v>0</v>
      </c>
      <c r="R5113" s="178" t="s">
        <v>489</v>
      </c>
      <c r="S5113" s="150"/>
    </row>
    <row r="5114" spans="1:19">
      <c r="A5114" s="149" t="s">
        <v>7404</v>
      </c>
      <c r="B5114" s="150" t="str">
        <f>IFERROR(VLOOKUP(Proc[[#This Row],[App]],Table2[],3,0),"open")</f>
        <v>open</v>
      </c>
      <c r="C5114" s="149" t="s">
        <v>375</v>
      </c>
      <c r="D5114" t="s">
        <v>3430</v>
      </c>
      <c r="E5114" t="s">
        <v>7408</v>
      </c>
      <c r="F5114" s="150" t="s">
        <v>2371</v>
      </c>
      <c r="G5114" t="s">
        <v>406</v>
      </c>
      <c r="H5114" s="150" t="str">
        <f>IF(Proc[[#This Row],[type]]="LFF (MDG-F)",MID(Proc[[#This Row],[Obj]],13,10),"")</f>
        <v>1756C00005</v>
      </c>
      <c r="J5114" s="150" t="b">
        <f>Proc[[#This Row],[Requested]]=Proc[[#This Row],[CurrentParent]]</f>
        <v>0</v>
      </c>
      <c r="K5114" s="150" t="str">
        <f>IF(Proc[[#This Row],[Author]]="Marcela Urrego",VLOOKUP(LEFT(Proc[[#This Row],[Requested]],1),Table3[#All],2,0),VLOOKUP(Proc[[#This Row],[Author]],Table4[],2,0))</f>
        <v>LS</v>
      </c>
      <c r="L5114" s="150" t="s">
        <v>6435</v>
      </c>
      <c r="M5114" s="177">
        <v>46006</v>
      </c>
      <c r="N5114" s="178"/>
      <c r="O5114" s="178"/>
      <c r="P5114" s="178" t="str">
        <f ca="1">IF(Proc[[#This Row],[DaysAgeing]]&gt;5,"yep","on track")</f>
        <v>on track</v>
      </c>
      <c r="Q5114" s="3">
        <f ca="1">IF(Proc[[#This Row],[DateClosed]]="",ABS(NETWORKDAYS(Proc[[#This Row],[DateOpened]],TODAY()))-1,ABS(NETWORKDAYS(Proc[[#This Row],[DateOpened]],Proc[[#This Row],[DateClosed]]))-1)</f>
        <v>0</v>
      </c>
      <c r="R5114" s="178" t="s">
        <v>489</v>
      </c>
      <c r="S5114" s="150"/>
    </row>
  </sheetData>
  <phoneticPr fontId="0" type="noConversion"/>
  <conditionalFormatting sqref="D642">
    <cfRule type="duplicateValues" dxfId="14" priority="3"/>
  </conditionalFormatting>
  <conditionalFormatting sqref="D1017:D1042">
    <cfRule type="duplicateValues" dxfId="13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G2:G5114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592807-8D15-439B-B370-EE42D4B949F9}">
  <dimension ref="A1:C4"/>
  <sheetViews>
    <sheetView workbookViewId="0">
      <selection activeCell="H10" sqref="H10"/>
    </sheetView>
  </sheetViews>
  <sheetFormatPr defaultRowHeight="14.4"/>
  <sheetData>
    <row r="1" spans="1:3">
      <c r="A1">
        <v>1000</v>
      </c>
      <c r="B1" t="s">
        <v>7378</v>
      </c>
    </row>
    <row r="2" spans="1:3">
      <c r="A2" t="s">
        <v>6828</v>
      </c>
      <c r="C2" t="s">
        <v>7397</v>
      </c>
    </row>
    <row r="3" spans="1:3">
      <c r="A3" t="s">
        <v>426</v>
      </c>
      <c r="C3" t="s">
        <v>7398</v>
      </c>
    </row>
    <row r="4" spans="1:3">
      <c r="A4" t="s">
        <v>426</v>
      </c>
      <c r="C4" t="s">
        <v>7399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2C626-5C5E-4F91-8772-6CDC160978FA}">
  <dimension ref="A1:C14"/>
  <sheetViews>
    <sheetView workbookViewId="0">
      <selection activeCell="A20" sqref="A20"/>
    </sheetView>
  </sheetViews>
  <sheetFormatPr defaultRowHeight="14.4"/>
  <cols>
    <col min="1" max="1" width="51" bestFit="1" customWidth="1"/>
    <col min="2" max="2" width="27.6640625" bestFit="1" customWidth="1"/>
  </cols>
  <sheetData>
    <row r="1" spans="1:3">
      <c r="A1" t="s">
        <v>7284</v>
      </c>
      <c r="B1" s="149" t="s">
        <v>425</v>
      </c>
      <c r="C1" t="s">
        <v>425</v>
      </c>
    </row>
    <row r="2" spans="1:3">
      <c r="A2" t="s">
        <v>7342</v>
      </c>
      <c r="B2" t="s">
        <v>7372</v>
      </c>
    </row>
    <row r="3" spans="1:3">
      <c r="A3" t="s">
        <v>7380</v>
      </c>
      <c r="B3" t="s">
        <v>419</v>
      </c>
    </row>
    <row r="4" spans="1:3">
      <c r="A4" t="s">
        <v>7381</v>
      </c>
      <c r="B4" t="s">
        <v>419</v>
      </c>
    </row>
    <row r="5" spans="1:3">
      <c r="A5" t="s">
        <v>7382</v>
      </c>
      <c r="B5" t="s">
        <v>419</v>
      </c>
    </row>
    <row r="6" spans="1:3">
      <c r="A6" t="s">
        <v>7383</v>
      </c>
      <c r="B6" t="s">
        <v>419</v>
      </c>
    </row>
    <row r="7" spans="1:3">
      <c r="A7" t="s">
        <v>7384</v>
      </c>
      <c r="B7" t="s">
        <v>419</v>
      </c>
    </row>
    <row r="8" spans="1:3">
      <c r="A8" t="s">
        <v>7385</v>
      </c>
      <c r="B8" t="s">
        <v>419</v>
      </c>
    </row>
    <row r="9" spans="1:3">
      <c r="A9" t="s">
        <v>7386</v>
      </c>
      <c r="B9" t="s">
        <v>419</v>
      </c>
    </row>
    <row r="10" spans="1:3">
      <c r="A10" t="s">
        <v>2785</v>
      </c>
      <c r="B10" t="s">
        <v>419</v>
      </c>
    </row>
    <row r="11" spans="1:3">
      <c r="A11" t="s">
        <v>7345</v>
      </c>
      <c r="B11" t="s">
        <v>7350</v>
      </c>
    </row>
    <row r="12" spans="1:3">
      <c r="A12" t="s">
        <v>7387</v>
      </c>
      <c r="B12" t="s">
        <v>7300</v>
      </c>
    </row>
    <row r="13" spans="1:3">
      <c r="A13" t="s">
        <v>7388</v>
      </c>
      <c r="B13" t="s">
        <v>7299</v>
      </c>
    </row>
    <row r="14" spans="1:3">
      <c r="A14" t="s">
        <v>7389</v>
      </c>
      <c r="B14" t="s">
        <v>7299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F2C718-1BE8-43D8-8B90-88B4F7D9DA61}">
  <dimension ref="A1:B46"/>
  <sheetViews>
    <sheetView workbookViewId="0">
      <selection activeCell="B13" sqref="B13"/>
    </sheetView>
  </sheetViews>
  <sheetFormatPr defaultRowHeight="14.4"/>
  <sheetData>
    <row r="1" spans="1:2">
      <c r="A1" t="s">
        <v>7251</v>
      </c>
      <c r="B1" t="s">
        <v>4939</v>
      </c>
    </row>
    <row r="2" spans="1:2">
      <c r="A2" t="s">
        <v>7251</v>
      </c>
      <c r="B2" t="s">
        <v>4939</v>
      </c>
    </row>
    <row r="3" spans="1:2">
      <c r="A3" t="s">
        <v>7253</v>
      </c>
      <c r="B3" t="s">
        <v>4939</v>
      </c>
    </row>
    <row r="4" spans="1:2">
      <c r="A4" t="s">
        <v>7254</v>
      </c>
      <c r="B4" t="s">
        <v>4939</v>
      </c>
    </row>
    <row r="5" spans="1:2">
      <c r="A5" t="s">
        <v>7255</v>
      </c>
      <c r="B5" t="s">
        <v>4939</v>
      </c>
    </row>
    <row r="6" spans="1:2">
      <c r="A6" t="s">
        <v>7256</v>
      </c>
      <c r="B6" t="s">
        <v>4939</v>
      </c>
    </row>
    <row r="7" spans="1:2">
      <c r="A7" t="s">
        <v>7257</v>
      </c>
      <c r="B7" t="s">
        <v>4939</v>
      </c>
    </row>
    <row r="8" spans="1:2">
      <c r="A8" t="s">
        <v>7274</v>
      </c>
      <c r="B8" t="s">
        <v>4939</v>
      </c>
    </row>
    <row r="9" spans="1:2">
      <c r="A9" t="s">
        <v>7275</v>
      </c>
      <c r="B9" t="s">
        <v>4939</v>
      </c>
    </row>
    <row r="10" spans="1:2">
      <c r="A10" t="s">
        <v>7276</v>
      </c>
      <c r="B10" t="s">
        <v>4939</v>
      </c>
    </row>
    <row r="11" spans="1:2">
      <c r="A11" t="s">
        <v>7277</v>
      </c>
      <c r="B11" t="s">
        <v>4939</v>
      </c>
    </row>
    <row r="12" spans="1:2">
      <c r="A12" t="s">
        <v>7278</v>
      </c>
      <c r="B12" t="s">
        <v>4939</v>
      </c>
    </row>
    <row r="13" spans="1:2">
      <c r="A13" t="s">
        <v>7284</v>
      </c>
      <c r="B13" s="149" t="s">
        <v>425</v>
      </c>
    </row>
    <row r="14" spans="1:2">
      <c r="A14" t="s">
        <v>7289</v>
      </c>
      <c r="B14" t="s">
        <v>7282</v>
      </c>
    </row>
    <row r="15" spans="1:2">
      <c r="A15" t="s">
        <v>7290</v>
      </c>
      <c r="B15" t="s">
        <v>7282</v>
      </c>
    </row>
    <row r="16" spans="1:2">
      <c r="A16" t="s">
        <v>7305</v>
      </c>
      <c r="B16" t="s">
        <v>496</v>
      </c>
    </row>
    <row r="17" spans="1:2">
      <c r="A17" t="s">
        <v>7306</v>
      </c>
      <c r="B17" t="s">
        <v>7331</v>
      </c>
    </row>
    <row r="18" spans="1:2">
      <c r="A18" t="s">
        <v>7307</v>
      </c>
      <c r="B18" t="s">
        <v>2776</v>
      </c>
    </row>
    <row r="19" spans="1:2">
      <c r="A19" t="s">
        <v>7308</v>
      </c>
      <c r="B19" t="s">
        <v>4890</v>
      </c>
    </row>
    <row r="20" spans="1:2">
      <c r="A20" t="s">
        <v>7309</v>
      </c>
      <c r="B20" t="s">
        <v>2206</v>
      </c>
    </row>
    <row r="21" spans="1:2">
      <c r="A21" t="s">
        <v>7310</v>
      </c>
      <c r="B21" t="s">
        <v>7332</v>
      </c>
    </row>
    <row r="22" spans="1:2">
      <c r="A22" t="s">
        <v>7311</v>
      </c>
      <c r="B22" t="s">
        <v>7333</v>
      </c>
    </row>
    <row r="23" spans="1:2">
      <c r="A23" t="s">
        <v>7312</v>
      </c>
      <c r="B23" t="s">
        <v>7334</v>
      </c>
    </row>
    <row r="24" spans="1:2">
      <c r="A24" t="s">
        <v>7313</v>
      </c>
      <c r="B24" t="s">
        <v>7335</v>
      </c>
    </row>
    <row r="25" spans="1:2">
      <c r="A25" t="s">
        <v>7314</v>
      </c>
      <c r="B25" t="s">
        <v>7336</v>
      </c>
    </row>
    <row r="26" spans="1:2">
      <c r="A26" t="s">
        <v>7315</v>
      </c>
      <c r="B26" t="s">
        <v>7336</v>
      </c>
    </row>
    <row r="27" spans="1:2">
      <c r="A27" t="s">
        <v>7316</v>
      </c>
      <c r="B27" t="s">
        <v>7337</v>
      </c>
    </row>
    <row r="28" spans="1:2">
      <c r="A28" t="s">
        <v>7317</v>
      </c>
      <c r="B28" t="s">
        <v>7337</v>
      </c>
    </row>
    <row r="29" spans="1:2">
      <c r="A29" t="s">
        <v>7318</v>
      </c>
      <c r="B29" t="s">
        <v>6956</v>
      </c>
    </row>
    <row r="30" spans="1:2">
      <c r="A30" t="s">
        <v>7319</v>
      </c>
      <c r="B30" t="s">
        <v>7338</v>
      </c>
    </row>
    <row r="31" spans="1:2">
      <c r="A31" t="s">
        <v>7320</v>
      </c>
      <c r="B31" t="s">
        <v>7338</v>
      </c>
    </row>
    <row r="32" spans="1:2">
      <c r="A32" t="s">
        <v>7321</v>
      </c>
      <c r="B32" t="s">
        <v>7338</v>
      </c>
    </row>
    <row r="33" spans="1:2">
      <c r="A33" t="s">
        <v>7322</v>
      </c>
      <c r="B33" t="s">
        <v>7338</v>
      </c>
    </row>
    <row r="34" spans="1:2">
      <c r="A34" t="s">
        <v>7323</v>
      </c>
      <c r="B34" t="s">
        <v>7338</v>
      </c>
    </row>
    <row r="35" spans="1:2">
      <c r="A35" t="s">
        <v>7324</v>
      </c>
      <c r="B35" t="s">
        <v>7338</v>
      </c>
    </row>
    <row r="36" spans="1:2">
      <c r="A36" t="s">
        <v>7325</v>
      </c>
      <c r="B36" t="s">
        <v>7338</v>
      </c>
    </row>
    <row r="37" spans="1:2">
      <c r="A37" t="s">
        <v>7326</v>
      </c>
      <c r="B37" t="s">
        <v>7338</v>
      </c>
    </row>
    <row r="38" spans="1:2">
      <c r="A38" t="s">
        <v>7327</v>
      </c>
      <c r="B38" t="s">
        <v>7339</v>
      </c>
    </row>
    <row r="39" spans="1:2">
      <c r="A39" t="s">
        <v>7328</v>
      </c>
      <c r="B39" t="s">
        <v>7340</v>
      </c>
    </row>
    <row r="40" spans="1:2">
      <c r="A40" t="s">
        <v>7329</v>
      </c>
      <c r="B40" t="s">
        <v>7341</v>
      </c>
    </row>
    <row r="41" spans="1:2">
      <c r="A41" t="s">
        <v>7330</v>
      </c>
      <c r="B41" t="s">
        <v>4100</v>
      </c>
    </row>
    <row r="42" spans="1:2">
      <c r="A42" t="s">
        <v>7342</v>
      </c>
      <c r="B42" t="s">
        <v>7372</v>
      </c>
    </row>
    <row r="43" spans="1:2">
      <c r="A43" t="s">
        <v>7344</v>
      </c>
      <c r="B43" t="s">
        <v>7349</v>
      </c>
    </row>
    <row r="44" spans="1:2">
      <c r="A44" t="s">
        <v>7346</v>
      </c>
      <c r="B44" t="s">
        <v>7350</v>
      </c>
    </row>
    <row r="45" spans="1:2">
      <c r="A45" t="s">
        <v>7347</v>
      </c>
      <c r="B45" t="s">
        <v>7350</v>
      </c>
    </row>
    <row r="46" spans="1:2">
      <c r="A46" t="s">
        <v>7348</v>
      </c>
      <c r="B46" t="s">
        <v>7351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62A40-031D-4E3E-AB92-FCC00665828B}">
  <dimension ref="A1:F5"/>
  <sheetViews>
    <sheetView workbookViewId="0">
      <selection activeCell="Q10" sqref="Q10"/>
    </sheetView>
  </sheetViews>
  <sheetFormatPr defaultRowHeight="14.4"/>
  <cols>
    <col min="1" max="1" width="11.5546875" bestFit="1" customWidth="1"/>
  </cols>
  <sheetData>
    <row r="1" spans="1:6">
      <c r="A1">
        <v>1000</v>
      </c>
      <c r="B1" t="s">
        <v>7377</v>
      </c>
    </row>
    <row r="2" spans="1:6">
      <c r="A2" s="176" t="s">
        <v>7342</v>
      </c>
      <c r="C2" t="s">
        <v>7376</v>
      </c>
      <c r="D2" s="149" t="s">
        <v>7376</v>
      </c>
      <c r="E2" s="149" t="s">
        <v>7376</v>
      </c>
      <c r="F2" s="149" t="s">
        <v>7376</v>
      </c>
    </row>
    <row r="4" spans="1:6">
      <c r="A4">
        <v>1000</v>
      </c>
      <c r="B4" t="s">
        <v>7378</v>
      </c>
    </row>
    <row r="5" spans="1:6">
      <c r="A5" s="176" t="s">
        <v>4829</v>
      </c>
      <c r="B5" s="176" t="s">
        <v>7342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F2684-0E69-4E01-ACE8-8BE9EB94A4E4}">
  <dimension ref="A1:B46"/>
  <sheetViews>
    <sheetView workbookViewId="0">
      <selection activeCell="A46" sqref="A46:B46"/>
    </sheetView>
  </sheetViews>
  <sheetFormatPr defaultRowHeight="14.4"/>
  <cols>
    <col min="1" max="1" width="53" bestFit="1" customWidth="1"/>
    <col min="2" max="2" width="27.6640625" bestFit="1" customWidth="1"/>
  </cols>
  <sheetData>
    <row r="1" spans="1:2">
      <c r="A1" t="s">
        <v>7251</v>
      </c>
      <c r="B1" t="s">
        <v>4914</v>
      </c>
    </row>
    <row r="2" spans="1:2">
      <c r="A2" t="s">
        <v>7253</v>
      </c>
      <c r="B2" t="s">
        <v>7300</v>
      </c>
    </row>
    <row r="3" spans="1:2">
      <c r="A3" t="s">
        <v>7254</v>
      </c>
      <c r="B3" t="s">
        <v>7300</v>
      </c>
    </row>
    <row r="4" spans="1:2">
      <c r="A4" t="s">
        <v>7255</v>
      </c>
      <c r="B4" t="s">
        <v>7300</v>
      </c>
    </row>
    <row r="5" spans="1:2">
      <c r="A5" t="s">
        <v>7256</v>
      </c>
      <c r="B5" t="s">
        <v>7300</v>
      </c>
    </row>
    <row r="6" spans="1:2">
      <c r="A6" t="s">
        <v>7257</v>
      </c>
      <c r="B6" t="s">
        <v>7300</v>
      </c>
    </row>
    <row r="7" spans="1:2">
      <c r="A7" t="s">
        <v>7274</v>
      </c>
      <c r="B7" t="s">
        <v>7299</v>
      </c>
    </row>
    <row r="8" spans="1:2">
      <c r="A8" t="s">
        <v>7275</v>
      </c>
      <c r="B8" t="s">
        <v>7299</v>
      </c>
    </row>
    <row r="9" spans="1:2">
      <c r="A9" t="s">
        <v>7276</v>
      </c>
      <c r="B9" t="s">
        <v>7299</v>
      </c>
    </row>
    <row r="10" spans="1:2">
      <c r="A10" t="s">
        <v>7277</v>
      </c>
      <c r="B10" t="s">
        <v>7299</v>
      </c>
    </row>
    <row r="11" spans="1:2">
      <c r="A11" t="s">
        <v>7278</v>
      </c>
      <c r="B11" t="s">
        <v>7299</v>
      </c>
    </row>
    <row r="12" spans="1:2">
      <c r="A12" t="s">
        <v>7284</v>
      </c>
      <c r="B12" t="s">
        <v>425</v>
      </c>
    </row>
    <row r="13" spans="1:2">
      <c r="A13" t="s">
        <v>7289</v>
      </c>
      <c r="B13" t="s">
        <v>7298</v>
      </c>
    </row>
    <row r="14" spans="1:2">
      <c r="A14" t="s">
        <v>7290</v>
      </c>
      <c r="B14" t="s">
        <v>7298</v>
      </c>
    </row>
    <row r="15" spans="1:2">
      <c r="A15" t="s">
        <v>7305</v>
      </c>
      <c r="B15" t="s">
        <v>7353</v>
      </c>
    </row>
    <row r="16" spans="1:2">
      <c r="A16" t="s">
        <v>7306</v>
      </c>
      <c r="B16" t="s">
        <v>7354</v>
      </c>
    </row>
    <row r="17" spans="1:2">
      <c r="A17" t="s">
        <v>7307</v>
      </c>
      <c r="B17" t="s">
        <v>7355</v>
      </c>
    </row>
    <row r="18" spans="1:2">
      <c r="A18" t="s">
        <v>7308</v>
      </c>
      <c r="B18" t="s">
        <v>7356</v>
      </c>
    </row>
    <row r="19" spans="1:2">
      <c r="A19" t="s">
        <v>7309</v>
      </c>
      <c r="B19" t="s">
        <v>7357</v>
      </c>
    </row>
    <row r="20" spans="1:2">
      <c r="A20" t="s">
        <v>7310</v>
      </c>
      <c r="B20" t="s">
        <v>7358</v>
      </c>
    </row>
    <row r="21" spans="1:2">
      <c r="A21" t="s">
        <v>7311</v>
      </c>
      <c r="B21" t="s">
        <v>7359</v>
      </c>
    </row>
    <row r="22" spans="1:2">
      <c r="A22" t="s">
        <v>7312</v>
      </c>
      <c r="B22" t="s">
        <v>7360</v>
      </c>
    </row>
    <row r="23" spans="1:2">
      <c r="A23" t="s">
        <v>7313</v>
      </c>
      <c r="B23" t="s">
        <v>7361</v>
      </c>
    </row>
    <row r="24" spans="1:2">
      <c r="A24" t="s">
        <v>7314</v>
      </c>
      <c r="B24" t="s">
        <v>7362</v>
      </c>
    </row>
    <row r="25" spans="1:2">
      <c r="A25" t="s">
        <v>7315</v>
      </c>
      <c r="B25" t="s">
        <v>7363</v>
      </c>
    </row>
    <row r="26" spans="1:2">
      <c r="A26" t="s">
        <v>7316</v>
      </c>
      <c r="B26" t="s">
        <v>7362</v>
      </c>
    </row>
    <row r="27" spans="1:2">
      <c r="A27" t="s">
        <v>7317</v>
      </c>
      <c r="B27" t="s">
        <v>7363</v>
      </c>
    </row>
    <row r="28" spans="1:2">
      <c r="A28" t="s">
        <v>7318</v>
      </c>
      <c r="B28" t="s">
        <v>7364</v>
      </c>
    </row>
    <row r="29" spans="1:2">
      <c r="A29" t="s">
        <v>7319</v>
      </c>
      <c r="B29" t="s">
        <v>7365</v>
      </c>
    </row>
    <row r="30" spans="1:2">
      <c r="A30" t="s">
        <v>7320</v>
      </c>
      <c r="B30" t="s">
        <v>7366</v>
      </c>
    </row>
    <row r="31" spans="1:2">
      <c r="A31" t="s">
        <v>7321</v>
      </c>
      <c r="B31" t="s">
        <v>7367</v>
      </c>
    </row>
    <row r="32" spans="1:2">
      <c r="A32" t="s">
        <v>7322</v>
      </c>
      <c r="B32" t="s">
        <v>7364</v>
      </c>
    </row>
    <row r="33" spans="1:2">
      <c r="A33" t="s">
        <v>7323</v>
      </c>
      <c r="B33" t="s">
        <v>7368</v>
      </c>
    </row>
    <row r="34" spans="1:2">
      <c r="A34" t="s">
        <v>7324</v>
      </c>
      <c r="B34" t="s">
        <v>7368</v>
      </c>
    </row>
    <row r="35" spans="1:2">
      <c r="A35" t="s">
        <v>7325</v>
      </c>
      <c r="B35" t="s">
        <v>7369</v>
      </c>
    </row>
    <row r="36" spans="1:2">
      <c r="A36" t="s">
        <v>7326</v>
      </c>
      <c r="B36" t="s">
        <v>7369</v>
      </c>
    </row>
    <row r="37" spans="1:2">
      <c r="A37" t="s">
        <v>7327</v>
      </c>
      <c r="B37" t="s">
        <v>7370</v>
      </c>
    </row>
    <row r="38" spans="1:2">
      <c r="A38" t="s">
        <v>7328</v>
      </c>
      <c r="B38" t="s">
        <v>7367</v>
      </c>
    </row>
    <row r="39" spans="1:2">
      <c r="A39" t="s">
        <v>7329</v>
      </c>
      <c r="B39" t="s">
        <v>7371</v>
      </c>
    </row>
    <row r="40" spans="1:2">
      <c r="A40" t="s">
        <v>7330</v>
      </c>
      <c r="B40" t="s">
        <v>7302</v>
      </c>
    </row>
    <row r="41" spans="1:2">
      <c r="A41" t="s">
        <v>7342</v>
      </c>
      <c r="B41" t="s">
        <v>7372</v>
      </c>
    </row>
    <row r="42" spans="1:2">
      <c r="A42" t="s">
        <v>7344</v>
      </c>
      <c r="B42" t="s">
        <v>7373</v>
      </c>
    </row>
    <row r="43" spans="1:2">
      <c r="A43" t="s">
        <v>7345</v>
      </c>
      <c r="B43" t="s">
        <v>7374</v>
      </c>
    </row>
    <row r="44" spans="1:2">
      <c r="A44" t="s">
        <v>7346</v>
      </c>
      <c r="B44" t="s">
        <v>7374</v>
      </c>
    </row>
    <row r="45" spans="1:2">
      <c r="A45" t="s">
        <v>7347</v>
      </c>
      <c r="B45" t="s">
        <v>7374</v>
      </c>
    </row>
    <row r="46" spans="1:2">
      <c r="A46" t="s">
        <v>7348</v>
      </c>
      <c r="B46" t="s">
        <v>7375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C75" sqref="C75"/>
    </sheetView>
  </sheetViews>
  <sheetFormatPr defaultRowHeight="14.4"/>
  <cols>
    <col min="1" max="1" width="8.88671875" bestFit="1" customWidth="1"/>
    <col min="2" max="2" width="10.109375" bestFit="1" customWidth="1"/>
    <col min="3" max="3" width="11" bestFit="1" customWidth="1"/>
    <col min="4" max="4" width="17.5546875" style="4" bestFit="1" customWidth="1"/>
    <col min="5" max="5" width="38.44140625" style="4" bestFit="1" customWidth="1"/>
    <col min="6" max="6" width="37.33203125" style="4" bestFit="1" customWidth="1"/>
    <col min="7" max="7" width="10.33203125" style="4" hidden="1" customWidth="1"/>
    <col min="8" max="8" width="13.6640625" style="4" bestFit="1" customWidth="1"/>
    <col min="9" max="9" width="81.109375" bestFit="1" customWidth="1"/>
    <col min="10" max="10" width="11.5546875" bestFit="1" customWidth="1"/>
    <col min="11" max="11" width="10.332031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45"/>
  <sheetViews>
    <sheetView topLeftCell="A93" workbookViewId="0">
      <selection activeCell="B148" sqref="B148"/>
    </sheetView>
  </sheetViews>
  <sheetFormatPr defaultRowHeight="14.4"/>
  <cols>
    <col min="1" max="1" width="23.88671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2890</v>
      </c>
      <c r="B125" t="s">
        <v>568</v>
      </c>
    </row>
    <row r="126" spans="1:2">
      <c r="A126" s="86" t="s">
        <v>3284</v>
      </c>
      <c r="B126" t="s">
        <v>569</v>
      </c>
    </row>
    <row r="127" spans="1:2">
      <c r="A127" t="s">
        <v>3290</v>
      </c>
      <c r="B127" t="s">
        <v>568</v>
      </c>
    </row>
    <row r="128" spans="1:2">
      <c r="A128" s="90" t="s">
        <v>3639</v>
      </c>
      <c r="B128" s="93" t="s">
        <v>569</v>
      </c>
    </row>
    <row r="129" spans="1:2">
      <c r="A129" s="110" t="s">
        <v>4416</v>
      </c>
      <c r="B129" s="103" t="s">
        <v>569</v>
      </c>
    </row>
    <row r="130" spans="1:2">
      <c r="A130" t="s">
        <v>4820</v>
      </c>
      <c r="B130" s="117" t="s">
        <v>568</v>
      </c>
    </row>
    <row r="131" spans="1:2">
      <c r="A131" t="s">
        <v>4819</v>
      </c>
      <c r="B131" s="117" t="s">
        <v>568</v>
      </c>
    </row>
    <row r="132" spans="1:2">
      <c r="A132" s="115" t="s">
        <v>5501</v>
      </c>
      <c r="B132" t="s">
        <v>570</v>
      </c>
    </row>
    <row r="133" spans="1:2">
      <c r="A133" t="s">
        <v>5682</v>
      </c>
      <c r="B133" t="s">
        <v>569</v>
      </c>
    </row>
    <row r="134" spans="1:2">
      <c r="A134" s="130" t="s">
        <v>5709</v>
      </c>
      <c r="B134" t="s">
        <v>570</v>
      </c>
    </row>
    <row r="135" spans="1:2">
      <c r="A135" s="136" t="s">
        <v>6087</v>
      </c>
      <c r="B135" s="135" t="s">
        <v>570</v>
      </c>
    </row>
    <row r="136" spans="1:2">
      <c r="A136" t="s">
        <v>6247</v>
      </c>
      <c r="B136" t="s">
        <v>567</v>
      </c>
    </row>
    <row r="137" spans="1:2">
      <c r="A137" s="146" t="s">
        <v>6273</v>
      </c>
      <c r="B137" t="s">
        <v>569</v>
      </c>
    </row>
    <row r="138" spans="1:2">
      <c r="A138" s="146" t="s">
        <v>6305</v>
      </c>
      <c r="B138" t="s">
        <v>567</v>
      </c>
    </row>
    <row r="139" spans="1:2">
      <c r="A139" t="s">
        <v>6563</v>
      </c>
      <c r="B139" s="149" t="s">
        <v>570</v>
      </c>
    </row>
    <row r="140" spans="1:2">
      <c r="A140" s="159" t="s">
        <v>6573</v>
      </c>
      <c r="B140" s="149" t="s">
        <v>567</v>
      </c>
    </row>
    <row r="141" spans="1:2">
      <c r="A141" s="165" t="s">
        <v>6665</v>
      </c>
      <c r="B141" s="149" t="s">
        <v>569</v>
      </c>
    </row>
    <row r="142" spans="1:2">
      <c r="A142" t="s">
        <v>6862</v>
      </c>
      <c r="B142" t="s">
        <v>569</v>
      </c>
    </row>
    <row r="143" spans="1:2">
      <c r="A143" t="s">
        <v>6982</v>
      </c>
      <c r="B143" s="149" t="s">
        <v>569</v>
      </c>
    </row>
    <row r="144" spans="1:2">
      <c r="A144" s="173" t="s">
        <v>6990</v>
      </c>
      <c r="B144" t="s">
        <v>6998</v>
      </c>
    </row>
    <row r="145" spans="1:2">
      <c r="A145" s="174" t="s">
        <v>7193</v>
      </c>
      <c r="B145" t="s">
        <v>7194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4.4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4.4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4.4"/>
  <cols>
    <col min="1" max="1" width="9.109375" bestFit="1" customWidth="1"/>
    <col min="2" max="2" width="17.44140625" bestFit="1" customWidth="1"/>
    <col min="3" max="3" width="26.44140625" bestFit="1" customWidth="1"/>
    <col min="4" max="4" width="17.5546875" bestFit="1" customWidth="1"/>
    <col min="5" max="5" width="25.6640625" bestFit="1" customWidth="1"/>
    <col min="6" max="6" width="116.554687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Application xmlns="http://www.sap.com/cof/excel/application">
  <Version>2</Version>
  <Revision>2.6.200.79950</Revision>
</Application>
</file>

<file path=customXml/item2.xml>�� 
</file>

<file path=customXml/itemProps1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customXml/itemProps2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KPI</vt:lpstr>
      <vt:lpstr>Report</vt:lpstr>
      <vt:lpstr>OK</vt:lpstr>
      <vt:lpstr>PROC</vt:lpstr>
      <vt:lpstr>Sheet5</vt:lpstr>
      <vt:lpstr>Sheet4</vt:lpstr>
      <vt:lpstr>Sheet3</vt:lpstr>
      <vt:lpstr>Sheet2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Dayanara Jane Coscos</cp:lastModifiedBy>
  <cp:revision/>
  <dcterms:created xsi:type="dcterms:W3CDTF">2023-06-07T06:58:46Z</dcterms:created>
  <dcterms:modified xsi:type="dcterms:W3CDTF">2025-12-13T21:17:31Z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