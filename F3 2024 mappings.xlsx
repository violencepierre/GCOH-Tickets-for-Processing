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80932AAE-D09A-48DD-86F8-6EC2477AA430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1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421" i="1" l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7" i="1"/>
  <c r="B8" i="1"/>
  <c r="B2" i="1" l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<sst xmlns="http://schemas.openxmlformats.org/spreadsheetml/2006/main" count="39356" uniqueCount="6575">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</sst>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6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53.857893865737" createdVersion="7" refreshedVersion="7" minRefreshableVersion="3" recordCount="4419" xr:uid="{11839AE3-6158-4318-87AD-2C711D0BF451}">
  <cacheSource type="worksheet">
    <worksheetSource name="Proc"/>
  </cacheSource>
  <cacheFields count="19">
    <cacheField name="App" numFmtId="0">
      <sharedItems containsBlank="1" count="158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19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1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19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94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94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90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87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87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87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87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87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87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87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87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87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87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87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87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87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87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87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87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87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87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87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87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87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87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87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87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87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87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87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87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87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87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87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87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87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87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87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87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87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87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87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87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87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86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86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86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85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85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85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85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85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84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84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82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82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81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78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78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78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78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78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78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78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77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72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72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67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67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67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67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67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67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67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67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63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63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63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58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57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57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57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43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43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42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32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17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17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17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17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17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17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17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17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17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17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17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17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17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17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17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17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17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14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14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14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13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13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13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12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12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12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12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08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08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08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08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02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02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97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97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92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92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92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92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92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92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92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92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92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92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89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89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90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87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87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82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82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82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82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80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80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80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80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80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80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80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80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80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80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80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78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78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78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78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78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78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78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78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77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76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76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76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76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76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75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75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73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72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72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72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71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71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71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69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69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69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69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69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69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66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66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66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66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66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66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66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66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66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66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66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66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66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66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66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66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66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66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66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66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66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66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66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66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65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63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63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63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63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63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63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63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63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61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61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61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60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58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57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57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57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57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57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57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57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57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57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57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57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57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57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57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57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57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57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57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57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57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57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57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57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57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57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57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57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57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57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57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57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57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57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57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57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57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57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57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57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57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57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57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57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57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57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57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57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57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57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57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57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57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57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57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57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57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57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57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57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57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57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57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57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57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57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57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57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57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57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57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57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57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57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57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57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57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57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57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57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57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57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57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57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57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57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57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57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57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57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57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57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57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57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57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57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57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57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57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57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57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57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57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57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57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57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57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57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57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57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57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57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57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54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54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54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54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54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54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54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54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54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54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54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54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54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54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54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53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53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52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52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52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52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52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52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52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51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51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51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50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50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50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50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50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50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50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50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50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50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50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50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50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50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50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50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50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50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50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50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50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50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50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50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50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50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50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50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50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50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50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50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50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50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50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50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50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50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49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49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48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48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48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48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47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47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47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47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44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44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44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44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44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44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44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44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44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44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44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44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44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44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43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43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43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43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42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42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42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42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42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42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42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42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42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42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42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42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42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42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42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42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42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42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42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42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42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42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42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42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42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42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42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42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42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42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42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42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42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42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42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42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42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42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42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42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42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42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42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42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42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42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42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42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42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42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42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42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42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42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42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42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42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42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42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42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42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42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42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42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42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42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42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42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42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42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42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42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42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42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42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42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42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42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42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42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42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42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42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42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42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42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42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42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42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42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42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42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42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42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42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42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42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42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42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42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42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42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42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42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42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42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42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42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42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42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42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42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42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42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42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42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42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42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42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42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42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42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42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42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42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42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42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42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40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40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40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40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40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40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40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40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40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40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39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38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38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38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38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38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38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38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38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38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38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38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38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37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37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37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37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37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37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37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37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37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37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37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37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37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37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37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37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37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37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37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37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37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37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37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37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37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37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37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37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37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37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37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37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37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37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37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37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37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37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37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37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37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37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37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37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37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37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37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37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37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37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37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37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37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37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37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37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37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37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37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37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37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37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37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37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37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37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37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37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37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37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37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37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37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37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37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37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37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37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37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37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37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37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37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37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37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37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37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37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37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37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37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37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37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37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37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37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37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37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37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37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37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37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37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37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37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37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37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37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37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37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37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37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37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37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37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33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33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33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33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33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33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33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33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33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33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33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33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32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32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32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32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32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32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32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32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32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32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32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32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32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32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32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32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32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32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32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29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29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29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29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29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29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29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29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29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28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27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27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27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27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27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26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26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26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26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25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25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25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25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25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25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24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24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24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24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24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24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24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24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24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24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24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24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21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21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21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21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21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21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21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21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21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21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21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21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21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21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21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21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21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21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21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21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21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21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21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21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20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20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20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20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7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6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16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16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16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16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16"/>
    <s v="Henry Ifurung Jr."/>
    <m/>
  </r>
  <r>
    <x v="383"/>
    <x v="1"/>
    <x v="2"/>
    <s v="CSCALA_1022$ITX"/>
    <s v="G000001356"/>
    <s v="G000001356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PMIT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SCALA_1042$ITIW"/>
    <s v="G000000282"/>
    <s v="G000000282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1"/>
    <n v="14"/>
    <s v="Jay-R Lizardo"/>
    <m/>
  </r>
  <r>
    <x v="383"/>
    <x v="1"/>
    <x v="8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14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4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4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4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4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4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4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4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1"/>
    <n v="14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14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14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14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14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14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14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4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14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4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4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12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12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12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12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12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12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12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12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12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12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12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12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10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0"/>
    <n v="5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0"/>
    <n v="5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0"/>
    <n v="5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0"/>
    <n v="5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0"/>
    <n v="4"/>
    <s v="John Rowie Del Rosario"/>
    <m/>
  </r>
  <r>
    <x v="396"/>
    <x v="1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0"/>
    <n v="1"/>
    <s v="Ruby Grace Garcia"/>
    <m/>
  </r>
  <r>
    <x v="396"/>
    <x v="1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0"/>
    <n v="1"/>
    <s v="Ruby Grace Garcia"/>
    <m/>
  </r>
  <r>
    <x v="396"/>
    <x v="1"/>
    <x v="2"/>
    <s v="CTEMPEU_1000AT40RD0001 Workflows R&amp;D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6"/>
    <x v="1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0"/>
    <n v="1"/>
    <s v="Ruby Grace Garcia"/>
    <m/>
  </r>
  <r>
    <x v="397"/>
    <x v="1"/>
    <x v="2"/>
    <s v="CEMERAL_70007001581191"/>
    <s v="L000008464"/>
    <s v="L000008464"/>
    <s v="Non-LFF"/>
    <s v=""/>
    <m/>
    <b v="1"/>
    <x v="2"/>
    <x v="0"/>
    <d v="2025-10-22T00:00:00"/>
    <m/>
    <m/>
    <x v="0"/>
    <n v="1"/>
    <s v="Ruby Grace Garcia"/>
    <m/>
  </r>
  <r>
    <x v="398"/>
    <x v="1"/>
    <x v="2"/>
    <s v="CLFF_1000$$$DE01TAWA03"/>
    <s v="P000000240"/>
    <s v="P000000240"/>
    <s v="LFF (MDG-F)"/>
    <s v="DE01TAWA03"/>
    <m/>
    <b v="1"/>
    <x v="3"/>
    <x v="0"/>
    <d v="2025-10-22T00:00:00"/>
    <m/>
    <m/>
    <x v="0"/>
    <n v="1"/>
    <s v="Paulina Ciepluch"/>
    <m/>
  </r>
  <r>
    <x v="398"/>
    <x v="1"/>
    <x v="2"/>
    <s v="CLFF_1000$$$DE01TAWA04"/>
    <s v="P000000240"/>
    <s v="P000000240"/>
    <s v="LFF (MDG-F)"/>
    <s v="DE01TAWA04"/>
    <m/>
    <b v="1"/>
    <x v="3"/>
    <x v="0"/>
    <d v="2025-10-22T00:00:00"/>
    <m/>
    <m/>
    <x v="0"/>
    <n v="1"/>
    <s v="Paulina Ciepluch"/>
    <m/>
  </r>
  <r>
    <x v="398"/>
    <x v="1"/>
    <x v="2"/>
    <s v="CLFF_1000$$$DE01TAWA10"/>
    <s v="P000000240"/>
    <s v="P000000240"/>
    <s v="LFF (MDG-F)"/>
    <s v="DE01TAWA10"/>
    <m/>
    <b v="1"/>
    <x v="3"/>
    <x v="0"/>
    <d v="2025-10-22T00:00:00"/>
    <m/>
    <m/>
    <x v="0"/>
    <n v="1"/>
    <s v="Paulina Ciepluch"/>
    <m/>
  </r>
  <r>
    <x v="398"/>
    <x v="1"/>
    <x v="2"/>
    <s v="CLFF_1000$$$DE01TAWA20"/>
    <s v="P000000240"/>
    <s v="P000000240"/>
    <s v="LFF (MDG-F)"/>
    <s v="DE01TAWA20"/>
    <m/>
    <b v="1"/>
    <x v="3"/>
    <x v="0"/>
    <d v="2025-10-22T00:00:00"/>
    <m/>
    <m/>
    <x v="0"/>
    <n v="1"/>
    <s v="Paulina Ciepluch"/>
    <m/>
  </r>
  <r>
    <x v="398"/>
    <x v="1"/>
    <x v="2"/>
    <s v="CLFF_1000$$$DE01TAWA31"/>
    <s v="P000000240"/>
    <s v="P000000240"/>
    <s v="LFF (MDG-F)"/>
    <s v="DE01TAWA31"/>
    <m/>
    <b v="1"/>
    <x v="3"/>
    <x v="0"/>
    <d v="2025-10-22T00:00:00"/>
    <m/>
    <m/>
    <x v="0"/>
    <n v="1"/>
    <s v="Paulina Ciepluch"/>
    <m/>
  </r>
  <r>
    <x v="398"/>
    <x v="1"/>
    <x v="2"/>
    <s v="CLFF_1000$$$DE01TAWA32"/>
    <s v="P000000240"/>
    <s v="P000000240"/>
    <s v="LFF (MDG-F)"/>
    <s v="DE01TAWA32"/>
    <m/>
    <b v="1"/>
    <x v="3"/>
    <x v="0"/>
    <d v="2025-10-22T00:00:00"/>
    <m/>
    <m/>
    <x v="0"/>
    <n v="1"/>
    <s v="Paulina Ciepluch"/>
    <m/>
  </r>
  <r>
    <x v="398"/>
    <x v="1"/>
    <x v="2"/>
    <s v="CLFF_1000$$$DE01TAWA40"/>
    <s v="P000000240"/>
    <s v="P000000240"/>
    <s v="LFF (MDG-F)"/>
    <s v="DE01TAWA40"/>
    <m/>
    <b v="1"/>
    <x v="3"/>
    <x v="0"/>
    <d v="2025-10-22T00:00:00"/>
    <m/>
    <m/>
    <x v="0"/>
    <n v="1"/>
    <s v="Paulina Ciepluch"/>
    <m/>
  </r>
  <r>
    <x v="398"/>
    <x v="1"/>
    <x v="2"/>
    <s v="CLFF_1000$$$DE01TAWA50"/>
    <s v="P000000240"/>
    <s v="P000000240"/>
    <s v="LFF (MDG-F)"/>
    <s v="DE01TAWA50"/>
    <m/>
    <b v="1"/>
    <x v="3"/>
    <x v="0"/>
    <d v="2025-10-22T00:00:00"/>
    <m/>
    <m/>
    <x v="0"/>
    <n v="1"/>
    <s v="Paulina Ciepluch"/>
    <m/>
  </r>
  <r>
    <x v="398"/>
    <x v="1"/>
    <x v="2"/>
    <s v="CLFF_1000$$$DE01TAWA53"/>
    <s v="P000000240"/>
    <s v="P000000240"/>
    <s v="LFF (MDG-F)"/>
    <s v="DE01TAWA53"/>
    <m/>
    <b v="1"/>
    <x v="3"/>
    <x v="0"/>
    <d v="2025-10-22T00:00:00"/>
    <m/>
    <m/>
    <x v="0"/>
    <n v="1"/>
    <s v="Paulina Ciepluch"/>
    <m/>
  </r>
  <r>
    <x v="398"/>
    <x v="1"/>
    <x v="2"/>
    <s v="CLFF_1000$$$DE01TAWA61"/>
    <s v="P000000240"/>
    <s v="P000000240"/>
    <s v="LFF (MDG-F)"/>
    <s v="DE01TAWA61"/>
    <m/>
    <b v="1"/>
    <x v="3"/>
    <x v="0"/>
    <d v="2025-10-22T00:00:00"/>
    <m/>
    <m/>
    <x v="0"/>
    <n v="1"/>
    <s v="Paulina Ciepluch"/>
    <m/>
  </r>
  <r>
    <x v="398"/>
    <x v="1"/>
    <x v="2"/>
    <s v="CLFF_1000$$$DE01TAWA62"/>
    <s v="P000000240"/>
    <s v="P000000240"/>
    <s v="LFF (MDG-F)"/>
    <s v="DE01TAWA62"/>
    <m/>
    <b v="1"/>
    <x v="3"/>
    <x v="0"/>
    <d v="2025-10-22T00:00:00"/>
    <m/>
    <m/>
    <x v="0"/>
    <n v="1"/>
    <s v="Paulina Ciepluch"/>
    <m/>
  </r>
  <r>
    <x v="398"/>
    <x v="1"/>
    <x v="2"/>
    <s v="CLFF_1000$$$DE01TAWA63"/>
    <s v="P000000240"/>
    <s v="P000000240"/>
    <s v="LFF (MDG-F)"/>
    <s v="DE01TAWA63"/>
    <m/>
    <b v="1"/>
    <x v="3"/>
    <x v="0"/>
    <d v="2025-10-22T00:00:00"/>
    <m/>
    <m/>
    <x v="0"/>
    <n v="1"/>
    <s v="Paulina Ciepluch"/>
    <m/>
  </r>
  <r>
    <x v="398"/>
    <x v="1"/>
    <x v="2"/>
    <s v="CLFF_1000$$$DE01TAWA64"/>
    <s v="P000000240"/>
    <s v="P000000240"/>
    <s v="LFF (MDG-F)"/>
    <s v="DE01TAWA64"/>
    <m/>
    <b v="1"/>
    <x v="3"/>
    <x v="0"/>
    <d v="2025-10-22T00:00:00"/>
    <m/>
    <m/>
    <x v="0"/>
    <n v="1"/>
    <s v="Paulina Ciepluch"/>
    <m/>
  </r>
  <r>
    <x v="398"/>
    <x v="1"/>
    <x v="2"/>
    <s v="CLFF_1000$$$DE01TAWA70"/>
    <s v="P000000240"/>
    <s v="P000000240"/>
    <s v="LFF (MDG-F)"/>
    <s v="DE01TAWA70"/>
    <m/>
    <b v="1"/>
    <x v="3"/>
    <x v="0"/>
    <d v="2025-10-22T00:00:00"/>
    <m/>
    <m/>
    <x v="0"/>
    <n v="1"/>
    <s v="Paulina Ciepluch"/>
    <m/>
  </r>
  <r>
    <x v="398"/>
    <x v="1"/>
    <x v="2"/>
    <s v="CLFF_1000$$$DE01TAWA73"/>
    <s v="P000000240"/>
    <s v="P000000240"/>
    <s v="LFF (MDG-F)"/>
    <s v="DE01TAWA73"/>
    <m/>
    <b v="1"/>
    <x v="3"/>
    <x v="0"/>
    <d v="2025-10-22T00:00:00"/>
    <m/>
    <m/>
    <x v="0"/>
    <n v="1"/>
    <s v="Paulina Ciepluch"/>
    <m/>
  </r>
  <r>
    <x v="398"/>
    <x v="1"/>
    <x v="2"/>
    <s v="CLFF_1000$$$DE01TAWA74"/>
    <s v="P000000240"/>
    <s v="P000000240"/>
    <s v="LFF (MDG-F)"/>
    <s v="DE01TAWA74"/>
    <m/>
    <b v="1"/>
    <x v="3"/>
    <x v="0"/>
    <d v="2025-10-22T00:00:00"/>
    <m/>
    <m/>
    <x v="0"/>
    <n v="1"/>
    <s v="Paulina Ciepluch"/>
    <m/>
  </r>
  <r>
    <x v="398"/>
    <x v="1"/>
    <x v="2"/>
    <s v="CLFF_1000$$$DE01TAWA80"/>
    <s v="P000000240"/>
    <s v="P000000240"/>
    <s v="LFF (MDG-F)"/>
    <s v="DE01TAWA80"/>
    <m/>
    <b v="1"/>
    <x v="3"/>
    <x v="0"/>
    <d v="2025-10-22T00:00:00"/>
    <m/>
    <m/>
    <x v="0"/>
    <n v="1"/>
    <s v="Paulina Ciepluch"/>
    <m/>
  </r>
  <r>
    <x v="398"/>
    <x v="1"/>
    <x v="2"/>
    <s v="CLFF_1000$$$DE01TAWA84"/>
    <s v="P000000240"/>
    <s v="P000000240"/>
    <s v="LFF (MDG-F)"/>
    <s v="DE01TAWA84"/>
    <m/>
    <b v="1"/>
    <x v="3"/>
    <x v="0"/>
    <d v="2025-10-22T00:00:00"/>
    <m/>
    <m/>
    <x v="0"/>
    <n v="1"/>
    <s v="Paulina Ciepluch"/>
    <m/>
  </r>
  <r>
    <x v="398"/>
    <x v="1"/>
    <x v="2"/>
    <s v="CLFF_1000$$$DE01TAWA90"/>
    <s v="P000000240"/>
    <s v="P000000240"/>
    <s v="LFF (MDG-F)"/>
    <s v="DE01TAWA90"/>
    <m/>
    <b v="1"/>
    <x v="3"/>
    <x v="0"/>
    <d v="2025-10-22T00:00:00"/>
    <m/>
    <m/>
    <x v="0"/>
    <n v="1"/>
    <s v="Paulina Ciepluch"/>
    <m/>
  </r>
  <r>
    <x v="398"/>
    <x v="1"/>
    <x v="2"/>
    <s v="CLFF_1000$$$DE01TAWA93"/>
    <s v="P000000240"/>
    <s v="P000000240"/>
    <s v="LFF (MDG-F)"/>
    <s v="DE01TAWA93"/>
    <m/>
    <b v="1"/>
    <x v="3"/>
    <x v="0"/>
    <d v="2025-10-22T00:00:00"/>
    <m/>
    <m/>
    <x v="0"/>
    <n v="1"/>
    <s v="Paulina Ciepluch"/>
    <m/>
  </r>
  <r>
    <x v="399"/>
    <x v="1"/>
    <x v="2"/>
    <s v="CTEMPEU_1000PL10K01000"/>
    <s v="H000004594"/>
    <s v="H000004594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2000"/>
    <s v="H000004593"/>
    <s v="H000004593"/>
    <s v="Non-LFF"/>
    <s v=""/>
    <m/>
    <b v="1"/>
    <x v="1"/>
    <x v="0"/>
    <d v="2025-10-22T00:00:00"/>
    <m/>
    <m/>
    <x v="0"/>
    <n v="1"/>
    <s v="Anna Glab"/>
    <m/>
  </r>
  <r>
    <x v="399"/>
    <x v="1"/>
    <x v="2"/>
    <s v="CTEMPEU_1000PL10K03000"/>
    <s v="H000004605"/>
    <s v="H000004605"/>
    <s v="Non-LFF"/>
    <s v=""/>
    <m/>
    <b v="1"/>
    <x v="1"/>
    <x v="0"/>
    <d v="2025-10-22T00:00:00"/>
    <m/>
    <m/>
    <x v="0"/>
    <n v="1"/>
    <s v="Anna Glab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7" firstHeaderRow="1" firstDataRow="1" firstDataCol="1" rowPageCount="1" colPageCount="1"/>
  <pivotFields count="19">
    <pivotField axis="axisRow" showAll="0" sortType="ascending">
      <items count="1582">
        <item m="1" x="966"/>
        <item x="0"/>
        <item m="1" x="1036"/>
        <item m="1" x="1457"/>
        <item m="1" x="619"/>
        <item m="1" x="1474"/>
        <item m="1" x="996"/>
        <item m="1" x="1086"/>
        <item m="1" x="1507"/>
        <item m="1" x="1301"/>
        <item m="1" x="989"/>
        <item m="1" x="1573"/>
        <item m="1" x="1319"/>
        <item m="1" x="1563"/>
        <item m="1" x="937"/>
        <item m="1" x="838"/>
        <item m="1" x="542"/>
        <item m="1" x="803"/>
        <item m="1" x="1527"/>
        <item m="1" x="595"/>
        <item m="1" x="903"/>
        <item m="1" x="1271"/>
        <item m="1" x="986"/>
        <item m="1" x="1079"/>
        <item m="1" x="1375"/>
        <item m="1" x="1560"/>
        <item m="1" x="1021"/>
        <item m="1" x="1043"/>
        <item m="1" x="808"/>
        <item m="1" x="1209"/>
        <item m="1" x="968"/>
        <item m="1" x="1514"/>
        <item m="1" x="1171"/>
        <item m="1" x="604"/>
        <item m="1" x="712"/>
        <item m="1" x="1499"/>
        <item m="1" x="1263"/>
        <item m="1" x="517"/>
        <item m="1" x="1349"/>
        <item m="1" x="1015"/>
        <item m="1" x="1310"/>
        <item m="1" x="896"/>
        <item m="1" x="1248"/>
        <item m="1" x="507"/>
        <item m="1" x="537"/>
        <item m="1" x="1576"/>
        <item m="1" x="1255"/>
        <item m="1" x="1323"/>
        <item m="1" x="1430"/>
        <item m="1" x="1199"/>
        <item m="1" x="1297"/>
        <item m="1" x="1136"/>
        <item m="1" x="591"/>
        <item m="1" x="782"/>
        <item m="1" x="1558"/>
        <item m="1" x="1126"/>
        <item m="1" x="1266"/>
        <item m="1" x="794"/>
        <item m="1" x="755"/>
        <item m="1" x="1047"/>
        <item m="1" x="939"/>
        <item m="1" x="972"/>
        <item m="1" x="531"/>
        <item m="1" x="670"/>
        <item m="1" x="1332"/>
        <item m="1" x="1549"/>
        <item m="1" x="735"/>
        <item m="1" x="1140"/>
        <item m="1" x="1150"/>
        <item m="1" x="1327"/>
        <item m="1" x="1437"/>
        <item m="1" x="1315"/>
        <item m="1" x="610"/>
        <item m="1" x="1458"/>
        <item m="1" x="1188"/>
        <item m="1" x="1175"/>
        <item m="1" x="710"/>
        <item m="1" x="1063"/>
        <item m="1" x="1410"/>
        <item m="1" x="528"/>
        <item m="1" x="1107"/>
        <item m="1" x="1460"/>
        <item m="1" x="1298"/>
        <item m="1" x="1033"/>
        <item m="1" x="1075"/>
        <item m="1" x="956"/>
        <item m="1" x="1191"/>
        <item m="1" x="1003"/>
        <item m="1" x="1235"/>
        <item m="1" x="719"/>
        <item m="1" x="1548"/>
        <item m="1" x="1073"/>
        <item m="1" x="1359"/>
        <item m="1" x="436"/>
        <item m="1" x="1564"/>
        <item m="1" x="1100"/>
        <item m="1" x="1389"/>
        <item m="1" x="1302"/>
        <item m="1" x="1080"/>
        <item m="1" x="590"/>
        <item m="1" x="597"/>
        <item m="1" x="637"/>
        <item m="1" x="819"/>
        <item m="1" x="1243"/>
        <item m="1" x="1004"/>
        <item m="1" x="1120"/>
        <item m="1" x="1183"/>
        <item m="1" x="1330"/>
        <item m="1" x="1413"/>
        <item m="1" x="975"/>
        <item m="1" x="696"/>
        <item m="1" x="539"/>
        <item m="1" x="682"/>
        <item m="1" x="1557"/>
        <item m="1" x="714"/>
        <item m="1" x="1395"/>
        <item m="1" x="1324"/>
        <item m="1" x="942"/>
        <item m="1" x="1014"/>
        <item m="1" x="880"/>
        <item m="1" x="1137"/>
        <item m="1" x="1512"/>
        <item m="1" x="688"/>
        <item m="1" x="636"/>
        <item m="1" x="571"/>
        <item m="1" x="1237"/>
        <item m="1" x="1497"/>
        <item m="1" x="1425"/>
        <item m="1" x="1082"/>
        <item m="1" x="606"/>
        <item m="1" x="1331"/>
        <item m="1" x="783"/>
        <item m="1" x="1037"/>
        <item m="1" x="1212"/>
        <item m="1" x="1320"/>
        <item m="1" x="440"/>
        <item m="1" x="1269"/>
        <item m="1" x="1232"/>
        <item m="1" x="673"/>
        <item m="1" x="1121"/>
        <item m="1" x="1009"/>
        <item m="1" x="962"/>
        <item m="1" x="695"/>
        <item m="1" x="631"/>
        <item m="1" x="871"/>
        <item m="1" x="1058"/>
        <item m="1" x="465"/>
        <item m="1" x="804"/>
        <item m="1" x="663"/>
        <item m="1" x="405"/>
        <item m="1" x="915"/>
        <item m="1" x="1116"/>
        <item m="1" x="998"/>
        <item m="1" x="1044"/>
        <item m="1" x="1363"/>
        <item m="1" x="945"/>
        <item m="1" x="1471"/>
        <item m="1" x="1195"/>
        <item m="1" x="1134"/>
        <item m="1" x="648"/>
        <item m="1" x="1281"/>
        <item m="1" x="1559"/>
        <item m="1" x="1247"/>
        <item m="1" x="1231"/>
        <item m="1" x="518"/>
        <item m="1" x="566"/>
        <item m="1" x="1101"/>
        <item m="1" x="607"/>
        <item m="1" x="1544"/>
        <item m="1" x="1210"/>
        <item m="1" x="1135"/>
        <item m="1" x="1087"/>
        <item m="1" x="888"/>
        <item m="1" x="516"/>
        <item m="1" x="616"/>
        <item m="1" x="722"/>
        <item m="1" x="1455"/>
        <item m="1" x="1487"/>
        <item m="1" x="1186"/>
        <item m="1" x="913"/>
        <item m="1" x="1001"/>
        <item m="1" x="511"/>
        <item m="1" x="551"/>
        <item m="1" x="890"/>
        <item m="1" x="1115"/>
        <item m="1" x="1028"/>
        <item m="1" x="686"/>
        <item m="1" x="919"/>
        <item m="1" x="633"/>
        <item m="1" x="828"/>
        <item m="1" x="750"/>
        <item m="1" x="585"/>
        <item m="1" x="721"/>
        <item m="1" x="1091"/>
        <item m="1" x="501"/>
        <item m="1" x="740"/>
        <item m="1" x="532"/>
        <item m="1" x="1225"/>
        <item m="1" x="1414"/>
        <item m="1" x="1024"/>
        <item m="1" x="668"/>
        <item m="1" x="1318"/>
        <item m="1" x="1163"/>
        <item m="1" x="680"/>
        <item m="1" x="681"/>
        <item m="1" x="866"/>
        <item m="1" x="556"/>
        <item m="1" x="745"/>
        <item m="1" x="540"/>
        <item m="1" x="726"/>
        <item m="1" x="1294"/>
        <item m="1" x="805"/>
        <item m="1" x="1172"/>
        <item m="1" x="1222"/>
        <item m="1" x="1356"/>
        <item m="1" x="1360"/>
        <item m="1" x="1077"/>
        <item m="1" x="918"/>
        <item m="1" x="957"/>
        <item m="1" x="1524"/>
        <item m="1" x="817"/>
        <item m="1" x="629"/>
        <item m="1" x="1007"/>
        <item m="1" x="464"/>
        <item m="1" x="1528"/>
        <item m="1" x="991"/>
        <item m="1" x="425"/>
        <item m="1" x="1446"/>
        <item m="1" x="1489"/>
        <item m="1" x="1326"/>
        <item m="1" x="703"/>
        <item m="1" x="442"/>
        <item m="1" x="1376"/>
        <item m="1" x="767"/>
        <item m="1" x="403"/>
        <item m="1" x="1547"/>
        <item m="1" x="791"/>
        <item m="1" x="946"/>
        <item m="1" x="1391"/>
        <item m="1" x="478"/>
        <item m="1" x="1303"/>
        <item m="1" x="1111"/>
        <item m="1" x="976"/>
        <item m="1" x="846"/>
        <item m="1" x="593"/>
        <item m="1" x="1094"/>
        <item m="1" x="796"/>
        <item m="1" x="1334"/>
        <item m="1" x="656"/>
        <item m="1" x="1404"/>
        <item m="1" x="1411"/>
        <item m="1" x="1095"/>
        <item m="1" x="1285"/>
        <item m="1" x="702"/>
        <item m="1" x="999"/>
        <item m="1" x="1288"/>
        <item m="1" x="872"/>
        <item m="1" x="1162"/>
        <item m="1" x="801"/>
        <item m="1" x="586"/>
        <item m="1" x="790"/>
        <item m="1" x="1556"/>
        <item m="1" x="1498"/>
        <item m="1" x="643"/>
        <item m="1" x="1444"/>
        <item m="1" x="450"/>
        <item m="1" x="1466"/>
        <item m="1" x="485"/>
        <item m="1" x="787"/>
        <item m="1" x="885"/>
        <item m="1" x="832"/>
        <item m="1" x="1439"/>
        <item m="1" x="1342"/>
        <item m="1" x="583"/>
        <item m="1" x="1153"/>
        <item m="1" x="1361"/>
        <item m="1" x="1495"/>
        <item m="1" x="1402"/>
        <item m="1" x="488"/>
        <item m="1" x="1568"/>
        <item m="1" x="639"/>
        <item m="1" x="920"/>
        <item m="1" x="1364"/>
        <item m="1" x="487"/>
        <item m="1" x="1423"/>
        <item m="1" x="652"/>
        <item m="1" x="1296"/>
        <item m="1" x="1160"/>
        <item m="1" x="1138"/>
        <item m="1" x="717"/>
        <item m="1" x="679"/>
        <item m="1" x="1491"/>
        <item m="1" x="432"/>
        <item m="1" x="614"/>
        <item m="1" x="1273"/>
        <item m="1" x="1384"/>
        <item m="1" x="1311"/>
        <item m="1" x="1515"/>
        <item m="1" x="1019"/>
        <item m="1" x="646"/>
        <item m="1" x="766"/>
        <item m="1" x="1085"/>
        <item m="1" x="827"/>
        <item m="1" x="1155"/>
        <item m="1" x="768"/>
        <item m="1" x="570"/>
        <item m="1" x="1223"/>
        <item m="1" x="625"/>
        <item m="1" x="505"/>
        <item m="1" x="1357"/>
        <item m="1" x="1504"/>
        <item m="1" x="1205"/>
        <item m="1" x="470"/>
        <item m="1" x="1396"/>
        <item m="1" x="1194"/>
        <item m="1" x="1304"/>
        <item m="1" x="1443"/>
        <item m="1" x="671"/>
        <item m="1" x="863"/>
        <item m="1" x="701"/>
        <item m="1" x="969"/>
        <item m="1" x="893"/>
        <item m="1" x="923"/>
        <item m="1" x="1459"/>
        <item m="1" x="905"/>
        <item m="1" x="1108"/>
        <item m="1" x="640"/>
        <item m="1" x="839"/>
        <item m="1" x="813"/>
        <item m="1" x="1156"/>
        <item m="1" x="1059"/>
        <item m="1" x="1287"/>
        <item m="1" x="809"/>
        <item m="1" x="1445"/>
        <item m="1" x="647"/>
        <item m="1" x="573"/>
        <item m="1" x="829"/>
        <item m="1" x="1370"/>
        <item m="1" x="480"/>
        <item m="1" x="481"/>
        <item m="1" x="777"/>
        <item m="1" x="1450"/>
        <item m="1" x="844"/>
        <item m="1" x="489"/>
        <item m="1" x="649"/>
        <item m="1" x="891"/>
        <item m="1" x="1202"/>
        <item m="1" x="1174"/>
        <item m="1" x="845"/>
        <item m="1" x="426"/>
        <item m="1" x="564"/>
        <item m="1" x="776"/>
        <item m="1" x="664"/>
        <item m="1" x="421"/>
        <item m="1" x="1374"/>
        <item m="1" x="1503"/>
        <item m="1" x="973"/>
        <item m="1" x="1403"/>
        <item m="1" x="1463"/>
        <item m="1" x="486"/>
        <item m="1" x="1501"/>
        <item m="1" x="1239"/>
        <item m="1" x="662"/>
        <item m="1" x="848"/>
        <item m="1" x="752"/>
        <item m="1" x="1114"/>
        <item m="1" x="685"/>
        <item m="1" x="901"/>
        <item m="1" x="1196"/>
        <item m="1" x="1321"/>
        <item m="1" x="824"/>
        <item m="1" x="952"/>
        <item m="1" x="764"/>
        <item m="1" x="690"/>
        <item m="1" x="1201"/>
        <item m="1" x="1316"/>
        <item m="1" x="1478"/>
        <item m="1" x="520"/>
        <item m="1" x="724"/>
        <item m="1" x="1164"/>
        <item m="1" x="565"/>
        <item m="1" x="852"/>
        <item m="1" x="1233"/>
        <item m="1" x="498"/>
        <item m="1" x="708"/>
        <item m="1" x="818"/>
        <item m="1" x="1424"/>
        <item m="1" x="657"/>
        <item m="1" x="927"/>
        <item m="1" x="1480"/>
        <item m="1" x="608"/>
        <item m="1" x="797"/>
        <item m="1" x="985"/>
        <item m="1" x="1322"/>
        <item m="1" x="620"/>
        <item m="1" x="876"/>
        <item m="1" x="718"/>
        <item m="1" x="1214"/>
        <item m="1" x="1400"/>
        <item m="1" x="526"/>
        <item m="1" x="746"/>
        <item m="1" x="1482"/>
        <item m="1" x="1447"/>
        <item m="1" x="547"/>
        <item m="1" x="864"/>
        <item m="1" x="1388"/>
        <item m="1" x="1519"/>
        <item m="1" x="1390"/>
        <item m="1" x="1365"/>
        <item m="1" x="496"/>
        <item m="1" x="672"/>
        <item m="1" x="754"/>
        <item m="1" x="743"/>
        <item m="1" x="970"/>
        <item m="1" x="458"/>
        <item m="1" x="1157"/>
        <item m="1" x="1228"/>
        <item m="1" x="410"/>
        <item m="1" x="1488"/>
        <item m="1" x="1350"/>
        <item m="1" x="1479"/>
        <item m="1" x="1509"/>
        <item m="1" x="1545"/>
        <item m="1" x="1483"/>
        <item m="1" x="847"/>
        <item m="1" x="1207"/>
        <item m="1" x="814"/>
        <item m="1" x="1220"/>
        <item m="1" x="1185"/>
        <item m="1" x="623"/>
        <item m="1" x="661"/>
        <item m="1" x="799"/>
        <item m="1" x="1264"/>
        <item m="1" x="784"/>
        <item m="1" x="530"/>
        <item m="1" x="1529"/>
        <item m="1" x="1279"/>
        <item m="1" x="1112"/>
        <item m="1" x="1144"/>
        <item m="1" x="1193"/>
        <item m="1" x="618"/>
        <item m="1" x="960"/>
        <item m="1" x="1305"/>
        <item m="1" x="456"/>
        <item m="1" x="699"/>
        <item m="1" x="599"/>
        <item m="1" x="596"/>
        <item m="1" x="600"/>
        <item m="1" x="401"/>
        <item m="1" x="622"/>
        <item m="1" x="1419"/>
        <item m="1" x="423"/>
        <item m="1" x="1069"/>
        <item m="1" x="1506"/>
        <item m="1" x="1317"/>
        <item m="1" x="577"/>
        <item m="1" x="1577"/>
        <item m="1" x="506"/>
        <item m="1" x="873"/>
        <item m="1" x="1096"/>
        <item m="1" x="552"/>
        <item m="1" x="1005"/>
        <item m="1" x="1165"/>
        <item m="1" x="1433"/>
        <item m="1" x="1335"/>
        <item m="1" x="414"/>
        <item m="1" x="1097"/>
        <item m="1" x="497"/>
        <item m="1" x="733"/>
        <item m="1" x="705"/>
        <item m="1" x="467"/>
        <item m="1" x="1060"/>
        <item m="1" x="1067"/>
        <item m="1" x="1167"/>
        <item m="1" x="916"/>
        <item m="1" x="1416"/>
        <item m="1" x="825"/>
        <item m="1" x="1535"/>
        <item m="1" x="1170"/>
        <item m="1" x="1061"/>
        <item m="1" x="725"/>
        <item m="1" x="1133"/>
        <item m="1" x="1431"/>
        <item m="1" x="1496"/>
        <item m="1" x="1475"/>
        <item m="1" x="1405"/>
        <item m="1" x="1154"/>
        <item m="1" x="1267"/>
        <item m="1" x="780"/>
        <item m="1" x="1229"/>
        <item m="1" x="1054"/>
        <item m="1" x="1013"/>
        <item m="1" x="1011"/>
        <item m="1" x="1012"/>
        <item m="1" x="709"/>
        <item m="1" x="753"/>
        <item m="1" x="1366"/>
        <item m="1" x="931"/>
        <item m="1" x="773"/>
        <item m="1" x="815"/>
        <item m="1" x="861"/>
        <item m="1" x="1113"/>
        <item m="1" x="1451"/>
        <item m="1" x="1540"/>
        <item m="1" x="658"/>
        <item m="1" x="609"/>
        <item m="1" x="446"/>
        <item m="1" x="468"/>
        <item m="1" x="765"/>
        <item m="1" x="553"/>
        <item m="1" x="881"/>
        <item m="1" x="1417"/>
        <item m="1" x="758"/>
        <item m="1" x="550"/>
        <item m="1" x="1309"/>
        <item m="1" x="427"/>
        <item m="1" x="1435"/>
        <item m="1" x="1510"/>
        <item m="1" x="1574"/>
        <item m="1" x="1449"/>
        <item m="1" x="692"/>
        <item m="1" x="469"/>
        <item m="1" x="933"/>
        <item m="1" x="1017"/>
        <item m="1" x="1213"/>
        <item m="1" x="1181"/>
        <item m="1" x="1217"/>
        <item m="1" x="994"/>
        <item m="1" x="1032"/>
        <item m="1" x="1473"/>
        <item m="1" x="1236"/>
        <item m="1" x="1206"/>
        <item m="1" x="1145"/>
        <item m="1" x="1218"/>
        <item m="1" x="419"/>
        <item m="1" x="424"/>
        <item m="1" x="1027"/>
        <item m="1" x="1412"/>
        <item m="1" x="982"/>
        <item m="1" x="1552"/>
        <item m="1" x="951"/>
        <item m="1" x="1127"/>
        <item m="1" x="1198"/>
        <item m="1" x="812"/>
        <item m="1" x="644"/>
        <item m="1" x="1020"/>
        <item m="1" x="706"/>
        <item m="1" x="1561"/>
        <item m="1" x="1476"/>
        <item m="1" x="1289"/>
        <item m="1" x="546"/>
        <item m="1" x="473"/>
        <item m="1" x="1046"/>
        <item m="1" x="1290"/>
        <item m="1" x="1579"/>
        <item m="1" x="925"/>
        <item m="1" x="1526"/>
        <item m="1" x="460"/>
        <item m="1" x="574"/>
        <item m="1" x="886"/>
        <item m="1" x="977"/>
        <item m="1" x="1406"/>
        <item m="1" x="730"/>
        <item m="1" x="1409"/>
        <item m="1" x="826"/>
        <item m="1" x="1398"/>
        <item m="1" x="1562"/>
        <item m="1" x="490"/>
        <item m="1" x="1546"/>
        <item m="1" x="437"/>
        <item m="1" x="1299"/>
        <item m="1" x="917"/>
        <item m="1" x="748"/>
        <item m="1" x="711"/>
        <item m="1" x="855"/>
        <item m="1" x="454"/>
        <item m="1" x="1539"/>
        <item m="1" x="538"/>
        <item m="1" x="559"/>
        <item m="1" x="1432"/>
        <item m="1" x="1511"/>
        <item m="1" x="1025"/>
        <item m="1" x="1166"/>
        <item m="1" x="867"/>
        <item m="1" x="980"/>
        <item m="1" x="1129"/>
        <item m="1" x="1246"/>
        <item m="1" x="833"/>
        <item m="1" x="1109"/>
        <item m="1" x="928"/>
        <item m="1" x="1565"/>
        <item m="1" x="418"/>
        <item m="1" x="857"/>
        <item m="1" x="798"/>
        <item m="1" x="759"/>
        <item m="1" x="1553"/>
        <item m="1" x="1371"/>
        <item m="1" x="1502"/>
        <item m="1" x="515"/>
        <item m="1" x="1513"/>
        <item m="1" x="1500"/>
        <item m="1" x="1377"/>
        <item m="1" x="612"/>
        <item m="1" x="981"/>
        <item m="1" x="1074"/>
        <item m="1" x="820"/>
        <item m="1" x="1418"/>
        <item m="1" x="1204"/>
        <item m="1" x="1224"/>
        <item m="1" x="1118"/>
        <item m="1" x="461"/>
        <item m="1" x="1291"/>
        <item m="1" x="1453"/>
        <item m="1" x="858"/>
        <item m="1" x="1572"/>
        <item m="1" x="1066"/>
        <item m="1" x="653"/>
        <item m="1" x="786"/>
        <item m="1" x="822"/>
        <item m="1" x="1481"/>
        <item m="1" x="1465"/>
        <item m="1" x="525"/>
        <item m="1" x="527"/>
        <item m="1" x="441"/>
        <item m="1" x="1401"/>
        <item m="1" x="443"/>
        <item m="1" x="860"/>
        <item m="1" x="760"/>
        <item m="1" x="1216"/>
        <item m="1" x="1159"/>
        <item m="1" x="1508"/>
        <item m="1" x="1440"/>
        <item m="1" x="932"/>
        <item m="1" x="1146"/>
        <item m="1" x="1381"/>
        <item m="1" x="494"/>
        <item m="1" x="926"/>
        <item m="1" x="856"/>
        <item m="1" x="1550"/>
        <item m="1" x="1517"/>
        <item m="1" x="948"/>
        <item m="1" x="554"/>
        <item m="1" x="849"/>
        <item m="1" x="1022"/>
        <item m="1" x="476"/>
        <item m="1" x="1312"/>
        <item m="1" x="906"/>
        <item m="1" x="716"/>
        <item m="1" x="810"/>
        <item m="1" x="1256"/>
        <item m="1" x="1555"/>
        <item m="1" x="634"/>
        <item m="1" x="1407"/>
        <item m="1" x="628"/>
        <item m="1" x="1192"/>
        <item m="1" x="964"/>
        <item m="1" x="895"/>
        <item m="1" x="617"/>
        <item m="1" x="684"/>
        <item m="1" x="472"/>
        <item m="1" x="1272"/>
        <item m="1" x="785"/>
        <item m="1" x="509"/>
        <item m="1" x="1123"/>
        <item m="1" x="1438"/>
        <item m="1" x="978"/>
        <item m="1" x="936"/>
        <item m="1" x="407"/>
        <item m="1" x="1543"/>
        <item m="1" x="793"/>
        <item m="1" x="853"/>
        <item m="1" x="1260"/>
        <item m="1" x="1537"/>
        <item m="1" x="1462"/>
        <item m="1" x="1313"/>
        <item m="1" x="1428"/>
        <item m="1" x="589"/>
        <item m="1" x="788"/>
        <item m="1" x="621"/>
        <item m="1" x="413"/>
        <item m="1" x="1026"/>
        <item m="1" x="475"/>
        <item m="1" x="697"/>
        <item m="1" x="641"/>
        <item m="1" x="587"/>
        <item m="1" x="1542"/>
        <item m="1" x="638"/>
        <item m="1" x="1240"/>
        <item m="1" x="1452"/>
        <item m="1" x="578"/>
        <item m="1" x="482"/>
        <item m="1" x="1275"/>
        <item m="1" x="1251"/>
        <item m="1" x="1292"/>
        <item m="1" x="1211"/>
        <item m="1" x="555"/>
        <item m="1" x="911"/>
        <item m="1" x="1179"/>
        <item m="1" x="1429"/>
        <item m="1" x="1023"/>
        <item m="1" x="1141"/>
        <item m="1" x="1485"/>
        <item m="1" x="897"/>
        <item m="1" x="741"/>
        <item m="1" x="974"/>
        <item m="1" x="921"/>
        <item m="1" x="851"/>
        <item m="1" x="1368"/>
        <item m="1" x="1055"/>
        <item m="1" x="1151"/>
        <item m="1" x="402"/>
        <item m="1" x="947"/>
        <item m="1" x="549"/>
        <item m="1" x="816"/>
        <item m="1" x="954"/>
        <item m="1" x="484"/>
        <item m="1" x="601"/>
        <item m="1" x="1056"/>
        <item m="1" x="1253"/>
        <item m="1" x="1523"/>
        <item m="1" x="1566"/>
        <item m="1" x="1176"/>
        <item m="1" x="524"/>
        <item m="1" x="452"/>
        <item m="1" x="1038"/>
        <item m="1" x="660"/>
        <item m="1" x="934"/>
        <item m="1" x="562"/>
        <item m="1" x="665"/>
        <item m="1" x="1092"/>
        <item m="1" x="1448"/>
        <item m="1" x="1379"/>
        <item m="1" x="795"/>
        <item m="1" x="830"/>
        <item m="1" x="1106"/>
        <item m="1" x="1536"/>
        <item m="1" x="1262"/>
        <item m="1" x="428"/>
        <item m="1" x="1490"/>
        <item m="1" x="536"/>
        <item m="1" x="1182"/>
        <item m="1" x="1227"/>
        <item m="1" x="1230"/>
        <item m="1" x="1570"/>
        <item m="1" x="463"/>
        <item m="1" x="1241"/>
        <item m="1" x="1338"/>
        <item m="1" x="1110"/>
        <item m="1" x="1280"/>
        <item m="1" x="522"/>
        <item m="1" x="914"/>
        <item m="1" x="761"/>
        <item m="1" x="1373"/>
        <item m="1" x="1468"/>
        <item m="1" x="997"/>
        <item m="1" x="1436"/>
        <item m="1" x="1484"/>
        <item m="1" x="837"/>
        <item m="1" x="1340"/>
        <item m="1" x="1203"/>
        <item m="1" x="1486"/>
        <item m="1" x="1530"/>
        <item m="1" x="1268"/>
        <item m="1" x="878"/>
        <item m="1" x="683"/>
        <item m="1" x="1518"/>
        <item m="1" x="1065"/>
        <item m="1" x="1039"/>
        <item m="1" x="1048"/>
        <item m="1" x="1569"/>
        <item m="1" x="1293"/>
        <item m="1" x="988"/>
        <item m="1" x="1257"/>
        <item m="1" x="1234"/>
        <item m="1" x="850"/>
        <item m="1" x="751"/>
        <item m="1" x="1250"/>
        <item m="1" x="645"/>
        <item m="1" x="602"/>
        <item m="1" x="544"/>
        <item m="1" x="1531"/>
        <item m="1" x="1147"/>
        <item m="1" x="882"/>
        <item m="1" x="963"/>
        <item m="1" x="444"/>
        <item m="1" x="1520"/>
        <item m="1" x="1071"/>
        <item m="1" x="1219"/>
        <item m="1" x="667"/>
        <item m="1" x="1351"/>
        <item m="1" x="854"/>
        <item m="1" x="747"/>
        <item m="1" x="1575"/>
        <item m="1" x="877"/>
        <item m="1" x="1516"/>
        <item m="1" x="1102"/>
        <item m="1" x="778"/>
        <item m="1" x="569"/>
        <item m="1" x="512"/>
        <item m="1" x="806"/>
        <item m="1" x="503"/>
        <item m="1" x="474"/>
        <item m="1" x="491"/>
        <item m="1" x="770"/>
        <item m="1" x="615"/>
        <item m="1" x="922"/>
        <item m="1" x="979"/>
        <item m="1" x="1078"/>
        <item m="1" x="949"/>
        <item m="1" x="1282"/>
        <item m="1" x="1346"/>
        <item m="1" x="558"/>
        <item m="1" x="568"/>
        <item m="1" x="757"/>
        <item m="1" x="899"/>
        <item m="1" x="689"/>
        <item m="1" x="1242"/>
        <item m="1" x="992"/>
        <item m="1" x="909"/>
        <item m="1" x="1042"/>
        <item m="1" x="1348"/>
        <item m="1" x="1286"/>
        <item m="1" x="1372"/>
        <item m="1" x="1128"/>
        <item m="1" x="548"/>
        <item m="1" x="1554"/>
        <item m="1" x="967"/>
        <item m="1" x="582"/>
        <item m="1" x="406"/>
        <item m="1" x="1551"/>
        <item m="1" x="1035"/>
        <item m="1" x="1002"/>
        <item m="1" x="774"/>
        <item m="1" x="654"/>
        <item m="1" x="738"/>
        <item m="1" x="892"/>
        <item m="1" x="1467"/>
        <item m="1" x="1386"/>
        <item m="1" x="762"/>
        <item m="1" x="835"/>
        <item m="1" x="842"/>
        <item m="1" x="1380"/>
        <item m="1" x="983"/>
        <item m="1" x="455"/>
        <item m="1" x="1016"/>
        <item m="1" x="1295"/>
        <item m="1" x="1421"/>
        <item m="1" x="1314"/>
        <item m="1" x="1122"/>
        <item m="1" x="1420"/>
        <item m="1" x="434"/>
        <item m="1" x="1337"/>
        <item m="1" x="416"/>
        <item m="1" x="756"/>
        <item m="1" x="420"/>
        <item m="1" x="579"/>
        <item m="1" x="669"/>
        <item m="1" x="675"/>
        <item m="1" x="1093"/>
        <item m="1" x="1347"/>
        <item m="1" x="874"/>
        <item m="1" x="445"/>
        <item m="1" x="651"/>
        <item m="1" x="439"/>
        <item m="1" x="1434"/>
        <item m="1" x="659"/>
        <item m="1" x="995"/>
        <item m="1" x="1454"/>
        <item m="1" x="781"/>
        <item m="1" x="723"/>
        <item m="1" x="1119"/>
        <item m="1" x="676"/>
        <item m="1" x="984"/>
        <item m="1" x="1278"/>
        <item m="1" x="417"/>
        <item m="1" x="930"/>
        <item m="1" x="1049"/>
        <item m="1" x="541"/>
        <item m="1" x="883"/>
        <item m="1" x="1018"/>
        <item m="1" x="769"/>
        <item m="1" x="807"/>
        <item m="1" x="534"/>
        <item m="1" x="940"/>
        <item m="1" x="404"/>
        <item m="1" x="1076"/>
        <item m="1" x="1469"/>
        <item m="1" x="1190"/>
        <item m="1" x="1184"/>
        <item m="1" x="1083"/>
        <item m="1" x="409"/>
        <item m="1" x="1215"/>
        <item m="1" x="1258"/>
        <item m="1" x="1064"/>
        <item m="1" x="408"/>
        <item m="1" x="1415"/>
        <item m="1" x="1382"/>
        <item m="1" x="412"/>
        <item m="1" x="691"/>
        <item m="1" x="1081"/>
        <item m="1" x="1336"/>
        <item m="1" x="533"/>
        <item m="1" x="429"/>
        <item m="1" x="588"/>
        <item m="1" x="479"/>
        <item m="1" x="887"/>
        <item m="1" x="700"/>
        <item m="1" x="698"/>
        <item m="1" x="869"/>
        <item m="1" x="971"/>
        <item m="1" x="875"/>
        <item m="1" x="1072"/>
        <item m="1" x="924"/>
        <item m="1" x="789"/>
        <item m="1" x="904"/>
        <item m="1" x="1397"/>
        <item m="1" x="1492"/>
        <item m="1" x="749"/>
        <item m="1" x="1472"/>
        <item m="1" x="514"/>
        <item m="1" x="1461"/>
        <item m="1" x="1158"/>
        <item m="1" x="1329"/>
        <item m="1" x="1408"/>
        <item m="1" x="1088"/>
        <item m="1" x="1300"/>
        <item m="1" x="592"/>
        <item m="1" x="575"/>
        <item m="1" x="1197"/>
        <item m="1" x="1169"/>
        <item m="1" x="731"/>
        <item m="1" x="1567"/>
        <item m="1" x="1139"/>
        <item m="1" x="879"/>
        <item m="1" x="953"/>
        <item m="1" x="912"/>
        <item m="1" x="1422"/>
        <item m="1" x="1426"/>
        <item m="1" x="422"/>
        <item m="1" x="1306"/>
        <item m="1" x="1352"/>
        <item m="1" x="471"/>
        <item m="1" x="843"/>
        <item m="1" x="834"/>
        <item m="1" x="1341"/>
        <item m="1" x="1040"/>
        <item m="1" x="1244"/>
        <item m="1" x="910"/>
        <item m="1" x="1261"/>
        <item m="1" x="449"/>
        <item m="1" x="572"/>
        <item m="1" x="1541"/>
        <item m="1" x="1161"/>
        <item m="1" x="1533"/>
        <item m="1" x="453"/>
        <item m="1" x="713"/>
        <item m="1" x="529"/>
        <item m="1" x="462"/>
        <item m="1" x="477"/>
        <item m="1" x="1029"/>
        <item m="1" x="1062"/>
        <item m="1" x="734"/>
        <item m="1" x="1152"/>
        <item m="1" x="1470"/>
        <item m="1" x="821"/>
        <item m="1" x="900"/>
        <item m="1" x="1050"/>
        <item m="1" x="1538"/>
        <item m="1" x="715"/>
        <item m="1" x="727"/>
        <item m="1" x="737"/>
        <item m="1" x="1358"/>
        <item m="1" x="1494"/>
        <item m="1" x="411"/>
        <item m="1" x="1238"/>
        <item m="1" x="1534"/>
        <item m="1" x="635"/>
        <item m="1" x="950"/>
        <item m="1" x="1571"/>
        <item m="1" x="1477"/>
        <item m="1" x="624"/>
        <item m="1" x="736"/>
        <item m="1" x="823"/>
        <item m="1" x="1148"/>
        <item m="1" x="1345"/>
        <item m="1" x="580"/>
        <item m="1" x="1051"/>
        <item m="1" x="576"/>
        <item m="1" x="545"/>
        <item m="1" x="493"/>
        <item m="1" x="1464"/>
        <item m="1" x="1057"/>
        <item m="1" x="1505"/>
        <item m="1" x="898"/>
        <item m="1" x="1522"/>
        <item m="1" x="1274"/>
        <item m="1" x="563"/>
        <item m="1" x="1378"/>
        <item m="1" x="1392"/>
        <item m="1" x="1052"/>
        <item m="1" x="1427"/>
        <item m="1" x="1265"/>
        <item m="1" x="1130"/>
        <item m="1" x="447"/>
        <item m="1" x="1276"/>
        <item m="1" x="1008"/>
        <item m="1" x="941"/>
        <item m="1" x="1284"/>
        <item m="1" x="868"/>
        <item m="1" x="502"/>
        <item m="1" x="674"/>
        <item m="1" x="451"/>
        <item m="1" x="800"/>
        <item m="1" x="1178"/>
        <item m="1" x="763"/>
        <item m="1" x="626"/>
        <item m="1" x="841"/>
        <item m="1" x="519"/>
        <item m="1" x="771"/>
        <item m="1" x="642"/>
        <item m="1" x="993"/>
        <item m="1" x="1580"/>
        <item m="1" x="1034"/>
        <item m="1" x="630"/>
        <item m="1" x="907"/>
        <item m="1" x="613"/>
        <item m="1" x="666"/>
        <item m="1" x="958"/>
        <item m="1" x="1226"/>
        <item m="1" x="943"/>
        <item m="1" x="1393"/>
        <item m="1" x="955"/>
        <item m="1" x="1189"/>
        <item m="1" x="504"/>
        <item m="1" x="987"/>
        <item m="1" x="627"/>
        <item m="1" x="557"/>
        <item m="1" x="1283"/>
        <item m="1" x="598"/>
        <item m="1" x="1307"/>
        <item m="1" x="499"/>
        <item m="1" x="1124"/>
        <item m="1" x="1131"/>
        <item m="1" x="535"/>
        <item m="1" x="1053"/>
        <item m="1" x="431"/>
        <item m="1" x="1254"/>
        <item m="1" x="959"/>
        <item m="1" x="1180"/>
        <item m="1" x="1149"/>
        <item m="1" x="1369"/>
        <item m="1" x="1142"/>
        <item m="1" x="720"/>
        <item m="1" x="1221"/>
        <item m="1" x="1355"/>
        <item m="1" x="1045"/>
        <item m="1" x="1177"/>
        <item m="1" x="510"/>
        <item m="1" x="1343"/>
        <item m="1" x="1000"/>
        <item m="1" x="865"/>
        <item m="1" x="1249"/>
        <item m="1" x="775"/>
        <item m="1" x="1098"/>
        <item m="1" x="632"/>
        <item m="1" x="728"/>
        <item m="1" x="1125"/>
        <item m="1" x="894"/>
        <item m="1" x="438"/>
        <item m="1" x="772"/>
        <item m="1" x="1252"/>
        <item m="1" x="1354"/>
        <item m="1" x="457"/>
        <item m="1" x="742"/>
        <item m="1" x="677"/>
        <item m="1" x="1010"/>
        <item m="1" x="1103"/>
        <item m="1" x="543"/>
        <item m="1" x="1525"/>
        <item m="1" x="508"/>
        <item m="1" x="581"/>
        <item m="1" x="1362"/>
        <item m="1" x="870"/>
        <item m="1" x="884"/>
        <item m="1" x="938"/>
        <item m="1" x="513"/>
        <item m="1" x="792"/>
        <item m="1" x="1187"/>
        <item m="1" x="1099"/>
        <item m="1" x="889"/>
        <item m="1" x="836"/>
        <item m="1" x="466"/>
        <item m="1" x="704"/>
        <item m="1" x="1168"/>
        <item m="1" x="802"/>
        <item m="1" x="965"/>
        <item m="1" x="902"/>
        <item m="1" x="1084"/>
        <item m="1" x="448"/>
        <item m="1" x="929"/>
        <item m="1" x="603"/>
        <item m="1" x="1006"/>
        <item m="1" x="1132"/>
        <item m="1" x="1208"/>
        <item m="1" x="1143"/>
        <item m="1" x="1104"/>
        <item m="1" x="1030"/>
        <item m="1" x="1441"/>
        <item m="1" x="1333"/>
        <item m="1" x="584"/>
        <item m="1" x="1325"/>
        <item m="1" x="779"/>
        <item m="1" x="1089"/>
        <item m="1" x="495"/>
        <item m="1" x="1068"/>
        <item m="1" x="935"/>
        <item m="1" x="1367"/>
        <item m="1" x="521"/>
        <item m="1" x="1578"/>
        <item m="1" x="560"/>
        <item m="1" x="500"/>
        <item m="1" x="1070"/>
        <item m="1" x="1270"/>
        <item m="1" x="1173"/>
        <item m="1" x="459"/>
        <item m="1" x="611"/>
        <item m="1" x="1399"/>
        <item m="1" x="1339"/>
        <item m="1" x="594"/>
        <item m="1" x="567"/>
        <item m="1" x="862"/>
        <item m="1" x="483"/>
        <item m="1" x="1090"/>
        <item m="1" x="523"/>
        <item m="1" x="693"/>
        <item m="1" x="990"/>
        <item m="1" x="1521"/>
        <item m="1" x="561"/>
        <item m="1" x="831"/>
        <item m="1" x="678"/>
        <item m="1" x="840"/>
        <item m="1" x="1394"/>
        <item m="1" x="1277"/>
        <item m="1" x="739"/>
        <item m="1" x="492"/>
        <item m="1" x="1442"/>
        <item m="1" x="605"/>
        <item m="1" x="1387"/>
        <item m="1" x="944"/>
        <item m="1" x="1328"/>
        <item m="1" x="687"/>
        <item m="1" x="859"/>
        <item m="1" x="1344"/>
        <item m="1" x="1532"/>
        <item m="1" x="1308"/>
        <item m="1" x="707"/>
        <item m="1" x="650"/>
        <item m="1" x="1353"/>
        <item m="1" x="1117"/>
        <item m="1" x="961"/>
        <item m="1" x="1385"/>
        <item m="1" x="433"/>
        <item m="1" x="430"/>
        <item m="1" x="1105"/>
        <item m="1" x="1245"/>
        <item m="1" x="1200"/>
        <item m="1" x="1383"/>
        <item m="1" x="908"/>
        <item m="1" x="655"/>
        <item m="1" x="729"/>
        <item m="1" x="1259"/>
        <item m="1" x="811"/>
        <item m="1" x="1041"/>
        <item m="1" x="1456"/>
        <item m="1" x="694"/>
        <item m="1" x="1031"/>
        <item m="1" x="415"/>
        <item m="1" x="74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m="1" x="732"/>
        <item m="1" x="1493"/>
        <item m="1" x="435"/>
        <item m="1" x="40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3">
    <i>
      <x/>
    </i>
    <i r="1">
      <x v="1573"/>
    </i>
    <i r="2">
      <x v="3"/>
    </i>
    <i r="1">
      <x v="1574"/>
    </i>
    <i r="2">
      <x v="3"/>
    </i>
    <i r="1">
      <x v="1575"/>
    </i>
    <i r="2">
      <x v="3"/>
    </i>
    <i r="1">
      <x v="1576"/>
    </i>
    <i r="2">
      <x v="3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60"/>
    </i>
    <i r="2">
      <x v="3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22" totalsRowShown="0" totalsRowDxfId="23">
  <autoFilter ref="A1:C132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421" totalsRowShown="0">
  <autoFilter ref="A1:S4421" xr:uid="{678037D6-A574-4B81-B392-ED766472D9FE}">
    <filterColumn colId="1">
      <filters>
        <filter val="open"/>
      </filters>
    </filterColumn>
    <filterColumn colId="2">
      <filters>
        <filter val="Currently Truncated/Waiting Actuals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0" totalsRowShown="0">
  <autoFilter ref="A1:B140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4295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1376</v>
      </c>
    </row>
    <row r="5" spans="1:2">
      <c r="A5" s="111" t="s">
        <v>369</v>
      </c>
      <c r="B5" s="150">
        <v>1333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6</v>
      </c>
    </row>
    <row r="14" spans="1:2">
      <c r="A14" s="17" t="s">
        <v>568</v>
      </c>
      <c r="B14" s="150">
        <v>1039</v>
      </c>
    </row>
    <row r="15" spans="1:2">
      <c r="A15" s="111" t="s">
        <v>369</v>
      </c>
      <c r="B15" s="150">
        <v>1017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1508</v>
      </c>
    </row>
    <row r="19" spans="1:2">
      <c r="A19" s="111" t="s">
        <v>369</v>
      </c>
      <c r="B19" s="150">
        <v>1489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7" t="s">
        <v>570</v>
      </c>
      <c r="B22" s="150">
        <v>487</v>
      </c>
    </row>
    <row r="23" spans="1:2">
      <c r="A23" s="111" t="s">
        <v>369</v>
      </c>
      <c r="B23" s="150">
        <v>485</v>
      </c>
    </row>
    <row r="24" spans="1:2">
      <c r="A24" s="111" t="s">
        <v>377</v>
      </c>
      <c r="B24" s="150">
        <v>2</v>
      </c>
    </row>
    <row r="25" spans="1:2">
      <c r="A25" s="17" t="s">
        <v>381</v>
      </c>
      <c r="B25" s="150">
        <v>4410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opLeftCell="A13" zoomScale="115" zoomScaleNormal="115" workbookViewId="0">
      <selection activeCell="A12" activeCellId="3" sqref="A6:B6 A8:B8 A10:B10 A12:B12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6533</v>
      </c>
      <c r="B5" s="150">
        <v>29</v>
      </c>
      <c r="C5"/>
      <c r="D5"/>
      <c r="E5"/>
    </row>
    <row r="6" spans="1:6">
      <c r="A6" s="111" t="s">
        <v>6565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6542</v>
      </c>
      <c r="B8" s="150">
        <v>20</v>
      </c>
      <c r="C8" s="56"/>
      <c r="D8" s="124"/>
      <c r="E8" s="124"/>
    </row>
    <row r="9" spans="1:6">
      <c r="A9" s="112" t="s">
        <v>369</v>
      </c>
      <c r="B9" s="150">
        <v>20</v>
      </c>
      <c r="C9"/>
      <c r="D9"/>
    </row>
    <row r="10" spans="1:6">
      <c r="A10" s="111" t="s">
        <v>6540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2</v>
      </c>
      <c r="C11"/>
      <c r="D11"/>
    </row>
    <row r="12" spans="1:6">
      <c r="A12" s="111" t="s">
        <v>6534</v>
      </c>
      <c r="B12" s="150">
        <v>4</v>
      </c>
      <c r="C12" s="126"/>
      <c r="D12"/>
    </row>
    <row r="13" spans="1:6">
      <c r="A13" s="112" t="s">
        <v>369</v>
      </c>
      <c r="B13" s="150">
        <v>4</v>
      </c>
      <c r="C13"/>
      <c r="D13"/>
    </row>
    <row r="14" spans="1:6">
      <c r="A14" s="17" t="s">
        <v>4327</v>
      </c>
      <c r="B14" s="150">
        <v>227</v>
      </c>
      <c r="C14" s="126"/>
      <c r="D14"/>
    </row>
    <row r="15" spans="1:6">
      <c r="A15" s="111" t="s">
        <v>4413</v>
      </c>
      <c r="B15" s="150">
        <v>11</v>
      </c>
      <c r="C15"/>
      <c r="D15" s="124"/>
      <c r="E15" s="124"/>
    </row>
    <row r="16" spans="1:6">
      <c r="A16" s="112" t="s">
        <v>369</v>
      </c>
      <c r="B16" s="150">
        <v>10</v>
      </c>
      <c r="C16"/>
      <c r="D16"/>
    </row>
    <row r="17" spans="1:5">
      <c r="A17" s="112" t="s">
        <v>692</v>
      </c>
      <c r="B17" s="150">
        <v>1</v>
      </c>
      <c r="C17"/>
      <c r="D17" s="124"/>
      <c r="E17" s="124"/>
    </row>
    <row r="18" spans="1:5">
      <c r="A18" s="111" t="s">
        <v>5479</v>
      </c>
      <c r="B18" s="150">
        <v>178</v>
      </c>
      <c r="C18" s="126"/>
      <c r="D18"/>
    </row>
    <row r="19" spans="1:5">
      <c r="A19" s="112" t="s">
        <v>369</v>
      </c>
      <c r="B19" s="150">
        <v>177</v>
      </c>
      <c r="C19" s="47"/>
      <c r="D19"/>
    </row>
    <row r="20" spans="1:5">
      <c r="A20" s="112" t="s">
        <v>692</v>
      </c>
      <c r="B20" s="150">
        <v>1</v>
      </c>
      <c r="C20" s="126"/>
    </row>
    <row r="21" spans="1:5" ht="17.25" customHeight="1">
      <c r="A21" s="111" t="s">
        <v>6161</v>
      </c>
      <c r="B21" s="150">
        <v>17</v>
      </c>
    </row>
    <row r="22" spans="1:5">
      <c r="A22" s="112" t="s">
        <v>369</v>
      </c>
      <c r="B22" s="150">
        <v>14</v>
      </c>
    </row>
    <row r="23" spans="1:5">
      <c r="A23" s="112" t="s">
        <v>692</v>
      </c>
      <c r="B23" s="150">
        <v>3</v>
      </c>
    </row>
    <row r="24" spans="1:5">
      <c r="A24" s="111" t="s">
        <v>6437</v>
      </c>
      <c r="B24" s="150">
        <v>21</v>
      </c>
    </row>
    <row r="25" spans="1:5">
      <c r="A25" s="112" t="s">
        <v>369</v>
      </c>
      <c r="B25" s="150">
        <v>20</v>
      </c>
      <c r="D25" s="124"/>
      <c r="E25" s="124"/>
    </row>
    <row r="26" spans="1:5">
      <c r="A26" s="112" t="s">
        <v>692</v>
      </c>
      <c r="B26" s="150">
        <v>1</v>
      </c>
      <c r="C26" s="126"/>
    </row>
    <row r="27" spans="1:5">
      <c r="A27" s="17" t="s">
        <v>381</v>
      </c>
      <c r="B27" s="150">
        <v>256</v>
      </c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22"/>
  <sheetViews>
    <sheetView topLeftCell="A1308" workbookViewId="0">
      <selection activeCell="C1318" sqref="C1318:C132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4305</v>
      </c>
      <c r="B1190">
        <v>2</v>
      </c>
      <c r="C1190" s="103" t="s">
        <v>4</v>
      </c>
    </row>
    <row r="1191" spans="1:3">
      <c r="A1191" t="s">
        <v>4329</v>
      </c>
      <c r="B1191">
        <v>2</v>
      </c>
      <c r="C1191" s="103" t="s">
        <v>4</v>
      </c>
    </row>
    <row r="1192" spans="1:3">
      <c r="A1192" t="s">
        <v>4313</v>
      </c>
      <c r="B1192">
        <v>9</v>
      </c>
      <c r="C1192" s="103" t="s">
        <v>4</v>
      </c>
    </row>
    <row r="1193" spans="1:3">
      <c r="A1193" t="s">
        <v>4336</v>
      </c>
      <c r="B1193">
        <v>58</v>
      </c>
      <c r="C1193" s="103" t="s">
        <v>4</v>
      </c>
    </row>
    <row r="1194" spans="1:3">
      <c r="A1194" t="s">
        <v>4335</v>
      </c>
      <c r="B1194">
        <v>1</v>
      </c>
      <c r="C1194" s="103" t="s">
        <v>4</v>
      </c>
    </row>
    <row r="1195" spans="1:3">
      <c r="A1195" t="s">
        <v>4416</v>
      </c>
      <c r="B1195">
        <v>1</v>
      </c>
      <c r="C1195" s="103" t="s">
        <v>4</v>
      </c>
    </row>
    <row r="1196" spans="1:3">
      <c r="A1196" t="s">
        <v>4302</v>
      </c>
      <c r="B1196">
        <v>4</v>
      </c>
      <c r="C1196" s="117" t="s">
        <v>4</v>
      </c>
    </row>
    <row r="1197" spans="1:3">
      <c r="A1197" t="s">
        <v>4783</v>
      </c>
      <c r="B1197">
        <v>2</v>
      </c>
      <c r="C1197" s="117" t="s">
        <v>4</v>
      </c>
    </row>
    <row r="1198" spans="1:3">
      <c r="A1198" t="s">
        <v>4766</v>
      </c>
      <c r="B1198">
        <v>12</v>
      </c>
      <c r="C1198" s="117" t="s">
        <v>4</v>
      </c>
    </row>
    <row r="1199" spans="1:3">
      <c r="A1199" t="s">
        <v>4756</v>
      </c>
      <c r="B1199">
        <v>8</v>
      </c>
      <c r="C1199" s="117" t="s">
        <v>4</v>
      </c>
    </row>
    <row r="1200" spans="1:3">
      <c r="A1200" t="s">
        <v>4421</v>
      </c>
      <c r="B1200">
        <v>1</v>
      </c>
      <c r="C1200" s="117" t="s">
        <v>4</v>
      </c>
    </row>
    <row r="1201" spans="1:3">
      <c r="A1201" t="s">
        <v>4423</v>
      </c>
      <c r="B1201">
        <v>311</v>
      </c>
      <c r="C1201" s="117" t="s">
        <v>4</v>
      </c>
    </row>
    <row r="1202" spans="1:3">
      <c r="A1202" t="s">
        <v>4419</v>
      </c>
      <c r="B1202">
        <v>1</v>
      </c>
      <c r="C1202" s="117" t="s">
        <v>4</v>
      </c>
    </row>
    <row r="1203" spans="1:3">
      <c r="A1203" t="s">
        <v>4787</v>
      </c>
      <c r="B1203">
        <v>1</v>
      </c>
      <c r="C1203" s="117" t="s">
        <v>4</v>
      </c>
    </row>
    <row r="1204" spans="1:3">
      <c r="A1204" t="s">
        <v>4789</v>
      </c>
      <c r="B1204">
        <v>7</v>
      </c>
      <c r="C1204" s="117" t="s">
        <v>4</v>
      </c>
    </row>
    <row r="1205" spans="1:3">
      <c r="A1205" t="s">
        <v>4797</v>
      </c>
      <c r="B1205">
        <v>1</v>
      </c>
      <c r="C1205" s="117" t="s">
        <v>4</v>
      </c>
    </row>
    <row r="1206" spans="1:3">
      <c r="A1206" t="s">
        <v>4800</v>
      </c>
      <c r="B1206">
        <v>1</v>
      </c>
      <c r="C1206" s="117" t="s">
        <v>4</v>
      </c>
    </row>
    <row r="1207" spans="1:3">
      <c r="A1207" t="s">
        <v>4809</v>
      </c>
      <c r="B1207">
        <v>3</v>
      </c>
      <c r="C1207" s="117" t="s">
        <v>4</v>
      </c>
    </row>
    <row r="1208" spans="1:3">
      <c r="A1208" t="s">
        <v>4813</v>
      </c>
      <c r="B1208">
        <v>1</v>
      </c>
      <c r="C1208" s="117" t="s">
        <v>4</v>
      </c>
    </row>
    <row r="1209" spans="1:3">
      <c r="A1209" t="s">
        <v>4815</v>
      </c>
      <c r="B1209">
        <v>3</v>
      </c>
      <c r="C1209" s="117" t="s">
        <v>4</v>
      </c>
    </row>
    <row r="1210" spans="1:3">
      <c r="A1210" t="s">
        <v>4817</v>
      </c>
      <c r="B1210">
        <v>2</v>
      </c>
      <c r="C1210" s="117" t="s">
        <v>4</v>
      </c>
    </row>
    <row r="1211" spans="1:3">
      <c r="A1211" t="s">
        <v>4309</v>
      </c>
      <c r="B1211">
        <v>2</v>
      </c>
      <c r="C1211" s="117" t="s">
        <v>4</v>
      </c>
    </row>
    <row r="1212" spans="1:3">
      <c r="A1212" t="s">
        <v>4824</v>
      </c>
      <c r="B1212">
        <v>1</v>
      </c>
      <c r="C1212" s="117" t="s">
        <v>4</v>
      </c>
    </row>
    <row r="1213" spans="1:3">
      <c r="A1213" t="s">
        <v>4826</v>
      </c>
      <c r="B1213">
        <v>1</v>
      </c>
      <c r="C1213" s="117" t="s">
        <v>4</v>
      </c>
    </row>
    <row r="1214" spans="1:3">
      <c r="A1214" t="s">
        <v>4831</v>
      </c>
      <c r="B1214">
        <v>1</v>
      </c>
      <c r="C1214" s="121" t="s">
        <v>4</v>
      </c>
    </row>
    <row r="1215" spans="1:3">
      <c r="A1215" t="s">
        <v>4835</v>
      </c>
      <c r="B1215">
        <v>1</v>
      </c>
      <c r="C1215" s="121" t="s">
        <v>4</v>
      </c>
    </row>
    <row r="1216" spans="1:3">
      <c r="A1216" t="s">
        <v>4839</v>
      </c>
      <c r="B1216">
        <v>2</v>
      </c>
      <c r="C1216" s="121" t="s">
        <v>4</v>
      </c>
    </row>
    <row r="1217" spans="1:3">
      <c r="A1217" t="s">
        <v>4843</v>
      </c>
      <c r="B1217">
        <v>1</v>
      </c>
      <c r="C1217" s="124" t="s">
        <v>4</v>
      </c>
    </row>
    <row r="1218" spans="1:3">
      <c r="A1218" t="s">
        <v>4845</v>
      </c>
      <c r="B1218">
        <v>1</v>
      </c>
      <c r="C1218" s="124" t="s">
        <v>4</v>
      </c>
    </row>
    <row r="1219" spans="1:3">
      <c r="A1219" t="s">
        <v>4847</v>
      </c>
      <c r="B1219">
        <v>1</v>
      </c>
      <c r="C1219" s="124" t="s">
        <v>4</v>
      </c>
    </row>
    <row r="1220" spans="1:3">
      <c r="A1220" t="s">
        <v>4855</v>
      </c>
      <c r="B1220">
        <v>1</v>
      </c>
      <c r="C1220" s="124" t="s">
        <v>4</v>
      </c>
    </row>
    <row r="1221" spans="1:3">
      <c r="A1221" t="s">
        <v>4858</v>
      </c>
      <c r="B1221">
        <v>1</v>
      </c>
      <c r="C1221" s="124" t="s">
        <v>4</v>
      </c>
    </row>
    <row r="1222" spans="1:3">
      <c r="A1222" t="s">
        <v>4859</v>
      </c>
      <c r="B1222">
        <v>1</v>
      </c>
      <c r="C1222" s="124" t="s">
        <v>4</v>
      </c>
    </row>
    <row r="1223" spans="1:3">
      <c r="A1223" t="s">
        <v>4849</v>
      </c>
      <c r="B1223">
        <v>1</v>
      </c>
      <c r="C1223" s="124" t="s">
        <v>4</v>
      </c>
    </row>
    <row r="1224" spans="1:3">
      <c r="A1224" t="s">
        <v>4854</v>
      </c>
      <c r="B1224">
        <v>4</v>
      </c>
      <c r="C1224" s="124" t="s">
        <v>4</v>
      </c>
    </row>
    <row r="1225" spans="1:3">
      <c r="A1225" t="s">
        <v>4863</v>
      </c>
      <c r="B1225">
        <v>1</v>
      </c>
      <c r="C1225" s="124" t="s">
        <v>4</v>
      </c>
    </row>
    <row r="1226" spans="1:3">
      <c r="A1226" t="s">
        <v>4867</v>
      </c>
      <c r="B1226">
        <v>18</v>
      </c>
      <c r="C1226" s="124" t="s">
        <v>4</v>
      </c>
    </row>
    <row r="1227" spans="1:3">
      <c r="A1227" t="s">
        <v>4893</v>
      </c>
      <c r="B1227">
        <v>7</v>
      </c>
      <c r="C1227" s="124" t="s">
        <v>4</v>
      </c>
    </row>
    <row r="1228" spans="1:3">
      <c r="A1228" t="s">
        <v>4896</v>
      </c>
      <c r="B1228">
        <v>3</v>
      </c>
      <c r="C1228" s="124" t="s">
        <v>4</v>
      </c>
    </row>
    <row r="1229" spans="1:3">
      <c r="A1229" t="s">
        <v>4903</v>
      </c>
      <c r="B1229">
        <v>2</v>
      </c>
      <c r="C1229" s="124" t="s">
        <v>4</v>
      </c>
    </row>
    <row r="1230" spans="1:3">
      <c r="A1230" t="s">
        <v>4904</v>
      </c>
      <c r="B1230">
        <v>3</v>
      </c>
      <c r="C1230" s="124" t="s">
        <v>4</v>
      </c>
    </row>
    <row r="1231" spans="1:3">
      <c r="A1231" t="s">
        <v>4907</v>
      </c>
      <c r="B1231">
        <v>2</v>
      </c>
      <c r="C1231" s="124" t="s">
        <v>4</v>
      </c>
    </row>
    <row r="1232" spans="1:3">
      <c r="A1232" t="s">
        <v>4908</v>
      </c>
      <c r="B1232">
        <v>1</v>
      </c>
      <c r="C1232" s="124" t="s">
        <v>4</v>
      </c>
    </row>
    <row r="1233" spans="1:3">
      <c r="A1233" s="126" t="s">
        <v>4918</v>
      </c>
      <c r="B1233" s="30">
        <v>3</v>
      </c>
      <c r="C1233" s="124" t="s">
        <v>4</v>
      </c>
    </row>
    <row r="1234" spans="1:3">
      <c r="A1234" s="126" t="s">
        <v>4920</v>
      </c>
      <c r="B1234" s="30">
        <v>1</v>
      </c>
      <c r="C1234" s="124" t="s">
        <v>4</v>
      </c>
    </row>
    <row r="1235" spans="1:3">
      <c r="A1235" s="126" t="s">
        <v>4934</v>
      </c>
      <c r="B1235" s="30">
        <v>7</v>
      </c>
      <c r="C1235" s="124" t="s">
        <v>4</v>
      </c>
    </row>
    <row r="1236" spans="1:3">
      <c r="A1236" s="126" t="s">
        <v>4935</v>
      </c>
      <c r="B1236" s="30">
        <v>18</v>
      </c>
      <c r="C1236" s="124" t="s">
        <v>4</v>
      </c>
    </row>
    <row r="1237" spans="1:3">
      <c r="A1237" s="126" t="s">
        <v>5259</v>
      </c>
      <c r="B1237" s="30">
        <v>295</v>
      </c>
      <c r="C1237" s="124" t="s">
        <v>4</v>
      </c>
    </row>
    <row r="1238" spans="1:3">
      <c r="A1238" t="s">
        <v>5272</v>
      </c>
      <c r="B1238">
        <v>11</v>
      </c>
      <c r="C1238" s="124" t="s">
        <v>4</v>
      </c>
    </row>
    <row r="1239" spans="1:3">
      <c r="A1239" t="s">
        <v>5494</v>
      </c>
      <c r="B1239">
        <v>13</v>
      </c>
      <c r="C1239" s="124" t="s">
        <v>4</v>
      </c>
    </row>
    <row r="1240" spans="1:3">
      <c r="A1240" t="s">
        <v>5500</v>
      </c>
      <c r="B1240">
        <v>2</v>
      </c>
      <c r="C1240" s="124" t="s">
        <v>4</v>
      </c>
    </row>
    <row r="1241" spans="1:3">
      <c r="A1241" t="s">
        <v>5503</v>
      </c>
      <c r="B1241">
        <v>19</v>
      </c>
      <c r="C1241" s="124" t="s">
        <v>4</v>
      </c>
    </row>
    <row r="1242" spans="1:3">
      <c r="A1242" t="s">
        <v>5525</v>
      </c>
      <c r="B1242">
        <v>2</v>
      </c>
      <c r="C1242" s="124" t="s">
        <v>4</v>
      </c>
    </row>
    <row r="1243" spans="1:3">
      <c r="A1243" t="s">
        <v>5534</v>
      </c>
      <c r="B1243">
        <v>10</v>
      </c>
      <c r="C1243" s="124" t="s">
        <v>4</v>
      </c>
    </row>
    <row r="1244" spans="1:3">
      <c r="A1244" t="s">
        <v>5523</v>
      </c>
      <c r="B1244">
        <v>1</v>
      </c>
      <c r="C1244" s="124" t="s">
        <v>4</v>
      </c>
    </row>
    <row r="1245" spans="1:3">
      <c r="A1245" t="s">
        <v>5530</v>
      </c>
      <c r="B1245">
        <v>1</v>
      </c>
      <c r="C1245" s="124" t="s">
        <v>4</v>
      </c>
    </row>
    <row r="1246" spans="1:3">
      <c r="A1246" t="s">
        <v>5531</v>
      </c>
      <c r="B1246">
        <v>8</v>
      </c>
      <c r="C1246" s="124" t="s">
        <v>4</v>
      </c>
    </row>
    <row r="1247" spans="1:3">
      <c r="A1247" t="s">
        <v>5547</v>
      </c>
      <c r="B1247">
        <v>1</v>
      </c>
      <c r="C1247" s="124" t="s">
        <v>4</v>
      </c>
    </row>
    <row r="1248" spans="1:3">
      <c r="A1248" t="s">
        <v>5550</v>
      </c>
      <c r="B1248">
        <v>1</v>
      </c>
      <c r="C1248" s="124" t="s">
        <v>4</v>
      </c>
    </row>
    <row r="1249" spans="1:3">
      <c r="A1249" t="s">
        <v>5555</v>
      </c>
      <c r="B1249">
        <v>7</v>
      </c>
      <c r="C1249" s="128" t="s">
        <v>4</v>
      </c>
    </row>
    <row r="1250" spans="1:3">
      <c r="A1250" t="s">
        <v>5572</v>
      </c>
      <c r="B1250">
        <v>1</v>
      </c>
      <c r="C1250" s="128" t="s">
        <v>4</v>
      </c>
    </row>
    <row r="1251" spans="1:3">
      <c r="A1251" t="s">
        <v>5575</v>
      </c>
      <c r="B1251">
        <v>2</v>
      </c>
      <c r="C1251" s="135" t="s">
        <v>4</v>
      </c>
    </row>
    <row r="1252" spans="1:3">
      <c r="A1252" t="s">
        <v>5670</v>
      </c>
      <c r="B1252">
        <v>93</v>
      </c>
      <c r="C1252" s="135" t="s">
        <v>4</v>
      </c>
    </row>
    <row r="1253" spans="1:3">
      <c r="A1253" t="s">
        <v>5671</v>
      </c>
      <c r="B1253">
        <v>1</v>
      </c>
      <c r="C1253" s="135" t="s">
        <v>4</v>
      </c>
    </row>
    <row r="1254" spans="1:3">
      <c r="A1254" t="s">
        <v>5673</v>
      </c>
      <c r="B1254">
        <v>6</v>
      </c>
      <c r="C1254" s="135" t="s">
        <v>4</v>
      </c>
    </row>
    <row r="1255" spans="1:3">
      <c r="A1255" t="s">
        <v>5684</v>
      </c>
      <c r="B1255">
        <v>12</v>
      </c>
      <c r="C1255" s="135" t="s">
        <v>4</v>
      </c>
    </row>
    <row r="1256" spans="1:3">
      <c r="A1256" t="s">
        <v>5697</v>
      </c>
      <c r="B1256">
        <v>1</v>
      </c>
      <c r="C1256" s="135" t="s">
        <v>4</v>
      </c>
    </row>
    <row r="1257" spans="1:3">
      <c r="A1257" t="s">
        <v>5701</v>
      </c>
      <c r="B1257">
        <v>5</v>
      </c>
      <c r="C1257" s="135" t="s">
        <v>4</v>
      </c>
    </row>
    <row r="1258" spans="1:3">
      <c r="A1258" t="s">
        <v>5711</v>
      </c>
      <c r="B1258">
        <v>12</v>
      </c>
      <c r="C1258" s="135" t="s">
        <v>4</v>
      </c>
    </row>
    <row r="1259" spans="1:3">
      <c r="A1259" t="s">
        <v>5722</v>
      </c>
      <c r="B1259">
        <v>8</v>
      </c>
      <c r="C1259" s="135" t="s">
        <v>4</v>
      </c>
    </row>
    <row r="1260" spans="1:3">
      <c r="A1260" t="s">
        <v>5732</v>
      </c>
      <c r="B1260">
        <v>2</v>
      </c>
      <c r="C1260" s="135" t="s">
        <v>4</v>
      </c>
    </row>
    <row r="1261" spans="1:3">
      <c r="A1261" t="s">
        <v>5709</v>
      </c>
      <c r="B1261">
        <v>1</v>
      </c>
      <c r="C1261" s="135" t="s">
        <v>4</v>
      </c>
    </row>
    <row r="1262" spans="1:3">
      <c r="A1262" t="s">
        <v>5735</v>
      </c>
      <c r="B1262">
        <v>1</v>
      </c>
      <c r="C1262" s="135" t="s">
        <v>4</v>
      </c>
    </row>
    <row r="1263" spans="1:3">
      <c r="A1263" t="s">
        <v>5738</v>
      </c>
      <c r="B1263">
        <v>1</v>
      </c>
      <c r="C1263" s="135" t="s">
        <v>4</v>
      </c>
    </row>
    <row r="1264" spans="1:3">
      <c r="A1264" t="s">
        <v>5742</v>
      </c>
      <c r="B1264">
        <v>18</v>
      </c>
      <c r="C1264" s="135" t="s">
        <v>4</v>
      </c>
    </row>
    <row r="1265" spans="1:3">
      <c r="A1265" t="s">
        <v>5856</v>
      </c>
      <c r="B1265">
        <v>2</v>
      </c>
      <c r="C1265" s="135" t="s">
        <v>4</v>
      </c>
    </row>
    <row r="1266" spans="1:3">
      <c r="A1266" t="s">
        <v>5775</v>
      </c>
      <c r="B1266">
        <v>35</v>
      </c>
      <c r="C1266" s="138" t="s">
        <v>4</v>
      </c>
    </row>
    <row r="1267" spans="1:3">
      <c r="A1267" t="s">
        <v>5816</v>
      </c>
      <c r="B1267">
        <v>36</v>
      </c>
      <c r="C1267" s="138" t="s">
        <v>4</v>
      </c>
    </row>
    <row r="1268" spans="1:3">
      <c r="A1268" t="s">
        <v>5857</v>
      </c>
      <c r="B1268">
        <v>60</v>
      </c>
      <c r="C1268" s="138" t="s">
        <v>4</v>
      </c>
    </row>
    <row r="1269" spans="1:3">
      <c r="A1269" t="s">
        <v>5919</v>
      </c>
      <c r="B1269">
        <v>5</v>
      </c>
      <c r="C1269" s="138" t="s">
        <v>4</v>
      </c>
    </row>
    <row r="1270" spans="1:3">
      <c r="A1270" t="s">
        <v>5921</v>
      </c>
      <c r="B1270">
        <v>19</v>
      </c>
      <c r="C1270" s="138" t="s">
        <v>4</v>
      </c>
    </row>
    <row r="1271" spans="1:3">
      <c r="A1271" t="s">
        <v>6090</v>
      </c>
      <c r="B1271">
        <v>5</v>
      </c>
      <c r="C1271" s="138" t="s">
        <v>4</v>
      </c>
    </row>
    <row r="1272" spans="1:3">
      <c r="A1272" t="s">
        <v>6099</v>
      </c>
      <c r="B1272">
        <v>7</v>
      </c>
      <c r="C1272" s="138" t="s">
        <v>4</v>
      </c>
    </row>
    <row r="1273" spans="1:3">
      <c r="A1273" s="138" t="s">
        <v>5816</v>
      </c>
      <c r="B1273" s="30">
        <v>35</v>
      </c>
      <c r="C1273" s="138" t="s">
        <v>4</v>
      </c>
    </row>
    <row r="1274" spans="1:3">
      <c r="A1274" t="s">
        <v>6107</v>
      </c>
      <c r="B1274">
        <v>39</v>
      </c>
      <c r="C1274" s="139" t="s">
        <v>4</v>
      </c>
    </row>
    <row r="1275" spans="1:3">
      <c r="A1275" t="s">
        <v>6148</v>
      </c>
      <c r="B1275">
        <v>1</v>
      </c>
      <c r="C1275" s="144" t="s">
        <v>4</v>
      </c>
    </row>
    <row r="1276" spans="1:3">
      <c r="A1276" t="s">
        <v>6162</v>
      </c>
      <c r="B1276">
        <v>1</v>
      </c>
      <c r="C1276" s="144" t="s">
        <v>4</v>
      </c>
    </row>
    <row r="1277" spans="1:3">
      <c r="A1277" t="s">
        <v>6100</v>
      </c>
      <c r="B1277">
        <v>3</v>
      </c>
      <c r="C1277" s="144" t="s">
        <v>4</v>
      </c>
    </row>
    <row r="1278" spans="1:3">
      <c r="A1278" t="s">
        <v>6218</v>
      </c>
      <c r="B1278">
        <v>1</v>
      </c>
      <c r="C1278" s="149" t="s">
        <v>4</v>
      </c>
    </row>
    <row r="1279" spans="1:3">
      <c r="A1279" t="s">
        <v>6237</v>
      </c>
      <c r="B1279">
        <v>17</v>
      </c>
      <c r="C1279" s="149" t="s">
        <v>4</v>
      </c>
    </row>
    <row r="1280" spans="1:3">
      <c r="A1280" t="s">
        <v>6240</v>
      </c>
      <c r="B1280">
        <v>1</v>
      </c>
      <c r="C1280" s="149" t="s">
        <v>4</v>
      </c>
    </row>
    <row r="1281" spans="1:3">
      <c r="A1281" t="s">
        <v>6242</v>
      </c>
      <c r="B1281">
        <v>4</v>
      </c>
      <c r="C1281" s="149" t="s">
        <v>4</v>
      </c>
    </row>
    <row r="1282" spans="1:3">
      <c r="A1282" t="s">
        <v>6247</v>
      </c>
      <c r="B1282">
        <v>5</v>
      </c>
      <c r="C1282" s="149" t="s">
        <v>4</v>
      </c>
    </row>
    <row r="1283" spans="1:3">
      <c r="A1283" t="s">
        <v>6251</v>
      </c>
      <c r="B1283">
        <v>3</v>
      </c>
      <c r="C1283" s="149" t="s">
        <v>4</v>
      </c>
    </row>
    <row r="1284" spans="1:3">
      <c r="A1284" s="149" t="s">
        <v>6247</v>
      </c>
      <c r="B1284" s="30">
        <v>3</v>
      </c>
      <c r="C1284" s="149" t="s">
        <v>4</v>
      </c>
    </row>
    <row r="1285" spans="1:3">
      <c r="A1285" s="149" t="s">
        <v>6203</v>
      </c>
      <c r="B1285">
        <v>1</v>
      </c>
      <c r="C1285" s="149" t="s">
        <v>4</v>
      </c>
    </row>
    <row r="1286" spans="1:3">
      <c r="A1286" t="s">
        <v>6271</v>
      </c>
      <c r="B1286">
        <v>9</v>
      </c>
      <c r="C1286" s="149" t="s">
        <v>4</v>
      </c>
    </row>
    <row r="1287" spans="1:3">
      <c r="A1287" t="s">
        <v>6275</v>
      </c>
      <c r="B1287">
        <v>1</v>
      </c>
      <c r="C1287" s="149" t="s">
        <v>4</v>
      </c>
    </row>
    <row r="1288" spans="1:3">
      <c r="A1288" t="s">
        <v>6087</v>
      </c>
      <c r="B1288">
        <v>114</v>
      </c>
      <c r="C1288" s="149" t="s">
        <v>4</v>
      </c>
    </row>
    <row r="1289" spans="1:3">
      <c r="A1289" t="s">
        <v>6106</v>
      </c>
      <c r="B1289">
        <v>1</v>
      </c>
      <c r="C1289" s="149" t="s">
        <v>4</v>
      </c>
    </row>
    <row r="1290" spans="1:3">
      <c r="A1290" t="s">
        <v>6202</v>
      </c>
      <c r="B1290">
        <v>113</v>
      </c>
      <c r="C1290" s="149" t="s">
        <v>4</v>
      </c>
    </row>
    <row r="1291" spans="1:3">
      <c r="A1291" t="s">
        <v>6217</v>
      </c>
      <c r="B1291">
        <v>11</v>
      </c>
      <c r="C1291" s="149" t="s">
        <v>4</v>
      </c>
    </row>
    <row r="1292" spans="1:3">
      <c r="A1292" s="149" t="s">
        <v>6288</v>
      </c>
      <c r="B1292" s="30">
        <v>6</v>
      </c>
      <c r="C1292" s="149" t="s">
        <v>4</v>
      </c>
    </row>
    <row r="1293" spans="1:3">
      <c r="A1293" t="s">
        <v>6304</v>
      </c>
      <c r="B1293">
        <v>17</v>
      </c>
      <c r="C1293" s="149" t="s">
        <v>4</v>
      </c>
    </row>
    <row r="1294" spans="1:3">
      <c r="A1294" t="s">
        <v>6305</v>
      </c>
      <c r="B1294">
        <v>3</v>
      </c>
      <c r="C1294" s="149" t="s">
        <v>4</v>
      </c>
    </row>
    <row r="1295" spans="1:3">
      <c r="A1295" t="s">
        <v>6345</v>
      </c>
      <c r="B1295">
        <v>12</v>
      </c>
      <c r="C1295" s="149" t="s">
        <v>4</v>
      </c>
    </row>
    <row r="1296" spans="1:3">
      <c r="A1296" t="s">
        <v>6353</v>
      </c>
      <c r="B1296">
        <v>1</v>
      </c>
      <c r="C1296" s="149" t="s">
        <v>4</v>
      </c>
    </row>
    <row r="1297" spans="1:3">
      <c r="A1297" t="s">
        <v>6357</v>
      </c>
      <c r="B1297">
        <v>1</v>
      </c>
      <c r="C1297" s="149" t="s">
        <v>4</v>
      </c>
    </row>
    <row r="1298" spans="1:3">
      <c r="A1298" t="s">
        <v>6410</v>
      </c>
      <c r="B1298">
        <v>2</v>
      </c>
      <c r="C1298" s="149" t="s">
        <v>4</v>
      </c>
    </row>
    <row r="1299" spans="1:3">
      <c r="A1299" t="s">
        <v>6427</v>
      </c>
      <c r="B1299">
        <v>14</v>
      </c>
      <c r="C1299" s="149" t="s">
        <v>4</v>
      </c>
    </row>
    <row r="1300" spans="1:3">
      <c r="A1300" t="s">
        <v>6428</v>
      </c>
      <c r="B1300">
        <v>1</v>
      </c>
      <c r="C1300" s="149" t="s">
        <v>4</v>
      </c>
    </row>
    <row r="1301" spans="1:3">
      <c r="A1301" t="s">
        <v>6431</v>
      </c>
      <c r="B1301">
        <v>4</v>
      </c>
      <c r="C1301" s="149" t="s">
        <v>4</v>
      </c>
    </row>
    <row r="1302" spans="1:3">
      <c r="A1302" t="s">
        <v>6435</v>
      </c>
      <c r="B1302">
        <v>2</v>
      </c>
      <c r="C1302" s="149" t="s">
        <v>4</v>
      </c>
    </row>
    <row r="1303" spans="1:3">
      <c r="A1303" t="s">
        <v>6452</v>
      </c>
      <c r="B1303">
        <v>22</v>
      </c>
      <c r="C1303" s="149" t="s">
        <v>4</v>
      </c>
    </row>
    <row r="1304" spans="1:3">
      <c r="A1304" t="s">
        <v>6475</v>
      </c>
      <c r="B1304">
        <v>2</v>
      </c>
      <c r="C1304" s="149" t="s">
        <v>4</v>
      </c>
    </row>
    <row r="1305" spans="1:3">
      <c r="A1305" t="s">
        <v>6480</v>
      </c>
      <c r="B1305">
        <v>2</v>
      </c>
      <c r="C1305" s="149" t="s">
        <v>4</v>
      </c>
    </row>
    <row r="1306" spans="1:3">
      <c r="A1306" t="s">
        <v>6485</v>
      </c>
      <c r="B1306">
        <v>2</v>
      </c>
      <c r="C1306" s="149" t="s">
        <v>4</v>
      </c>
    </row>
    <row r="1307" spans="1:3">
      <c r="A1307" t="s">
        <v>6486</v>
      </c>
      <c r="B1307">
        <v>12</v>
      </c>
      <c r="C1307" s="149" t="s">
        <v>4</v>
      </c>
    </row>
    <row r="1308" spans="1:3">
      <c r="A1308" t="s">
        <v>6312</v>
      </c>
      <c r="B1308">
        <v>12</v>
      </c>
      <c r="C1308" s="149" t="s">
        <v>4</v>
      </c>
    </row>
    <row r="1309" spans="1:3">
      <c r="A1309" t="s">
        <v>6403</v>
      </c>
      <c r="B1309">
        <v>48</v>
      </c>
      <c r="C1309" s="149" t="s">
        <v>4</v>
      </c>
    </row>
    <row r="1310" spans="1:3">
      <c r="A1310" t="s">
        <v>5773</v>
      </c>
      <c r="B1310">
        <v>11</v>
      </c>
      <c r="C1310" s="149" t="s">
        <v>4</v>
      </c>
    </row>
    <row r="1311" spans="1:3">
      <c r="A1311" t="s">
        <v>6505</v>
      </c>
      <c r="B1311">
        <v>4</v>
      </c>
      <c r="C1311" s="149" t="s">
        <v>4</v>
      </c>
    </row>
    <row r="1312" spans="1:3">
      <c r="A1312" t="s">
        <v>6241</v>
      </c>
      <c r="B1312">
        <v>1</v>
      </c>
      <c r="C1312" s="149" t="s">
        <v>4</v>
      </c>
    </row>
    <row r="1313" spans="1:3">
      <c r="A1313" t="s">
        <v>6482</v>
      </c>
      <c r="B1313">
        <v>2</v>
      </c>
      <c r="C1313" s="149" t="s">
        <v>4</v>
      </c>
    </row>
    <row r="1314" spans="1:3">
      <c r="A1314" t="s">
        <v>6514</v>
      </c>
      <c r="B1314">
        <v>2</v>
      </c>
      <c r="C1314" s="149" t="s">
        <v>4</v>
      </c>
    </row>
    <row r="1315" spans="1:3">
      <c r="A1315" t="s">
        <v>6510</v>
      </c>
      <c r="B1315">
        <v>1</v>
      </c>
      <c r="C1315" s="149" t="s">
        <v>4</v>
      </c>
    </row>
    <row r="1316" spans="1:3">
      <c r="A1316" t="s">
        <v>6517</v>
      </c>
      <c r="B1316">
        <v>1</v>
      </c>
      <c r="C1316" s="149" t="s">
        <v>4</v>
      </c>
    </row>
    <row r="1317" spans="1:3">
      <c r="A1317" t="s">
        <v>6515</v>
      </c>
      <c r="B1317">
        <v>1</v>
      </c>
      <c r="C1317" s="149" t="s">
        <v>4</v>
      </c>
    </row>
    <row r="1318" spans="1:3">
      <c r="A1318" t="s">
        <v>6531</v>
      </c>
      <c r="B1318">
        <v>12</v>
      </c>
      <c r="C1318" s="149" t="s">
        <v>4</v>
      </c>
    </row>
    <row r="1319" spans="1:3">
      <c r="A1319" t="s">
        <v>6565</v>
      </c>
      <c r="B1319">
        <v>3</v>
      </c>
      <c r="C1319" s="149" t="s">
        <v>4</v>
      </c>
    </row>
    <row r="1320" spans="1:3">
      <c r="A1320" t="s">
        <v>6542</v>
      </c>
      <c r="B1320">
        <v>20</v>
      </c>
      <c r="C1320" s="149" t="s">
        <v>4</v>
      </c>
    </row>
    <row r="1321" spans="1:3">
      <c r="A1321" t="s">
        <v>6540</v>
      </c>
      <c r="B1321">
        <v>2</v>
      </c>
      <c r="C1321" s="149" t="s">
        <v>4</v>
      </c>
    </row>
    <row r="1322" spans="1:3">
      <c r="A1322" t="s">
        <v>6534</v>
      </c>
      <c r="B1322">
        <v>4</v>
      </c>
      <c r="C1322" s="149" t="s">
        <v>4</v>
      </c>
    </row>
  </sheetData>
  <conditionalFormatting sqref="A2:A545 A548:A568 A570:A1036 A1038:A1232 A1238:A1272 A1274:A1283 A1286:A1291 A1293:A1048576">
    <cfRule type="duplicateValues" dxfId="26" priority="4"/>
  </conditionalFormatting>
  <conditionalFormatting sqref="A1284">
    <cfRule type="duplicateValues" dxfId="25" priority="2"/>
  </conditionalFormatting>
  <conditionalFormatting sqref="A129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421"/>
  <sheetViews>
    <sheetView tabSelected="1" topLeftCell="B1" zoomScale="105" zoomScaleNormal="105" workbookViewId="0">
      <selection activeCell="C4421" sqref="C442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219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194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194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194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194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194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194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194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194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194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194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194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190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187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187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187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187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187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187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187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187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187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187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187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187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187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187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187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187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187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187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187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187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187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187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187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187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187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187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187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187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187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187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187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187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187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187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187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187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187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187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187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187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187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186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186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186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186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186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186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186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186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186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186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186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186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186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186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186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186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186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186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186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186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186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186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186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186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186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186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186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186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186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186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186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186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186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186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186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186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186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186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186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186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186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186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186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186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186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186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186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186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186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186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186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186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186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186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186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186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186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186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186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185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185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185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185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185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184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184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182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182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181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178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178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178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178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178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178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178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178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178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178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178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178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178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178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178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178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178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178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178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178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178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177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177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177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177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177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172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172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172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167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167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167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167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167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167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167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167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167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167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167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167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167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167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167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167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167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167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163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163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163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158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157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157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157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157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157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157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157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157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157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157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157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157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143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143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142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142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142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132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117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117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117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117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117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117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117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117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117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117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117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117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117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117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117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117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117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117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117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117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114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114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114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114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113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113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113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113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113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113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113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113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113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113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113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113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113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113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113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113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113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113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113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113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113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113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113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113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113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113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113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113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113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113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112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112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112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112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112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112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112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112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112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112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112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112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112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112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112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112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112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112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108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108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108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108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108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108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108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108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108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108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108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108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108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108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108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108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108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108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108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108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108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108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108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108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108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108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108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108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108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108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108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108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108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108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108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108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108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108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108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108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108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108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108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108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108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108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108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108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108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108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108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108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108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108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108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108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108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108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108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108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108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108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108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108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108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108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108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108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108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108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108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108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108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108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108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108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108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108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108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108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108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108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108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108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108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108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108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108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108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108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108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108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102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102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97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97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92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92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92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92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92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92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92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92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92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92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92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92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92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92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92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92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92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92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92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92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92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92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92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92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92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92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92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92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92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92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92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92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92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92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92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92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92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92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92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92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92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92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92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92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92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92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92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92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92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92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92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92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92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92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92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92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92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92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92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92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92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92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92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92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92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92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92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92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92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92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92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92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92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92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92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92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92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92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92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92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92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92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92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92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92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92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92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92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92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92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92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92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92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92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92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92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92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92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92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92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92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92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92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92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92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4302</v>
      </c>
      <c r="B2409" s="149" t="str">
        <f>IFERROR(VLOOKUP(Proc[[#This Row],[App]],Table2[],3,0),"open")</f>
        <v>ok</v>
      </c>
      <c r="C2409" t="s">
        <v>377</v>
      </c>
      <c r="D2409" t="s">
        <v>4296</v>
      </c>
      <c r="E2409" t="s">
        <v>4300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4303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89</v>
      </c>
      <c r="R2409" s="108" t="s">
        <v>415</v>
      </c>
      <c r="S2409" s="94"/>
    </row>
    <row r="2410" spans="1:19" hidden="1">
      <c r="A2410" s="103" t="s">
        <v>4302</v>
      </c>
      <c r="B2410" s="149" t="str">
        <f>IFERROR(VLOOKUP(Proc[[#This Row],[App]],Table2[],3,0),"open")</f>
        <v>ok</v>
      </c>
      <c r="C2410" s="103" t="s">
        <v>369</v>
      </c>
      <c r="D2410" t="s">
        <v>4297</v>
      </c>
      <c r="E2410" t="s">
        <v>4301</v>
      </c>
      <c r="F2410" s="120" t="s">
        <v>4301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89</v>
      </c>
      <c r="R2410" s="108" t="s">
        <v>415</v>
      </c>
      <c r="S2410" s="94"/>
    </row>
    <row r="2411" spans="1:19" hidden="1">
      <c r="A2411" s="103" t="s">
        <v>4302</v>
      </c>
      <c r="B2411" s="149" t="str">
        <f>IFERROR(VLOOKUP(Proc[[#This Row],[App]],Table2[],3,0),"open")</f>
        <v>ok</v>
      </c>
      <c r="C2411" s="103" t="s">
        <v>369</v>
      </c>
      <c r="D2411" t="s">
        <v>4298</v>
      </c>
      <c r="E2411" t="s">
        <v>4301</v>
      </c>
      <c r="F2411" s="120" t="s">
        <v>4301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89</v>
      </c>
      <c r="R2411" s="108" t="s">
        <v>415</v>
      </c>
      <c r="S2411" s="94"/>
    </row>
    <row r="2412" spans="1:19" hidden="1">
      <c r="A2412" s="103" t="s">
        <v>4302</v>
      </c>
      <c r="B2412" s="149" t="str">
        <f>IFERROR(VLOOKUP(Proc[[#This Row],[App]],Table2[],3,0),"open")</f>
        <v>ok</v>
      </c>
      <c r="C2412" s="117" t="s">
        <v>369</v>
      </c>
      <c r="D2412" t="s">
        <v>4299</v>
      </c>
      <c r="E2412" t="s">
        <v>4301</v>
      </c>
      <c r="F2412" s="120" t="s">
        <v>4301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89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4304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90</v>
      </c>
      <c r="R2413" s="108" t="s">
        <v>972</v>
      </c>
      <c r="S2413" s="94"/>
    </row>
    <row r="2414" spans="1:19" hidden="1">
      <c r="A2414" t="s">
        <v>4305</v>
      </c>
      <c r="B2414" s="149" t="str">
        <f>IFERROR(VLOOKUP(Proc[[#This Row],[App]],Table2[],3,0),"open")</f>
        <v>ok</v>
      </c>
      <c r="C2414" t="s">
        <v>369</v>
      </c>
      <c r="D2414" t="s">
        <v>4306</v>
      </c>
      <c r="E2414" t="s">
        <v>4308</v>
      </c>
      <c r="F2414" s="120" t="s">
        <v>4308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4305</v>
      </c>
      <c r="B2415" s="149" t="str">
        <f>IFERROR(VLOOKUP(Proc[[#This Row],[App]],Table2[],3,0),"open")</f>
        <v>ok</v>
      </c>
      <c r="C2415" s="103" t="s">
        <v>369</v>
      </c>
      <c r="D2415" t="s">
        <v>4307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4309</v>
      </c>
      <c r="B2416" s="149" t="str">
        <f>IFERROR(VLOOKUP(Proc[[#This Row],[App]],Table2[],3,0),"open")</f>
        <v>ok</v>
      </c>
      <c r="C2416" s="117" t="s">
        <v>369</v>
      </c>
      <c r="D2416" t="s">
        <v>4829</v>
      </c>
      <c r="E2416" t="s">
        <v>4311</v>
      </c>
      <c r="F2416" s="117" t="s">
        <v>4311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4312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87</v>
      </c>
      <c r="R2416" s="110" t="s">
        <v>515</v>
      </c>
      <c r="S2416" s="94"/>
    </row>
    <row r="2417" spans="1:19" hidden="1">
      <c r="A2417" s="103" t="s">
        <v>4309</v>
      </c>
      <c r="B2417" s="149" t="str">
        <f>IFERROR(VLOOKUP(Proc[[#This Row],[App]],Table2[],3,0),"open")</f>
        <v>ok</v>
      </c>
      <c r="C2417" s="103" t="s">
        <v>369</v>
      </c>
      <c r="D2417" t="s">
        <v>4310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4312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87</v>
      </c>
      <c r="R2417" s="110" t="s">
        <v>515</v>
      </c>
      <c r="S2417" s="94"/>
    </row>
    <row r="2418" spans="1:19" hidden="1">
      <c r="A2418" t="s">
        <v>4313</v>
      </c>
      <c r="B2418" s="149" t="str">
        <f>IFERROR(VLOOKUP(Proc[[#This Row],[App]],Table2[],3,0),"open")</f>
        <v>ok</v>
      </c>
      <c r="C2418" s="103" t="s">
        <v>369</v>
      </c>
      <c r="D2418" t="s">
        <v>4314</v>
      </c>
      <c r="E2418" t="s">
        <v>4323</v>
      </c>
      <c r="F2418" s="120" t="s">
        <v>4323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4326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4313</v>
      </c>
      <c r="B2419" s="149" t="str">
        <f>IFERROR(VLOOKUP(Proc[[#This Row],[App]],Table2[],3,0),"open")</f>
        <v>ok</v>
      </c>
      <c r="C2419" s="103" t="s">
        <v>369</v>
      </c>
      <c r="D2419" t="s">
        <v>4315</v>
      </c>
      <c r="E2419" t="s">
        <v>4323</v>
      </c>
      <c r="F2419" s="120" t="s">
        <v>4323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4326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4313</v>
      </c>
      <c r="B2420" s="149" t="str">
        <f>IFERROR(VLOOKUP(Proc[[#This Row],[App]],Table2[],3,0),"open")</f>
        <v>ok</v>
      </c>
      <c r="C2420" s="103" t="s">
        <v>369</v>
      </c>
      <c r="D2420" t="s">
        <v>4316</v>
      </c>
      <c r="E2420" t="s">
        <v>4323</v>
      </c>
      <c r="F2420" s="120" t="s">
        <v>4323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4326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4313</v>
      </c>
      <c r="B2421" s="149" t="str">
        <f>IFERROR(VLOOKUP(Proc[[#This Row],[App]],Table2[],3,0),"open")</f>
        <v>ok</v>
      </c>
      <c r="C2421" s="103" t="s">
        <v>369</v>
      </c>
      <c r="D2421" t="s">
        <v>4317</v>
      </c>
      <c r="E2421" t="s">
        <v>4323</v>
      </c>
      <c r="F2421" s="120" t="s">
        <v>4323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4326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4313</v>
      </c>
      <c r="B2422" s="149" t="str">
        <f>IFERROR(VLOOKUP(Proc[[#This Row],[App]],Table2[],3,0),"open")</f>
        <v>ok</v>
      </c>
      <c r="C2422" s="103" t="s">
        <v>369</v>
      </c>
      <c r="D2422" t="s">
        <v>4318</v>
      </c>
      <c r="E2422" t="s">
        <v>4323</v>
      </c>
      <c r="F2422" s="120" t="s">
        <v>4323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4326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4313</v>
      </c>
      <c r="B2423" s="149" t="str">
        <f>IFERROR(VLOOKUP(Proc[[#This Row],[App]],Table2[],3,0),"open")</f>
        <v>ok</v>
      </c>
      <c r="C2423" s="103" t="s">
        <v>369</v>
      </c>
      <c r="D2423" t="s">
        <v>4319</v>
      </c>
      <c r="E2423" t="s">
        <v>4323</v>
      </c>
      <c r="F2423" s="120" t="s">
        <v>4323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4326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4313</v>
      </c>
      <c r="B2424" s="149" t="str">
        <f>IFERROR(VLOOKUP(Proc[[#This Row],[App]],Table2[],3,0),"open")</f>
        <v>ok</v>
      </c>
      <c r="C2424" s="103" t="s">
        <v>369</v>
      </c>
      <c r="D2424" t="s">
        <v>4322</v>
      </c>
      <c r="E2424" t="s">
        <v>4323</v>
      </c>
      <c r="F2424" s="120" t="s">
        <v>4323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4326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4313</v>
      </c>
      <c r="B2425" s="149" t="str">
        <f>IFERROR(VLOOKUP(Proc[[#This Row],[App]],Table2[],3,0),"open")</f>
        <v>ok</v>
      </c>
      <c r="C2425" s="103" t="s">
        <v>377</v>
      </c>
      <c r="D2425" t="s">
        <v>4320</v>
      </c>
      <c r="E2425" t="s">
        <v>4323</v>
      </c>
      <c r="F2425" s="94" t="s">
        <v>4324</v>
      </c>
      <c r="G2425" s="103" t="s">
        <v>400</v>
      </c>
      <c r="H2425" s="94" t="str">
        <f>IF(Proc[[#This Row],[type]]="LFF (MDG-F)",MID(Proc[[#This Row],[Obj]],13,10),"")</f>
        <v/>
      </c>
      <c r="I2425" t="s">
        <v>4325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4313</v>
      </c>
      <c r="B2426" s="149" t="str">
        <f>IFERROR(VLOOKUP(Proc[[#This Row],[App]],Table2[],3,0),"open")</f>
        <v>ok</v>
      </c>
      <c r="C2426" s="103" t="s">
        <v>377</v>
      </c>
      <c r="D2426" t="s">
        <v>4321</v>
      </c>
      <c r="E2426" t="s">
        <v>4323</v>
      </c>
      <c r="F2426" s="94" t="s">
        <v>4324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4325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4329</v>
      </c>
      <c r="B2427" s="149" t="str">
        <f>IFERROR(VLOOKUP(Proc[[#This Row],[App]],Table2[],3,0),"open")</f>
        <v>ok</v>
      </c>
      <c r="C2427" t="s">
        <v>369</v>
      </c>
      <c r="D2427" t="s">
        <v>4328</v>
      </c>
      <c r="E2427" t="s">
        <v>4331</v>
      </c>
      <c r="F2427" s="120" t="s">
        <v>4331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4329</v>
      </c>
      <c r="B2428" s="149" t="str">
        <f>IFERROR(VLOOKUP(Proc[[#This Row],[App]],Table2[],3,0),"open")</f>
        <v>ok</v>
      </c>
      <c r="C2428" s="103" t="s">
        <v>369</v>
      </c>
      <c r="D2428" t="s">
        <v>4330</v>
      </c>
      <c r="E2428" t="s">
        <v>4332</v>
      </c>
      <c r="F2428" s="120" t="s">
        <v>4332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4335</v>
      </c>
      <c r="B2429" s="149" t="str">
        <f>IFERROR(VLOOKUP(Proc[[#This Row],[App]],Table2[],3,0),"open")</f>
        <v>ok</v>
      </c>
      <c r="C2429" t="s">
        <v>369</v>
      </c>
      <c r="D2429" t="s">
        <v>4333</v>
      </c>
      <c r="E2429" t="s">
        <v>4334</v>
      </c>
      <c r="F2429" s="120" t="s">
        <v>4334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4895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4336</v>
      </c>
      <c r="B2430" s="149" t="str">
        <f>IFERROR(VLOOKUP(Proc[[#This Row],[App]],Table2[],3,0),"open")</f>
        <v>ok</v>
      </c>
      <c r="C2430" s="103" t="s">
        <v>369</v>
      </c>
      <c r="D2430" t="s">
        <v>4337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4336</v>
      </c>
      <c r="B2431" s="149" t="str">
        <f>IFERROR(VLOOKUP(Proc[[#This Row],[App]],Table2[],3,0),"open")</f>
        <v>ok</v>
      </c>
      <c r="C2431" s="103" t="s">
        <v>369</v>
      </c>
      <c r="D2431" t="s">
        <v>4338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4336</v>
      </c>
      <c r="B2432" s="149" t="str">
        <f>IFERROR(VLOOKUP(Proc[[#This Row],[App]],Table2[],3,0),"open")</f>
        <v>ok</v>
      </c>
      <c r="C2432" s="103" t="s">
        <v>369</v>
      </c>
      <c r="D2432" t="s">
        <v>4339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4336</v>
      </c>
      <c r="B2433" s="149" t="str">
        <f>IFERROR(VLOOKUP(Proc[[#This Row],[App]],Table2[],3,0),"open")</f>
        <v>ok</v>
      </c>
      <c r="C2433" s="103" t="s">
        <v>369</v>
      </c>
      <c r="D2433" t="s">
        <v>4340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4336</v>
      </c>
      <c r="B2434" s="149" t="str">
        <f>IFERROR(VLOOKUP(Proc[[#This Row],[App]],Table2[],3,0),"open")</f>
        <v>ok</v>
      </c>
      <c r="C2434" s="103" t="s">
        <v>369</v>
      </c>
      <c r="D2434" t="s">
        <v>4341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4336</v>
      </c>
      <c r="B2435" s="149" t="str">
        <f>IFERROR(VLOOKUP(Proc[[#This Row],[App]],Table2[],3,0),"open")</f>
        <v>ok</v>
      </c>
      <c r="C2435" s="103" t="s">
        <v>369</v>
      </c>
      <c r="D2435" t="s">
        <v>4342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4336</v>
      </c>
      <c r="B2436" s="149" t="str">
        <f>IFERROR(VLOOKUP(Proc[[#This Row],[App]],Table2[],3,0),"open")</f>
        <v>ok</v>
      </c>
      <c r="C2436" s="103" t="s">
        <v>369</v>
      </c>
      <c r="D2436" t="s">
        <v>4343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4336</v>
      </c>
      <c r="B2437" s="149" t="str">
        <f>IFERROR(VLOOKUP(Proc[[#This Row],[App]],Table2[],3,0),"open")</f>
        <v>ok</v>
      </c>
      <c r="C2437" s="103" t="s">
        <v>369</v>
      </c>
      <c r="D2437" t="s">
        <v>4344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4336</v>
      </c>
      <c r="B2438" s="149" t="str">
        <f>IFERROR(VLOOKUP(Proc[[#This Row],[App]],Table2[],3,0),"open")</f>
        <v>ok</v>
      </c>
      <c r="C2438" s="103" t="s">
        <v>369</v>
      </c>
      <c r="D2438" t="s">
        <v>4345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4336</v>
      </c>
      <c r="B2439" s="149" t="str">
        <f>IFERROR(VLOOKUP(Proc[[#This Row],[App]],Table2[],3,0),"open")</f>
        <v>ok</v>
      </c>
      <c r="C2439" s="103" t="s">
        <v>369</v>
      </c>
      <c r="D2439" t="s">
        <v>4346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4336</v>
      </c>
      <c r="B2440" s="149" t="str">
        <f>IFERROR(VLOOKUP(Proc[[#This Row],[App]],Table2[],3,0),"open")</f>
        <v>ok</v>
      </c>
      <c r="C2440" s="103" t="s">
        <v>369</v>
      </c>
      <c r="D2440" t="s">
        <v>4347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4336</v>
      </c>
      <c r="B2441" s="149" t="str">
        <f>IFERROR(VLOOKUP(Proc[[#This Row],[App]],Table2[],3,0),"open")</f>
        <v>ok</v>
      </c>
      <c r="C2441" s="103" t="s">
        <v>369</v>
      </c>
      <c r="D2441" t="s">
        <v>4348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4336</v>
      </c>
      <c r="B2442" s="149" t="str">
        <f>IFERROR(VLOOKUP(Proc[[#This Row],[App]],Table2[],3,0),"open")</f>
        <v>ok</v>
      </c>
      <c r="C2442" s="103" t="s">
        <v>369</v>
      </c>
      <c r="D2442" t="s">
        <v>4349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4336</v>
      </c>
      <c r="B2443" s="149" t="str">
        <f>IFERROR(VLOOKUP(Proc[[#This Row],[App]],Table2[],3,0),"open")</f>
        <v>ok</v>
      </c>
      <c r="C2443" s="103" t="s">
        <v>369</v>
      </c>
      <c r="D2443" t="s">
        <v>4350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4336</v>
      </c>
      <c r="B2444" s="149" t="str">
        <f>IFERROR(VLOOKUP(Proc[[#This Row],[App]],Table2[],3,0),"open")</f>
        <v>ok</v>
      </c>
      <c r="C2444" s="103" t="s">
        <v>369</v>
      </c>
      <c r="D2444" t="s">
        <v>4351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4336</v>
      </c>
      <c r="B2445" s="149" t="str">
        <f>IFERROR(VLOOKUP(Proc[[#This Row],[App]],Table2[],3,0),"open")</f>
        <v>ok</v>
      </c>
      <c r="C2445" s="103" t="s">
        <v>369</v>
      </c>
      <c r="D2445" t="s">
        <v>4352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4336</v>
      </c>
      <c r="B2446" s="149" t="str">
        <f>IFERROR(VLOOKUP(Proc[[#This Row],[App]],Table2[],3,0),"open")</f>
        <v>ok</v>
      </c>
      <c r="C2446" s="103" t="s">
        <v>369</v>
      </c>
      <c r="D2446" t="s">
        <v>4353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4336</v>
      </c>
      <c r="B2447" s="149" t="str">
        <f>IFERROR(VLOOKUP(Proc[[#This Row],[App]],Table2[],3,0),"open")</f>
        <v>ok</v>
      </c>
      <c r="C2447" s="103" t="s">
        <v>369</v>
      </c>
      <c r="D2447" t="s">
        <v>4354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4336</v>
      </c>
      <c r="B2448" s="149" t="str">
        <f>IFERROR(VLOOKUP(Proc[[#This Row],[App]],Table2[],3,0),"open")</f>
        <v>ok</v>
      </c>
      <c r="C2448" s="103" t="s">
        <v>369</v>
      </c>
      <c r="D2448" t="s">
        <v>4355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4336</v>
      </c>
      <c r="B2449" s="149" t="str">
        <f>IFERROR(VLOOKUP(Proc[[#This Row],[App]],Table2[],3,0),"open")</f>
        <v>ok</v>
      </c>
      <c r="C2449" s="103" t="s">
        <v>369</v>
      </c>
      <c r="D2449" t="s">
        <v>4356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4336</v>
      </c>
      <c r="B2450" s="149" t="str">
        <f>IFERROR(VLOOKUP(Proc[[#This Row],[App]],Table2[],3,0),"open")</f>
        <v>ok</v>
      </c>
      <c r="C2450" s="103" t="s">
        <v>369</v>
      </c>
      <c r="D2450" t="s">
        <v>4357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4336</v>
      </c>
      <c r="B2451" s="149" t="str">
        <f>IFERROR(VLOOKUP(Proc[[#This Row],[App]],Table2[],3,0),"open")</f>
        <v>ok</v>
      </c>
      <c r="C2451" s="103" t="s">
        <v>369</v>
      </c>
      <c r="D2451" t="s">
        <v>4358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4336</v>
      </c>
      <c r="B2452" s="149" t="str">
        <f>IFERROR(VLOOKUP(Proc[[#This Row],[App]],Table2[],3,0),"open")</f>
        <v>ok</v>
      </c>
      <c r="C2452" s="103" t="s">
        <v>369</v>
      </c>
      <c r="D2452" t="s">
        <v>4359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4336</v>
      </c>
      <c r="B2453" s="149" t="str">
        <f>IFERROR(VLOOKUP(Proc[[#This Row],[App]],Table2[],3,0),"open")</f>
        <v>ok</v>
      </c>
      <c r="C2453" s="103" t="s">
        <v>369</v>
      </c>
      <c r="D2453" t="s">
        <v>4360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4336</v>
      </c>
      <c r="B2454" s="149" t="str">
        <f>IFERROR(VLOOKUP(Proc[[#This Row],[App]],Table2[],3,0),"open")</f>
        <v>ok</v>
      </c>
      <c r="C2454" s="103" t="s">
        <v>369</v>
      </c>
      <c r="D2454" t="s">
        <v>4361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4336</v>
      </c>
      <c r="B2455" s="149" t="str">
        <f>IFERROR(VLOOKUP(Proc[[#This Row],[App]],Table2[],3,0),"open")</f>
        <v>ok</v>
      </c>
      <c r="C2455" s="103" t="s">
        <v>369</v>
      </c>
      <c r="D2455" t="s">
        <v>4362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4336</v>
      </c>
      <c r="B2456" s="149" t="str">
        <f>IFERROR(VLOOKUP(Proc[[#This Row],[App]],Table2[],3,0),"open")</f>
        <v>ok</v>
      </c>
      <c r="C2456" s="103" t="s">
        <v>369</v>
      </c>
      <c r="D2456" t="s">
        <v>4363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4336</v>
      </c>
      <c r="B2457" s="149" t="str">
        <f>IFERROR(VLOOKUP(Proc[[#This Row],[App]],Table2[],3,0),"open")</f>
        <v>ok</v>
      </c>
      <c r="C2457" s="103" t="s">
        <v>369</v>
      </c>
      <c r="D2457" t="s">
        <v>4364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4336</v>
      </c>
      <c r="B2458" s="149" t="str">
        <f>IFERROR(VLOOKUP(Proc[[#This Row],[App]],Table2[],3,0),"open")</f>
        <v>ok</v>
      </c>
      <c r="C2458" s="103" t="s">
        <v>369</v>
      </c>
      <c r="D2458" t="s">
        <v>4365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4336</v>
      </c>
      <c r="B2459" s="149" t="str">
        <f>IFERROR(VLOOKUP(Proc[[#This Row],[App]],Table2[],3,0),"open")</f>
        <v>ok</v>
      </c>
      <c r="C2459" s="103" t="s">
        <v>369</v>
      </c>
      <c r="D2459" t="s">
        <v>4366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4336</v>
      </c>
      <c r="B2460" s="149" t="str">
        <f>IFERROR(VLOOKUP(Proc[[#This Row],[App]],Table2[],3,0),"open")</f>
        <v>ok</v>
      </c>
      <c r="C2460" s="103" t="s">
        <v>369</v>
      </c>
      <c r="D2460" t="s">
        <v>4367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4336</v>
      </c>
      <c r="B2461" s="149" t="str">
        <f>IFERROR(VLOOKUP(Proc[[#This Row],[App]],Table2[],3,0),"open")</f>
        <v>ok</v>
      </c>
      <c r="C2461" s="103" t="s">
        <v>369</v>
      </c>
      <c r="D2461" t="s">
        <v>4368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4336</v>
      </c>
      <c r="B2462" s="149" t="str">
        <f>IFERROR(VLOOKUP(Proc[[#This Row],[App]],Table2[],3,0),"open")</f>
        <v>ok</v>
      </c>
      <c r="C2462" s="103" t="s">
        <v>369</v>
      </c>
      <c r="D2462" t="s">
        <v>4369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4336</v>
      </c>
      <c r="B2463" s="149" t="str">
        <f>IFERROR(VLOOKUP(Proc[[#This Row],[App]],Table2[],3,0),"open")</f>
        <v>ok</v>
      </c>
      <c r="C2463" s="103" t="s">
        <v>369</v>
      </c>
      <c r="D2463" t="s">
        <v>4370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4336</v>
      </c>
      <c r="B2464" s="149" t="str">
        <f>IFERROR(VLOOKUP(Proc[[#This Row],[App]],Table2[],3,0),"open")</f>
        <v>ok</v>
      </c>
      <c r="C2464" s="103" t="s">
        <v>369</v>
      </c>
      <c r="D2464" t="s">
        <v>4371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4336</v>
      </c>
      <c r="B2465" s="149" t="str">
        <f>IFERROR(VLOOKUP(Proc[[#This Row],[App]],Table2[],3,0),"open")</f>
        <v>ok</v>
      </c>
      <c r="C2465" s="103" t="s">
        <v>369</v>
      </c>
      <c r="D2465" t="s">
        <v>4372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4336</v>
      </c>
      <c r="B2466" s="149" t="str">
        <f>IFERROR(VLOOKUP(Proc[[#This Row],[App]],Table2[],3,0),"open")</f>
        <v>ok</v>
      </c>
      <c r="C2466" s="103" t="s">
        <v>369</v>
      </c>
      <c r="D2466" t="s">
        <v>4373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4336</v>
      </c>
      <c r="B2467" s="149" t="str">
        <f>IFERROR(VLOOKUP(Proc[[#This Row],[App]],Table2[],3,0),"open")</f>
        <v>ok</v>
      </c>
      <c r="C2467" s="103" t="s">
        <v>369</v>
      </c>
      <c r="D2467" t="s">
        <v>4374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4336</v>
      </c>
      <c r="B2468" s="149" t="str">
        <f>IFERROR(VLOOKUP(Proc[[#This Row],[App]],Table2[],3,0),"open")</f>
        <v>ok</v>
      </c>
      <c r="C2468" s="103" t="s">
        <v>369</v>
      </c>
      <c r="D2468" t="s">
        <v>4375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4336</v>
      </c>
      <c r="B2469" s="149" t="str">
        <f>IFERROR(VLOOKUP(Proc[[#This Row],[App]],Table2[],3,0),"open")</f>
        <v>ok</v>
      </c>
      <c r="C2469" s="103" t="s">
        <v>369</v>
      </c>
      <c r="D2469" t="s">
        <v>4376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4336</v>
      </c>
      <c r="B2470" s="149" t="str">
        <f>IFERROR(VLOOKUP(Proc[[#This Row],[App]],Table2[],3,0),"open")</f>
        <v>ok</v>
      </c>
      <c r="C2470" s="103" t="s">
        <v>369</v>
      </c>
      <c r="D2470" t="s">
        <v>4377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4336</v>
      </c>
      <c r="B2471" s="149" t="str">
        <f>IFERROR(VLOOKUP(Proc[[#This Row],[App]],Table2[],3,0),"open")</f>
        <v>ok</v>
      </c>
      <c r="C2471" s="103" t="s">
        <v>369</v>
      </c>
      <c r="D2471" t="s">
        <v>4378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4336</v>
      </c>
      <c r="B2472" s="149" t="str">
        <f>IFERROR(VLOOKUP(Proc[[#This Row],[App]],Table2[],3,0),"open")</f>
        <v>ok</v>
      </c>
      <c r="C2472" s="103" t="s">
        <v>369</v>
      </c>
      <c r="D2472" t="s">
        <v>4379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4336</v>
      </c>
      <c r="B2473" s="149" t="str">
        <f>IFERROR(VLOOKUP(Proc[[#This Row],[App]],Table2[],3,0),"open")</f>
        <v>ok</v>
      </c>
      <c r="C2473" s="103" t="s">
        <v>369</v>
      </c>
      <c r="D2473" t="s">
        <v>4380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4336</v>
      </c>
      <c r="B2474" s="149" t="str">
        <f>IFERROR(VLOOKUP(Proc[[#This Row],[App]],Table2[],3,0),"open")</f>
        <v>ok</v>
      </c>
      <c r="C2474" s="103" t="s">
        <v>369</v>
      </c>
      <c r="D2474" t="s">
        <v>4381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4336</v>
      </c>
      <c r="B2475" s="149" t="str">
        <f>IFERROR(VLOOKUP(Proc[[#This Row],[App]],Table2[],3,0),"open")</f>
        <v>ok</v>
      </c>
      <c r="C2475" s="103" t="s">
        <v>369</v>
      </c>
      <c r="D2475" t="s">
        <v>4382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4336</v>
      </c>
      <c r="B2476" s="149" t="str">
        <f>IFERROR(VLOOKUP(Proc[[#This Row],[App]],Table2[],3,0),"open")</f>
        <v>ok</v>
      </c>
      <c r="C2476" s="103" t="s">
        <v>369</v>
      </c>
      <c r="D2476" t="s">
        <v>4383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4336</v>
      </c>
      <c r="B2477" s="149" t="str">
        <f>IFERROR(VLOOKUP(Proc[[#This Row],[App]],Table2[],3,0),"open")</f>
        <v>ok</v>
      </c>
      <c r="C2477" s="103" t="s">
        <v>369</v>
      </c>
      <c r="D2477" t="s">
        <v>4384</v>
      </c>
      <c r="E2477" t="s">
        <v>4385</v>
      </c>
      <c r="F2477" s="120" t="s">
        <v>4385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4336</v>
      </c>
      <c r="B2478" s="149" t="str">
        <f>IFERROR(VLOOKUP(Proc[[#This Row],[App]],Table2[],3,0),"open")</f>
        <v>ok</v>
      </c>
      <c r="C2478" s="103" t="s">
        <v>369</v>
      </c>
      <c r="D2478" t="s">
        <v>4386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4336</v>
      </c>
      <c r="B2479" s="149" t="str">
        <f>IFERROR(VLOOKUP(Proc[[#This Row],[App]],Table2[],3,0),"open")</f>
        <v>ok</v>
      </c>
      <c r="C2479" s="103" t="s">
        <v>369</v>
      </c>
      <c r="D2479" t="s">
        <v>4387</v>
      </c>
      <c r="E2479" t="s">
        <v>4388</v>
      </c>
      <c r="F2479" s="120" t="s">
        <v>4388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4336</v>
      </c>
      <c r="B2480" s="149" t="str">
        <f>IFERROR(VLOOKUP(Proc[[#This Row],[App]],Table2[],3,0),"open")</f>
        <v>ok</v>
      </c>
      <c r="C2480" s="103" t="s">
        <v>369</v>
      </c>
      <c r="D2480" t="s">
        <v>4389</v>
      </c>
      <c r="E2480" t="s">
        <v>4390</v>
      </c>
      <c r="F2480" s="120" t="s">
        <v>4390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4336</v>
      </c>
      <c r="B2481" s="149" t="str">
        <f>IFERROR(VLOOKUP(Proc[[#This Row],[App]],Table2[],3,0),"open")</f>
        <v>ok</v>
      </c>
      <c r="C2481" s="103" t="s">
        <v>369</v>
      </c>
      <c r="D2481" t="s">
        <v>4391</v>
      </c>
      <c r="E2481" t="s">
        <v>4392</v>
      </c>
      <c r="F2481" s="120" t="s">
        <v>4392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4336</v>
      </c>
      <c r="B2482" s="149" t="str">
        <f>IFERROR(VLOOKUP(Proc[[#This Row],[App]],Table2[],3,0),"open")</f>
        <v>ok</v>
      </c>
      <c r="C2482" s="103" t="s">
        <v>369</v>
      </c>
      <c r="D2482" t="s">
        <v>4393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4336</v>
      </c>
      <c r="B2483" s="149" t="str">
        <f>IFERROR(VLOOKUP(Proc[[#This Row],[App]],Table2[],3,0),"open")</f>
        <v>ok</v>
      </c>
      <c r="C2483" s="103" t="s">
        <v>369</v>
      </c>
      <c r="D2483" t="s">
        <v>4394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4336</v>
      </c>
      <c r="B2484" s="149" t="str">
        <f>IFERROR(VLOOKUP(Proc[[#This Row],[App]],Table2[],3,0),"open")</f>
        <v>ok</v>
      </c>
      <c r="C2484" s="103" t="s">
        <v>369</v>
      </c>
      <c r="D2484" t="s">
        <v>4395</v>
      </c>
      <c r="E2484" t="s">
        <v>4396</v>
      </c>
      <c r="F2484" s="120" t="s">
        <v>4396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4336</v>
      </c>
      <c r="B2485" s="149" t="str">
        <f>IFERROR(VLOOKUP(Proc[[#This Row],[App]],Table2[],3,0),"open")</f>
        <v>ok</v>
      </c>
      <c r="C2485" s="103" t="s">
        <v>369</v>
      </c>
      <c r="D2485" t="s">
        <v>4397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4336</v>
      </c>
      <c r="B2486" s="149" t="str">
        <f>IFERROR(VLOOKUP(Proc[[#This Row],[App]],Table2[],3,0),"open")</f>
        <v>ok</v>
      </c>
      <c r="C2486" s="103" t="s">
        <v>369</v>
      </c>
      <c r="D2486" t="s">
        <v>4398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4336</v>
      </c>
      <c r="B2487" s="149" t="str">
        <f>IFERROR(VLOOKUP(Proc[[#This Row],[App]],Table2[],3,0),"open")</f>
        <v>ok</v>
      </c>
      <c r="C2487" s="103" t="s">
        <v>369</v>
      </c>
      <c r="D2487" t="s">
        <v>4399</v>
      </c>
      <c r="E2487" t="s">
        <v>4400</v>
      </c>
      <c r="F2487" s="120" t="s">
        <v>4400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4413</v>
      </c>
      <c r="B2488" s="149" t="str">
        <f>IFERROR(VLOOKUP(Proc[[#This Row],[App]],Table2[],3,0),"open")</f>
        <v>open</v>
      </c>
      <c r="C2488" s="117" t="s">
        <v>369</v>
      </c>
      <c r="D2488" t="s">
        <v>4401</v>
      </c>
      <c r="E2488" t="s">
        <v>4410</v>
      </c>
      <c r="F2488" s="117" t="s">
        <v>4410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4414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4895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82</v>
      </c>
      <c r="R2488" s="110" t="s">
        <v>1459</v>
      </c>
      <c r="S2488" s="94"/>
    </row>
    <row r="2489" spans="1:19">
      <c r="A2489" s="103" t="s">
        <v>4413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5570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4833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4895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82</v>
      </c>
      <c r="R2489" s="110" t="s">
        <v>1459</v>
      </c>
      <c r="S2489" s="94"/>
    </row>
    <row r="2490" spans="1:19" hidden="1">
      <c r="A2490" s="103" t="s">
        <v>4413</v>
      </c>
      <c r="B2490" s="149" t="str">
        <f>IFERROR(VLOOKUP(Proc[[#This Row],[App]],Table2[],3,0),"open")</f>
        <v>open</v>
      </c>
      <c r="C2490" s="124" t="s">
        <v>369</v>
      </c>
      <c r="D2490" t="s">
        <v>4402</v>
      </c>
      <c r="E2490" t="s">
        <v>4411</v>
      </c>
      <c r="F2490" s="124" t="s">
        <v>4411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4414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4895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82</v>
      </c>
      <c r="R2490" s="110" t="s">
        <v>1459</v>
      </c>
      <c r="S2490" s="94"/>
    </row>
    <row r="2491" spans="1:19" hidden="1">
      <c r="A2491" s="103" t="s">
        <v>4413</v>
      </c>
      <c r="B2491" s="149" t="str">
        <f>IFERROR(VLOOKUP(Proc[[#This Row],[App]],Table2[],3,0),"open")</f>
        <v>open</v>
      </c>
      <c r="C2491" s="124" t="s">
        <v>369</v>
      </c>
      <c r="D2491" t="s">
        <v>4403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4414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4895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82</v>
      </c>
      <c r="R2491" s="110" t="s">
        <v>1459</v>
      </c>
      <c r="S2491" s="94"/>
    </row>
    <row r="2492" spans="1:19" hidden="1">
      <c r="A2492" s="103" t="s">
        <v>4413</v>
      </c>
      <c r="B2492" s="149" t="str">
        <f>IFERROR(VLOOKUP(Proc[[#This Row],[App]],Table2[],3,0),"open")</f>
        <v>open</v>
      </c>
      <c r="C2492" s="124" t="s">
        <v>369</v>
      </c>
      <c r="D2492" t="s">
        <v>4404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4895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82</v>
      </c>
      <c r="R2492" s="110" t="s">
        <v>1459</v>
      </c>
      <c r="S2492" s="94"/>
    </row>
    <row r="2493" spans="1:19" hidden="1">
      <c r="A2493" s="103" t="s">
        <v>4413</v>
      </c>
      <c r="B2493" s="149" t="str">
        <f>IFERROR(VLOOKUP(Proc[[#This Row],[App]],Table2[],3,0),"open")</f>
        <v>open</v>
      </c>
      <c r="C2493" s="124" t="s">
        <v>369</v>
      </c>
      <c r="D2493" t="s">
        <v>4405</v>
      </c>
      <c r="E2493" t="s">
        <v>4412</v>
      </c>
      <c r="F2493" s="124" t="s">
        <v>4412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4895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82</v>
      </c>
      <c r="R2493" s="110" t="s">
        <v>1459</v>
      </c>
      <c r="S2493" s="94"/>
    </row>
    <row r="2494" spans="1:19" hidden="1">
      <c r="A2494" s="103" t="s">
        <v>4413</v>
      </c>
      <c r="B2494" s="149" t="str">
        <f>IFERROR(VLOOKUP(Proc[[#This Row],[App]],Table2[],3,0),"open")</f>
        <v>open</v>
      </c>
      <c r="C2494" s="124" t="s">
        <v>369</v>
      </c>
      <c r="D2494" t="s">
        <v>4406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4895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82</v>
      </c>
      <c r="R2494" s="110" t="s">
        <v>1459</v>
      </c>
      <c r="S2494" s="94"/>
    </row>
    <row r="2495" spans="1:19" hidden="1">
      <c r="A2495" s="103" t="s">
        <v>4413</v>
      </c>
      <c r="B2495" s="149" t="str">
        <f>IFERROR(VLOOKUP(Proc[[#This Row],[App]],Table2[],3,0),"open")</f>
        <v>open</v>
      </c>
      <c r="C2495" s="124" t="s">
        <v>369</v>
      </c>
      <c r="D2495" t="s">
        <v>4407</v>
      </c>
      <c r="E2495" t="s">
        <v>4412</v>
      </c>
      <c r="F2495" s="124" t="s">
        <v>4412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4895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82</v>
      </c>
      <c r="R2495" s="110" t="s">
        <v>1459</v>
      </c>
      <c r="S2495" s="94"/>
    </row>
    <row r="2496" spans="1:19" hidden="1">
      <c r="A2496" s="103" t="s">
        <v>4413</v>
      </c>
      <c r="B2496" s="149" t="str">
        <f>IFERROR(VLOOKUP(Proc[[#This Row],[App]],Table2[],3,0),"open")</f>
        <v>open</v>
      </c>
      <c r="C2496" s="124" t="s">
        <v>369</v>
      </c>
      <c r="D2496" t="s">
        <v>4408</v>
      </c>
      <c r="E2496" t="s">
        <v>4412</v>
      </c>
      <c r="F2496" s="124" t="s">
        <v>4412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4895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82</v>
      </c>
      <c r="R2496" s="110" t="s">
        <v>1459</v>
      </c>
      <c r="S2496" s="94"/>
    </row>
    <row r="2497" spans="1:19" hidden="1">
      <c r="A2497" s="103" t="s">
        <v>4413</v>
      </c>
      <c r="B2497" s="149" t="str">
        <f>IFERROR(VLOOKUP(Proc[[#This Row],[App]],Table2[],3,0),"open")</f>
        <v>open</v>
      </c>
      <c r="C2497" s="124" t="s">
        <v>369</v>
      </c>
      <c r="D2497" t="s">
        <v>4409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4895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82</v>
      </c>
      <c r="R2497" s="110" t="s">
        <v>1459</v>
      </c>
      <c r="S2497" s="94"/>
    </row>
    <row r="2498" spans="1:19" hidden="1">
      <c r="A2498" s="103" t="s">
        <v>4413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4895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82</v>
      </c>
      <c r="R2498" s="110" t="s">
        <v>1459</v>
      </c>
      <c r="S2498" s="94"/>
    </row>
    <row r="2499" spans="1:19" hidden="1">
      <c r="A2499" t="s">
        <v>4416</v>
      </c>
      <c r="B2499" s="149" t="str">
        <f>IFERROR(VLOOKUP(Proc[[#This Row],[App]],Table2[],3,0),"open")</f>
        <v>ok</v>
      </c>
      <c r="C2499" s="103" t="s">
        <v>369</v>
      </c>
      <c r="D2499" t="s">
        <v>4415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4895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4417</v>
      </c>
      <c r="S2499" s="94"/>
    </row>
    <row r="2500" spans="1:19" hidden="1">
      <c r="A2500" t="s">
        <v>4419</v>
      </c>
      <c r="B2500" s="149" t="str">
        <f>IFERROR(VLOOKUP(Proc[[#This Row],[App]],Table2[],3,0),"open")</f>
        <v>ok</v>
      </c>
      <c r="C2500" s="103" t="s">
        <v>369</v>
      </c>
      <c r="D2500" t="s">
        <v>4418</v>
      </c>
      <c r="E2500" t="s">
        <v>4804</v>
      </c>
      <c r="F2500" s="94" t="s">
        <v>4804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4895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80</v>
      </c>
      <c r="R2500" s="110" t="s">
        <v>489</v>
      </c>
      <c r="S2500" s="94"/>
    </row>
    <row r="2501" spans="1:19" hidden="1">
      <c r="A2501" t="s">
        <v>4421</v>
      </c>
      <c r="B2501" s="149" t="str">
        <f>IFERROR(VLOOKUP(Proc[[#This Row],[App]],Table2[],3,0),"open")</f>
        <v>ok</v>
      </c>
      <c r="C2501" s="103" t="s">
        <v>369</v>
      </c>
      <c r="D2501" t="s">
        <v>4420</v>
      </c>
      <c r="E2501" t="s">
        <v>4422</v>
      </c>
      <c r="F2501" s="94" t="s">
        <v>4422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4895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80</v>
      </c>
      <c r="R2501" s="110" t="s">
        <v>489</v>
      </c>
      <c r="S2501" s="94"/>
    </row>
    <row r="2502" spans="1:19" hidden="1">
      <c r="A2502" t="s">
        <v>4423</v>
      </c>
      <c r="B2502" s="149" t="str">
        <f>IFERROR(VLOOKUP(Proc[[#This Row],[App]],Table2[],3,0),"open")</f>
        <v>ok</v>
      </c>
      <c r="C2502" s="117" t="s">
        <v>369</v>
      </c>
      <c r="D2502" t="s">
        <v>4424</v>
      </c>
      <c r="E2502" t="s">
        <v>4735</v>
      </c>
      <c r="F2502" s="94" t="s">
        <v>4735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4785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4895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80</v>
      </c>
      <c r="R2502" s="110" t="s">
        <v>485</v>
      </c>
      <c r="S2502" s="94"/>
    </row>
    <row r="2503" spans="1:19" hidden="1">
      <c r="A2503" s="103" t="s">
        <v>4423</v>
      </c>
      <c r="B2503" s="149" t="str">
        <f>IFERROR(VLOOKUP(Proc[[#This Row],[App]],Table2[],3,0),"open")</f>
        <v>ok</v>
      </c>
      <c r="C2503" s="117" t="s">
        <v>369</v>
      </c>
      <c r="D2503" t="s">
        <v>4425</v>
      </c>
      <c r="E2503" t="s">
        <v>4735</v>
      </c>
      <c r="F2503" s="94" t="s">
        <v>4735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4785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4895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80</v>
      </c>
      <c r="R2503" s="110" t="s">
        <v>485</v>
      </c>
      <c r="S2503" s="94"/>
    </row>
    <row r="2504" spans="1:19" hidden="1">
      <c r="A2504" s="103" t="s">
        <v>4423</v>
      </c>
      <c r="B2504" s="149" t="str">
        <f>IFERROR(VLOOKUP(Proc[[#This Row],[App]],Table2[],3,0),"open")</f>
        <v>ok</v>
      </c>
      <c r="C2504" s="117" t="s">
        <v>369</v>
      </c>
      <c r="D2504" t="s">
        <v>4426</v>
      </c>
      <c r="E2504" t="s">
        <v>4736</v>
      </c>
      <c r="F2504" s="94" t="s">
        <v>4736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4785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4895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80</v>
      </c>
      <c r="R2504" s="110" t="s">
        <v>485</v>
      </c>
      <c r="S2504" s="94"/>
    </row>
    <row r="2505" spans="1:19" hidden="1">
      <c r="A2505" s="103" t="s">
        <v>4423</v>
      </c>
      <c r="B2505" s="149" t="str">
        <f>IFERROR(VLOOKUP(Proc[[#This Row],[App]],Table2[],3,0),"open")</f>
        <v>ok</v>
      </c>
      <c r="C2505" s="117" t="s">
        <v>369</v>
      </c>
      <c r="D2505" t="s">
        <v>4427</v>
      </c>
      <c r="E2505" t="s">
        <v>4736</v>
      </c>
      <c r="F2505" s="94" t="s">
        <v>4736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4785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4895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80</v>
      </c>
      <c r="R2505" s="110" t="s">
        <v>485</v>
      </c>
      <c r="S2505" s="94"/>
    </row>
    <row r="2506" spans="1:19" hidden="1">
      <c r="A2506" s="103" t="s">
        <v>4423</v>
      </c>
      <c r="B2506" s="149" t="str">
        <f>IFERROR(VLOOKUP(Proc[[#This Row],[App]],Table2[],3,0),"open")</f>
        <v>ok</v>
      </c>
      <c r="C2506" s="117" t="s">
        <v>369</v>
      </c>
      <c r="D2506" t="s">
        <v>4428</v>
      </c>
      <c r="E2506" t="s">
        <v>4736</v>
      </c>
      <c r="F2506" s="94" t="s">
        <v>4736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4785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4895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80</v>
      </c>
      <c r="R2506" s="110" t="s">
        <v>485</v>
      </c>
      <c r="S2506" s="94"/>
    </row>
    <row r="2507" spans="1:19" hidden="1">
      <c r="A2507" s="103" t="s">
        <v>4423</v>
      </c>
      <c r="B2507" s="149" t="str">
        <f>IFERROR(VLOOKUP(Proc[[#This Row],[App]],Table2[],3,0),"open")</f>
        <v>ok</v>
      </c>
      <c r="C2507" s="117" t="s">
        <v>369</v>
      </c>
      <c r="D2507" t="s">
        <v>4429</v>
      </c>
      <c r="E2507" t="s">
        <v>4737</v>
      </c>
      <c r="F2507" s="94" t="s">
        <v>4737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4785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4895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80</v>
      </c>
      <c r="R2507" s="110" t="s">
        <v>485</v>
      </c>
      <c r="S2507" s="94"/>
    </row>
    <row r="2508" spans="1:19" hidden="1">
      <c r="A2508" s="103" t="s">
        <v>4423</v>
      </c>
      <c r="B2508" s="149" t="str">
        <f>IFERROR(VLOOKUP(Proc[[#This Row],[App]],Table2[],3,0),"open")</f>
        <v>ok</v>
      </c>
      <c r="C2508" s="117" t="s">
        <v>369</v>
      </c>
      <c r="D2508" t="s">
        <v>4430</v>
      </c>
      <c r="E2508" t="s">
        <v>4737</v>
      </c>
      <c r="F2508" s="94" t="s">
        <v>4737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4785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4895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80</v>
      </c>
      <c r="R2508" s="110" t="s">
        <v>485</v>
      </c>
      <c r="S2508" s="94"/>
    </row>
    <row r="2509" spans="1:19" hidden="1">
      <c r="A2509" s="103" t="s">
        <v>4423</v>
      </c>
      <c r="B2509" s="149" t="str">
        <f>IFERROR(VLOOKUP(Proc[[#This Row],[App]],Table2[],3,0),"open")</f>
        <v>ok</v>
      </c>
      <c r="C2509" s="117" t="s">
        <v>369</v>
      </c>
      <c r="D2509" t="s">
        <v>4431</v>
      </c>
      <c r="E2509" t="s">
        <v>4737</v>
      </c>
      <c r="F2509" s="94" t="s">
        <v>4737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4785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4895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80</v>
      </c>
      <c r="R2509" s="110" t="s">
        <v>485</v>
      </c>
      <c r="S2509" s="94"/>
    </row>
    <row r="2510" spans="1:19" hidden="1">
      <c r="A2510" s="103" t="s">
        <v>4423</v>
      </c>
      <c r="B2510" s="149" t="str">
        <f>IFERROR(VLOOKUP(Proc[[#This Row],[App]],Table2[],3,0),"open")</f>
        <v>ok</v>
      </c>
      <c r="C2510" s="117" t="s">
        <v>369</v>
      </c>
      <c r="D2510" t="s">
        <v>4432</v>
      </c>
      <c r="E2510" t="s">
        <v>4737</v>
      </c>
      <c r="F2510" s="94" t="s">
        <v>4737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4785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4895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80</v>
      </c>
      <c r="R2510" s="110" t="s">
        <v>485</v>
      </c>
      <c r="S2510" s="94"/>
    </row>
    <row r="2511" spans="1:19" hidden="1">
      <c r="A2511" s="103" t="s">
        <v>4423</v>
      </c>
      <c r="B2511" s="149" t="str">
        <f>IFERROR(VLOOKUP(Proc[[#This Row],[App]],Table2[],3,0),"open")</f>
        <v>ok</v>
      </c>
      <c r="C2511" s="117" t="s">
        <v>369</v>
      </c>
      <c r="D2511" t="s">
        <v>4433</v>
      </c>
      <c r="E2511" t="s">
        <v>4737</v>
      </c>
      <c r="F2511" s="94" t="s">
        <v>4737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4785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4895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80</v>
      </c>
      <c r="R2511" s="110" t="s">
        <v>485</v>
      </c>
      <c r="S2511" s="94"/>
    </row>
    <row r="2512" spans="1:19" hidden="1">
      <c r="A2512" s="103" t="s">
        <v>4423</v>
      </c>
      <c r="B2512" s="149" t="str">
        <f>IFERROR(VLOOKUP(Proc[[#This Row],[App]],Table2[],3,0),"open")</f>
        <v>ok</v>
      </c>
      <c r="C2512" s="117" t="s">
        <v>369</v>
      </c>
      <c r="D2512" t="s">
        <v>4434</v>
      </c>
      <c r="E2512" t="s">
        <v>4737</v>
      </c>
      <c r="F2512" s="94" t="s">
        <v>4737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4785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4895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80</v>
      </c>
      <c r="R2512" s="110" t="s">
        <v>485</v>
      </c>
      <c r="S2512" s="94"/>
    </row>
    <row r="2513" spans="1:19" hidden="1">
      <c r="A2513" s="103" t="s">
        <v>4423</v>
      </c>
      <c r="B2513" s="149" t="str">
        <f>IFERROR(VLOOKUP(Proc[[#This Row],[App]],Table2[],3,0),"open")</f>
        <v>ok</v>
      </c>
      <c r="C2513" s="117" t="s">
        <v>369</v>
      </c>
      <c r="D2513" t="s">
        <v>4435</v>
      </c>
      <c r="E2513" t="s">
        <v>4737</v>
      </c>
      <c r="F2513" s="94" t="s">
        <v>4737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4785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4895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80</v>
      </c>
      <c r="R2513" s="110" t="s">
        <v>485</v>
      </c>
      <c r="S2513" s="94"/>
    </row>
    <row r="2514" spans="1:19" hidden="1">
      <c r="A2514" s="103" t="s">
        <v>4423</v>
      </c>
      <c r="B2514" s="149" t="str">
        <f>IFERROR(VLOOKUP(Proc[[#This Row],[App]],Table2[],3,0),"open")</f>
        <v>ok</v>
      </c>
      <c r="C2514" s="117" t="s">
        <v>369</v>
      </c>
      <c r="D2514" t="s">
        <v>4436</v>
      </c>
      <c r="E2514" t="s">
        <v>4738</v>
      </c>
      <c r="F2514" s="94" t="s">
        <v>4738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4785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4895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80</v>
      </c>
      <c r="R2514" s="110" t="s">
        <v>485</v>
      </c>
      <c r="S2514" s="94"/>
    </row>
    <row r="2515" spans="1:19" hidden="1">
      <c r="A2515" s="103" t="s">
        <v>4423</v>
      </c>
      <c r="B2515" s="149" t="str">
        <f>IFERROR(VLOOKUP(Proc[[#This Row],[App]],Table2[],3,0),"open")</f>
        <v>ok</v>
      </c>
      <c r="C2515" s="117" t="s">
        <v>369</v>
      </c>
      <c r="D2515" t="s">
        <v>4437</v>
      </c>
      <c r="E2515" t="s">
        <v>4738</v>
      </c>
      <c r="F2515" s="94" t="s">
        <v>4738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4785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4895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80</v>
      </c>
      <c r="R2515" s="110" t="s">
        <v>485</v>
      </c>
      <c r="S2515" s="94"/>
    </row>
    <row r="2516" spans="1:19" hidden="1">
      <c r="A2516" s="103" t="s">
        <v>4423</v>
      </c>
      <c r="B2516" s="149" t="str">
        <f>IFERROR(VLOOKUP(Proc[[#This Row],[App]],Table2[],3,0),"open")</f>
        <v>ok</v>
      </c>
      <c r="C2516" s="117" t="s">
        <v>369</v>
      </c>
      <c r="D2516" t="s">
        <v>4438</v>
      </c>
      <c r="E2516" t="s">
        <v>4738</v>
      </c>
      <c r="F2516" s="94" t="s">
        <v>4738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4785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4895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80</v>
      </c>
      <c r="R2516" s="110" t="s">
        <v>485</v>
      </c>
      <c r="S2516" s="94"/>
    </row>
    <row r="2517" spans="1:19" hidden="1">
      <c r="A2517" s="103" t="s">
        <v>4423</v>
      </c>
      <c r="B2517" s="149" t="str">
        <f>IFERROR(VLOOKUP(Proc[[#This Row],[App]],Table2[],3,0),"open")</f>
        <v>ok</v>
      </c>
      <c r="C2517" s="117" t="s">
        <v>369</v>
      </c>
      <c r="D2517" t="s">
        <v>4439</v>
      </c>
      <c r="E2517" t="s">
        <v>4739</v>
      </c>
      <c r="F2517" s="94" t="s">
        <v>4739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4785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4895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80</v>
      </c>
      <c r="R2517" s="110" t="s">
        <v>485</v>
      </c>
      <c r="S2517" s="94"/>
    </row>
    <row r="2518" spans="1:19" hidden="1">
      <c r="A2518" s="103" t="s">
        <v>4423</v>
      </c>
      <c r="B2518" s="149" t="str">
        <f>IFERROR(VLOOKUP(Proc[[#This Row],[App]],Table2[],3,0),"open")</f>
        <v>ok</v>
      </c>
      <c r="C2518" s="117" t="s">
        <v>369</v>
      </c>
      <c r="D2518" t="s">
        <v>4440</v>
      </c>
      <c r="E2518" t="s">
        <v>4738</v>
      </c>
      <c r="F2518" s="94" t="s">
        <v>4738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4785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4895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80</v>
      </c>
      <c r="R2518" s="110" t="s">
        <v>485</v>
      </c>
      <c r="S2518" s="94"/>
    </row>
    <row r="2519" spans="1:19" hidden="1">
      <c r="A2519" s="103" t="s">
        <v>4423</v>
      </c>
      <c r="B2519" s="149" t="str">
        <f>IFERROR(VLOOKUP(Proc[[#This Row],[App]],Table2[],3,0),"open")</f>
        <v>ok</v>
      </c>
      <c r="C2519" s="117" t="s">
        <v>369</v>
      </c>
      <c r="D2519" t="s">
        <v>4441</v>
      </c>
      <c r="E2519" t="s">
        <v>4739</v>
      </c>
      <c r="F2519" s="94" t="s">
        <v>4739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4785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4895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80</v>
      </c>
      <c r="R2519" s="110" t="s">
        <v>485</v>
      </c>
      <c r="S2519" s="94"/>
    </row>
    <row r="2520" spans="1:19" hidden="1">
      <c r="A2520" s="103" t="s">
        <v>4423</v>
      </c>
      <c r="B2520" s="149" t="str">
        <f>IFERROR(VLOOKUP(Proc[[#This Row],[App]],Table2[],3,0),"open")</f>
        <v>ok</v>
      </c>
      <c r="C2520" s="117" t="s">
        <v>369</v>
      </c>
      <c r="D2520" t="s">
        <v>4442</v>
      </c>
      <c r="E2520" t="s">
        <v>4740</v>
      </c>
      <c r="F2520" s="94" t="s">
        <v>4740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4785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4895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80</v>
      </c>
      <c r="R2520" s="110" t="s">
        <v>485</v>
      </c>
      <c r="S2520" s="94"/>
    </row>
    <row r="2521" spans="1:19" hidden="1">
      <c r="A2521" s="103" t="s">
        <v>4423</v>
      </c>
      <c r="B2521" s="149" t="str">
        <f>IFERROR(VLOOKUP(Proc[[#This Row],[App]],Table2[],3,0),"open")</f>
        <v>ok</v>
      </c>
      <c r="C2521" s="117" t="s">
        <v>369</v>
      </c>
      <c r="D2521" t="s">
        <v>4443</v>
      </c>
      <c r="E2521" t="s">
        <v>4739</v>
      </c>
      <c r="F2521" s="94" t="s">
        <v>4739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4785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4895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80</v>
      </c>
      <c r="R2521" s="110" t="s">
        <v>485</v>
      </c>
      <c r="S2521" s="94"/>
    </row>
    <row r="2522" spans="1:19" hidden="1">
      <c r="A2522" s="103" t="s">
        <v>4423</v>
      </c>
      <c r="B2522" s="149" t="str">
        <f>IFERROR(VLOOKUP(Proc[[#This Row],[App]],Table2[],3,0),"open")</f>
        <v>ok</v>
      </c>
      <c r="C2522" s="117" t="s">
        <v>369</v>
      </c>
      <c r="D2522" t="s">
        <v>4444</v>
      </c>
      <c r="E2522" t="s">
        <v>4739</v>
      </c>
      <c r="F2522" s="94" t="s">
        <v>4739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4785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4895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80</v>
      </c>
      <c r="R2522" s="110" t="s">
        <v>485</v>
      </c>
      <c r="S2522" s="94"/>
    </row>
    <row r="2523" spans="1:19" hidden="1">
      <c r="A2523" s="103" t="s">
        <v>4423</v>
      </c>
      <c r="B2523" s="149" t="str">
        <f>IFERROR(VLOOKUP(Proc[[#This Row],[App]],Table2[],3,0),"open")</f>
        <v>ok</v>
      </c>
      <c r="C2523" s="117" t="s">
        <v>369</v>
      </c>
      <c r="D2523" t="s">
        <v>4445</v>
      </c>
      <c r="E2523" t="s">
        <v>4738</v>
      </c>
      <c r="F2523" s="94" t="s">
        <v>4738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4785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4895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80</v>
      </c>
      <c r="R2523" s="110" t="s">
        <v>485</v>
      </c>
      <c r="S2523" s="94"/>
    </row>
    <row r="2524" spans="1:19" hidden="1">
      <c r="A2524" s="103" t="s">
        <v>4423</v>
      </c>
      <c r="B2524" s="149" t="str">
        <f>IFERROR(VLOOKUP(Proc[[#This Row],[App]],Table2[],3,0),"open")</f>
        <v>ok</v>
      </c>
      <c r="C2524" s="117" t="s">
        <v>369</v>
      </c>
      <c r="D2524" t="s">
        <v>4446</v>
      </c>
      <c r="E2524" t="s">
        <v>4738</v>
      </c>
      <c r="F2524" s="94" t="s">
        <v>4738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4785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4895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80</v>
      </c>
      <c r="R2524" s="110" t="s">
        <v>485</v>
      </c>
      <c r="S2524" s="94"/>
    </row>
    <row r="2525" spans="1:19" hidden="1">
      <c r="A2525" s="103" t="s">
        <v>4423</v>
      </c>
      <c r="B2525" s="149" t="str">
        <f>IFERROR(VLOOKUP(Proc[[#This Row],[App]],Table2[],3,0),"open")</f>
        <v>ok</v>
      </c>
      <c r="C2525" s="117" t="s">
        <v>369</v>
      </c>
      <c r="D2525" t="s">
        <v>4447</v>
      </c>
      <c r="E2525" t="s">
        <v>4738</v>
      </c>
      <c r="F2525" s="94" t="s">
        <v>4738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4785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4895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80</v>
      </c>
      <c r="R2525" s="110" t="s">
        <v>485</v>
      </c>
      <c r="S2525" s="94"/>
    </row>
    <row r="2526" spans="1:19" hidden="1">
      <c r="A2526" s="103" t="s">
        <v>4423</v>
      </c>
      <c r="B2526" s="149" t="str">
        <f>IFERROR(VLOOKUP(Proc[[#This Row],[App]],Table2[],3,0),"open")</f>
        <v>ok</v>
      </c>
      <c r="C2526" s="117" t="s">
        <v>369</v>
      </c>
      <c r="D2526" t="s">
        <v>4448</v>
      </c>
      <c r="E2526" t="s">
        <v>4738</v>
      </c>
      <c r="F2526" s="94" t="s">
        <v>4738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4785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4895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80</v>
      </c>
      <c r="R2526" s="110" t="s">
        <v>485</v>
      </c>
      <c r="S2526" s="94"/>
    </row>
    <row r="2527" spans="1:19" hidden="1">
      <c r="A2527" s="103" t="s">
        <v>4423</v>
      </c>
      <c r="B2527" s="149" t="str">
        <f>IFERROR(VLOOKUP(Proc[[#This Row],[App]],Table2[],3,0),"open")</f>
        <v>ok</v>
      </c>
      <c r="C2527" s="117" t="s">
        <v>369</v>
      </c>
      <c r="D2527" t="s">
        <v>4449</v>
      </c>
      <c r="E2527" t="s">
        <v>4738</v>
      </c>
      <c r="F2527" s="94" t="s">
        <v>4738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4785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4895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80</v>
      </c>
      <c r="R2527" s="110" t="s">
        <v>485</v>
      </c>
      <c r="S2527" s="94"/>
    </row>
    <row r="2528" spans="1:19" hidden="1">
      <c r="A2528" s="103" t="s">
        <v>4423</v>
      </c>
      <c r="B2528" s="149" t="str">
        <f>IFERROR(VLOOKUP(Proc[[#This Row],[App]],Table2[],3,0),"open")</f>
        <v>ok</v>
      </c>
      <c r="C2528" s="117" t="s">
        <v>369</v>
      </c>
      <c r="D2528" t="s">
        <v>4450</v>
      </c>
      <c r="E2528" t="s">
        <v>4740</v>
      </c>
      <c r="F2528" s="94" t="s">
        <v>4740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4785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4895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80</v>
      </c>
      <c r="R2528" s="110" t="s">
        <v>485</v>
      </c>
      <c r="S2528" s="94"/>
    </row>
    <row r="2529" spans="1:19" hidden="1">
      <c r="A2529" s="103" t="s">
        <v>4423</v>
      </c>
      <c r="B2529" s="149" t="str">
        <f>IFERROR(VLOOKUP(Proc[[#This Row],[App]],Table2[],3,0),"open")</f>
        <v>ok</v>
      </c>
      <c r="C2529" s="117" t="s">
        <v>369</v>
      </c>
      <c r="D2529" t="s">
        <v>4451</v>
      </c>
      <c r="E2529" t="s">
        <v>4738</v>
      </c>
      <c r="F2529" s="94" t="s">
        <v>4738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4785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4895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80</v>
      </c>
      <c r="R2529" s="110" t="s">
        <v>485</v>
      </c>
      <c r="S2529" s="94"/>
    </row>
    <row r="2530" spans="1:19" hidden="1">
      <c r="A2530" s="103" t="s">
        <v>4423</v>
      </c>
      <c r="B2530" s="149" t="str">
        <f>IFERROR(VLOOKUP(Proc[[#This Row],[App]],Table2[],3,0),"open")</f>
        <v>ok</v>
      </c>
      <c r="C2530" s="117" t="s">
        <v>369</v>
      </c>
      <c r="D2530" t="s">
        <v>4452</v>
      </c>
      <c r="E2530" t="s">
        <v>4738</v>
      </c>
      <c r="F2530" s="94" t="s">
        <v>4738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4785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4895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80</v>
      </c>
      <c r="R2530" s="110" t="s">
        <v>485</v>
      </c>
      <c r="S2530" s="94"/>
    </row>
    <row r="2531" spans="1:19" hidden="1">
      <c r="A2531" s="103" t="s">
        <v>4423</v>
      </c>
      <c r="B2531" s="149" t="str">
        <f>IFERROR(VLOOKUP(Proc[[#This Row],[App]],Table2[],3,0),"open")</f>
        <v>ok</v>
      </c>
      <c r="C2531" s="117" t="s">
        <v>369</v>
      </c>
      <c r="D2531" t="s">
        <v>4453</v>
      </c>
      <c r="E2531" t="s">
        <v>4738</v>
      </c>
      <c r="F2531" s="94" t="s">
        <v>4738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4785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4895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80</v>
      </c>
      <c r="R2531" s="110" t="s">
        <v>485</v>
      </c>
      <c r="S2531" s="94"/>
    </row>
    <row r="2532" spans="1:19" hidden="1">
      <c r="A2532" s="103" t="s">
        <v>4423</v>
      </c>
      <c r="B2532" s="149" t="str">
        <f>IFERROR(VLOOKUP(Proc[[#This Row],[App]],Table2[],3,0),"open")</f>
        <v>ok</v>
      </c>
      <c r="C2532" s="117" t="s">
        <v>369</v>
      </c>
      <c r="D2532" t="s">
        <v>4454</v>
      </c>
      <c r="E2532" t="s">
        <v>4740</v>
      </c>
      <c r="F2532" s="94" t="s">
        <v>4740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4785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4895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80</v>
      </c>
      <c r="R2532" s="110" t="s">
        <v>485</v>
      </c>
      <c r="S2532" s="94"/>
    </row>
    <row r="2533" spans="1:19" hidden="1">
      <c r="A2533" s="103" t="s">
        <v>4423</v>
      </c>
      <c r="B2533" s="149" t="str">
        <f>IFERROR(VLOOKUP(Proc[[#This Row],[App]],Table2[],3,0),"open")</f>
        <v>ok</v>
      </c>
      <c r="C2533" s="117" t="s">
        <v>369</v>
      </c>
      <c r="D2533" t="s">
        <v>4455</v>
      </c>
      <c r="E2533" t="s">
        <v>4738</v>
      </c>
      <c r="F2533" s="94" t="s">
        <v>4738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4785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4895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80</v>
      </c>
      <c r="R2533" s="110" t="s">
        <v>485</v>
      </c>
      <c r="S2533" s="94"/>
    </row>
    <row r="2534" spans="1:19" hidden="1">
      <c r="A2534" s="103" t="s">
        <v>4423</v>
      </c>
      <c r="B2534" s="149" t="str">
        <f>IFERROR(VLOOKUP(Proc[[#This Row],[App]],Table2[],3,0),"open")</f>
        <v>ok</v>
      </c>
      <c r="C2534" s="117" t="s">
        <v>369</v>
      </c>
      <c r="D2534" t="s">
        <v>4456</v>
      </c>
      <c r="E2534" t="s">
        <v>4738</v>
      </c>
      <c r="F2534" s="94" t="s">
        <v>4738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4785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4895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80</v>
      </c>
      <c r="R2534" s="110" t="s">
        <v>485</v>
      </c>
      <c r="S2534" s="94"/>
    </row>
    <row r="2535" spans="1:19" hidden="1">
      <c r="A2535" s="103" t="s">
        <v>4423</v>
      </c>
      <c r="B2535" s="149" t="str">
        <f>IFERROR(VLOOKUP(Proc[[#This Row],[App]],Table2[],3,0),"open")</f>
        <v>ok</v>
      </c>
      <c r="C2535" s="117" t="s">
        <v>369</v>
      </c>
      <c r="D2535" t="s">
        <v>4457</v>
      </c>
      <c r="E2535" t="s">
        <v>4738</v>
      </c>
      <c r="F2535" s="94" t="s">
        <v>4738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4785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4895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80</v>
      </c>
      <c r="R2535" s="110" t="s">
        <v>485</v>
      </c>
      <c r="S2535" s="94"/>
    </row>
    <row r="2536" spans="1:19" hidden="1">
      <c r="A2536" s="103" t="s">
        <v>4423</v>
      </c>
      <c r="B2536" s="149" t="str">
        <f>IFERROR(VLOOKUP(Proc[[#This Row],[App]],Table2[],3,0),"open")</f>
        <v>ok</v>
      </c>
      <c r="C2536" s="117" t="s">
        <v>369</v>
      </c>
      <c r="D2536" t="s">
        <v>4458</v>
      </c>
      <c r="E2536" t="s">
        <v>4739</v>
      </c>
      <c r="F2536" s="94" t="s">
        <v>4739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4785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4895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80</v>
      </c>
      <c r="R2536" s="110" t="s">
        <v>485</v>
      </c>
      <c r="S2536" s="94"/>
    </row>
    <row r="2537" spans="1:19" hidden="1">
      <c r="A2537" s="103" t="s">
        <v>4423</v>
      </c>
      <c r="B2537" s="149" t="str">
        <f>IFERROR(VLOOKUP(Proc[[#This Row],[App]],Table2[],3,0),"open")</f>
        <v>ok</v>
      </c>
      <c r="C2537" s="117" t="s">
        <v>369</v>
      </c>
      <c r="D2537" t="s">
        <v>4459</v>
      </c>
      <c r="E2537" t="s">
        <v>4738</v>
      </c>
      <c r="F2537" s="94" t="s">
        <v>4738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4785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4895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80</v>
      </c>
      <c r="R2537" s="110" t="s">
        <v>485</v>
      </c>
      <c r="S2537" s="94"/>
    </row>
    <row r="2538" spans="1:19" hidden="1">
      <c r="A2538" s="103" t="s">
        <v>4423</v>
      </c>
      <c r="B2538" s="149" t="str">
        <f>IFERROR(VLOOKUP(Proc[[#This Row],[App]],Table2[],3,0),"open")</f>
        <v>ok</v>
      </c>
      <c r="C2538" s="117" t="s">
        <v>369</v>
      </c>
      <c r="D2538" t="s">
        <v>4460</v>
      </c>
      <c r="E2538" t="s">
        <v>4740</v>
      </c>
      <c r="F2538" s="94" t="s">
        <v>4740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4785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4895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80</v>
      </c>
      <c r="R2538" s="110" t="s">
        <v>485</v>
      </c>
      <c r="S2538" s="94"/>
    </row>
    <row r="2539" spans="1:19" hidden="1">
      <c r="A2539" s="103" t="s">
        <v>4423</v>
      </c>
      <c r="B2539" s="149" t="str">
        <f>IFERROR(VLOOKUP(Proc[[#This Row],[App]],Table2[],3,0),"open")</f>
        <v>ok</v>
      </c>
      <c r="C2539" s="117" t="s">
        <v>369</v>
      </c>
      <c r="D2539" t="s">
        <v>4461</v>
      </c>
      <c r="E2539" t="s">
        <v>4740</v>
      </c>
      <c r="F2539" s="94" t="s">
        <v>4740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4785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4895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80</v>
      </c>
      <c r="R2539" s="110" t="s">
        <v>485</v>
      </c>
      <c r="S2539" s="94"/>
    </row>
    <row r="2540" spans="1:19" hidden="1">
      <c r="A2540" s="103" t="s">
        <v>4423</v>
      </c>
      <c r="B2540" s="149" t="str">
        <f>IFERROR(VLOOKUP(Proc[[#This Row],[App]],Table2[],3,0),"open")</f>
        <v>ok</v>
      </c>
      <c r="C2540" s="117" t="s">
        <v>369</v>
      </c>
      <c r="D2540" t="s">
        <v>4462</v>
      </c>
      <c r="E2540" t="s">
        <v>4738</v>
      </c>
      <c r="F2540" s="94" t="s">
        <v>4738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4785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4895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80</v>
      </c>
      <c r="R2540" s="110" t="s">
        <v>485</v>
      </c>
      <c r="S2540" s="94"/>
    </row>
    <row r="2541" spans="1:19" hidden="1">
      <c r="A2541" s="103" t="s">
        <v>4423</v>
      </c>
      <c r="B2541" s="149" t="str">
        <f>IFERROR(VLOOKUP(Proc[[#This Row],[App]],Table2[],3,0),"open")</f>
        <v>ok</v>
      </c>
      <c r="C2541" s="117" t="s">
        <v>369</v>
      </c>
      <c r="D2541" t="s">
        <v>4463</v>
      </c>
      <c r="E2541" t="s">
        <v>4738</v>
      </c>
      <c r="F2541" s="94" t="s">
        <v>4738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4785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4895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80</v>
      </c>
      <c r="R2541" s="110" t="s">
        <v>485</v>
      </c>
      <c r="S2541" s="94"/>
    </row>
    <row r="2542" spans="1:19" hidden="1">
      <c r="A2542" s="103" t="s">
        <v>4423</v>
      </c>
      <c r="B2542" s="149" t="str">
        <f>IFERROR(VLOOKUP(Proc[[#This Row],[App]],Table2[],3,0),"open")</f>
        <v>ok</v>
      </c>
      <c r="C2542" s="117" t="s">
        <v>369</v>
      </c>
      <c r="D2542" t="s">
        <v>4464</v>
      </c>
      <c r="E2542" t="s">
        <v>4738</v>
      </c>
      <c r="F2542" s="94" t="s">
        <v>4738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4785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4895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80</v>
      </c>
      <c r="R2542" s="110" t="s">
        <v>485</v>
      </c>
      <c r="S2542" s="94"/>
    </row>
    <row r="2543" spans="1:19" hidden="1">
      <c r="A2543" s="103" t="s">
        <v>4423</v>
      </c>
      <c r="B2543" s="149" t="str">
        <f>IFERROR(VLOOKUP(Proc[[#This Row],[App]],Table2[],3,0),"open")</f>
        <v>ok</v>
      </c>
      <c r="C2543" s="117" t="s">
        <v>369</v>
      </c>
      <c r="D2543" t="s">
        <v>4465</v>
      </c>
      <c r="E2543" t="s">
        <v>4739</v>
      </c>
      <c r="F2543" s="94" t="s">
        <v>4739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4785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4895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80</v>
      </c>
      <c r="R2543" s="110" t="s">
        <v>485</v>
      </c>
      <c r="S2543" s="94"/>
    </row>
    <row r="2544" spans="1:19" hidden="1">
      <c r="A2544" s="103" t="s">
        <v>4423</v>
      </c>
      <c r="B2544" s="149" t="str">
        <f>IFERROR(VLOOKUP(Proc[[#This Row],[App]],Table2[],3,0),"open")</f>
        <v>ok</v>
      </c>
      <c r="C2544" s="117" t="s">
        <v>369</v>
      </c>
      <c r="D2544" t="s">
        <v>4466</v>
      </c>
      <c r="E2544" t="s">
        <v>4739</v>
      </c>
      <c r="F2544" s="94" t="s">
        <v>4739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4785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4895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80</v>
      </c>
      <c r="R2544" s="110" t="s">
        <v>485</v>
      </c>
      <c r="S2544" s="94"/>
    </row>
    <row r="2545" spans="1:19" hidden="1">
      <c r="A2545" s="103" t="s">
        <v>4423</v>
      </c>
      <c r="B2545" s="149" t="str">
        <f>IFERROR(VLOOKUP(Proc[[#This Row],[App]],Table2[],3,0),"open")</f>
        <v>ok</v>
      </c>
      <c r="C2545" s="117" t="s">
        <v>369</v>
      </c>
      <c r="D2545" t="s">
        <v>4467</v>
      </c>
      <c r="E2545" t="s">
        <v>4739</v>
      </c>
      <c r="F2545" s="94" t="s">
        <v>4739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4785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4895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80</v>
      </c>
      <c r="R2545" s="110" t="s">
        <v>485</v>
      </c>
      <c r="S2545" s="94"/>
    </row>
    <row r="2546" spans="1:19" hidden="1">
      <c r="A2546" s="103" t="s">
        <v>4423</v>
      </c>
      <c r="B2546" s="149" t="str">
        <f>IFERROR(VLOOKUP(Proc[[#This Row],[App]],Table2[],3,0),"open")</f>
        <v>ok</v>
      </c>
      <c r="C2546" s="117" t="s">
        <v>369</v>
      </c>
      <c r="D2546" t="s">
        <v>4468</v>
      </c>
      <c r="E2546" t="s">
        <v>4739</v>
      </c>
      <c r="F2546" s="94" t="s">
        <v>4739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4785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4895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80</v>
      </c>
      <c r="R2546" s="110" t="s">
        <v>485</v>
      </c>
      <c r="S2546" s="94"/>
    </row>
    <row r="2547" spans="1:19" hidden="1">
      <c r="A2547" s="103" t="s">
        <v>4423</v>
      </c>
      <c r="B2547" s="149" t="str">
        <f>IFERROR(VLOOKUP(Proc[[#This Row],[App]],Table2[],3,0),"open")</f>
        <v>ok</v>
      </c>
      <c r="C2547" s="117" t="s">
        <v>369</v>
      </c>
      <c r="D2547" t="s">
        <v>4469</v>
      </c>
      <c r="E2547" t="s">
        <v>4739</v>
      </c>
      <c r="F2547" s="94" t="s">
        <v>4739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4785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4895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80</v>
      </c>
      <c r="R2547" s="110" t="s">
        <v>485</v>
      </c>
      <c r="S2547" s="94"/>
    </row>
    <row r="2548" spans="1:19" hidden="1">
      <c r="A2548" s="103" t="s">
        <v>4423</v>
      </c>
      <c r="B2548" s="149" t="str">
        <f>IFERROR(VLOOKUP(Proc[[#This Row],[App]],Table2[],3,0),"open")</f>
        <v>ok</v>
      </c>
      <c r="C2548" s="117" t="s">
        <v>369</v>
      </c>
      <c r="D2548" t="s">
        <v>4470</v>
      </c>
      <c r="E2548" t="s">
        <v>4739</v>
      </c>
      <c r="F2548" s="94" t="s">
        <v>4739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4785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4895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80</v>
      </c>
      <c r="R2548" s="110" t="s">
        <v>485</v>
      </c>
      <c r="S2548" s="94"/>
    </row>
    <row r="2549" spans="1:19" hidden="1">
      <c r="A2549" s="103" t="s">
        <v>4423</v>
      </c>
      <c r="B2549" s="149" t="str">
        <f>IFERROR(VLOOKUP(Proc[[#This Row],[App]],Table2[],3,0),"open")</f>
        <v>ok</v>
      </c>
      <c r="C2549" s="117" t="s">
        <v>369</v>
      </c>
      <c r="D2549" t="s">
        <v>4471</v>
      </c>
      <c r="E2549" t="s">
        <v>4739</v>
      </c>
      <c r="F2549" s="94" t="s">
        <v>4739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4785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4895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80</v>
      </c>
      <c r="R2549" s="110" t="s">
        <v>485</v>
      </c>
      <c r="S2549" s="94"/>
    </row>
    <row r="2550" spans="1:19" hidden="1">
      <c r="A2550" s="103" t="s">
        <v>4423</v>
      </c>
      <c r="B2550" s="149" t="str">
        <f>IFERROR(VLOOKUP(Proc[[#This Row],[App]],Table2[],3,0),"open")</f>
        <v>ok</v>
      </c>
      <c r="C2550" s="117" t="s">
        <v>369</v>
      </c>
      <c r="D2550" t="s">
        <v>4472</v>
      </c>
      <c r="E2550" t="s">
        <v>4739</v>
      </c>
      <c r="F2550" s="94" t="s">
        <v>4739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4785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4895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80</v>
      </c>
      <c r="R2550" s="110" t="s">
        <v>485</v>
      </c>
      <c r="S2550" s="94"/>
    </row>
    <row r="2551" spans="1:19" hidden="1">
      <c r="A2551" s="103" t="s">
        <v>4423</v>
      </c>
      <c r="B2551" s="149" t="str">
        <f>IFERROR(VLOOKUP(Proc[[#This Row],[App]],Table2[],3,0),"open")</f>
        <v>ok</v>
      </c>
      <c r="C2551" s="117" t="s">
        <v>369</v>
      </c>
      <c r="D2551" t="s">
        <v>4473</v>
      </c>
      <c r="E2551" t="s">
        <v>4739</v>
      </c>
      <c r="F2551" s="94" t="s">
        <v>4739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4785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4895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80</v>
      </c>
      <c r="R2551" s="110" t="s">
        <v>485</v>
      </c>
      <c r="S2551" s="94"/>
    </row>
    <row r="2552" spans="1:19" hidden="1">
      <c r="A2552" s="103" t="s">
        <v>4423</v>
      </c>
      <c r="B2552" s="149" t="str">
        <f>IFERROR(VLOOKUP(Proc[[#This Row],[App]],Table2[],3,0),"open")</f>
        <v>ok</v>
      </c>
      <c r="C2552" s="117" t="s">
        <v>369</v>
      </c>
      <c r="D2552" t="s">
        <v>4474</v>
      </c>
      <c r="E2552" t="s">
        <v>4739</v>
      </c>
      <c r="F2552" s="94" t="s">
        <v>4739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4785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4895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80</v>
      </c>
      <c r="R2552" s="110" t="s">
        <v>485</v>
      </c>
      <c r="S2552" s="94"/>
    </row>
    <row r="2553" spans="1:19" hidden="1">
      <c r="A2553" s="103" t="s">
        <v>4423</v>
      </c>
      <c r="B2553" s="149" t="str">
        <f>IFERROR(VLOOKUP(Proc[[#This Row],[App]],Table2[],3,0),"open")</f>
        <v>ok</v>
      </c>
      <c r="C2553" s="117" t="s">
        <v>369</v>
      </c>
      <c r="D2553" t="s">
        <v>4475</v>
      </c>
      <c r="E2553" t="s">
        <v>4739</v>
      </c>
      <c r="F2553" s="94" t="s">
        <v>4739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4785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4895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80</v>
      </c>
      <c r="R2553" s="110" t="s">
        <v>485</v>
      </c>
      <c r="S2553" s="94"/>
    </row>
    <row r="2554" spans="1:19" hidden="1">
      <c r="A2554" s="103" t="s">
        <v>4423</v>
      </c>
      <c r="B2554" s="149" t="str">
        <f>IFERROR(VLOOKUP(Proc[[#This Row],[App]],Table2[],3,0),"open")</f>
        <v>ok</v>
      </c>
      <c r="C2554" s="117" t="s">
        <v>369</v>
      </c>
      <c r="D2554" t="s">
        <v>4476</v>
      </c>
      <c r="E2554" t="s">
        <v>4739</v>
      </c>
      <c r="F2554" s="94" t="s">
        <v>4739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4785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4895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80</v>
      </c>
      <c r="R2554" s="110" t="s">
        <v>485</v>
      </c>
      <c r="S2554" s="94"/>
    </row>
    <row r="2555" spans="1:19" hidden="1">
      <c r="A2555" s="103" t="s">
        <v>4423</v>
      </c>
      <c r="B2555" s="149" t="str">
        <f>IFERROR(VLOOKUP(Proc[[#This Row],[App]],Table2[],3,0),"open")</f>
        <v>ok</v>
      </c>
      <c r="C2555" s="117" t="s">
        <v>369</v>
      </c>
      <c r="D2555" t="s">
        <v>4477</v>
      </c>
      <c r="E2555" t="s">
        <v>4739</v>
      </c>
      <c r="F2555" s="94" t="s">
        <v>4739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4785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4895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80</v>
      </c>
      <c r="R2555" s="110" t="s">
        <v>485</v>
      </c>
      <c r="S2555" s="94"/>
    </row>
    <row r="2556" spans="1:19" hidden="1">
      <c r="A2556" s="103" t="s">
        <v>4423</v>
      </c>
      <c r="B2556" s="149" t="str">
        <f>IFERROR(VLOOKUP(Proc[[#This Row],[App]],Table2[],3,0),"open")</f>
        <v>ok</v>
      </c>
      <c r="C2556" s="117" t="s">
        <v>369</v>
      </c>
      <c r="D2556" t="s">
        <v>4478</v>
      </c>
      <c r="E2556" t="s">
        <v>4739</v>
      </c>
      <c r="F2556" s="94" t="s">
        <v>4739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4785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4895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80</v>
      </c>
      <c r="R2556" s="110" t="s">
        <v>485</v>
      </c>
      <c r="S2556" s="94"/>
    </row>
    <row r="2557" spans="1:19" hidden="1">
      <c r="A2557" s="103" t="s">
        <v>4423</v>
      </c>
      <c r="B2557" s="149" t="str">
        <f>IFERROR(VLOOKUP(Proc[[#This Row],[App]],Table2[],3,0),"open")</f>
        <v>ok</v>
      </c>
      <c r="C2557" s="117" t="s">
        <v>369</v>
      </c>
      <c r="D2557" t="s">
        <v>4479</v>
      </c>
      <c r="E2557" t="s">
        <v>4738</v>
      </c>
      <c r="F2557" s="94" t="s">
        <v>4738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4785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4895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80</v>
      </c>
      <c r="R2557" s="110" t="s">
        <v>485</v>
      </c>
      <c r="S2557" s="94"/>
    </row>
    <row r="2558" spans="1:19" hidden="1">
      <c r="A2558" s="103" t="s">
        <v>4423</v>
      </c>
      <c r="B2558" s="149" t="str">
        <f>IFERROR(VLOOKUP(Proc[[#This Row],[App]],Table2[],3,0),"open")</f>
        <v>ok</v>
      </c>
      <c r="C2558" s="117" t="s">
        <v>369</v>
      </c>
      <c r="D2558" t="s">
        <v>4480</v>
      </c>
      <c r="E2558" t="s">
        <v>4738</v>
      </c>
      <c r="F2558" s="94" t="s">
        <v>4738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4785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4895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80</v>
      </c>
      <c r="R2558" s="110" t="s">
        <v>485</v>
      </c>
      <c r="S2558" s="94"/>
    </row>
    <row r="2559" spans="1:19" hidden="1">
      <c r="A2559" s="103" t="s">
        <v>4423</v>
      </c>
      <c r="B2559" s="149" t="str">
        <f>IFERROR(VLOOKUP(Proc[[#This Row],[App]],Table2[],3,0),"open")</f>
        <v>ok</v>
      </c>
      <c r="C2559" s="117" t="s">
        <v>369</v>
      </c>
      <c r="D2559" t="s">
        <v>4481</v>
      </c>
      <c r="E2559" t="s">
        <v>4738</v>
      </c>
      <c r="F2559" s="94" t="s">
        <v>4738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4785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4895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80</v>
      </c>
      <c r="R2559" s="110" t="s">
        <v>485</v>
      </c>
      <c r="S2559" s="94"/>
    </row>
    <row r="2560" spans="1:19" hidden="1">
      <c r="A2560" s="103" t="s">
        <v>4423</v>
      </c>
      <c r="B2560" s="149" t="str">
        <f>IFERROR(VLOOKUP(Proc[[#This Row],[App]],Table2[],3,0),"open")</f>
        <v>ok</v>
      </c>
      <c r="C2560" s="117" t="s">
        <v>369</v>
      </c>
      <c r="D2560" t="s">
        <v>4482</v>
      </c>
      <c r="E2560" t="s">
        <v>4739</v>
      </c>
      <c r="F2560" s="94" t="s">
        <v>4739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4785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4895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80</v>
      </c>
      <c r="R2560" s="110" t="s">
        <v>485</v>
      </c>
      <c r="S2560" s="94"/>
    </row>
    <row r="2561" spans="1:19" hidden="1">
      <c r="A2561" s="103" t="s">
        <v>4423</v>
      </c>
      <c r="B2561" s="149" t="str">
        <f>IFERROR(VLOOKUP(Proc[[#This Row],[App]],Table2[],3,0),"open")</f>
        <v>ok</v>
      </c>
      <c r="C2561" s="117" t="s">
        <v>369</v>
      </c>
      <c r="D2561" t="s">
        <v>4483</v>
      </c>
      <c r="E2561" t="s">
        <v>4739</v>
      </c>
      <c r="F2561" s="94" t="s">
        <v>4739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4785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4895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80</v>
      </c>
      <c r="R2561" s="110" t="s">
        <v>485</v>
      </c>
      <c r="S2561" s="94"/>
    </row>
    <row r="2562" spans="1:19" hidden="1">
      <c r="A2562" s="103" t="s">
        <v>4423</v>
      </c>
      <c r="B2562" s="149" t="str">
        <f>IFERROR(VLOOKUP(Proc[[#This Row],[App]],Table2[],3,0),"open")</f>
        <v>ok</v>
      </c>
      <c r="C2562" s="117" t="s">
        <v>369</v>
      </c>
      <c r="D2562" t="s">
        <v>4484</v>
      </c>
      <c r="E2562" t="s">
        <v>4739</v>
      </c>
      <c r="F2562" s="94" t="s">
        <v>4739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4785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4895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80</v>
      </c>
      <c r="R2562" s="110" t="s">
        <v>485</v>
      </c>
      <c r="S2562" s="94"/>
    </row>
    <row r="2563" spans="1:19" hidden="1">
      <c r="A2563" s="103" t="s">
        <v>4423</v>
      </c>
      <c r="B2563" s="149" t="str">
        <f>IFERROR(VLOOKUP(Proc[[#This Row],[App]],Table2[],3,0),"open")</f>
        <v>ok</v>
      </c>
      <c r="C2563" s="117" t="s">
        <v>369</v>
      </c>
      <c r="D2563" t="s">
        <v>4485</v>
      </c>
      <c r="E2563" t="s">
        <v>4739</v>
      </c>
      <c r="F2563" s="94" t="s">
        <v>4739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4785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4895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80</v>
      </c>
      <c r="R2563" s="110" t="s">
        <v>485</v>
      </c>
      <c r="S2563" s="94"/>
    </row>
    <row r="2564" spans="1:19" hidden="1">
      <c r="A2564" s="103" t="s">
        <v>4423</v>
      </c>
      <c r="B2564" s="149" t="str">
        <f>IFERROR(VLOOKUP(Proc[[#This Row],[App]],Table2[],3,0),"open")</f>
        <v>ok</v>
      </c>
      <c r="C2564" s="117" t="s">
        <v>369</v>
      </c>
      <c r="D2564" t="s">
        <v>4486</v>
      </c>
      <c r="E2564" t="s">
        <v>4739</v>
      </c>
      <c r="F2564" s="94" t="s">
        <v>4739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4785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4895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80</v>
      </c>
      <c r="R2564" s="110" t="s">
        <v>485</v>
      </c>
      <c r="S2564" s="94"/>
    </row>
    <row r="2565" spans="1:19" hidden="1">
      <c r="A2565" s="103" t="s">
        <v>4423</v>
      </c>
      <c r="B2565" s="149" t="str">
        <f>IFERROR(VLOOKUP(Proc[[#This Row],[App]],Table2[],3,0),"open")</f>
        <v>ok</v>
      </c>
      <c r="C2565" s="117" t="s">
        <v>369</v>
      </c>
      <c r="D2565" t="s">
        <v>4487</v>
      </c>
      <c r="E2565" t="s">
        <v>4739</v>
      </c>
      <c r="F2565" s="94" t="s">
        <v>4739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4785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4895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80</v>
      </c>
      <c r="R2565" s="110" t="s">
        <v>485</v>
      </c>
      <c r="S2565" s="94"/>
    </row>
    <row r="2566" spans="1:19" hidden="1">
      <c r="A2566" s="103" t="s">
        <v>4423</v>
      </c>
      <c r="B2566" s="149" t="str">
        <f>IFERROR(VLOOKUP(Proc[[#This Row],[App]],Table2[],3,0),"open")</f>
        <v>ok</v>
      </c>
      <c r="C2566" s="117" t="s">
        <v>369</v>
      </c>
      <c r="D2566" t="s">
        <v>4488</v>
      </c>
      <c r="E2566" t="s">
        <v>4739</v>
      </c>
      <c r="F2566" s="94" t="s">
        <v>4739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4785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4895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80</v>
      </c>
      <c r="R2566" s="110" t="s">
        <v>485</v>
      </c>
      <c r="S2566" s="94"/>
    </row>
    <row r="2567" spans="1:19" hidden="1">
      <c r="A2567" s="103" t="s">
        <v>4423</v>
      </c>
      <c r="B2567" s="149" t="str">
        <f>IFERROR(VLOOKUP(Proc[[#This Row],[App]],Table2[],3,0),"open")</f>
        <v>ok</v>
      </c>
      <c r="C2567" s="117" t="s">
        <v>369</v>
      </c>
      <c r="D2567" t="s">
        <v>4489</v>
      </c>
      <c r="E2567" t="s">
        <v>4739</v>
      </c>
      <c r="F2567" s="94" t="s">
        <v>4739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4785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4895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80</v>
      </c>
      <c r="R2567" s="110" t="s">
        <v>485</v>
      </c>
      <c r="S2567" s="94"/>
    </row>
    <row r="2568" spans="1:19" hidden="1">
      <c r="A2568" s="103" t="s">
        <v>4423</v>
      </c>
      <c r="B2568" s="149" t="str">
        <f>IFERROR(VLOOKUP(Proc[[#This Row],[App]],Table2[],3,0),"open")</f>
        <v>ok</v>
      </c>
      <c r="C2568" s="117" t="s">
        <v>369</v>
      </c>
      <c r="D2568" t="s">
        <v>4490</v>
      </c>
      <c r="E2568" t="s">
        <v>4739</v>
      </c>
      <c r="F2568" s="94" t="s">
        <v>4739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4785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4895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80</v>
      </c>
      <c r="R2568" s="110" t="s">
        <v>485</v>
      </c>
      <c r="S2568" s="94"/>
    </row>
    <row r="2569" spans="1:19" hidden="1">
      <c r="A2569" s="103" t="s">
        <v>4423</v>
      </c>
      <c r="B2569" s="149" t="str">
        <f>IFERROR(VLOOKUP(Proc[[#This Row],[App]],Table2[],3,0),"open")</f>
        <v>ok</v>
      </c>
      <c r="C2569" s="117" t="s">
        <v>369</v>
      </c>
      <c r="D2569" t="s">
        <v>4491</v>
      </c>
      <c r="E2569" t="s">
        <v>4739</v>
      </c>
      <c r="F2569" s="94" t="s">
        <v>4739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4785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4895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80</v>
      </c>
      <c r="R2569" s="110" t="s">
        <v>485</v>
      </c>
      <c r="S2569" s="94"/>
    </row>
    <row r="2570" spans="1:19" hidden="1">
      <c r="A2570" s="103" t="s">
        <v>4423</v>
      </c>
      <c r="B2570" s="149" t="str">
        <f>IFERROR(VLOOKUP(Proc[[#This Row],[App]],Table2[],3,0),"open")</f>
        <v>ok</v>
      </c>
      <c r="C2570" s="117" t="s">
        <v>369</v>
      </c>
      <c r="D2570" t="s">
        <v>4492</v>
      </c>
      <c r="E2570" t="s">
        <v>4739</v>
      </c>
      <c r="F2570" s="94" t="s">
        <v>4739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4785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4895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80</v>
      </c>
      <c r="R2570" s="110" t="s">
        <v>485</v>
      </c>
      <c r="S2570" s="94"/>
    </row>
    <row r="2571" spans="1:19" hidden="1">
      <c r="A2571" s="103" t="s">
        <v>4423</v>
      </c>
      <c r="B2571" s="149" t="str">
        <f>IFERROR(VLOOKUP(Proc[[#This Row],[App]],Table2[],3,0),"open")</f>
        <v>ok</v>
      </c>
      <c r="C2571" s="117" t="s">
        <v>369</v>
      </c>
      <c r="D2571" t="s">
        <v>4493</v>
      </c>
      <c r="E2571" t="s">
        <v>4739</v>
      </c>
      <c r="F2571" s="94" t="s">
        <v>4739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4785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4895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80</v>
      </c>
      <c r="R2571" s="110" t="s">
        <v>485</v>
      </c>
      <c r="S2571" s="94"/>
    </row>
    <row r="2572" spans="1:19" hidden="1">
      <c r="A2572" s="103" t="s">
        <v>4423</v>
      </c>
      <c r="B2572" s="149" t="str">
        <f>IFERROR(VLOOKUP(Proc[[#This Row],[App]],Table2[],3,0),"open")</f>
        <v>ok</v>
      </c>
      <c r="C2572" s="117" t="s">
        <v>369</v>
      </c>
      <c r="D2572" t="s">
        <v>4494</v>
      </c>
      <c r="E2572" t="s">
        <v>4739</v>
      </c>
      <c r="F2572" s="94" t="s">
        <v>4739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4785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4895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80</v>
      </c>
      <c r="R2572" s="110" t="s">
        <v>485</v>
      </c>
      <c r="S2572" s="94"/>
    </row>
    <row r="2573" spans="1:19" hidden="1">
      <c r="A2573" s="103" t="s">
        <v>4423</v>
      </c>
      <c r="B2573" s="149" t="str">
        <f>IFERROR(VLOOKUP(Proc[[#This Row],[App]],Table2[],3,0),"open")</f>
        <v>ok</v>
      </c>
      <c r="C2573" s="117" t="s">
        <v>369</v>
      </c>
      <c r="D2573" t="s">
        <v>4495</v>
      </c>
      <c r="E2573" t="s">
        <v>4739</v>
      </c>
      <c r="F2573" s="94" t="s">
        <v>4739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4785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4895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80</v>
      </c>
      <c r="R2573" s="110" t="s">
        <v>485</v>
      </c>
      <c r="S2573" s="94"/>
    </row>
    <row r="2574" spans="1:19" hidden="1">
      <c r="A2574" s="103" t="s">
        <v>4423</v>
      </c>
      <c r="B2574" s="149" t="str">
        <f>IFERROR(VLOOKUP(Proc[[#This Row],[App]],Table2[],3,0),"open")</f>
        <v>ok</v>
      </c>
      <c r="C2574" s="117" t="s">
        <v>369</v>
      </c>
      <c r="D2574" t="s">
        <v>4496</v>
      </c>
      <c r="E2574" t="s">
        <v>4739</v>
      </c>
      <c r="F2574" s="94" t="s">
        <v>4739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4785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4895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80</v>
      </c>
      <c r="R2574" s="110" t="s">
        <v>485</v>
      </c>
      <c r="S2574" s="94"/>
    </row>
    <row r="2575" spans="1:19" hidden="1">
      <c r="A2575" s="103" t="s">
        <v>4423</v>
      </c>
      <c r="B2575" s="149" t="str">
        <f>IFERROR(VLOOKUP(Proc[[#This Row],[App]],Table2[],3,0),"open")</f>
        <v>ok</v>
      </c>
      <c r="C2575" s="117" t="s">
        <v>369</v>
      </c>
      <c r="D2575" t="s">
        <v>4497</v>
      </c>
      <c r="E2575" t="s">
        <v>4739</v>
      </c>
      <c r="F2575" s="94" t="s">
        <v>4739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4785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4895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80</v>
      </c>
      <c r="R2575" s="110" t="s">
        <v>485</v>
      </c>
      <c r="S2575" s="94"/>
    </row>
    <row r="2576" spans="1:19" hidden="1">
      <c r="A2576" s="103" t="s">
        <v>4423</v>
      </c>
      <c r="B2576" s="149" t="str">
        <f>IFERROR(VLOOKUP(Proc[[#This Row],[App]],Table2[],3,0),"open")</f>
        <v>ok</v>
      </c>
      <c r="C2576" s="117" t="s">
        <v>369</v>
      </c>
      <c r="D2576" t="s">
        <v>4498</v>
      </c>
      <c r="E2576" t="s">
        <v>4739</v>
      </c>
      <c r="F2576" s="94" t="s">
        <v>4739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4785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4895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80</v>
      </c>
      <c r="R2576" s="110" t="s">
        <v>485</v>
      </c>
      <c r="S2576" s="94"/>
    </row>
    <row r="2577" spans="1:19" hidden="1">
      <c r="A2577" s="103" t="s">
        <v>4423</v>
      </c>
      <c r="B2577" s="149" t="str">
        <f>IFERROR(VLOOKUP(Proc[[#This Row],[App]],Table2[],3,0),"open")</f>
        <v>ok</v>
      </c>
      <c r="C2577" s="117" t="s">
        <v>369</v>
      </c>
      <c r="D2577" t="s">
        <v>4499</v>
      </c>
      <c r="E2577" t="s">
        <v>4739</v>
      </c>
      <c r="F2577" s="94" t="s">
        <v>4739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4785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4895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80</v>
      </c>
      <c r="R2577" s="110" t="s">
        <v>485</v>
      </c>
      <c r="S2577" s="94"/>
    </row>
    <row r="2578" spans="1:19" hidden="1">
      <c r="A2578" s="103" t="s">
        <v>4423</v>
      </c>
      <c r="B2578" s="149" t="str">
        <f>IFERROR(VLOOKUP(Proc[[#This Row],[App]],Table2[],3,0),"open")</f>
        <v>ok</v>
      </c>
      <c r="C2578" s="117" t="s">
        <v>369</v>
      </c>
      <c r="D2578" t="s">
        <v>4500</v>
      </c>
      <c r="E2578" t="s">
        <v>4741</v>
      </c>
      <c r="F2578" s="94" t="s">
        <v>4741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4785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4895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80</v>
      </c>
      <c r="R2578" s="110" t="s">
        <v>485</v>
      </c>
      <c r="S2578" s="94"/>
    </row>
    <row r="2579" spans="1:19" hidden="1">
      <c r="A2579" s="103" t="s">
        <v>4423</v>
      </c>
      <c r="B2579" s="149" t="str">
        <f>IFERROR(VLOOKUP(Proc[[#This Row],[App]],Table2[],3,0),"open")</f>
        <v>ok</v>
      </c>
      <c r="C2579" s="117" t="s">
        <v>369</v>
      </c>
      <c r="D2579" t="s">
        <v>4501</v>
      </c>
      <c r="E2579" t="s">
        <v>4742</v>
      </c>
      <c r="F2579" s="94" t="s">
        <v>4742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4785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4895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80</v>
      </c>
      <c r="R2579" s="110" t="s">
        <v>485</v>
      </c>
      <c r="S2579" s="94"/>
    </row>
    <row r="2580" spans="1:19" hidden="1">
      <c r="A2580" s="103" t="s">
        <v>4423</v>
      </c>
      <c r="B2580" s="149" t="str">
        <f>IFERROR(VLOOKUP(Proc[[#This Row],[App]],Table2[],3,0),"open")</f>
        <v>ok</v>
      </c>
      <c r="C2580" s="117" t="s">
        <v>369</v>
      </c>
      <c r="D2580" t="s">
        <v>4502</v>
      </c>
      <c r="E2580" t="s">
        <v>4741</v>
      </c>
      <c r="F2580" s="94" t="s">
        <v>4741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4785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4895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80</v>
      </c>
      <c r="R2580" s="110" t="s">
        <v>485</v>
      </c>
      <c r="S2580" s="94"/>
    </row>
    <row r="2581" spans="1:19" hidden="1">
      <c r="A2581" s="103" t="s">
        <v>4423</v>
      </c>
      <c r="B2581" s="149" t="str">
        <f>IFERROR(VLOOKUP(Proc[[#This Row],[App]],Table2[],3,0),"open")</f>
        <v>ok</v>
      </c>
      <c r="C2581" s="117" t="s">
        <v>369</v>
      </c>
      <c r="D2581" t="s">
        <v>4503</v>
      </c>
      <c r="E2581" t="s">
        <v>4743</v>
      </c>
      <c r="F2581" s="94" t="s">
        <v>4743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4785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4895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80</v>
      </c>
      <c r="R2581" s="110" t="s">
        <v>485</v>
      </c>
      <c r="S2581" s="94"/>
    </row>
    <row r="2582" spans="1:19" hidden="1">
      <c r="A2582" s="103" t="s">
        <v>4423</v>
      </c>
      <c r="B2582" s="149" t="str">
        <f>IFERROR(VLOOKUP(Proc[[#This Row],[App]],Table2[],3,0),"open")</f>
        <v>ok</v>
      </c>
      <c r="C2582" s="117" t="s">
        <v>369</v>
      </c>
      <c r="D2582" t="s">
        <v>4504</v>
      </c>
      <c r="E2582" t="s">
        <v>4741</v>
      </c>
      <c r="F2582" s="94" t="s">
        <v>4741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4785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4895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80</v>
      </c>
      <c r="R2582" s="110" t="s">
        <v>485</v>
      </c>
      <c r="S2582" s="94"/>
    </row>
    <row r="2583" spans="1:19" hidden="1">
      <c r="A2583" s="103" t="s">
        <v>4423</v>
      </c>
      <c r="B2583" s="149" t="str">
        <f>IFERROR(VLOOKUP(Proc[[#This Row],[App]],Table2[],3,0),"open")</f>
        <v>ok</v>
      </c>
      <c r="C2583" s="117" t="s">
        <v>369</v>
      </c>
      <c r="D2583" t="s">
        <v>4505</v>
      </c>
      <c r="E2583" t="s">
        <v>4741</v>
      </c>
      <c r="F2583" s="94" t="s">
        <v>4741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4785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4895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80</v>
      </c>
      <c r="R2583" s="110" t="s">
        <v>485</v>
      </c>
      <c r="S2583" s="94"/>
    </row>
    <row r="2584" spans="1:19" hidden="1">
      <c r="A2584" s="103" t="s">
        <v>4423</v>
      </c>
      <c r="B2584" s="149" t="str">
        <f>IFERROR(VLOOKUP(Proc[[#This Row],[App]],Table2[],3,0),"open")</f>
        <v>ok</v>
      </c>
      <c r="C2584" s="117" t="s">
        <v>369</v>
      </c>
      <c r="D2584" t="s">
        <v>4506</v>
      </c>
      <c r="E2584" t="s">
        <v>4741</v>
      </c>
      <c r="F2584" s="94" t="s">
        <v>4741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4785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4895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80</v>
      </c>
      <c r="R2584" s="110" t="s">
        <v>485</v>
      </c>
      <c r="S2584" s="94"/>
    </row>
    <row r="2585" spans="1:19" hidden="1">
      <c r="A2585" s="103" t="s">
        <v>4423</v>
      </c>
      <c r="B2585" s="149" t="str">
        <f>IFERROR(VLOOKUP(Proc[[#This Row],[App]],Table2[],3,0),"open")</f>
        <v>ok</v>
      </c>
      <c r="C2585" s="117" t="s">
        <v>369</v>
      </c>
      <c r="D2585" t="s">
        <v>4507</v>
      </c>
      <c r="E2585" t="s">
        <v>4743</v>
      </c>
      <c r="F2585" s="94" t="s">
        <v>4743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4785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4895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80</v>
      </c>
      <c r="R2585" s="110" t="s">
        <v>485</v>
      </c>
      <c r="S2585" s="94"/>
    </row>
    <row r="2586" spans="1:19" hidden="1">
      <c r="A2586" s="103" t="s">
        <v>4423</v>
      </c>
      <c r="B2586" s="149" t="str">
        <f>IFERROR(VLOOKUP(Proc[[#This Row],[App]],Table2[],3,0),"open")</f>
        <v>ok</v>
      </c>
      <c r="C2586" s="117" t="s">
        <v>369</v>
      </c>
      <c r="D2586" t="s">
        <v>4508</v>
      </c>
      <c r="E2586" t="s">
        <v>4742</v>
      </c>
      <c r="F2586" s="94" t="s">
        <v>4742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4785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4895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80</v>
      </c>
      <c r="R2586" s="110" t="s">
        <v>485</v>
      </c>
      <c r="S2586" s="94"/>
    </row>
    <row r="2587" spans="1:19" hidden="1">
      <c r="A2587" s="103" t="s">
        <v>4423</v>
      </c>
      <c r="B2587" s="149" t="str">
        <f>IFERROR(VLOOKUP(Proc[[#This Row],[App]],Table2[],3,0),"open")</f>
        <v>ok</v>
      </c>
      <c r="C2587" s="117" t="s">
        <v>369</v>
      </c>
      <c r="D2587" t="s">
        <v>4509</v>
      </c>
      <c r="E2587" t="s">
        <v>4741</v>
      </c>
      <c r="F2587" s="94" t="s">
        <v>4741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4785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4895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80</v>
      </c>
      <c r="R2587" s="110" t="s">
        <v>485</v>
      </c>
      <c r="S2587" s="94"/>
    </row>
    <row r="2588" spans="1:19" hidden="1">
      <c r="A2588" s="103" t="s">
        <v>4423</v>
      </c>
      <c r="B2588" s="149" t="str">
        <f>IFERROR(VLOOKUP(Proc[[#This Row],[App]],Table2[],3,0),"open")</f>
        <v>ok</v>
      </c>
      <c r="C2588" s="117" t="s">
        <v>369</v>
      </c>
      <c r="D2588" t="s">
        <v>4510</v>
      </c>
      <c r="E2588" t="s">
        <v>4741</v>
      </c>
      <c r="F2588" s="94" t="s">
        <v>4741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4785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4895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80</v>
      </c>
      <c r="R2588" s="110" t="s">
        <v>485</v>
      </c>
      <c r="S2588" s="94"/>
    </row>
    <row r="2589" spans="1:19" hidden="1">
      <c r="A2589" s="103" t="s">
        <v>4423</v>
      </c>
      <c r="B2589" s="149" t="str">
        <f>IFERROR(VLOOKUP(Proc[[#This Row],[App]],Table2[],3,0),"open")</f>
        <v>ok</v>
      </c>
      <c r="C2589" s="117" t="s">
        <v>369</v>
      </c>
      <c r="D2589" t="s">
        <v>4511</v>
      </c>
      <c r="E2589" t="s">
        <v>4741</v>
      </c>
      <c r="F2589" s="94" t="s">
        <v>4741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4785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4895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80</v>
      </c>
      <c r="R2589" s="110" t="s">
        <v>485</v>
      </c>
      <c r="S2589" s="94"/>
    </row>
    <row r="2590" spans="1:19" hidden="1">
      <c r="A2590" s="103" t="s">
        <v>4423</v>
      </c>
      <c r="B2590" s="149" t="str">
        <f>IFERROR(VLOOKUP(Proc[[#This Row],[App]],Table2[],3,0),"open")</f>
        <v>ok</v>
      </c>
      <c r="C2590" s="117" t="s">
        <v>369</v>
      </c>
      <c r="D2590" t="s">
        <v>4512</v>
      </c>
      <c r="E2590" t="s">
        <v>4741</v>
      </c>
      <c r="F2590" s="94" t="s">
        <v>4741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4785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4895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80</v>
      </c>
      <c r="R2590" s="110" t="s">
        <v>485</v>
      </c>
      <c r="S2590" s="94"/>
    </row>
    <row r="2591" spans="1:19" hidden="1">
      <c r="A2591" s="103" t="s">
        <v>4423</v>
      </c>
      <c r="B2591" s="149" t="str">
        <f>IFERROR(VLOOKUP(Proc[[#This Row],[App]],Table2[],3,0),"open")</f>
        <v>ok</v>
      </c>
      <c r="C2591" s="117" t="s">
        <v>369</v>
      </c>
      <c r="D2591" t="s">
        <v>4513</v>
      </c>
      <c r="E2591" t="s">
        <v>4741</v>
      </c>
      <c r="F2591" s="94" t="s">
        <v>4741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4785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4895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80</v>
      </c>
      <c r="R2591" s="110" t="s">
        <v>485</v>
      </c>
      <c r="S2591" s="94"/>
    </row>
    <row r="2592" spans="1:19" hidden="1">
      <c r="A2592" s="103" t="s">
        <v>4423</v>
      </c>
      <c r="B2592" s="149" t="str">
        <f>IFERROR(VLOOKUP(Proc[[#This Row],[App]],Table2[],3,0),"open")</f>
        <v>ok</v>
      </c>
      <c r="C2592" s="117" t="s">
        <v>369</v>
      </c>
      <c r="D2592" t="s">
        <v>4514</v>
      </c>
      <c r="E2592" t="s">
        <v>4741</v>
      </c>
      <c r="F2592" s="94" t="s">
        <v>4741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4785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4895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80</v>
      </c>
      <c r="R2592" s="110" t="s">
        <v>485</v>
      </c>
      <c r="S2592" s="94"/>
    </row>
    <row r="2593" spans="1:19" hidden="1">
      <c r="A2593" s="103" t="s">
        <v>4423</v>
      </c>
      <c r="B2593" s="149" t="str">
        <f>IFERROR(VLOOKUP(Proc[[#This Row],[App]],Table2[],3,0),"open")</f>
        <v>ok</v>
      </c>
      <c r="C2593" s="117" t="s">
        <v>369</v>
      </c>
      <c r="D2593" t="s">
        <v>4515</v>
      </c>
      <c r="E2593" t="s">
        <v>4741</v>
      </c>
      <c r="F2593" s="94" t="s">
        <v>4741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4785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4895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80</v>
      </c>
      <c r="R2593" s="110" t="s">
        <v>485</v>
      </c>
      <c r="S2593" s="94"/>
    </row>
    <row r="2594" spans="1:19" hidden="1">
      <c r="A2594" s="103" t="s">
        <v>4423</v>
      </c>
      <c r="B2594" s="149" t="str">
        <f>IFERROR(VLOOKUP(Proc[[#This Row],[App]],Table2[],3,0),"open")</f>
        <v>ok</v>
      </c>
      <c r="C2594" s="117" t="s">
        <v>369</v>
      </c>
      <c r="D2594" t="s">
        <v>4516</v>
      </c>
      <c r="E2594" t="s">
        <v>4741</v>
      </c>
      <c r="F2594" s="94" t="s">
        <v>4741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4785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4895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80</v>
      </c>
      <c r="R2594" s="110" t="s">
        <v>485</v>
      </c>
      <c r="S2594" s="94"/>
    </row>
    <row r="2595" spans="1:19" hidden="1">
      <c r="A2595" s="103" t="s">
        <v>4423</v>
      </c>
      <c r="B2595" s="149" t="str">
        <f>IFERROR(VLOOKUP(Proc[[#This Row],[App]],Table2[],3,0),"open")</f>
        <v>ok</v>
      </c>
      <c r="C2595" s="117" t="s">
        <v>369</v>
      </c>
      <c r="D2595" t="s">
        <v>4517</v>
      </c>
      <c r="E2595" t="s">
        <v>4741</v>
      </c>
      <c r="F2595" s="94" t="s">
        <v>4741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4785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4895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80</v>
      </c>
      <c r="R2595" s="110" t="s">
        <v>485</v>
      </c>
      <c r="S2595" s="94"/>
    </row>
    <row r="2596" spans="1:19" hidden="1">
      <c r="A2596" s="103" t="s">
        <v>4423</v>
      </c>
      <c r="B2596" s="149" t="str">
        <f>IFERROR(VLOOKUP(Proc[[#This Row],[App]],Table2[],3,0),"open")</f>
        <v>ok</v>
      </c>
      <c r="C2596" s="117" t="s">
        <v>369</v>
      </c>
      <c r="D2596" t="s">
        <v>4518</v>
      </c>
      <c r="E2596" t="s">
        <v>4741</v>
      </c>
      <c r="F2596" s="94" t="s">
        <v>4741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4785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4895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80</v>
      </c>
      <c r="R2596" s="110" t="s">
        <v>485</v>
      </c>
      <c r="S2596" s="94"/>
    </row>
    <row r="2597" spans="1:19" hidden="1">
      <c r="A2597" s="103" t="s">
        <v>4423</v>
      </c>
      <c r="B2597" s="149" t="str">
        <f>IFERROR(VLOOKUP(Proc[[#This Row],[App]],Table2[],3,0),"open")</f>
        <v>ok</v>
      </c>
      <c r="C2597" s="117" t="s">
        <v>369</v>
      </c>
      <c r="D2597" t="s">
        <v>4519</v>
      </c>
      <c r="E2597" t="s">
        <v>4741</v>
      </c>
      <c r="F2597" s="94" t="s">
        <v>4741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4785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4895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80</v>
      </c>
      <c r="R2597" s="110" t="s">
        <v>485</v>
      </c>
      <c r="S2597" s="94"/>
    </row>
    <row r="2598" spans="1:19" hidden="1">
      <c r="A2598" s="103" t="s">
        <v>4423</v>
      </c>
      <c r="B2598" s="149" t="str">
        <f>IFERROR(VLOOKUP(Proc[[#This Row],[App]],Table2[],3,0),"open")</f>
        <v>ok</v>
      </c>
      <c r="C2598" s="117" t="s">
        <v>369</v>
      </c>
      <c r="D2598" t="s">
        <v>4520</v>
      </c>
      <c r="E2598" t="s">
        <v>4741</v>
      </c>
      <c r="F2598" s="94" t="s">
        <v>4741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4785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4895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80</v>
      </c>
      <c r="R2598" s="110" t="s">
        <v>485</v>
      </c>
      <c r="S2598" s="94"/>
    </row>
    <row r="2599" spans="1:19" hidden="1">
      <c r="A2599" s="103" t="s">
        <v>4423</v>
      </c>
      <c r="B2599" s="149" t="str">
        <f>IFERROR(VLOOKUP(Proc[[#This Row],[App]],Table2[],3,0),"open")</f>
        <v>ok</v>
      </c>
      <c r="C2599" s="117" t="s">
        <v>369</v>
      </c>
      <c r="D2599" t="s">
        <v>4521</v>
      </c>
      <c r="E2599" t="s">
        <v>4741</v>
      </c>
      <c r="F2599" s="94" t="s">
        <v>4741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4785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4895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80</v>
      </c>
      <c r="R2599" s="110" t="s">
        <v>485</v>
      </c>
      <c r="S2599" s="94"/>
    </row>
    <row r="2600" spans="1:19" hidden="1">
      <c r="A2600" s="103" t="s">
        <v>4423</v>
      </c>
      <c r="B2600" s="149" t="str">
        <f>IFERROR(VLOOKUP(Proc[[#This Row],[App]],Table2[],3,0),"open")</f>
        <v>ok</v>
      </c>
      <c r="C2600" s="117" t="s">
        <v>369</v>
      </c>
      <c r="D2600" t="s">
        <v>4522</v>
      </c>
      <c r="E2600" t="s">
        <v>4741</v>
      </c>
      <c r="F2600" s="94" t="s">
        <v>4741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4785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4895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80</v>
      </c>
      <c r="R2600" s="110" t="s">
        <v>485</v>
      </c>
      <c r="S2600" s="94"/>
    </row>
    <row r="2601" spans="1:19" hidden="1">
      <c r="A2601" s="103" t="s">
        <v>4423</v>
      </c>
      <c r="B2601" s="149" t="str">
        <f>IFERROR(VLOOKUP(Proc[[#This Row],[App]],Table2[],3,0),"open")</f>
        <v>ok</v>
      </c>
      <c r="C2601" s="117" t="s">
        <v>369</v>
      </c>
      <c r="D2601" t="s">
        <v>4523</v>
      </c>
      <c r="E2601" t="s">
        <v>4741</v>
      </c>
      <c r="F2601" s="94" t="s">
        <v>4741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4785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4895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80</v>
      </c>
      <c r="R2601" s="110" t="s">
        <v>485</v>
      </c>
      <c r="S2601" s="94"/>
    </row>
    <row r="2602" spans="1:19" hidden="1">
      <c r="A2602" s="103" t="s">
        <v>4423</v>
      </c>
      <c r="B2602" s="149" t="str">
        <f>IFERROR(VLOOKUP(Proc[[#This Row],[App]],Table2[],3,0),"open")</f>
        <v>ok</v>
      </c>
      <c r="C2602" s="117" t="s">
        <v>369</v>
      </c>
      <c r="D2602" t="s">
        <v>4524</v>
      </c>
      <c r="E2602" t="s">
        <v>4741</v>
      </c>
      <c r="F2602" s="94" t="s">
        <v>4741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4786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4895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80</v>
      </c>
      <c r="R2602" s="110" t="s">
        <v>485</v>
      </c>
      <c r="S2602" s="94"/>
    </row>
    <row r="2603" spans="1:19" hidden="1">
      <c r="A2603" s="103" t="s">
        <v>4423</v>
      </c>
      <c r="B2603" s="149" t="str">
        <f>IFERROR(VLOOKUP(Proc[[#This Row],[App]],Table2[],3,0),"open")</f>
        <v>ok</v>
      </c>
      <c r="C2603" s="117" t="s">
        <v>369</v>
      </c>
      <c r="D2603" t="s">
        <v>4525</v>
      </c>
      <c r="E2603" t="s">
        <v>4742</v>
      </c>
      <c r="F2603" s="94" t="s">
        <v>4742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4786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4895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80</v>
      </c>
      <c r="R2603" s="110" t="s">
        <v>485</v>
      </c>
      <c r="S2603" s="94"/>
    </row>
    <row r="2604" spans="1:19" hidden="1">
      <c r="A2604" s="103" t="s">
        <v>4423</v>
      </c>
      <c r="B2604" s="149" t="str">
        <f>IFERROR(VLOOKUP(Proc[[#This Row],[App]],Table2[],3,0),"open")</f>
        <v>ok</v>
      </c>
      <c r="C2604" s="117" t="s">
        <v>369</v>
      </c>
      <c r="D2604" t="s">
        <v>4526</v>
      </c>
      <c r="E2604" t="s">
        <v>4742</v>
      </c>
      <c r="F2604" s="94" t="s">
        <v>4742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4786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4895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80</v>
      </c>
      <c r="R2604" s="110" t="s">
        <v>485</v>
      </c>
      <c r="S2604" s="94"/>
    </row>
    <row r="2605" spans="1:19" hidden="1">
      <c r="A2605" s="103" t="s">
        <v>4423</v>
      </c>
      <c r="B2605" s="149" t="str">
        <f>IFERROR(VLOOKUP(Proc[[#This Row],[App]],Table2[],3,0),"open")</f>
        <v>ok</v>
      </c>
      <c r="C2605" s="117" t="s">
        <v>369</v>
      </c>
      <c r="D2605" t="s">
        <v>4527</v>
      </c>
      <c r="E2605" t="s">
        <v>4741</v>
      </c>
      <c r="F2605" s="94" t="s">
        <v>4741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4786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4895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80</v>
      </c>
      <c r="R2605" s="110" t="s">
        <v>485</v>
      </c>
      <c r="S2605" s="94"/>
    </row>
    <row r="2606" spans="1:19" hidden="1">
      <c r="A2606" s="103" t="s">
        <v>4423</v>
      </c>
      <c r="B2606" s="149" t="str">
        <f>IFERROR(VLOOKUP(Proc[[#This Row],[App]],Table2[],3,0),"open")</f>
        <v>ok</v>
      </c>
      <c r="C2606" s="117" t="s">
        <v>369</v>
      </c>
      <c r="D2606" t="s">
        <v>4528</v>
      </c>
      <c r="E2606" t="s">
        <v>4742</v>
      </c>
      <c r="F2606" s="94" t="s">
        <v>4742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4786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4895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80</v>
      </c>
      <c r="R2606" s="110" t="s">
        <v>485</v>
      </c>
      <c r="S2606" s="94"/>
    </row>
    <row r="2607" spans="1:19" hidden="1">
      <c r="A2607" s="103" t="s">
        <v>4423</v>
      </c>
      <c r="B2607" s="149" t="str">
        <f>IFERROR(VLOOKUP(Proc[[#This Row],[App]],Table2[],3,0),"open")</f>
        <v>ok</v>
      </c>
      <c r="C2607" s="117" t="s">
        <v>369</v>
      </c>
      <c r="D2607" t="s">
        <v>4529</v>
      </c>
      <c r="E2607" t="s">
        <v>4741</v>
      </c>
      <c r="F2607" s="94" t="s">
        <v>4741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4786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4895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80</v>
      </c>
      <c r="R2607" s="110" t="s">
        <v>485</v>
      </c>
      <c r="S2607" s="94"/>
    </row>
    <row r="2608" spans="1:19" hidden="1">
      <c r="A2608" s="103" t="s">
        <v>4423</v>
      </c>
      <c r="B2608" s="149" t="str">
        <f>IFERROR(VLOOKUP(Proc[[#This Row],[App]],Table2[],3,0),"open")</f>
        <v>ok</v>
      </c>
      <c r="C2608" s="117" t="s">
        <v>369</v>
      </c>
      <c r="D2608" t="s">
        <v>4530</v>
      </c>
      <c r="E2608" t="s">
        <v>4742</v>
      </c>
      <c r="F2608" s="94" t="s">
        <v>4742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4786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4895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80</v>
      </c>
      <c r="R2608" s="110" t="s">
        <v>485</v>
      </c>
      <c r="S2608" s="94"/>
    </row>
    <row r="2609" spans="1:19" hidden="1">
      <c r="A2609" s="103" t="s">
        <v>4423</v>
      </c>
      <c r="B2609" s="149" t="str">
        <f>IFERROR(VLOOKUP(Proc[[#This Row],[App]],Table2[],3,0),"open")</f>
        <v>ok</v>
      </c>
      <c r="C2609" s="117" t="s">
        <v>369</v>
      </c>
      <c r="D2609" t="s">
        <v>4531</v>
      </c>
      <c r="E2609" t="s">
        <v>4741</v>
      </c>
      <c r="F2609" s="94" t="s">
        <v>4741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4786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4895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80</v>
      </c>
      <c r="R2609" s="110" t="s">
        <v>485</v>
      </c>
      <c r="S2609" s="94"/>
    </row>
    <row r="2610" spans="1:19" hidden="1">
      <c r="A2610" s="103" t="s">
        <v>4423</v>
      </c>
      <c r="B2610" s="149" t="str">
        <f>IFERROR(VLOOKUP(Proc[[#This Row],[App]],Table2[],3,0),"open")</f>
        <v>ok</v>
      </c>
      <c r="C2610" s="117" t="s">
        <v>369</v>
      </c>
      <c r="D2610" t="s">
        <v>4532</v>
      </c>
      <c r="E2610" t="s">
        <v>4742</v>
      </c>
      <c r="F2610" s="94" t="s">
        <v>4742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4786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4895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80</v>
      </c>
      <c r="R2610" s="110" t="s">
        <v>485</v>
      </c>
      <c r="S2610" s="94"/>
    </row>
    <row r="2611" spans="1:19" hidden="1">
      <c r="A2611" s="103" t="s">
        <v>4423</v>
      </c>
      <c r="B2611" s="149" t="str">
        <f>IFERROR(VLOOKUP(Proc[[#This Row],[App]],Table2[],3,0),"open")</f>
        <v>ok</v>
      </c>
      <c r="C2611" s="117" t="s">
        <v>369</v>
      </c>
      <c r="D2611" t="s">
        <v>4533</v>
      </c>
      <c r="E2611" t="s">
        <v>4744</v>
      </c>
      <c r="F2611" s="94" t="s">
        <v>4744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4786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4895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80</v>
      </c>
      <c r="R2611" s="110" t="s">
        <v>485</v>
      </c>
      <c r="S2611" s="94"/>
    </row>
    <row r="2612" spans="1:19" hidden="1">
      <c r="A2612" s="103" t="s">
        <v>4423</v>
      </c>
      <c r="B2612" s="149" t="str">
        <f>IFERROR(VLOOKUP(Proc[[#This Row],[App]],Table2[],3,0),"open")</f>
        <v>ok</v>
      </c>
      <c r="C2612" s="117" t="s">
        <v>369</v>
      </c>
      <c r="D2612" t="s">
        <v>4534</v>
      </c>
      <c r="E2612" t="s">
        <v>4742</v>
      </c>
      <c r="F2612" s="94" t="s">
        <v>4742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4786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4895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80</v>
      </c>
      <c r="R2612" s="110" t="s">
        <v>485</v>
      </c>
      <c r="S2612" s="94"/>
    </row>
    <row r="2613" spans="1:19" hidden="1">
      <c r="A2613" s="103" t="s">
        <v>4423</v>
      </c>
      <c r="B2613" s="149" t="str">
        <f>IFERROR(VLOOKUP(Proc[[#This Row],[App]],Table2[],3,0),"open")</f>
        <v>ok</v>
      </c>
      <c r="C2613" s="117" t="s">
        <v>369</v>
      </c>
      <c r="D2613" t="s">
        <v>4535</v>
      </c>
      <c r="E2613" t="s">
        <v>4742</v>
      </c>
      <c r="F2613" s="94" t="s">
        <v>4742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4786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4895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80</v>
      </c>
      <c r="R2613" s="110" t="s">
        <v>485</v>
      </c>
      <c r="S2613" s="94"/>
    </row>
    <row r="2614" spans="1:19" hidden="1">
      <c r="A2614" s="103" t="s">
        <v>4423</v>
      </c>
      <c r="B2614" s="149" t="str">
        <f>IFERROR(VLOOKUP(Proc[[#This Row],[App]],Table2[],3,0),"open")</f>
        <v>ok</v>
      </c>
      <c r="C2614" s="117" t="s">
        <v>369</v>
      </c>
      <c r="D2614" t="s">
        <v>4536</v>
      </c>
      <c r="E2614" t="s">
        <v>4742</v>
      </c>
      <c r="F2614" s="94" t="s">
        <v>4742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4786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4895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80</v>
      </c>
      <c r="R2614" s="110" t="s">
        <v>485</v>
      </c>
      <c r="S2614" s="94"/>
    </row>
    <row r="2615" spans="1:19" hidden="1">
      <c r="A2615" s="103" t="s">
        <v>4423</v>
      </c>
      <c r="B2615" s="149" t="str">
        <f>IFERROR(VLOOKUP(Proc[[#This Row],[App]],Table2[],3,0),"open")</f>
        <v>ok</v>
      </c>
      <c r="C2615" s="117" t="s">
        <v>369</v>
      </c>
      <c r="D2615" t="s">
        <v>4537</v>
      </c>
      <c r="E2615" t="s">
        <v>4742</v>
      </c>
      <c r="F2615" s="94" t="s">
        <v>4742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4786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4895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80</v>
      </c>
      <c r="R2615" s="110" t="s">
        <v>485</v>
      </c>
      <c r="S2615" s="94"/>
    </row>
    <row r="2616" spans="1:19" hidden="1">
      <c r="A2616" s="103" t="s">
        <v>4423</v>
      </c>
      <c r="B2616" s="149" t="str">
        <f>IFERROR(VLOOKUP(Proc[[#This Row],[App]],Table2[],3,0),"open")</f>
        <v>ok</v>
      </c>
      <c r="C2616" s="117" t="s">
        <v>369</v>
      </c>
      <c r="D2616" t="s">
        <v>4538</v>
      </c>
      <c r="E2616" t="s">
        <v>4742</v>
      </c>
      <c r="F2616" s="94" t="s">
        <v>4742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4786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4895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80</v>
      </c>
      <c r="R2616" s="110" t="s">
        <v>485</v>
      </c>
      <c r="S2616" s="94"/>
    </row>
    <row r="2617" spans="1:19" hidden="1">
      <c r="A2617" s="103" t="s">
        <v>4423</v>
      </c>
      <c r="B2617" s="149" t="str">
        <f>IFERROR(VLOOKUP(Proc[[#This Row],[App]],Table2[],3,0),"open")</f>
        <v>ok</v>
      </c>
      <c r="C2617" s="117" t="s">
        <v>369</v>
      </c>
      <c r="D2617" t="s">
        <v>4539</v>
      </c>
      <c r="E2617" t="s">
        <v>4745</v>
      </c>
      <c r="F2617" s="94" t="s">
        <v>4745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4786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4895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80</v>
      </c>
      <c r="R2617" s="110" t="s">
        <v>485</v>
      </c>
      <c r="S2617" s="94"/>
    </row>
    <row r="2618" spans="1:19" hidden="1">
      <c r="A2618" s="103" t="s">
        <v>4423</v>
      </c>
      <c r="B2618" s="149" t="str">
        <f>IFERROR(VLOOKUP(Proc[[#This Row],[App]],Table2[],3,0),"open")</f>
        <v>ok</v>
      </c>
      <c r="C2618" s="117" t="s">
        <v>369</v>
      </c>
      <c r="D2618" t="s">
        <v>4540</v>
      </c>
      <c r="E2618" t="s">
        <v>4742</v>
      </c>
      <c r="F2618" s="94" t="s">
        <v>4742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4786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4895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80</v>
      </c>
      <c r="R2618" s="110" t="s">
        <v>485</v>
      </c>
      <c r="S2618" s="94"/>
    </row>
    <row r="2619" spans="1:19" hidden="1">
      <c r="A2619" s="103" t="s">
        <v>4423</v>
      </c>
      <c r="B2619" s="149" t="str">
        <f>IFERROR(VLOOKUP(Proc[[#This Row],[App]],Table2[],3,0),"open")</f>
        <v>ok</v>
      </c>
      <c r="C2619" s="117" t="s">
        <v>369</v>
      </c>
      <c r="D2619" t="s">
        <v>4541</v>
      </c>
      <c r="E2619" t="s">
        <v>4742</v>
      </c>
      <c r="F2619" s="94" t="s">
        <v>4742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4786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4895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80</v>
      </c>
      <c r="R2619" s="110" t="s">
        <v>485</v>
      </c>
      <c r="S2619" s="94"/>
    </row>
    <row r="2620" spans="1:19" hidden="1">
      <c r="A2620" s="103" t="s">
        <v>4423</v>
      </c>
      <c r="B2620" s="149" t="str">
        <f>IFERROR(VLOOKUP(Proc[[#This Row],[App]],Table2[],3,0),"open")</f>
        <v>ok</v>
      </c>
      <c r="C2620" s="117" t="s">
        <v>369</v>
      </c>
      <c r="D2620" t="s">
        <v>4542</v>
      </c>
      <c r="E2620" t="s">
        <v>4742</v>
      </c>
      <c r="F2620" s="94" t="s">
        <v>4742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4786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4895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80</v>
      </c>
      <c r="R2620" s="110" t="s">
        <v>485</v>
      </c>
      <c r="S2620" s="94"/>
    </row>
    <row r="2621" spans="1:19" hidden="1">
      <c r="A2621" s="103" t="s">
        <v>4423</v>
      </c>
      <c r="B2621" s="149" t="str">
        <f>IFERROR(VLOOKUP(Proc[[#This Row],[App]],Table2[],3,0),"open")</f>
        <v>ok</v>
      </c>
      <c r="C2621" s="117" t="s">
        <v>369</v>
      </c>
      <c r="D2621" t="s">
        <v>4543</v>
      </c>
      <c r="E2621" t="s">
        <v>4742</v>
      </c>
      <c r="F2621" s="94" t="s">
        <v>4742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4786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4895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80</v>
      </c>
      <c r="R2621" s="110" t="s">
        <v>485</v>
      </c>
      <c r="S2621" s="94"/>
    </row>
    <row r="2622" spans="1:19" hidden="1">
      <c r="A2622" s="103" t="s">
        <v>4423</v>
      </c>
      <c r="B2622" s="149" t="str">
        <f>IFERROR(VLOOKUP(Proc[[#This Row],[App]],Table2[],3,0),"open")</f>
        <v>ok</v>
      </c>
      <c r="C2622" s="117" t="s">
        <v>369</v>
      </c>
      <c r="D2622" t="s">
        <v>4544</v>
      </c>
      <c r="E2622" t="s">
        <v>4745</v>
      </c>
      <c r="F2622" s="94" t="s">
        <v>4745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4786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4895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80</v>
      </c>
      <c r="R2622" s="110" t="s">
        <v>485</v>
      </c>
      <c r="S2622" s="94"/>
    </row>
    <row r="2623" spans="1:19" hidden="1">
      <c r="A2623" s="103" t="s">
        <v>4423</v>
      </c>
      <c r="B2623" s="149" t="str">
        <f>IFERROR(VLOOKUP(Proc[[#This Row],[App]],Table2[],3,0),"open")</f>
        <v>ok</v>
      </c>
      <c r="C2623" s="117" t="s">
        <v>369</v>
      </c>
      <c r="D2623" t="s">
        <v>4545</v>
      </c>
      <c r="E2623" t="s">
        <v>4742</v>
      </c>
      <c r="F2623" s="94" t="s">
        <v>4742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4786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4895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80</v>
      </c>
      <c r="R2623" s="110" t="s">
        <v>485</v>
      </c>
      <c r="S2623" s="94"/>
    </row>
    <row r="2624" spans="1:19" hidden="1">
      <c r="A2624" s="103" t="s">
        <v>4423</v>
      </c>
      <c r="B2624" s="149" t="str">
        <f>IFERROR(VLOOKUP(Proc[[#This Row],[App]],Table2[],3,0),"open")</f>
        <v>ok</v>
      </c>
      <c r="C2624" s="117" t="s">
        <v>369</v>
      </c>
      <c r="D2624" t="s">
        <v>4546</v>
      </c>
      <c r="E2624" t="s">
        <v>4742</v>
      </c>
      <c r="F2624" s="94" t="s">
        <v>4742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4786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4895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80</v>
      </c>
      <c r="R2624" s="110" t="s">
        <v>485</v>
      </c>
      <c r="S2624" s="94"/>
    </row>
    <row r="2625" spans="1:19" hidden="1">
      <c r="A2625" s="103" t="s">
        <v>4423</v>
      </c>
      <c r="B2625" s="149" t="str">
        <f>IFERROR(VLOOKUP(Proc[[#This Row],[App]],Table2[],3,0),"open")</f>
        <v>ok</v>
      </c>
      <c r="C2625" s="117" t="s">
        <v>369</v>
      </c>
      <c r="D2625" t="s">
        <v>4547</v>
      </c>
      <c r="E2625" t="s">
        <v>4741</v>
      </c>
      <c r="F2625" s="94" t="s">
        <v>4741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4786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4895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80</v>
      </c>
      <c r="R2625" s="110" t="s">
        <v>485</v>
      </c>
      <c r="S2625" s="94"/>
    </row>
    <row r="2626" spans="1:19" hidden="1">
      <c r="A2626" s="103" t="s">
        <v>4423</v>
      </c>
      <c r="B2626" s="149" t="str">
        <f>IFERROR(VLOOKUP(Proc[[#This Row],[App]],Table2[],3,0),"open")</f>
        <v>ok</v>
      </c>
      <c r="C2626" s="117" t="s">
        <v>369</v>
      </c>
      <c r="D2626" t="s">
        <v>4548</v>
      </c>
      <c r="E2626" t="s">
        <v>4742</v>
      </c>
      <c r="F2626" s="94" t="s">
        <v>4742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4786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4895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80</v>
      </c>
      <c r="R2626" s="110" t="s">
        <v>485</v>
      </c>
      <c r="S2626" s="94"/>
    </row>
    <row r="2627" spans="1:19" hidden="1">
      <c r="A2627" s="103" t="s">
        <v>4423</v>
      </c>
      <c r="B2627" s="149" t="str">
        <f>IFERROR(VLOOKUP(Proc[[#This Row],[App]],Table2[],3,0),"open")</f>
        <v>ok</v>
      </c>
      <c r="C2627" s="117" t="s">
        <v>369</v>
      </c>
      <c r="D2627" t="s">
        <v>4549</v>
      </c>
      <c r="E2627" t="s">
        <v>4742</v>
      </c>
      <c r="F2627" s="94" t="s">
        <v>4742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4786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4895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80</v>
      </c>
      <c r="R2627" s="110" t="s">
        <v>485</v>
      </c>
      <c r="S2627" s="94"/>
    </row>
    <row r="2628" spans="1:19" hidden="1">
      <c r="A2628" s="103" t="s">
        <v>4423</v>
      </c>
      <c r="B2628" s="149" t="str">
        <f>IFERROR(VLOOKUP(Proc[[#This Row],[App]],Table2[],3,0),"open")</f>
        <v>ok</v>
      </c>
      <c r="C2628" s="117" t="s">
        <v>369</v>
      </c>
      <c r="D2628" t="s">
        <v>4550</v>
      </c>
      <c r="E2628" t="s">
        <v>4744</v>
      </c>
      <c r="F2628" s="94" t="s">
        <v>4744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4786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4895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80</v>
      </c>
      <c r="R2628" s="110" t="s">
        <v>485</v>
      </c>
      <c r="S2628" s="94"/>
    </row>
    <row r="2629" spans="1:19" hidden="1">
      <c r="A2629" s="103" t="s">
        <v>4423</v>
      </c>
      <c r="B2629" s="149" t="str">
        <f>IFERROR(VLOOKUP(Proc[[#This Row],[App]],Table2[],3,0),"open")</f>
        <v>ok</v>
      </c>
      <c r="C2629" s="117" t="s">
        <v>369</v>
      </c>
      <c r="D2629" t="s">
        <v>4551</v>
      </c>
      <c r="E2629" t="s">
        <v>4742</v>
      </c>
      <c r="F2629" s="94" t="s">
        <v>4742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4786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4895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80</v>
      </c>
      <c r="R2629" s="110" t="s">
        <v>485</v>
      </c>
      <c r="S2629" s="94"/>
    </row>
    <row r="2630" spans="1:19" hidden="1">
      <c r="A2630" s="103" t="s">
        <v>4423</v>
      </c>
      <c r="B2630" s="149" t="str">
        <f>IFERROR(VLOOKUP(Proc[[#This Row],[App]],Table2[],3,0),"open")</f>
        <v>ok</v>
      </c>
      <c r="C2630" s="117" t="s">
        <v>369</v>
      </c>
      <c r="D2630" t="s">
        <v>4552</v>
      </c>
      <c r="E2630" t="s">
        <v>4742</v>
      </c>
      <c r="F2630" s="94" t="s">
        <v>4742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4786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4895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80</v>
      </c>
      <c r="R2630" s="110" t="s">
        <v>485</v>
      </c>
      <c r="S2630" s="94"/>
    </row>
    <row r="2631" spans="1:19" hidden="1">
      <c r="A2631" s="103" t="s">
        <v>4423</v>
      </c>
      <c r="B2631" s="149" t="str">
        <f>IFERROR(VLOOKUP(Proc[[#This Row],[App]],Table2[],3,0),"open")</f>
        <v>ok</v>
      </c>
      <c r="C2631" s="117" t="s">
        <v>369</v>
      </c>
      <c r="D2631" t="s">
        <v>4553</v>
      </c>
      <c r="E2631" t="s">
        <v>4742</v>
      </c>
      <c r="F2631" s="94" t="s">
        <v>4742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4786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4895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80</v>
      </c>
      <c r="R2631" s="110" t="s">
        <v>485</v>
      </c>
      <c r="S2631" s="94"/>
    </row>
    <row r="2632" spans="1:19" hidden="1">
      <c r="A2632" s="103" t="s">
        <v>4423</v>
      </c>
      <c r="B2632" s="149" t="str">
        <f>IFERROR(VLOOKUP(Proc[[#This Row],[App]],Table2[],3,0),"open")</f>
        <v>ok</v>
      </c>
      <c r="C2632" s="117" t="s">
        <v>369</v>
      </c>
      <c r="D2632" t="s">
        <v>4554</v>
      </c>
      <c r="E2632" t="s">
        <v>4744</v>
      </c>
      <c r="F2632" s="94" t="s">
        <v>4744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4786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4895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80</v>
      </c>
      <c r="R2632" s="110" t="s">
        <v>485</v>
      </c>
      <c r="S2632" s="94"/>
    </row>
    <row r="2633" spans="1:19" hidden="1">
      <c r="A2633" s="103" t="s">
        <v>4423</v>
      </c>
      <c r="B2633" s="149" t="str">
        <f>IFERROR(VLOOKUP(Proc[[#This Row],[App]],Table2[],3,0),"open")</f>
        <v>ok</v>
      </c>
      <c r="C2633" s="117" t="s">
        <v>369</v>
      </c>
      <c r="D2633" t="s">
        <v>4555</v>
      </c>
      <c r="E2633" t="s">
        <v>4744</v>
      </c>
      <c r="F2633" s="94" t="s">
        <v>4744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4786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4895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80</v>
      </c>
      <c r="R2633" s="110" t="s">
        <v>485</v>
      </c>
      <c r="S2633" s="94"/>
    </row>
    <row r="2634" spans="1:19" hidden="1">
      <c r="A2634" s="103" t="s">
        <v>4423</v>
      </c>
      <c r="B2634" s="149" t="str">
        <f>IFERROR(VLOOKUP(Proc[[#This Row],[App]],Table2[],3,0),"open")</f>
        <v>ok</v>
      </c>
      <c r="C2634" s="117" t="s">
        <v>369</v>
      </c>
      <c r="D2634" t="s">
        <v>4556</v>
      </c>
      <c r="E2634" t="s">
        <v>4745</v>
      </c>
      <c r="F2634" s="94" t="s">
        <v>4745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4786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4895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80</v>
      </c>
      <c r="R2634" s="110" t="s">
        <v>485</v>
      </c>
      <c r="S2634" s="94"/>
    </row>
    <row r="2635" spans="1:19" hidden="1">
      <c r="A2635" s="103" t="s">
        <v>4423</v>
      </c>
      <c r="B2635" s="149" t="str">
        <f>IFERROR(VLOOKUP(Proc[[#This Row],[App]],Table2[],3,0),"open")</f>
        <v>ok</v>
      </c>
      <c r="C2635" s="117" t="s">
        <v>369</v>
      </c>
      <c r="D2635" t="s">
        <v>4557</v>
      </c>
      <c r="E2635" t="s">
        <v>4745</v>
      </c>
      <c r="F2635" s="94" t="s">
        <v>4745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4786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4895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80</v>
      </c>
      <c r="R2635" s="110" t="s">
        <v>485</v>
      </c>
      <c r="S2635" s="94"/>
    </row>
    <row r="2636" spans="1:19" hidden="1">
      <c r="A2636" s="103" t="s">
        <v>4423</v>
      </c>
      <c r="B2636" s="149" t="str">
        <f>IFERROR(VLOOKUP(Proc[[#This Row],[App]],Table2[],3,0),"open")</f>
        <v>ok</v>
      </c>
      <c r="C2636" s="117" t="s">
        <v>369</v>
      </c>
      <c r="D2636" t="s">
        <v>4558</v>
      </c>
      <c r="E2636" t="s">
        <v>4745</v>
      </c>
      <c r="F2636" s="94" t="s">
        <v>4745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4786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4895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80</v>
      </c>
      <c r="R2636" s="110" t="s">
        <v>485</v>
      </c>
      <c r="S2636" s="94"/>
    </row>
    <row r="2637" spans="1:19" hidden="1">
      <c r="A2637" s="103" t="s">
        <v>4423</v>
      </c>
      <c r="B2637" s="149" t="str">
        <f>IFERROR(VLOOKUP(Proc[[#This Row],[App]],Table2[],3,0),"open")</f>
        <v>ok</v>
      </c>
      <c r="C2637" s="117" t="s">
        <v>369</v>
      </c>
      <c r="D2637" t="s">
        <v>4559</v>
      </c>
      <c r="E2637" t="s">
        <v>4742</v>
      </c>
      <c r="F2637" s="94" t="s">
        <v>4742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4786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4895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80</v>
      </c>
      <c r="R2637" s="110" t="s">
        <v>485</v>
      </c>
      <c r="S2637" s="94"/>
    </row>
    <row r="2638" spans="1:19" hidden="1">
      <c r="A2638" s="103" t="s">
        <v>4423</v>
      </c>
      <c r="B2638" s="149" t="str">
        <f>IFERROR(VLOOKUP(Proc[[#This Row],[App]],Table2[],3,0),"open")</f>
        <v>ok</v>
      </c>
      <c r="C2638" s="117" t="s">
        <v>369</v>
      </c>
      <c r="D2638" t="s">
        <v>4560</v>
      </c>
      <c r="E2638" t="s">
        <v>4742</v>
      </c>
      <c r="F2638" s="94" t="s">
        <v>4742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4786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4895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80</v>
      </c>
      <c r="R2638" s="110" t="s">
        <v>485</v>
      </c>
      <c r="S2638" s="94"/>
    </row>
    <row r="2639" spans="1:19" hidden="1">
      <c r="A2639" s="103" t="s">
        <v>4423</v>
      </c>
      <c r="B2639" s="149" t="str">
        <f>IFERROR(VLOOKUP(Proc[[#This Row],[App]],Table2[],3,0),"open")</f>
        <v>ok</v>
      </c>
      <c r="C2639" s="117" t="s">
        <v>369</v>
      </c>
      <c r="D2639" t="s">
        <v>4561</v>
      </c>
      <c r="E2639" t="s">
        <v>4744</v>
      </c>
      <c r="F2639" s="94" t="s">
        <v>4744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4786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4895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80</v>
      </c>
      <c r="R2639" s="110" t="s">
        <v>485</v>
      </c>
      <c r="S2639" s="94"/>
    </row>
    <row r="2640" spans="1:19" hidden="1">
      <c r="A2640" s="103" t="s">
        <v>4423</v>
      </c>
      <c r="B2640" s="149" t="str">
        <f>IFERROR(VLOOKUP(Proc[[#This Row],[App]],Table2[],3,0),"open")</f>
        <v>ok</v>
      </c>
      <c r="C2640" s="117" t="s">
        <v>369</v>
      </c>
      <c r="D2640" t="s">
        <v>4562</v>
      </c>
      <c r="E2640" t="s">
        <v>4744</v>
      </c>
      <c r="F2640" s="94" t="s">
        <v>4744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4786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4895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80</v>
      </c>
      <c r="R2640" s="110" t="s">
        <v>485</v>
      </c>
      <c r="S2640" s="94"/>
    </row>
    <row r="2641" spans="1:19" hidden="1">
      <c r="A2641" s="103" t="s">
        <v>4423</v>
      </c>
      <c r="B2641" s="149" t="str">
        <f>IFERROR(VLOOKUP(Proc[[#This Row],[App]],Table2[],3,0),"open")</f>
        <v>ok</v>
      </c>
      <c r="C2641" s="117" t="s">
        <v>369</v>
      </c>
      <c r="D2641" t="s">
        <v>4563</v>
      </c>
      <c r="E2641" t="s">
        <v>4744</v>
      </c>
      <c r="F2641" s="94" t="s">
        <v>4744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4786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4895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80</v>
      </c>
      <c r="R2641" s="110" t="s">
        <v>485</v>
      </c>
      <c r="S2641" s="94"/>
    </row>
    <row r="2642" spans="1:19" hidden="1">
      <c r="A2642" s="103" t="s">
        <v>4423</v>
      </c>
      <c r="B2642" s="149" t="str">
        <f>IFERROR(VLOOKUP(Proc[[#This Row],[App]],Table2[],3,0),"open")</f>
        <v>ok</v>
      </c>
      <c r="C2642" s="117" t="s">
        <v>369</v>
      </c>
      <c r="D2642" t="s">
        <v>4564</v>
      </c>
      <c r="E2642" t="s">
        <v>4744</v>
      </c>
      <c r="F2642" s="94" t="s">
        <v>4744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4786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4895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80</v>
      </c>
      <c r="R2642" s="110" t="s">
        <v>485</v>
      </c>
      <c r="S2642" s="94"/>
    </row>
    <row r="2643" spans="1:19" hidden="1">
      <c r="A2643" s="103" t="s">
        <v>4423</v>
      </c>
      <c r="B2643" s="149" t="str">
        <f>IFERROR(VLOOKUP(Proc[[#This Row],[App]],Table2[],3,0),"open")</f>
        <v>ok</v>
      </c>
      <c r="C2643" s="117" t="s">
        <v>369</v>
      </c>
      <c r="D2643" t="s">
        <v>4565</v>
      </c>
      <c r="E2643" t="s">
        <v>4742</v>
      </c>
      <c r="F2643" s="94" t="s">
        <v>4742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4786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4895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80</v>
      </c>
      <c r="R2643" s="110" t="s">
        <v>485</v>
      </c>
      <c r="S2643" s="94"/>
    </row>
    <row r="2644" spans="1:19" hidden="1">
      <c r="A2644" s="103" t="s">
        <v>4423</v>
      </c>
      <c r="B2644" s="149" t="str">
        <f>IFERROR(VLOOKUP(Proc[[#This Row],[App]],Table2[],3,0),"open")</f>
        <v>ok</v>
      </c>
      <c r="C2644" s="117" t="s">
        <v>369</v>
      </c>
      <c r="D2644" t="s">
        <v>4566</v>
      </c>
      <c r="E2644" t="s">
        <v>4742</v>
      </c>
      <c r="F2644" s="94" t="s">
        <v>4742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4786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4895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80</v>
      </c>
      <c r="R2644" s="110" t="s">
        <v>485</v>
      </c>
      <c r="S2644" s="94"/>
    </row>
    <row r="2645" spans="1:19" hidden="1">
      <c r="A2645" s="103" t="s">
        <v>4423</v>
      </c>
      <c r="B2645" s="149" t="str">
        <f>IFERROR(VLOOKUP(Proc[[#This Row],[App]],Table2[],3,0),"open")</f>
        <v>ok</v>
      </c>
      <c r="C2645" s="117" t="s">
        <v>369</v>
      </c>
      <c r="D2645" t="s">
        <v>4567</v>
      </c>
      <c r="E2645" t="s">
        <v>4742</v>
      </c>
      <c r="F2645" s="94" t="s">
        <v>4742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4786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4895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80</v>
      </c>
      <c r="R2645" s="110" t="s">
        <v>485</v>
      </c>
      <c r="S2645" s="94"/>
    </row>
    <row r="2646" spans="1:19" hidden="1">
      <c r="A2646" s="103" t="s">
        <v>4423</v>
      </c>
      <c r="B2646" s="149" t="str">
        <f>IFERROR(VLOOKUP(Proc[[#This Row],[App]],Table2[],3,0),"open")</f>
        <v>ok</v>
      </c>
      <c r="C2646" s="117" t="s">
        <v>369</v>
      </c>
      <c r="D2646" t="s">
        <v>4568</v>
      </c>
      <c r="E2646" t="s">
        <v>4742</v>
      </c>
      <c r="F2646" s="94" t="s">
        <v>4742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4786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4895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80</v>
      </c>
      <c r="R2646" s="110" t="s">
        <v>485</v>
      </c>
      <c r="S2646" s="94"/>
    </row>
    <row r="2647" spans="1:19" hidden="1">
      <c r="A2647" s="103" t="s">
        <v>4423</v>
      </c>
      <c r="B2647" s="149" t="str">
        <f>IFERROR(VLOOKUP(Proc[[#This Row],[App]],Table2[],3,0),"open")</f>
        <v>ok</v>
      </c>
      <c r="C2647" s="117" t="s">
        <v>369</v>
      </c>
      <c r="D2647" t="s">
        <v>4569</v>
      </c>
      <c r="E2647" t="s">
        <v>4744</v>
      </c>
      <c r="F2647" s="94" t="s">
        <v>4744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4786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4895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80</v>
      </c>
      <c r="R2647" s="110" t="s">
        <v>485</v>
      </c>
      <c r="S2647" s="94"/>
    </row>
    <row r="2648" spans="1:19" hidden="1">
      <c r="A2648" s="103" t="s">
        <v>4423</v>
      </c>
      <c r="B2648" s="149" t="str">
        <f>IFERROR(VLOOKUP(Proc[[#This Row],[App]],Table2[],3,0),"open")</f>
        <v>ok</v>
      </c>
      <c r="C2648" s="117" t="s">
        <v>369</v>
      </c>
      <c r="D2648" t="s">
        <v>4570</v>
      </c>
      <c r="E2648" t="s">
        <v>4745</v>
      </c>
      <c r="F2648" s="94" t="s">
        <v>4745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4786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4895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80</v>
      </c>
      <c r="R2648" s="110" t="s">
        <v>485</v>
      </c>
      <c r="S2648" s="94"/>
    </row>
    <row r="2649" spans="1:19" hidden="1">
      <c r="A2649" s="103" t="s">
        <v>4423</v>
      </c>
      <c r="B2649" s="149" t="str">
        <f>IFERROR(VLOOKUP(Proc[[#This Row],[App]],Table2[],3,0),"open")</f>
        <v>ok</v>
      </c>
      <c r="C2649" s="117" t="s">
        <v>369</v>
      </c>
      <c r="D2649" t="s">
        <v>4571</v>
      </c>
      <c r="E2649" t="s">
        <v>4745</v>
      </c>
      <c r="F2649" s="94" t="s">
        <v>4745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4786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4895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80</v>
      </c>
      <c r="R2649" s="110" t="s">
        <v>485</v>
      </c>
      <c r="S2649" s="94"/>
    </row>
    <row r="2650" spans="1:19" hidden="1">
      <c r="A2650" s="103" t="s">
        <v>4423</v>
      </c>
      <c r="B2650" s="149" t="str">
        <f>IFERROR(VLOOKUP(Proc[[#This Row],[App]],Table2[],3,0),"open")</f>
        <v>ok</v>
      </c>
      <c r="C2650" s="117" t="s">
        <v>369</v>
      </c>
      <c r="D2650" t="s">
        <v>4572</v>
      </c>
      <c r="E2650" t="s">
        <v>4745</v>
      </c>
      <c r="F2650" s="94" t="s">
        <v>4745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4786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4895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80</v>
      </c>
      <c r="R2650" s="110" t="s">
        <v>485</v>
      </c>
      <c r="S2650" s="94"/>
    </row>
    <row r="2651" spans="1:19" hidden="1">
      <c r="A2651" s="103" t="s">
        <v>4423</v>
      </c>
      <c r="B2651" s="149" t="str">
        <f>IFERROR(VLOOKUP(Proc[[#This Row],[App]],Table2[],3,0),"open")</f>
        <v>ok</v>
      </c>
      <c r="C2651" s="117" t="s">
        <v>369</v>
      </c>
      <c r="D2651" t="s">
        <v>4573</v>
      </c>
      <c r="E2651" t="s">
        <v>4745</v>
      </c>
      <c r="F2651" s="94" t="s">
        <v>4745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4786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4895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80</v>
      </c>
      <c r="R2651" s="110" t="s">
        <v>485</v>
      </c>
      <c r="S2651" s="94"/>
    </row>
    <row r="2652" spans="1:19" hidden="1">
      <c r="A2652" s="103" t="s">
        <v>4423</v>
      </c>
      <c r="B2652" s="149" t="str">
        <f>IFERROR(VLOOKUP(Proc[[#This Row],[App]],Table2[],3,0),"open")</f>
        <v>ok</v>
      </c>
      <c r="C2652" s="117" t="s">
        <v>369</v>
      </c>
      <c r="D2652" t="s">
        <v>4574</v>
      </c>
      <c r="E2652" t="s">
        <v>4742</v>
      </c>
      <c r="F2652" s="94" t="s">
        <v>4742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4786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4895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80</v>
      </c>
      <c r="R2652" s="110" t="s">
        <v>485</v>
      </c>
      <c r="S2652" s="94"/>
    </row>
    <row r="2653" spans="1:19" hidden="1">
      <c r="A2653" s="103" t="s">
        <v>4423</v>
      </c>
      <c r="B2653" s="149" t="str">
        <f>IFERROR(VLOOKUP(Proc[[#This Row],[App]],Table2[],3,0),"open")</f>
        <v>ok</v>
      </c>
      <c r="C2653" s="117" t="s">
        <v>369</v>
      </c>
      <c r="D2653" t="s">
        <v>4575</v>
      </c>
      <c r="E2653" t="s">
        <v>4741</v>
      </c>
      <c r="F2653" s="94" t="s">
        <v>4741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4786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4895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80</v>
      </c>
      <c r="R2653" s="110" t="s">
        <v>485</v>
      </c>
      <c r="S2653" s="94"/>
    </row>
    <row r="2654" spans="1:19" hidden="1">
      <c r="A2654" s="103" t="s">
        <v>4423</v>
      </c>
      <c r="B2654" s="149" t="str">
        <f>IFERROR(VLOOKUP(Proc[[#This Row],[App]],Table2[],3,0),"open")</f>
        <v>ok</v>
      </c>
      <c r="C2654" s="117" t="s">
        <v>369</v>
      </c>
      <c r="D2654" t="s">
        <v>4576</v>
      </c>
      <c r="E2654" t="s">
        <v>4741</v>
      </c>
      <c r="F2654" s="94" t="s">
        <v>4741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4786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4895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80</v>
      </c>
      <c r="R2654" s="110" t="s">
        <v>485</v>
      </c>
      <c r="S2654" s="94"/>
    </row>
    <row r="2655" spans="1:19" hidden="1">
      <c r="A2655" s="103" t="s">
        <v>4423</v>
      </c>
      <c r="B2655" s="149" t="str">
        <f>IFERROR(VLOOKUP(Proc[[#This Row],[App]],Table2[],3,0),"open")</f>
        <v>ok</v>
      </c>
      <c r="C2655" s="117" t="s">
        <v>369</v>
      </c>
      <c r="D2655" t="s">
        <v>4577</v>
      </c>
      <c r="E2655" t="s">
        <v>4745</v>
      </c>
      <c r="F2655" s="94" t="s">
        <v>4745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4786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4895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80</v>
      </c>
      <c r="R2655" s="110" t="s">
        <v>485</v>
      </c>
      <c r="S2655" s="94"/>
    </row>
    <row r="2656" spans="1:19" hidden="1">
      <c r="A2656" s="103" t="s">
        <v>4423</v>
      </c>
      <c r="B2656" s="149" t="str">
        <f>IFERROR(VLOOKUP(Proc[[#This Row],[App]],Table2[],3,0),"open")</f>
        <v>ok</v>
      </c>
      <c r="C2656" s="117" t="s">
        <v>369</v>
      </c>
      <c r="D2656" t="s">
        <v>4578</v>
      </c>
      <c r="E2656" t="s">
        <v>4741</v>
      </c>
      <c r="F2656" s="94" t="s">
        <v>4741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4786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4895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80</v>
      </c>
      <c r="R2656" s="110" t="s">
        <v>485</v>
      </c>
      <c r="S2656" s="94"/>
    </row>
    <row r="2657" spans="1:19" hidden="1">
      <c r="A2657" s="103" t="s">
        <v>4423</v>
      </c>
      <c r="B2657" s="149" t="str">
        <f>IFERROR(VLOOKUP(Proc[[#This Row],[App]],Table2[],3,0),"open")</f>
        <v>ok</v>
      </c>
      <c r="C2657" s="117" t="s">
        <v>369</v>
      </c>
      <c r="D2657" t="s">
        <v>4579</v>
      </c>
      <c r="E2657" t="s">
        <v>4746</v>
      </c>
      <c r="F2657" s="94" t="s">
        <v>4746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4786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4895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80</v>
      </c>
      <c r="R2657" s="110" t="s">
        <v>485</v>
      </c>
      <c r="S2657" s="94"/>
    </row>
    <row r="2658" spans="1:19" hidden="1">
      <c r="A2658" s="103" t="s">
        <v>4423</v>
      </c>
      <c r="B2658" s="149" t="str">
        <f>IFERROR(VLOOKUP(Proc[[#This Row],[App]],Table2[],3,0),"open")</f>
        <v>ok</v>
      </c>
      <c r="C2658" s="117" t="s">
        <v>369</v>
      </c>
      <c r="D2658" t="s">
        <v>4580</v>
      </c>
      <c r="E2658" t="s">
        <v>4746</v>
      </c>
      <c r="F2658" s="94" t="s">
        <v>4746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4786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4895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80</v>
      </c>
      <c r="R2658" s="110" t="s">
        <v>485</v>
      </c>
      <c r="S2658" s="94"/>
    </row>
    <row r="2659" spans="1:19" hidden="1">
      <c r="A2659" s="103" t="s">
        <v>4423</v>
      </c>
      <c r="B2659" s="149" t="str">
        <f>IFERROR(VLOOKUP(Proc[[#This Row],[App]],Table2[],3,0),"open")</f>
        <v>ok</v>
      </c>
      <c r="C2659" s="117" t="s">
        <v>369</v>
      </c>
      <c r="D2659" t="s">
        <v>4581</v>
      </c>
      <c r="E2659" t="s">
        <v>4746</v>
      </c>
      <c r="F2659" s="94" t="s">
        <v>4746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4786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4895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80</v>
      </c>
      <c r="R2659" s="110" t="s">
        <v>485</v>
      </c>
      <c r="S2659" s="94"/>
    </row>
    <row r="2660" spans="1:19" hidden="1">
      <c r="A2660" s="103" t="s">
        <v>4423</v>
      </c>
      <c r="B2660" s="149" t="str">
        <f>IFERROR(VLOOKUP(Proc[[#This Row],[App]],Table2[],3,0),"open")</f>
        <v>ok</v>
      </c>
      <c r="C2660" s="117" t="s">
        <v>369</v>
      </c>
      <c r="D2660" t="s">
        <v>4582</v>
      </c>
      <c r="E2660" t="s">
        <v>4746</v>
      </c>
      <c r="F2660" s="94" t="s">
        <v>4746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4786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4895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80</v>
      </c>
      <c r="R2660" s="110" t="s">
        <v>485</v>
      </c>
      <c r="S2660" s="94"/>
    </row>
    <row r="2661" spans="1:19" hidden="1">
      <c r="A2661" s="103" t="s">
        <v>4423</v>
      </c>
      <c r="B2661" s="149" t="str">
        <f>IFERROR(VLOOKUP(Proc[[#This Row],[App]],Table2[],3,0),"open")</f>
        <v>ok</v>
      </c>
      <c r="C2661" s="117" t="s">
        <v>369</v>
      </c>
      <c r="D2661" t="s">
        <v>4583</v>
      </c>
      <c r="E2661" t="s">
        <v>4746</v>
      </c>
      <c r="F2661" s="94" t="s">
        <v>4746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4786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4895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80</v>
      </c>
      <c r="R2661" s="110" t="s">
        <v>485</v>
      </c>
      <c r="S2661" s="94"/>
    </row>
    <row r="2662" spans="1:19" hidden="1">
      <c r="A2662" s="103" t="s">
        <v>4423</v>
      </c>
      <c r="B2662" s="149" t="str">
        <f>IFERROR(VLOOKUP(Proc[[#This Row],[App]],Table2[],3,0),"open")</f>
        <v>ok</v>
      </c>
      <c r="C2662" s="117" t="s">
        <v>369</v>
      </c>
      <c r="D2662" t="s">
        <v>4584</v>
      </c>
      <c r="E2662" t="s">
        <v>4746</v>
      </c>
      <c r="F2662" s="94" t="s">
        <v>4746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4786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4895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80</v>
      </c>
      <c r="R2662" s="110" t="s">
        <v>485</v>
      </c>
      <c r="S2662" s="94"/>
    </row>
    <row r="2663" spans="1:19" hidden="1">
      <c r="A2663" s="103" t="s">
        <v>4423</v>
      </c>
      <c r="B2663" s="149" t="str">
        <f>IFERROR(VLOOKUP(Proc[[#This Row],[App]],Table2[],3,0),"open")</f>
        <v>ok</v>
      </c>
      <c r="C2663" s="117" t="s">
        <v>369</v>
      </c>
      <c r="D2663" t="s">
        <v>4585</v>
      </c>
      <c r="E2663" t="s">
        <v>4747</v>
      </c>
      <c r="F2663" s="94" t="s">
        <v>4747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4786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4895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80</v>
      </c>
      <c r="R2663" s="110" t="s">
        <v>485</v>
      </c>
      <c r="S2663" s="94"/>
    </row>
    <row r="2664" spans="1:19" hidden="1">
      <c r="A2664" s="103" t="s">
        <v>4423</v>
      </c>
      <c r="B2664" s="149" t="str">
        <f>IFERROR(VLOOKUP(Proc[[#This Row],[App]],Table2[],3,0),"open")</f>
        <v>ok</v>
      </c>
      <c r="C2664" s="117" t="s">
        <v>369</v>
      </c>
      <c r="D2664" t="s">
        <v>4586</v>
      </c>
      <c r="E2664" t="s">
        <v>4747</v>
      </c>
      <c r="F2664" s="94" t="s">
        <v>4747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4786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4895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80</v>
      </c>
      <c r="R2664" s="110" t="s">
        <v>485</v>
      </c>
      <c r="S2664" s="94"/>
    </row>
    <row r="2665" spans="1:19" hidden="1">
      <c r="A2665" s="103" t="s">
        <v>4423</v>
      </c>
      <c r="B2665" s="149" t="str">
        <f>IFERROR(VLOOKUP(Proc[[#This Row],[App]],Table2[],3,0),"open")</f>
        <v>ok</v>
      </c>
      <c r="C2665" s="117" t="s">
        <v>369</v>
      </c>
      <c r="D2665" t="s">
        <v>4587</v>
      </c>
      <c r="E2665" t="s">
        <v>4747</v>
      </c>
      <c r="F2665" s="94" t="s">
        <v>4747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4786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4895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80</v>
      </c>
      <c r="R2665" s="110" t="s">
        <v>485</v>
      </c>
      <c r="S2665" s="94"/>
    </row>
    <row r="2666" spans="1:19" hidden="1">
      <c r="A2666" s="103" t="s">
        <v>4423</v>
      </c>
      <c r="B2666" s="149" t="str">
        <f>IFERROR(VLOOKUP(Proc[[#This Row],[App]],Table2[],3,0),"open")</f>
        <v>ok</v>
      </c>
      <c r="C2666" s="117" t="s">
        <v>369</v>
      </c>
      <c r="D2666" t="s">
        <v>4588</v>
      </c>
      <c r="E2666" t="s">
        <v>4747</v>
      </c>
      <c r="F2666" s="94" t="s">
        <v>4747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4786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4895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80</v>
      </c>
      <c r="R2666" s="110" t="s">
        <v>485</v>
      </c>
      <c r="S2666" s="94"/>
    </row>
    <row r="2667" spans="1:19" hidden="1">
      <c r="A2667" s="103" t="s">
        <v>4423</v>
      </c>
      <c r="B2667" s="149" t="str">
        <f>IFERROR(VLOOKUP(Proc[[#This Row],[App]],Table2[],3,0),"open")</f>
        <v>ok</v>
      </c>
      <c r="C2667" s="117" t="s">
        <v>369</v>
      </c>
      <c r="D2667" t="s">
        <v>4589</v>
      </c>
      <c r="E2667" t="s">
        <v>4747</v>
      </c>
      <c r="F2667" s="94" t="s">
        <v>4747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4786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4895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80</v>
      </c>
      <c r="R2667" s="110" t="s">
        <v>485</v>
      </c>
      <c r="S2667" s="94"/>
    </row>
    <row r="2668" spans="1:19" hidden="1">
      <c r="A2668" s="103" t="s">
        <v>4423</v>
      </c>
      <c r="B2668" s="149" t="str">
        <f>IFERROR(VLOOKUP(Proc[[#This Row],[App]],Table2[],3,0),"open")</f>
        <v>ok</v>
      </c>
      <c r="C2668" s="117" t="s">
        <v>369</v>
      </c>
      <c r="D2668" t="s">
        <v>4590</v>
      </c>
      <c r="E2668" t="s">
        <v>4747</v>
      </c>
      <c r="F2668" s="94" t="s">
        <v>4747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4786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4895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80</v>
      </c>
      <c r="R2668" s="110" t="s">
        <v>485</v>
      </c>
      <c r="S2668" s="94"/>
    </row>
    <row r="2669" spans="1:19" hidden="1">
      <c r="A2669" s="103" t="s">
        <v>4423</v>
      </c>
      <c r="B2669" s="149" t="str">
        <f>IFERROR(VLOOKUP(Proc[[#This Row],[App]],Table2[],3,0),"open")</f>
        <v>ok</v>
      </c>
      <c r="C2669" s="117" t="s">
        <v>369</v>
      </c>
      <c r="D2669" t="s">
        <v>4591</v>
      </c>
      <c r="E2669" t="s">
        <v>4747</v>
      </c>
      <c r="F2669" s="94" t="s">
        <v>4747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4786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4895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80</v>
      </c>
      <c r="R2669" s="110" t="s">
        <v>485</v>
      </c>
      <c r="S2669" s="94"/>
    </row>
    <row r="2670" spans="1:19" hidden="1">
      <c r="A2670" s="103" t="s">
        <v>4423</v>
      </c>
      <c r="B2670" s="149" t="str">
        <f>IFERROR(VLOOKUP(Proc[[#This Row],[App]],Table2[],3,0),"open")</f>
        <v>ok</v>
      </c>
      <c r="C2670" s="117" t="s">
        <v>369</v>
      </c>
      <c r="D2670" t="s">
        <v>4592</v>
      </c>
      <c r="E2670" t="s">
        <v>4748</v>
      </c>
      <c r="F2670" s="94" t="s">
        <v>4748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4786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4895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80</v>
      </c>
      <c r="R2670" s="110" t="s">
        <v>485</v>
      </c>
      <c r="S2670" s="94"/>
    </row>
    <row r="2671" spans="1:19" hidden="1">
      <c r="A2671" s="103" t="s">
        <v>4423</v>
      </c>
      <c r="B2671" s="149" t="str">
        <f>IFERROR(VLOOKUP(Proc[[#This Row],[App]],Table2[],3,0),"open")</f>
        <v>ok</v>
      </c>
      <c r="C2671" s="117" t="s">
        <v>369</v>
      </c>
      <c r="D2671" t="s">
        <v>4593</v>
      </c>
      <c r="E2671" t="s">
        <v>4748</v>
      </c>
      <c r="F2671" s="94" t="s">
        <v>4748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4786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4895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80</v>
      </c>
      <c r="R2671" s="110" t="s">
        <v>485</v>
      </c>
      <c r="S2671" s="94"/>
    </row>
    <row r="2672" spans="1:19" hidden="1">
      <c r="A2672" s="103" t="s">
        <v>4423</v>
      </c>
      <c r="B2672" s="149" t="str">
        <f>IFERROR(VLOOKUP(Proc[[#This Row],[App]],Table2[],3,0),"open")</f>
        <v>ok</v>
      </c>
      <c r="C2672" s="117" t="s">
        <v>369</v>
      </c>
      <c r="D2672" t="s">
        <v>4594</v>
      </c>
      <c r="E2672" t="s">
        <v>4748</v>
      </c>
      <c r="F2672" s="94" t="s">
        <v>4748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4786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4895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80</v>
      </c>
      <c r="R2672" s="110" t="s">
        <v>485</v>
      </c>
      <c r="S2672" s="94"/>
    </row>
    <row r="2673" spans="1:19" hidden="1">
      <c r="A2673" s="103" t="s">
        <v>4423</v>
      </c>
      <c r="B2673" s="149" t="str">
        <f>IFERROR(VLOOKUP(Proc[[#This Row],[App]],Table2[],3,0),"open")</f>
        <v>ok</v>
      </c>
      <c r="C2673" s="117" t="s">
        <v>369</v>
      </c>
      <c r="D2673" t="s">
        <v>4595</v>
      </c>
      <c r="E2673" t="s">
        <v>4749</v>
      </c>
      <c r="F2673" s="94" t="s">
        <v>4749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4786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4895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80</v>
      </c>
      <c r="R2673" s="110" t="s">
        <v>485</v>
      </c>
      <c r="S2673" s="94"/>
    </row>
    <row r="2674" spans="1:19" hidden="1">
      <c r="A2674" s="103" t="s">
        <v>4423</v>
      </c>
      <c r="B2674" s="149" t="str">
        <f>IFERROR(VLOOKUP(Proc[[#This Row],[App]],Table2[],3,0),"open")</f>
        <v>ok</v>
      </c>
      <c r="C2674" s="117" t="s">
        <v>369</v>
      </c>
      <c r="D2674" t="s">
        <v>4596</v>
      </c>
      <c r="E2674" t="s">
        <v>4748</v>
      </c>
      <c r="F2674" s="94" t="s">
        <v>4748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4786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4895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80</v>
      </c>
      <c r="R2674" s="110" t="s">
        <v>485</v>
      </c>
      <c r="S2674" s="94"/>
    </row>
    <row r="2675" spans="1:19" hidden="1">
      <c r="A2675" s="103" t="s">
        <v>4423</v>
      </c>
      <c r="B2675" s="149" t="str">
        <f>IFERROR(VLOOKUP(Proc[[#This Row],[App]],Table2[],3,0),"open")</f>
        <v>ok</v>
      </c>
      <c r="C2675" s="117" t="s">
        <v>369</v>
      </c>
      <c r="D2675" t="s">
        <v>4597</v>
      </c>
      <c r="E2675" t="s">
        <v>4749</v>
      </c>
      <c r="F2675" s="94" t="s">
        <v>4749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4786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4895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80</v>
      </c>
      <c r="R2675" s="110" t="s">
        <v>485</v>
      </c>
      <c r="S2675" s="94"/>
    </row>
    <row r="2676" spans="1:19" hidden="1">
      <c r="A2676" s="103" t="s">
        <v>4423</v>
      </c>
      <c r="B2676" s="149" t="str">
        <f>IFERROR(VLOOKUP(Proc[[#This Row],[App]],Table2[],3,0),"open")</f>
        <v>ok</v>
      </c>
      <c r="C2676" s="117" t="s">
        <v>369</v>
      </c>
      <c r="D2676" t="s">
        <v>4598</v>
      </c>
      <c r="E2676" t="s">
        <v>4750</v>
      </c>
      <c r="F2676" s="94" t="s">
        <v>4750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4786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4895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80</v>
      </c>
      <c r="R2676" s="110" t="s">
        <v>485</v>
      </c>
      <c r="S2676" s="94"/>
    </row>
    <row r="2677" spans="1:19" hidden="1">
      <c r="A2677" s="103" t="s">
        <v>4423</v>
      </c>
      <c r="B2677" s="149" t="str">
        <f>IFERROR(VLOOKUP(Proc[[#This Row],[App]],Table2[],3,0),"open")</f>
        <v>ok</v>
      </c>
      <c r="C2677" s="117" t="s">
        <v>369</v>
      </c>
      <c r="D2677" t="s">
        <v>4599</v>
      </c>
      <c r="E2677" t="s">
        <v>4749</v>
      </c>
      <c r="F2677" s="94" t="s">
        <v>4749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4786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4895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80</v>
      </c>
      <c r="R2677" s="110" t="s">
        <v>485</v>
      </c>
      <c r="S2677" s="94"/>
    </row>
    <row r="2678" spans="1:19" hidden="1">
      <c r="A2678" s="103" t="s">
        <v>4423</v>
      </c>
      <c r="B2678" s="149" t="str">
        <f>IFERROR(VLOOKUP(Proc[[#This Row],[App]],Table2[],3,0),"open")</f>
        <v>ok</v>
      </c>
      <c r="C2678" s="117" t="s">
        <v>369</v>
      </c>
      <c r="D2678" t="s">
        <v>4600</v>
      </c>
      <c r="E2678" t="s">
        <v>4749</v>
      </c>
      <c r="F2678" s="94" t="s">
        <v>4749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4786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4895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80</v>
      </c>
      <c r="R2678" s="110" t="s">
        <v>485</v>
      </c>
      <c r="S2678" s="94"/>
    </row>
    <row r="2679" spans="1:19" hidden="1">
      <c r="A2679" s="103" t="s">
        <v>4423</v>
      </c>
      <c r="B2679" s="149" t="str">
        <f>IFERROR(VLOOKUP(Proc[[#This Row],[App]],Table2[],3,0),"open")</f>
        <v>ok</v>
      </c>
      <c r="C2679" s="117" t="s">
        <v>369</v>
      </c>
      <c r="D2679" t="s">
        <v>4601</v>
      </c>
      <c r="E2679" t="s">
        <v>4748</v>
      </c>
      <c r="F2679" s="94" t="s">
        <v>4748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4786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4895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80</v>
      </c>
      <c r="R2679" s="110" t="s">
        <v>485</v>
      </c>
      <c r="S2679" s="94"/>
    </row>
    <row r="2680" spans="1:19" hidden="1">
      <c r="A2680" s="103" t="s">
        <v>4423</v>
      </c>
      <c r="B2680" s="149" t="str">
        <f>IFERROR(VLOOKUP(Proc[[#This Row],[App]],Table2[],3,0),"open")</f>
        <v>ok</v>
      </c>
      <c r="C2680" s="117" t="s">
        <v>369</v>
      </c>
      <c r="D2680" t="s">
        <v>4602</v>
      </c>
      <c r="E2680" t="s">
        <v>4748</v>
      </c>
      <c r="F2680" s="94" t="s">
        <v>4748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4786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4895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80</v>
      </c>
      <c r="R2680" s="110" t="s">
        <v>485</v>
      </c>
      <c r="S2680" s="94"/>
    </row>
    <row r="2681" spans="1:19" hidden="1">
      <c r="A2681" s="103" t="s">
        <v>4423</v>
      </c>
      <c r="B2681" s="149" t="str">
        <f>IFERROR(VLOOKUP(Proc[[#This Row],[App]],Table2[],3,0),"open")</f>
        <v>ok</v>
      </c>
      <c r="C2681" s="117" t="s">
        <v>369</v>
      </c>
      <c r="D2681" t="s">
        <v>4603</v>
      </c>
      <c r="E2681" t="s">
        <v>4748</v>
      </c>
      <c r="F2681" s="94" t="s">
        <v>4748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4786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4895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80</v>
      </c>
      <c r="R2681" s="110" t="s">
        <v>485</v>
      </c>
      <c r="S2681" s="94"/>
    </row>
    <row r="2682" spans="1:19" hidden="1">
      <c r="A2682" s="103" t="s">
        <v>4423</v>
      </c>
      <c r="B2682" s="149" t="str">
        <f>IFERROR(VLOOKUP(Proc[[#This Row],[App]],Table2[],3,0),"open")</f>
        <v>ok</v>
      </c>
      <c r="C2682" s="117" t="s">
        <v>369</v>
      </c>
      <c r="D2682" t="s">
        <v>4604</v>
      </c>
      <c r="E2682" t="s">
        <v>4748</v>
      </c>
      <c r="F2682" s="94" t="s">
        <v>4748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4786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4895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80</v>
      </c>
      <c r="R2682" s="110" t="s">
        <v>485</v>
      </c>
      <c r="S2682" s="94"/>
    </row>
    <row r="2683" spans="1:19" hidden="1">
      <c r="A2683" s="103" t="s">
        <v>4423</v>
      </c>
      <c r="B2683" s="149" t="str">
        <f>IFERROR(VLOOKUP(Proc[[#This Row],[App]],Table2[],3,0),"open")</f>
        <v>ok</v>
      </c>
      <c r="C2683" s="117" t="s">
        <v>369</v>
      </c>
      <c r="D2683" t="s">
        <v>4605</v>
      </c>
      <c r="E2683" t="s">
        <v>4748</v>
      </c>
      <c r="F2683" s="94" t="s">
        <v>4748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4786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4895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80</v>
      </c>
      <c r="R2683" s="110" t="s">
        <v>485</v>
      </c>
      <c r="S2683" s="94"/>
    </row>
    <row r="2684" spans="1:19" hidden="1">
      <c r="A2684" s="103" t="s">
        <v>4423</v>
      </c>
      <c r="B2684" s="149" t="str">
        <f>IFERROR(VLOOKUP(Proc[[#This Row],[App]],Table2[],3,0),"open")</f>
        <v>ok</v>
      </c>
      <c r="C2684" s="117" t="s">
        <v>369</v>
      </c>
      <c r="D2684" t="s">
        <v>4606</v>
      </c>
      <c r="E2684" t="s">
        <v>4750</v>
      </c>
      <c r="F2684" s="94" t="s">
        <v>4750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4786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4895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80</v>
      </c>
      <c r="R2684" s="110" t="s">
        <v>485</v>
      </c>
      <c r="S2684" s="94"/>
    </row>
    <row r="2685" spans="1:19" hidden="1">
      <c r="A2685" s="103" t="s">
        <v>4423</v>
      </c>
      <c r="B2685" s="149" t="str">
        <f>IFERROR(VLOOKUP(Proc[[#This Row],[App]],Table2[],3,0),"open")</f>
        <v>ok</v>
      </c>
      <c r="C2685" s="117" t="s">
        <v>369</v>
      </c>
      <c r="D2685" t="s">
        <v>4607</v>
      </c>
      <c r="E2685" t="s">
        <v>4748</v>
      </c>
      <c r="F2685" s="94" t="s">
        <v>4748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4786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4895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80</v>
      </c>
      <c r="R2685" s="110" t="s">
        <v>485</v>
      </c>
      <c r="S2685" s="94"/>
    </row>
    <row r="2686" spans="1:19" hidden="1">
      <c r="A2686" s="103" t="s">
        <v>4423</v>
      </c>
      <c r="B2686" s="149" t="str">
        <f>IFERROR(VLOOKUP(Proc[[#This Row],[App]],Table2[],3,0),"open")</f>
        <v>ok</v>
      </c>
      <c r="C2686" s="117" t="s">
        <v>369</v>
      </c>
      <c r="D2686" t="s">
        <v>4608</v>
      </c>
      <c r="E2686" t="s">
        <v>4748</v>
      </c>
      <c r="F2686" s="94" t="s">
        <v>4748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4786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4895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80</v>
      </c>
      <c r="R2686" s="110" t="s">
        <v>485</v>
      </c>
      <c r="S2686" s="94"/>
    </row>
    <row r="2687" spans="1:19" hidden="1">
      <c r="A2687" s="103" t="s">
        <v>4423</v>
      </c>
      <c r="B2687" s="149" t="str">
        <f>IFERROR(VLOOKUP(Proc[[#This Row],[App]],Table2[],3,0),"open")</f>
        <v>ok</v>
      </c>
      <c r="C2687" s="117" t="s">
        <v>369</v>
      </c>
      <c r="D2687" t="s">
        <v>4609</v>
      </c>
      <c r="E2687" t="s">
        <v>4748</v>
      </c>
      <c r="F2687" s="94" t="s">
        <v>4748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4786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4895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80</v>
      </c>
      <c r="R2687" s="110" t="s">
        <v>485</v>
      </c>
      <c r="S2687" s="94"/>
    </row>
    <row r="2688" spans="1:19" hidden="1">
      <c r="A2688" s="103" t="s">
        <v>4423</v>
      </c>
      <c r="B2688" s="149" t="str">
        <f>IFERROR(VLOOKUP(Proc[[#This Row],[App]],Table2[],3,0),"open")</f>
        <v>ok</v>
      </c>
      <c r="C2688" s="117" t="s">
        <v>369</v>
      </c>
      <c r="D2688" t="s">
        <v>4610</v>
      </c>
      <c r="E2688" t="s">
        <v>4750</v>
      </c>
      <c r="F2688" s="94" t="s">
        <v>4750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4786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4895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80</v>
      </c>
      <c r="R2688" s="110" t="s">
        <v>485</v>
      </c>
      <c r="S2688" s="94"/>
    </row>
    <row r="2689" spans="1:19" hidden="1">
      <c r="A2689" s="103" t="s">
        <v>4423</v>
      </c>
      <c r="B2689" s="149" t="str">
        <f>IFERROR(VLOOKUP(Proc[[#This Row],[App]],Table2[],3,0),"open")</f>
        <v>ok</v>
      </c>
      <c r="C2689" s="117" t="s">
        <v>369</v>
      </c>
      <c r="D2689" t="s">
        <v>4611</v>
      </c>
      <c r="E2689" t="s">
        <v>4748</v>
      </c>
      <c r="F2689" s="94" t="s">
        <v>4748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4786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4895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80</v>
      </c>
      <c r="R2689" s="110" t="s">
        <v>485</v>
      </c>
      <c r="S2689" s="94"/>
    </row>
    <row r="2690" spans="1:19" hidden="1">
      <c r="A2690" s="103" t="s">
        <v>4423</v>
      </c>
      <c r="B2690" s="149" t="str">
        <f>IFERROR(VLOOKUP(Proc[[#This Row],[App]],Table2[],3,0),"open")</f>
        <v>ok</v>
      </c>
      <c r="C2690" s="117" t="s">
        <v>369</v>
      </c>
      <c r="D2690" t="s">
        <v>4612</v>
      </c>
      <c r="E2690" t="s">
        <v>4748</v>
      </c>
      <c r="F2690" s="94" t="s">
        <v>4748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4786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4895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80</v>
      </c>
      <c r="R2690" s="110" t="s">
        <v>485</v>
      </c>
      <c r="S2690" s="94"/>
    </row>
    <row r="2691" spans="1:19" hidden="1">
      <c r="A2691" s="103" t="s">
        <v>4423</v>
      </c>
      <c r="B2691" s="149" t="str">
        <f>IFERROR(VLOOKUP(Proc[[#This Row],[App]],Table2[],3,0),"open")</f>
        <v>ok</v>
      </c>
      <c r="C2691" s="117" t="s">
        <v>369</v>
      </c>
      <c r="D2691" t="s">
        <v>4613</v>
      </c>
      <c r="E2691" t="s">
        <v>4748</v>
      </c>
      <c r="F2691" s="94" t="s">
        <v>4748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4786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4895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80</v>
      </c>
      <c r="R2691" s="110" t="s">
        <v>485</v>
      </c>
      <c r="S2691" s="94"/>
    </row>
    <row r="2692" spans="1:19" hidden="1">
      <c r="A2692" s="103" t="s">
        <v>4423</v>
      </c>
      <c r="B2692" s="149" t="str">
        <f>IFERROR(VLOOKUP(Proc[[#This Row],[App]],Table2[],3,0),"open")</f>
        <v>ok</v>
      </c>
      <c r="C2692" s="117" t="s">
        <v>369</v>
      </c>
      <c r="D2692" t="s">
        <v>4614</v>
      </c>
      <c r="E2692" t="s">
        <v>4749</v>
      </c>
      <c r="F2692" s="94" t="s">
        <v>4749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4786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4895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80</v>
      </c>
      <c r="R2692" s="110" t="s">
        <v>485</v>
      </c>
      <c r="S2692" s="94"/>
    </row>
    <row r="2693" spans="1:19" hidden="1">
      <c r="A2693" s="103" t="s">
        <v>4423</v>
      </c>
      <c r="B2693" s="149" t="str">
        <f>IFERROR(VLOOKUP(Proc[[#This Row],[App]],Table2[],3,0),"open")</f>
        <v>ok</v>
      </c>
      <c r="C2693" s="117" t="s">
        <v>369</v>
      </c>
      <c r="D2693" t="s">
        <v>4615</v>
      </c>
      <c r="E2693" t="s">
        <v>4748</v>
      </c>
      <c r="F2693" s="94" t="s">
        <v>4748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4786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4895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80</v>
      </c>
      <c r="R2693" s="110" t="s">
        <v>485</v>
      </c>
      <c r="S2693" s="94"/>
    </row>
    <row r="2694" spans="1:19" hidden="1">
      <c r="A2694" s="103" t="s">
        <v>4423</v>
      </c>
      <c r="B2694" s="149" t="str">
        <f>IFERROR(VLOOKUP(Proc[[#This Row],[App]],Table2[],3,0),"open")</f>
        <v>ok</v>
      </c>
      <c r="C2694" s="117" t="s">
        <v>369</v>
      </c>
      <c r="D2694" t="s">
        <v>4616</v>
      </c>
      <c r="E2694" t="s">
        <v>4750</v>
      </c>
      <c r="F2694" s="94" t="s">
        <v>4750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4786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4895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80</v>
      </c>
      <c r="R2694" s="110" t="s">
        <v>485</v>
      </c>
      <c r="S2694" s="94"/>
    </row>
    <row r="2695" spans="1:19" hidden="1">
      <c r="A2695" s="103" t="s">
        <v>4423</v>
      </c>
      <c r="B2695" s="149" t="str">
        <f>IFERROR(VLOOKUP(Proc[[#This Row],[App]],Table2[],3,0),"open")</f>
        <v>ok</v>
      </c>
      <c r="C2695" s="117" t="s">
        <v>369</v>
      </c>
      <c r="D2695" t="s">
        <v>4617</v>
      </c>
      <c r="E2695" t="s">
        <v>4750</v>
      </c>
      <c r="F2695" s="94" t="s">
        <v>4750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4786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4895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80</v>
      </c>
      <c r="R2695" s="110" t="s">
        <v>485</v>
      </c>
      <c r="S2695" s="94"/>
    </row>
    <row r="2696" spans="1:19" hidden="1">
      <c r="A2696" s="103" t="s">
        <v>4423</v>
      </c>
      <c r="B2696" s="149" t="str">
        <f>IFERROR(VLOOKUP(Proc[[#This Row],[App]],Table2[],3,0),"open")</f>
        <v>ok</v>
      </c>
      <c r="C2696" s="117" t="s">
        <v>369</v>
      </c>
      <c r="D2696" t="s">
        <v>4618</v>
      </c>
      <c r="E2696" t="s">
        <v>4748</v>
      </c>
      <c r="F2696" s="94" t="s">
        <v>4748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4786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4895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80</v>
      </c>
      <c r="R2696" s="110" t="s">
        <v>485</v>
      </c>
      <c r="S2696" s="94"/>
    </row>
    <row r="2697" spans="1:19" hidden="1">
      <c r="A2697" s="103" t="s">
        <v>4423</v>
      </c>
      <c r="B2697" s="149" t="str">
        <f>IFERROR(VLOOKUP(Proc[[#This Row],[App]],Table2[],3,0),"open")</f>
        <v>ok</v>
      </c>
      <c r="C2697" s="117" t="s">
        <v>369</v>
      </c>
      <c r="D2697" t="s">
        <v>4619</v>
      </c>
      <c r="E2697" t="s">
        <v>4748</v>
      </c>
      <c r="F2697" s="94" t="s">
        <v>4748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4786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4895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80</v>
      </c>
      <c r="R2697" s="110" t="s">
        <v>485</v>
      </c>
      <c r="S2697" s="94"/>
    </row>
    <row r="2698" spans="1:19" hidden="1">
      <c r="A2698" s="103" t="s">
        <v>4423</v>
      </c>
      <c r="B2698" s="149" t="str">
        <f>IFERROR(VLOOKUP(Proc[[#This Row],[App]],Table2[],3,0),"open")</f>
        <v>ok</v>
      </c>
      <c r="C2698" s="117" t="s">
        <v>369</v>
      </c>
      <c r="D2698" t="s">
        <v>4620</v>
      </c>
      <c r="E2698" t="s">
        <v>4748</v>
      </c>
      <c r="F2698" s="94" t="s">
        <v>4748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4786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4895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80</v>
      </c>
      <c r="R2698" s="110" t="s">
        <v>485</v>
      </c>
      <c r="S2698" s="94"/>
    </row>
    <row r="2699" spans="1:19" hidden="1">
      <c r="A2699" s="103" t="s">
        <v>4423</v>
      </c>
      <c r="B2699" s="149" t="str">
        <f>IFERROR(VLOOKUP(Proc[[#This Row],[App]],Table2[],3,0),"open")</f>
        <v>ok</v>
      </c>
      <c r="C2699" s="117" t="s">
        <v>369</v>
      </c>
      <c r="D2699" t="s">
        <v>4621</v>
      </c>
      <c r="E2699" t="s">
        <v>4749</v>
      </c>
      <c r="F2699" s="94" t="s">
        <v>4749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4786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4895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80</v>
      </c>
      <c r="R2699" s="110" t="s">
        <v>485</v>
      </c>
      <c r="S2699" s="94"/>
    </row>
    <row r="2700" spans="1:19" hidden="1">
      <c r="A2700" s="103" t="s">
        <v>4423</v>
      </c>
      <c r="B2700" s="149" t="str">
        <f>IFERROR(VLOOKUP(Proc[[#This Row],[App]],Table2[],3,0),"open")</f>
        <v>ok</v>
      </c>
      <c r="C2700" s="117" t="s">
        <v>369</v>
      </c>
      <c r="D2700" t="s">
        <v>4622</v>
      </c>
      <c r="E2700" t="s">
        <v>4749</v>
      </c>
      <c r="F2700" s="94" t="s">
        <v>4749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4786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4895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80</v>
      </c>
      <c r="R2700" s="110" t="s">
        <v>485</v>
      </c>
      <c r="S2700" s="94"/>
    </row>
    <row r="2701" spans="1:19" hidden="1">
      <c r="A2701" s="103" t="s">
        <v>4423</v>
      </c>
      <c r="B2701" s="149" t="str">
        <f>IFERROR(VLOOKUP(Proc[[#This Row],[App]],Table2[],3,0),"open")</f>
        <v>ok</v>
      </c>
      <c r="C2701" s="117" t="s">
        <v>369</v>
      </c>
      <c r="D2701" t="s">
        <v>4623</v>
      </c>
      <c r="E2701" t="s">
        <v>4749</v>
      </c>
      <c r="F2701" s="94" t="s">
        <v>4749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4786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4895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80</v>
      </c>
      <c r="R2701" s="110" t="s">
        <v>485</v>
      </c>
      <c r="S2701" s="94"/>
    </row>
    <row r="2702" spans="1:19" hidden="1">
      <c r="A2702" s="103" t="s">
        <v>4423</v>
      </c>
      <c r="B2702" s="149" t="str">
        <f>IFERROR(VLOOKUP(Proc[[#This Row],[App]],Table2[],3,0),"open")</f>
        <v>ok</v>
      </c>
      <c r="C2702" s="117" t="s">
        <v>369</v>
      </c>
      <c r="D2702" t="s">
        <v>4624</v>
      </c>
      <c r="E2702" t="s">
        <v>4749</v>
      </c>
      <c r="F2702" s="94" t="s">
        <v>4749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4786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4895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80</v>
      </c>
      <c r="R2702" s="110" t="s">
        <v>485</v>
      </c>
      <c r="S2702" s="94"/>
    </row>
    <row r="2703" spans="1:19" hidden="1">
      <c r="A2703" s="103" t="s">
        <v>4423</v>
      </c>
      <c r="B2703" s="149" t="str">
        <f>IFERROR(VLOOKUP(Proc[[#This Row],[App]],Table2[],3,0),"open")</f>
        <v>ok</v>
      </c>
      <c r="C2703" s="117" t="s">
        <v>369</v>
      </c>
      <c r="D2703" t="s">
        <v>4625</v>
      </c>
      <c r="E2703" t="s">
        <v>4749</v>
      </c>
      <c r="F2703" s="94" t="s">
        <v>4749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4786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4895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80</v>
      </c>
      <c r="R2703" s="110" t="s">
        <v>485</v>
      </c>
      <c r="S2703" s="94"/>
    </row>
    <row r="2704" spans="1:19" hidden="1">
      <c r="A2704" s="103" t="s">
        <v>4423</v>
      </c>
      <c r="B2704" s="149" t="str">
        <f>IFERROR(VLOOKUP(Proc[[#This Row],[App]],Table2[],3,0),"open")</f>
        <v>ok</v>
      </c>
      <c r="C2704" s="117" t="s">
        <v>369</v>
      </c>
      <c r="D2704" t="s">
        <v>4626</v>
      </c>
      <c r="E2704" t="s">
        <v>4749</v>
      </c>
      <c r="F2704" s="94" t="s">
        <v>4749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4786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4895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80</v>
      </c>
      <c r="R2704" s="110" t="s">
        <v>485</v>
      </c>
      <c r="S2704" s="94"/>
    </row>
    <row r="2705" spans="1:19" hidden="1">
      <c r="A2705" s="103" t="s">
        <v>4423</v>
      </c>
      <c r="B2705" s="149" t="str">
        <f>IFERROR(VLOOKUP(Proc[[#This Row],[App]],Table2[],3,0),"open")</f>
        <v>ok</v>
      </c>
      <c r="C2705" s="117" t="s">
        <v>369</v>
      </c>
      <c r="D2705" t="s">
        <v>4627</v>
      </c>
      <c r="E2705" t="s">
        <v>4749</v>
      </c>
      <c r="F2705" s="94" t="s">
        <v>4749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4786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4895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80</v>
      </c>
      <c r="R2705" s="110" t="s">
        <v>485</v>
      </c>
      <c r="S2705" s="94"/>
    </row>
    <row r="2706" spans="1:19" hidden="1">
      <c r="A2706" s="103" t="s">
        <v>4423</v>
      </c>
      <c r="B2706" s="149" t="str">
        <f>IFERROR(VLOOKUP(Proc[[#This Row],[App]],Table2[],3,0),"open")</f>
        <v>ok</v>
      </c>
      <c r="C2706" s="117" t="s">
        <v>369</v>
      </c>
      <c r="D2706" t="s">
        <v>4628</v>
      </c>
      <c r="E2706" t="s">
        <v>4749</v>
      </c>
      <c r="F2706" s="94" t="s">
        <v>4749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4786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4895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80</v>
      </c>
      <c r="R2706" s="110" t="s">
        <v>485</v>
      </c>
      <c r="S2706" s="94"/>
    </row>
    <row r="2707" spans="1:19" hidden="1">
      <c r="A2707" s="103" t="s">
        <v>4423</v>
      </c>
      <c r="B2707" s="149" t="str">
        <f>IFERROR(VLOOKUP(Proc[[#This Row],[App]],Table2[],3,0),"open")</f>
        <v>ok</v>
      </c>
      <c r="C2707" s="117" t="s">
        <v>369</v>
      </c>
      <c r="D2707" t="s">
        <v>4629</v>
      </c>
      <c r="E2707" t="s">
        <v>4749</v>
      </c>
      <c r="F2707" s="94" t="s">
        <v>4749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4786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4895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80</v>
      </c>
      <c r="R2707" s="110" t="s">
        <v>485</v>
      </c>
      <c r="S2707" s="94"/>
    </row>
    <row r="2708" spans="1:19" hidden="1">
      <c r="A2708" s="103" t="s">
        <v>4423</v>
      </c>
      <c r="B2708" s="149" t="str">
        <f>IFERROR(VLOOKUP(Proc[[#This Row],[App]],Table2[],3,0),"open")</f>
        <v>ok</v>
      </c>
      <c r="C2708" s="117" t="s">
        <v>369</v>
      </c>
      <c r="D2708" t="s">
        <v>4630</v>
      </c>
      <c r="E2708" t="s">
        <v>4749</v>
      </c>
      <c r="F2708" s="94" t="s">
        <v>4749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4786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4895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80</v>
      </c>
      <c r="R2708" s="110" t="s">
        <v>485</v>
      </c>
      <c r="S2708" s="94"/>
    </row>
    <row r="2709" spans="1:19" hidden="1">
      <c r="A2709" s="103" t="s">
        <v>4423</v>
      </c>
      <c r="B2709" s="149" t="str">
        <f>IFERROR(VLOOKUP(Proc[[#This Row],[App]],Table2[],3,0),"open")</f>
        <v>ok</v>
      </c>
      <c r="C2709" s="117" t="s">
        <v>369</v>
      </c>
      <c r="D2709" t="s">
        <v>4631</v>
      </c>
      <c r="E2709" t="s">
        <v>4749</v>
      </c>
      <c r="F2709" s="94" t="s">
        <v>4749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4786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4895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80</v>
      </c>
      <c r="R2709" s="110" t="s">
        <v>485</v>
      </c>
      <c r="S2709" s="94"/>
    </row>
    <row r="2710" spans="1:19" hidden="1">
      <c r="A2710" s="103" t="s">
        <v>4423</v>
      </c>
      <c r="B2710" s="149" t="str">
        <f>IFERROR(VLOOKUP(Proc[[#This Row],[App]],Table2[],3,0),"open")</f>
        <v>ok</v>
      </c>
      <c r="C2710" s="117" t="s">
        <v>369</v>
      </c>
      <c r="D2710" t="s">
        <v>4632</v>
      </c>
      <c r="E2710" t="s">
        <v>4749</v>
      </c>
      <c r="F2710" s="94" t="s">
        <v>4749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4786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4895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80</v>
      </c>
      <c r="R2710" s="110" t="s">
        <v>485</v>
      </c>
      <c r="S2710" s="94"/>
    </row>
    <row r="2711" spans="1:19" hidden="1">
      <c r="A2711" s="103" t="s">
        <v>4423</v>
      </c>
      <c r="B2711" s="149" t="str">
        <f>IFERROR(VLOOKUP(Proc[[#This Row],[App]],Table2[],3,0),"open")</f>
        <v>ok</v>
      </c>
      <c r="C2711" s="117" t="s">
        <v>369</v>
      </c>
      <c r="D2711" t="s">
        <v>4633</v>
      </c>
      <c r="E2711" t="s">
        <v>4749</v>
      </c>
      <c r="F2711" s="94" t="s">
        <v>4749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4786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4895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80</v>
      </c>
      <c r="R2711" s="110" t="s">
        <v>485</v>
      </c>
      <c r="S2711" s="94"/>
    </row>
    <row r="2712" spans="1:19" hidden="1">
      <c r="A2712" s="103" t="s">
        <v>4423</v>
      </c>
      <c r="B2712" s="149" t="str">
        <f>IFERROR(VLOOKUP(Proc[[#This Row],[App]],Table2[],3,0),"open")</f>
        <v>ok</v>
      </c>
      <c r="C2712" s="117" t="s">
        <v>369</v>
      </c>
      <c r="D2712" t="s">
        <v>4634</v>
      </c>
      <c r="E2712" t="s">
        <v>4749</v>
      </c>
      <c r="F2712" s="94" t="s">
        <v>4749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4786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4895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80</v>
      </c>
      <c r="R2712" s="110" t="s">
        <v>485</v>
      </c>
      <c r="S2712" s="94"/>
    </row>
    <row r="2713" spans="1:19" hidden="1">
      <c r="A2713" s="103" t="s">
        <v>4423</v>
      </c>
      <c r="B2713" s="149" t="str">
        <f>IFERROR(VLOOKUP(Proc[[#This Row],[App]],Table2[],3,0),"open")</f>
        <v>ok</v>
      </c>
      <c r="C2713" s="117" t="s">
        <v>369</v>
      </c>
      <c r="D2713" t="s">
        <v>4635</v>
      </c>
      <c r="E2713" t="s">
        <v>4748</v>
      </c>
      <c r="F2713" s="94" t="s">
        <v>4748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4786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4895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80</v>
      </c>
      <c r="R2713" s="110" t="s">
        <v>485</v>
      </c>
      <c r="S2713" s="94"/>
    </row>
    <row r="2714" spans="1:19" hidden="1">
      <c r="A2714" s="103" t="s">
        <v>4423</v>
      </c>
      <c r="B2714" s="149" t="str">
        <f>IFERROR(VLOOKUP(Proc[[#This Row],[App]],Table2[],3,0),"open")</f>
        <v>ok</v>
      </c>
      <c r="C2714" s="117" t="s">
        <v>369</v>
      </c>
      <c r="D2714" t="s">
        <v>4636</v>
      </c>
      <c r="E2714" t="s">
        <v>4748</v>
      </c>
      <c r="F2714" s="94" t="s">
        <v>4748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4786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4895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80</v>
      </c>
      <c r="R2714" s="110" t="s">
        <v>485</v>
      </c>
      <c r="S2714" s="94"/>
    </row>
    <row r="2715" spans="1:19" hidden="1">
      <c r="A2715" s="103" t="s">
        <v>4423</v>
      </c>
      <c r="B2715" s="149" t="str">
        <f>IFERROR(VLOOKUP(Proc[[#This Row],[App]],Table2[],3,0),"open")</f>
        <v>ok</v>
      </c>
      <c r="C2715" s="117" t="s">
        <v>369</v>
      </c>
      <c r="D2715" t="s">
        <v>4637</v>
      </c>
      <c r="E2715" t="s">
        <v>4748</v>
      </c>
      <c r="F2715" s="94" t="s">
        <v>4748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4786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4895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80</v>
      </c>
      <c r="R2715" s="110" t="s">
        <v>485</v>
      </c>
      <c r="S2715" s="94"/>
    </row>
    <row r="2716" spans="1:19" hidden="1">
      <c r="A2716" s="103" t="s">
        <v>4423</v>
      </c>
      <c r="B2716" s="149" t="str">
        <f>IFERROR(VLOOKUP(Proc[[#This Row],[App]],Table2[],3,0),"open")</f>
        <v>ok</v>
      </c>
      <c r="C2716" s="117" t="s">
        <v>369</v>
      </c>
      <c r="D2716" t="s">
        <v>4638</v>
      </c>
      <c r="E2716" t="s">
        <v>4749</v>
      </c>
      <c r="F2716" s="94" t="s">
        <v>4749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4786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4895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80</v>
      </c>
      <c r="R2716" s="110" t="s">
        <v>485</v>
      </c>
      <c r="S2716" s="94"/>
    </row>
    <row r="2717" spans="1:19" hidden="1">
      <c r="A2717" s="103" t="s">
        <v>4423</v>
      </c>
      <c r="B2717" s="149" t="str">
        <f>IFERROR(VLOOKUP(Proc[[#This Row],[App]],Table2[],3,0),"open")</f>
        <v>ok</v>
      </c>
      <c r="C2717" s="117" t="s">
        <v>369</v>
      </c>
      <c r="D2717" t="s">
        <v>4639</v>
      </c>
      <c r="E2717" t="s">
        <v>4749</v>
      </c>
      <c r="F2717" s="94" t="s">
        <v>4749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4786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4895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80</v>
      </c>
      <c r="R2717" s="110" t="s">
        <v>485</v>
      </c>
      <c r="S2717" s="94"/>
    </row>
    <row r="2718" spans="1:19" hidden="1">
      <c r="A2718" s="103" t="s">
        <v>4423</v>
      </c>
      <c r="B2718" s="149" t="str">
        <f>IFERROR(VLOOKUP(Proc[[#This Row],[App]],Table2[],3,0),"open")</f>
        <v>ok</v>
      </c>
      <c r="C2718" s="117" t="s">
        <v>369</v>
      </c>
      <c r="D2718" t="s">
        <v>4640</v>
      </c>
      <c r="E2718" t="s">
        <v>4749</v>
      </c>
      <c r="F2718" s="94" t="s">
        <v>4749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4786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4895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80</v>
      </c>
      <c r="R2718" s="110" t="s">
        <v>485</v>
      </c>
      <c r="S2718" s="94"/>
    </row>
    <row r="2719" spans="1:19" hidden="1">
      <c r="A2719" s="103" t="s">
        <v>4423</v>
      </c>
      <c r="B2719" s="149" t="str">
        <f>IFERROR(VLOOKUP(Proc[[#This Row],[App]],Table2[],3,0),"open")</f>
        <v>ok</v>
      </c>
      <c r="C2719" s="117" t="s">
        <v>369</v>
      </c>
      <c r="D2719" t="s">
        <v>4641</v>
      </c>
      <c r="E2719" t="s">
        <v>4749</v>
      </c>
      <c r="F2719" s="94" t="s">
        <v>4749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4786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4895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80</v>
      </c>
      <c r="R2719" s="110" t="s">
        <v>485</v>
      </c>
      <c r="S2719" s="94"/>
    </row>
    <row r="2720" spans="1:19" hidden="1">
      <c r="A2720" s="103" t="s">
        <v>4423</v>
      </c>
      <c r="B2720" s="149" t="str">
        <f>IFERROR(VLOOKUP(Proc[[#This Row],[App]],Table2[],3,0),"open")</f>
        <v>ok</v>
      </c>
      <c r="C2720" s="117" t="s">
        <v>369</v>
      </c>
      <c r="D2720" t="s">
        <v>4642</v>
      </c>
      <c r="E2720" t="s">
        <v>4749</v>
      </c>
      <c r="F2720" s="94" t="s">
        <v>4749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4786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4895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80</v>
      </c>
      <c r="R2720" s="110" t="s">
        <v>485</v>
      </c>
      <c r="S2720" s="94"/>
    </row>
    <row r="2721" spans="1:19" hidden="1">
      <c r="A2721" s="103" t="s">
        <v>4423</v>
      </c>
      <c r="B2721" s="149" t="str">
        <f>IFERROR(VLOOKUP(Proc[[#This Row],[App]],Table2[],3,0),"open")</f>
        <v>ok</v>
      </c>
      <c r="C2721" s="117" t="s">
        <v>369</v>
      </c>
      <c r="D2721" t="s">
        <v>4643</v>
      </c>
      <c r="E2721" t="s">
        <v>4749</v>
      </c>
      <c r="F2721" s="94" t="s">
        <v>4749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4786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4895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80</v>
      </c>
      <c r="R2721" s="110" t="s">
        <v>485</v>
      </c>
      <c r="S2721" s="94"/>
    </row>
    <row r="2722" spans="1:19" hidden="1">
      <c r="A2722" s="103" t="s">
        <v>4423</v>
      </c>
      <c r="B2722" s="149" t="str">
        <f>IFERROR(VLOOKUP(Proc[[#This Row],[App]],Table2[],3,0),"open")</f>
        <v>ok</v>
      </c>
      <c r="C2722" s="117" t="s">
        <v>369</v>
      </c>
      <c r="D2722" t="s">
        <v>4644</v>
      </c>
      <c r="E2722" t="s">
        <v>4749</v>
      </c>
      <c r="F2722" s="94" t="s">
        <v>4749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4786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4895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80</v>
      </c>
      <c r="R2722" s="110" t="s">
        <v>485</v>
      </c>
      <c r="S2722" s="94"/>
    </row>
    <row r="2723" spans="1:19" hidden="1">
      <c r="A2723" s="103" t="s">
        <v>4423</v>
      </c>
      <c r="B2723" s="149" t="str">
        <f>IFERROR(VLOOKUP(Proc[[#This Row],[App]],Table2[],3,0),"open")</f>
        <v>ok</v>
      </c>
      <c r="C2723" s="117" t="s">
        <v>369</v>
      </c>
      <c r="D2723" t="s">
        <v>4645</v>
      </c>
      <c r="E2723" t="s">
        <v>4749</v>
      </c>
      <c r="F2723" s="94" t="s">
        <v>4749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4786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4895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80</v>
      </c>
      <c r="R2723" s="110" t="s">
        <v>485</v>
      </c>
      <c r="S2723" s="94"/>
    </row>
    <row r="2724" spans="1:19" hidden="1">
      <c r="A2724" s="103" t="s">
        <v>4423</v>
      </c>
      <c r="B2724" s="149" t="str">
        <f>IFERROR(VLOOKUP(Proc[[#This Row],[App]],Table2[],3,0),"open")</f>
        <v>ok</v>
      </c>
      <c r="C2724" s="117" t="s">
        <v>369</v>
      </c>
      <c r="D2724" t="s">
        <v>4646</v>
      </c>
      <c r="E2724" t="s">
        <v>4749</v>
      </c>
      <c r="F2724" s="94" t="s">
        <v>4749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4786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4895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80</v>
      </c>
      <c r="R2724" s="110" t="s">
        <v>485</v>
      </c>
      <c r="S2724" s="94"/>
    </row>
    <row r="2725" spans="1:19" hidden="1">
      <c r="A2725" s="103" t="s">
        <v>4423</v>
      </c>
      <c r="B2725" s="149" t="str">
        <f>IFERROR(VLOOKUP(Proc[[#This Row],[App]],Table2[],3,0),"open")</f>
        <v>ok</v>
      </c>
      <c r="C2725" s="117" t="s">
        <v>369</v>
      </c>
      <c r="D2725" t="s">
        <v>4647</v>
      </c>
      <c r="E2725" t="s">
        <v>4749</v>
      </c>
      <c r="F2725" s="94" t="s">
        <v>4749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4786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4895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80</v>
      </c>
      <c r="R2725" s="110" t="s">
        <v>485</v>
      </c>
      <c r="S2725" s="94"/>
    </row>
    <row r="2726" spans="1:19" hidden="1">
      <c r="A2726" s="103" t="s">
        <v>4423</v>
      </c>
      <c r="B2726" s="149" t="str">
        <f>IFERROR(VLOOKUP(Proc[[#This Row],[App]],Table2[],3,0),"open")</f>
        <v>ok</v>
      </c>
      <c r="C2726" s="117" t="s">
        <v>369</v>
      </c>
      <c r="D2726" t="s">
        <v>4648</v>
      </c>
      <c r="E2726" t="s">
        <v>4749</v>
      </c>
      <c r="F2726" s="94" t="s">
        <v>4749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4786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4895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80</v>
      </c>
      <c r="R2726" s="110" t="s">
        <v>485</v>
      </c>
      <c r="S2726" s="94"/>
    </row>
    <row r="2727" spans="1:19" hidden="1">
      <c r="A2727" s="103" t="s">
        <v>4423</v>
      </c>
      <c r="B2727" s="149" t="str">
        <f>IFERROR(VLOOKUP(Proc[[#This Row],[App]],Table2[],3,0),"open")</f>
        <v>ok</v>
      </c>
      <c r="C2727" s="117" t="s">
        <v>369</v>
      </c>
      <c r="D2727" t="s">
        <v>4649</v>
      </c>
      <c r="E2727" t="s">
        <v>4749</v>
      </c>
      <c r="F2727" s="94" t="s">
        <v>4749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4786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4895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80</v>
      </c>
      <c r="R2727" s="110" t="s">
        <v>485</v>
      </c>
      <c r="S2727" s="94"/>
    </row>
    <row r="2728" spans="1:19" hidden="1">
      <c r="A2728" s="103" t="s">
        <v>4423</v>
      </c>
      <c r="B2728" s="149" t="str">
        <f>IFERROR(VLOOKUP(Proc[[#This Row],[App]],Table2[],3,0),"open")</f>
        <v>ok</v>
      </c>
      <c r="C2728" s="117" t="s">
        <v>369</v>
      </c>
      <c r="D2728" t="s">
        <v>4650</v>
      </c>
      <c r="E2728" t="s">
        <v>4749</v>
      </c>
      <c r="F2728" s="94" t="s">
        <v>4749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4786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4895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80</v>
      </c>
      <c r="R2728" s="110" t="s">
        <v>485</v>
      </c>
      <c r="S2728" s="94"/>
    </row>
    <row r="2729" spans="1:19" hidden="1">
      <c r="A2729" s="103" t="s">
        <v>4423</v>
      </c>
      <c r="B2729" s="149" t="str">
        <f>IFERROR(VLOOKUP(Proc[[#This Row],[App]],Table2[],3,0),"open")</f>
        <v>ok</v>
      </c>
      <c r="C2729" s="117" t="s">
        <v>369</v>
      </c>
      <c r="D2729" t="s">
        <v>4651</v>
      </c>
      <c r="E2729" t="s">
        <v>4749</v>
      </c>
      <c r="F2729" s="94" t="s">
        <v>4749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4786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4895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80</v>
      </c>
      <c r="R2729" s="110" t="s">
        <v>485</v>
      </c>
      <c r="S2729" s="94"/>
    </row>
    <row r="2730" spans="1:19" hidden="1">
      <c r="A2730" s="103" t="s">
        <v>4423</v>
      </c>
      <c r="B2730" s="149" t="str">
        <f>IFERROR(VLOOKUP(Proc[[#This Row],[App]],Table2[],3,0),"open")</f>
        <v>ok</v>
      </c>
      <c r="C2730" s="117" t="s">
        <v>369</v>
      </c>
      <c r="D2730" t="s">
        <v>4652</v>
      </c>
      <c r="E2730" t="s">
        <v>4749</v>
      </c>
      <c r="F2730" s="94" t="s">
        <v>4749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4786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4895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80</v>
      </c>
      <c r="R2730" s="110" t="s">
        <v>485</v>
      </c>
      <c r="S2730" s="94"/>
    </row>
    <row r="2731" spans="1:19" hidden="1">
      <c r="A2731" s="103" t="s">
        <v>4423</v>
      </c>
      <c r="B2731" s="149" t="str">
        <f>IFERROR(VLOOKUP(Proc[[#This Row],[App]],Table2[],3,0),"open")</f>
        <v>ok</v>
      </c>
      <c r="C2731" s="117" t="s">
        <v>369</v>
      </c>
      <c r="D2731" t="s">
        <v>4653</v>
      </c>
      <c r="E2731" t="s">
        <v>4749</v>
      </c>
      <c r="F2731" s="94" t="s">
        <v>4749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4786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4895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80</v>
      </c>
      <c r="R2731" s="110" t="s">
        <v>485</v>
      </c>
      <c r="S2731" s="94"/>
    </row>
    <row r="2732" spans="1:19" hidden="1">
      <c r="A2732" s="103" t="s">
        <v>4423</v>
      </c>
      <c r="B2732" s="149" t="str">
        <f>IFERROR(VLOOKUP(Proc[[#This Row],[App]],Table2[],3,0),"open")</f>
        <v>ok</v>
      </c>
      <c r="C2732" s="117" t="s">
        <v>369</v>
      </c>
      <c r="D2732" t="s">
        <v>4654</v>
      </c>
      <c r="E2732" t="s">
        <v>4749</v>
      </c>
      <c r="F2732" s="94" t="s">
        <v>4749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4786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4895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80</v>
      </c>
      <c r="R2732" s="110" t="s">
        <v>485</v>
      </c>
      <c r="S2732" s="94"/>
    </row>
    <row r="2733" spans="1:19" hidden="1">
      <c r="A2733" s="103" t="s">
        <v>4423</v>
      </c>
      <c r="B2733" s="149" t="str">
        <f>IFERROR(VLOOKUP(Proc[[#This Row],[App]],Table2[],3,0),"open")</f>
        <v>ok</v>
      </c>
      <c r="C2733" s="117" t="s">
        <v>369</v>
      </c>
      <c r="D2733" t="s">
        <v>4655</v>
      </c>
      <c r="E2733" t="s">
        <v>4749</v>
      </c>
      <c r="F2733" s="94" t="s">
        <v>4749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4786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4895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80</v>
      </c>
      <c r="R2733" s="110" t="s">
        <v>485</v>
      </c>
      <c r="S2733" s="94"/>
    </row>
    <row r="2734" spans="1:19" hidden="1">
      <c r="A2734" s="103" t="s">
        <v>4423</v>
      </c>
      <c r="B2734" s="149" t="str">
        <f>IFERROR(VLOOKUP(Proc[[#This Row],[App]],Table2[],3,0),"open")</f>
        <v>ok</v>
      </c>
      <c r="C2734" s="117" t="s">
        <v>369</v>
      </c>
      <c r="D2734" t="s">
        <v>4656</v>
      </c>
      <c r="E2734" t="s">
        <v>4751</v>
      </c>
      <c r="F2734" s="94" t="s">
        <v>4751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4786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4895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80</v>
      </c>
      <c r="R2734" s="110" t="s">
        <v>485</v>
      </c>
      <c r="S2734" s="94"/>
    </row>
    <row r="2735" spans="1:19" hidden="1">
      <c r="A2735" s="103" t="s">
        <v>4423</v>
      </c>
      <c r="B2735" s="149" t="str">
        <f>IFERROR(VLOOKUP(Proc[[#This Row],[App]],Table2[],3,0),"open")</f>
        <v>ok</v>
      </c>
      <c r="C2735" s="117" t="s">
        <v>369</v>
      </c>
      <c r="D2735" t="s">
        <v>4657</v>
      </c>
      <c r="E2735" t="s">
        <v>4752</v>
      </c>
      <c r="F2735" s="94" t="s">
        <v>4752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4786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4895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80</v>
      </c>
      <c r="R2735" s="110" t="s">
        <v>485</v>
      </c>
      <c r="S2735" s="94"/>
    </row>
    <row r="2736" spans="1:19" hidden="1">
      <c r="A2736" s="103" t="s">
        <v>4423</v>
      </c>
      <c r="B2736" s="149" t="str">
        <f>IFERROR(VLOOKUP(Proc[[#This Row],[App]],Table2[],3,0),"open")</f>
        <v>ok</v>
      </c>
      <c r="C2736" s="117" t="s">
        <v>369</v>
      </c>
      <c r="D2736" t="s">
        <v>4658</v>
      </c>
      <c r="E2736" t="s">
        <v>4751</v>
      </c>
      <c r="F2736" s="94" t="s">
        <v>4751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4786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4895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80</v>
      </c>
      <c r="R2736" s="110" t="s">
        <v>485</v>
      </c>
      <c r="S2736" s="94"/>
    </row>
    <row r="2737" spans="1:19" hidden="1">
      <c r="A2737" s="103" t="s">
        <v>4423</v>
      </c>
      <c r="B2737" s="149" t="str">
        <f>IFERROR(VLOOKUP(Proc[[#This Row],[App]],Table2[],3,0),"open")</f>
        <v>ok</v>
      </c>
      <c r="C2737" s="117" t="s">
        <v>369</v>
      </c>
      <c r="D2737" t="s">
        <v>4659</v>
      </c>
      <c r="E2737" t="s">
        <v>4753</v>
      </c>
      <c r="F2737" s="94" t="s">
        <v>4753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4786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4895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80</v>
      </c>
      <c r="R2737" s="110" t="s">
        <v>485</v>
      </c>
      <c r="S2737" s="94"/>
    </row>
    <row r="2738" spans="1:19" hidden="1">
      <c r="A2738" s="103" t="s">
        <v>4423</v>
      </c>
      <c r="B2738" s="149" t="str">
        <f>IFERROR(VLOOKUP(Proc[[#This Row],[App]],Table2[],3,0),"open")</f>
        <v>ok</v>
      </c>
      <c r="C2738" s="117" t="s">
        <v>369</v>
      </c>
      <c r="D2738" t="s">
        <v>4660</v>
      </c>
      <c r="E2738" t="s">
        <v>4751</v>
      </c>
      <c r="F2738" s="94" t="s">
        <v>4751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4786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4895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80</v>
      </c>
      <c r="R2738" s="110" t="s">
        <v>485</v>
      </c>
      <c r="S2738" s="94"/>
    </row>
    <row r="2739" spans="1:19" hidden="1">
      <c r="A2739" s="103" t="s">
        <v>4423</v>
      </c>
      <c r="B2739" s="149" t="str">
        <f>IFERROR(VLOOKUP(Proc[[#This Row],[App]],Table2[],3,0),"open")</f>
        <v>ok</v>
      </c>
      <c r="C2739" s="117" t="s">
        <v>369</v>
      </c>
      <c r="D2739" t="s">
        <v>4661</v>
      </c>
      <c r="E2739" t="s">
        <v>4751</v>
      </c>
      <c r="F2739" s="94" t="s">
        <v>4751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4786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4895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80</v>
      </c>
      <c r="R2739" s="110" t="s">
        <v>485</v>
      </c>
      <c r="S2739" s="94"/>
    </row>
    <row r="2740" spans="1:19" hidden="1">
      <c r="A2740" s="103" t="s">
        <v>4423</v>
      </c>
      <c r="B2740" s="149" t="str">
        <f>IFERROR(VLOOKUP(Proc[[#This Row],[App]],Table2[],3,0),"open")</f>
        <v>ok</v>
      </c>
      <c r="C2740" s="117" t="s">
        <v>369</v>
      </c>
      <c r="D2740" t="s">
        <v>4662</v>
      </c>
      <c r="E2740" t="s">
        <v>4751</v>
      </c>
      <c r="F2740" s="94" t="s">
        <v>4751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4786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4895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80</v>
      </c>
      <c r="R2740" s="110" t="s">
        <v>485</v>
      </c>
      <c r="S2740" s="94"/>
    </row>
    <row r="2741" spans="1:19" hidden="1">
      <c r="A2741" s="103" t="s">
        <v>4423</v>
      </c>
      <c r="B2741" s="149" t="str">
        <f>IFERROR(VLOOKUP(Proc[[#This Row],[App]],Table2[],3,0),"open")</f>
        <v>ok</v>
      </c>
      <c r="C2741" s="117" t="s">
        <v>369</v>
      </c>
      <c r="D2741" t="s">
        <v>4663</v>
      </c>
      <c r="E2741" t="s">
        <v>4753</v>
      </c>
      <c r="F2741" s="94" t="s">
        <v>4753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4786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4895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80</v>
      </c>
      <c r="R2741" s="110" t="s">
        <v>485</v>
      </c>
      <c r="S2741" s="94"/>
    </row>
    <row r="2742" spans="1:19" hidden="1">
      <c r="A2742" s="103" t="s">
        <v>4423</v>
      </c>
      <c r="B2742" s="149" t="str">
        <f>IFERROR(VLOOKUP(Proc[[#This Row],[App]],Table2[],3,0),"open")</f>
        <v>ok</v>
      </c>
      <c r="C2742" s="117" t="s">
        <v>369</v>
      </c>
      <c r="D2742" t="s">
        <v>4664</v>
      </c>
      <c r="E2742" t="s">
        <v>4752</v>
      </c>
      <c r="F2742" s="94" t="s">
        <v>4752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4786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4895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80</v>
      </c>
      <c r="R2742" s="110" t="s">
        <v>485</v>
      </c>
      <c r="S2742" s="94"/>
    </row>
    <row r="2743" spans="1:19" hidden="1">
      <c r="A2743" s="103" t="s">
        <v>4423</v>
      </c>
      <c r="B2743" s="149" t="str">
        <f>IFERROR(VLOOKUP(Proc[[#This Row],[App]],Table2[],3,0),"open")</f>
        <v>ok</v>
      </c>
      <c r="C2743" s="117" t="s">
        <v>369</v>
      </c>
      <c r="D2743" t="s">
        <v>4665</v>
      </c>
      <c r="E2743" t="s">
        <v>4751</v>
      </c>
      <c r="F2743" s="94" t="s">
        <v>4751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4786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4895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80</v>
      </c>
      <c r="R2743" s="110" t="s">
        <v>485</v>
      </c>
      <c r="S2743" s="94"/>
    </row>
    <row r="2744" spans="1:19" hidden="1">
      <c r="A2744" s="103" t="s">
        <v>4423</v>
      </c>
      <c r="B2744" s="149" t="str">
        <f>IFERROR(VLOOKUP(Proc[[#This Row],[App]],Table2[],3,0),"open")</f>
        <v>ok</v>
      </c>
      <c r="C2744" s="117" t="s">
        <v>369</v>
      </c>
      <c r="D2744" t="s">
        <v>4666</v>
      </c>
      <c r="E2744" t="s">
        <v>4751</v>
      </c>
      <c r="F2744" s="94" t="s">
        <v>4751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4786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4895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80</v>
      </c>
      <c r="R2744" s="110" t="s">
        <v>485</v>
      </c>
      <c r="S2744" s="94"/>
    </row>
    <row r="2745" spans="1:19" hidden="1">
      <c r="A2745" s="103" t="s">
        <v>4423</v>
      </c>
      <c r="B2745" s="149" t="str">
        <f>IFERROR(VLOOKUP(Proc[[#This Row],[App]],Table2[],3,0),"open")</f>
        <v>ok</v>
      </c>
      <c r="C2745" s="117" t="s">
        <v>369</v>
      </c>
      <c r="D2745" t="s">
        <v>4667</v>
      </c>
      <c r="E2745" t="s">
        <v>4751</v>
      </c>
      <c r="F2745" s="94" t="s">
        <v>4751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4786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4895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80</v>
      </c>
      <c r="R2745" s="110" t="s">
        <v>485</v>
      </c>
      <c r="S2745" s="94"/>
    </row>
    <row r="2746" spans="1:19" hidden="1">
      <c r="A2746" s="103" t="s">
        <v>4423</v>
      </c>
      <c r="B2746" s="149" t="str">
        <f>IFERROR(VLOOKUP(Proc[[#This Row],[App]],Table2[],3,0),"open")</f>
        <v>ok</v>
      </c>
      <c r="C2746" s="117" t="s">
        <v>369</v>
      </c>
      <c r="D2746" t="s">
        <v>4668</v>
      </c>
      <c r="E2746" t="s">
        <v>4751</v>
      </c>
      <c r="F2746" s="94" t="s">
        <v>4751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4786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4895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80</v>
      </c>
      <c r="R2746" s="110" t="s">
        <v>485</v>
      </c>
      <c r="S2746" s="94"/>
    </row>
    <row r="2747" spans="1:19" hidden="1">
      <c r="A2747" s="103" t="s">
        <v>4423</v>
      </c>
      <c r="B2747" s="149" t="str">
        <f>IFERROR(VLOOKUP(Proc[[#This Row],[App]],Table2[],3,0),"open")</f>
        <v>ok</v>
      </c>
      <c r="C2747" s="117" t="s">
        <v>369</v>
      </c>
      <c r="D2747" t="s">
        <v>4669</v>
      </c>
      <c r="E2747" t="s">
        <v>4751</v>
      </c>
      <c r="F2747" s="94" t="s">
        <v>4751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4786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4895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80</v>
      </c>
      <c r="R2747" s="110" t="s">
        <v>485</v>
      </c>
      <c r="S2747" s="94"/>
    </row>
    <row r="2748" spans="1:19" hidden="1">
      <c r="A2748" s="103" t="s">
        <v>4423</v>
      </c>
      <c r="B2748" s="149" t="str">
        <f>IFERROR(VLOOKUP(Proc[[#This Row],[App]],Table2[],3,0),"open")</f>
        <v>ok</v>
      </c>
      <c r="C2748" s="117" t="s">
        <v>369</v>
      </c>
      <c r="D2748" t="s">
        <v>4670</v>
      </c>
      <c r="E2748" t="s">
        <v>4751</v>
      </c>
      <c r="F2748" s="94" t="s">
        <v>4751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4786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4895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80</v>
      </c>
      <c r="R2748" s="110" t="s">
        <v>485</v>
      </c>
      <c r="S2748" s="94"/>
    </row>
    <row r="2749" spans="1:19" hidden="1">
      <c r="A2749" s="103" t="s">
        <v>4423</v>
      </c>
      <c r="B2749" s="149" t="str">
        <f>IFERROR(VLOOKUP(Proc[[#This Row],[App]],Table2[],3,0),"open")</f>
        <v>ok</v>
      </c>
      <c r="C2749" s="117" t="s">
        <v>369</v>
      </c>
      <c r="D2749" t="s">
        <v>4671</v>
      </c>
      <c r="E2749" t="s">
        <v>4751</v>
      </c>
      <c r="F2749" s="94" t="s">
        <v>4751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4786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4895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80</v>
      </c>
      <c r="R2749" s="110" t="s">
        <v>485</v>
      </c>
      <c r="S2749" s="94"/>
    </row>
    <row r="2750" spans="1:19" hidden="1">
      <c r="A2750" s="103" t="s">
        <v>4423</v>
      </c>
      <c r="B2750" s="149" t="str">
        <f>IFERROR(VLOOKUP(Proc[[#This Row],[App]],Table2[],3,0),"open")</f>
        <v>ok</v>
      </c>
      <c r="C2750" s="117" t="s">
        <v>369</v>
      </c>
      <c r="D2750" t="s">
        <v>4672</v>
      </c>
      <c r="E2750" t="s">
        <v>4751</v>
      </c>
      <c r="F2750" s="94" t="s">
        <v>4751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4786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4895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80</v>
      </c>
      <c r="R2750" s="110" t="s">
        <v>485</v>
      </c>
      <c r="S2750" s="94"/>
    </row>
    <row r="2751" spans="1:19" hidden="1">
      <c r="A2751" s="103" t="s">
        <v>4423</v>
      </c>
      <c r="B2751" s="149" t="str">
        <f>IFERROR(VLOOKUP(Proc[[#This Row],[App]],Table2[],3,0),"open")</f>
        <v>ok</v>
      </c>
      <c r="C2751" s="117" t="s">
        <v>369</v>
      </c>
      <c r="D2751" t="s">
        <v>4673</v>
      </c>
      <c r="E2751" t="s">
        <v>4751</v>
      </c>
      <c r="F2751" s="94" t="s">
        <v>4751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4786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4895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80</v>
      </c>
      <c r="R2751" s="110" t="s">
        <v>485</v>
      </c>
      <c r="S2751" s="94"/>
    </row>
    <row r="2752" spans="1:19" hidden="1">
      <c r="A2752" s="103" t="s">
        <v>4423</v>
      </c>
      <c r="B2752" s="149" t="str">
        <f>IFERROR(VLOOKUP(Proc[[#This Row],[App]],Table2[],3,0),"open")</f>
        <v>ok</v>
      </c>
      <c r="C2752" s="117" t="s">
        <v>369</v>
      </c>
      <c r="D2752" t="s">
        <v>4674</v>
      </c>
      <c r="E2752" t="s">
        <v>4751</v>
      </c>
      <c r="F2752" s="94" t="s">
        <v>4751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4786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4895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80</v>
      </c>
      <c r="R2752" s="110" t="s">
        <v>485</v>
      </c>
      <c r="S2752" s="94"/>
    </row>
    <row r="2753" spans="1:19" hidden="1">
      <c r="A2753" s="103" t="s">
        <v>4423</v>
      </c>
      <c r="B2753" s="149" t="str">
        <f>IFERROR(VLOOKUP(Proc[[#This Row],[App]],Table2[],3,0),"open")</f>
        <v>ok</v>
      </c>
      <c r="C2753" s="117" t="s">
        <v>369</v>
      </c>
      <c r="D2753" t="s">
        <v>4675</v>
      </c>
      <c r="E2753" t="s">
        <v>4751</v>
      </c>
      <c r="F2753" s="94" t="s">
        <v>4751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4786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4895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80</v>
      </c>
      <c r="R2753" s="110" t="s">
        <v>485</v>
      </c>
      <c r="S2753" s="94"/>
    </row>
    <row r="2754" spans="1:19" hidden="1">
      <c r="A2754" s="103" t="s">
        <v>4423</v>
      </c>
      <c r="B2754" s="149" t="str">
        <f>IFERROR(VLOOKUP(Proc[[#This Row],[App]],Table2[],3,0),"open")</f>
        <v>ok</v>
      </c>
      <c r="C2754" s="117" t="s">
        <v>369</v>
      </c>
      <c r="D2754" t="s">
        <v>4676</v>
      </c>
      <c r="E2754" t="s">
        <v>4751</v>
      </c>
      <c r="F2754" s="94" t="s">
        <v>4751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4786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4895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80</v>
      </c>
      <c r="R2754" s="110" t="s">
        <v>485</v>
      </c>
      <c r="S2754" s="94"/>
    </row>
    <row r="2755" spans="1:19" hidden="1">
      <c r="A2755" s="103" t="s">
        <v>4423</v>
      </c>
      <c r="B2755" s="149" t="str">
        <f>IFERROR(VLOOKUP(Proc[[#This Row],[App]],Table2[],3,0),"open")</f>
        <v>ok</v>
      </c>
      <c r="C2755" s="117" t="s">
        <v>369</v>
      </c>
      <c r="D2755" t="s">
        <v>4677</v>
      </c>
      <c r="E2755" t="s">
        <v>4751</v>
      </c>
      <c r="F2755" s="94" t="s">
        <v>4751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4786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4895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80</v>
      </c>
      <c r="R2755" s="110" t="s">
        <v>485</v>
      </c>
      <c r="S2755" s="94"/>
    </row>
    <row r="2756" spans="1:19" hidden="1">
      <c r="A2756" s="103" t="s">
        <v>4423</v>
      </c>
      <c r="B2756" s="149" t="str">
        <f>IFERROR(VLOOKUP(Proc[[#This Row],[App]],Table2[],3,0),"open")</f>
        <v>ok</v>
      </c>
      <c r="C2756" s="117" t="s">
        <v>369</v>
      </c>
      <c r="D2756" t="s">
        <v>4678</v>
      </c>
      <c r="E2756" t="s">
        <v>4751</v>
      </c>
      <c r="F2756" s="94" t="s">
        <v>4751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4786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4895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80</v>
      </c>
      <c r="R2756" s="110" t="s">
        <v>485</v>
      </c>
      <c r="S2756" s="94"/>
    </row>
    <row r="2757" spans="1:19" hidden="1">
      <c r="A2757" s="103" t="s">
        <v>4423</v>
      </c>
      <c r="B2757" s="149" t="str">
        <f>IFERROR(VLOOKUP(Proc[[#This Row],[App]],Table2[],3,0),"open")</f>
        <v>ok</v>
      </c>
      <c r="C2757" s="117" t="s">
        <v>369</v>
      </c>
      <c r="D2757" t="s">
        <v>4679</v>
      </c>
      <c r="E2757" t="s">
        <v>4751</v>
      </c>
      <c r="F2757" s="94" t="s">
        <v>4751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4786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4895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80</v>
      </c>
      <c r="R2757" s="110" t="s">
        <v>485</v>
      </c>
      <c r="S2757" s="94"/>
    </row>
    <row r="2758" spans="1:19" hidden="1">
      <c r="A2758" s="103" t="s">
        <v>4423</v>
      </c>
      <c r="B2758" s="149" t="str">
        <f>IFERROR(VLOOKUP(Proc[[#This Row],[App]],Table2[],3,0),"open")</f>
        <v>ok</v>
      </c>
      <c r="C2758" s="117" t="s">
        <v>369</v>
      </c>
      <c r="D2758" t="s">
        <v>4680</v>
      </c>
      <c r="E2758" t="s">
        <v>4751</v>
      </c>
      <c r="F2758" s="94" t="s">
        <v>4751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4786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4895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80</v>
      </c>
      <c r="R2758" s="110" t="s">
        <v>485</v>
      </c>
      <c r="S2758" s="94"/>
    </row>
    <row r="2759" spans="1:19" hidden="1">
      <c r="A2759" s="103" t="s">
        <v>4423</v>
      </c>
      <c r="B2759" s="149" t="str">
        <f>IFERROR(VLOOKUP(Proc[[#This Row],[App]],Table2[],3,0),"open")</f>
        <v>ok</v>
      </c>
      <c r="C2759" s="117" t="s">
        <v>369</v>
      </c>
      <c r="D2759" t="s">
        <v>4681</v>
      </c>
      <c r="E2759" t="s">
        <v>4752</v>
      </c>
      <c r="F2759" s="94" t="s">
        <v>4752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4786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4895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80</v>
      </c>
      <c r="R2759" s="110" t="s">
        <v>485</v>
      </c>
      <c r="S2759" s="94"/>
    </row>
    <row r="2760" spans="1:19" hidden="1">
      <c r="A2760" s="103" t="s">
        <v>4423</v>
      </c>
      <c r="B2760" s="149" t="str">
        <f>IFERROR(VLOOKUP(Proc[[#This Row],[App]],Table2[],3,0),"open")</f>
        <v>ok</v>
      </c>
      <c r="C2760" s="117" t="s">
        <v>369</v>
      </c>
      <c r="D2760" t="s">
        <v>4682</v>
      </c>
      <c r="E2760" t="s">
        <v>4752</v>
      </c>
      <c r="F2760" s="94" t="s">
        <v>4752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4786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4895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80</v>
      </c>
      <c r="R2760" s="110" t="s">
        <v>485</v>
      </c>
      <c r="S2760" s="94"/>
    </row>
    <row r="2761" spans="1:19" hidden="1">
      <c r="A2761" s="103" t="s">
        <v>4423</v>
      </c>
      <c r="B2761" s="149" t="str">
        <f>IFERROR(VLOOKUP(Proc[[#This Row],[App]],Table2[],3,0),"open")</f>
        <v>ok</v>
      </c>
      <c r="C2761" s="117" t="s">
        <v>369</v>
      </c>
      <c r="D2761" t="s">
        <v>4683</v>
      </c>
      <c r="E2761" t="s">
        <v>4751</v>
      </c>
      <c r="F2761" s="94" t="s">
        <v>4751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4786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4895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80</v>
      </c>
      <c r="R2761" s="110" t="s">
        <v>485</v>
      </c>
      <c r="S2761" s="94"/>
    </row>
    <row r="2762" spans="1:19" hidden="1">
      <c r="A2762" s="103" t="s">
        <v>4423</v>
      </c>
      <c r="B2762" s="149" t="str">
        <f>IFERROR(VLOOKUP(Proc[[#This Row],[App]],Table2[],3,0),"open")</f>
        <v>ok</v>
      </c>
      <c r="C2762" s="117" t="s">
        <v>369</v>
      </c>
      <c r="D2762" t="s">
        <v>4684</v>
      </c>
      <c r="E2762" t="s">
        <v>4752</v>
      </c>
      <c r="F2762" s="94" t="s">
        <v>4752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4786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4895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80</v>
      </c>
      <c r="R2762" s="110" t="s">
        <v>485</v>
      </c>
      <c r="S2762" s="94"/>
    </row>
    <row r="2763" spans="1:19" hidden="1">
      <c r="A2763" s="103" t="s">
        <v>4423</v>
      </c>
      <c r="B2763" s="149" t="str">
        <f>IFERROR(VLOOKUP(Proc[[#This Row],[App]],Table2[],3,0),"open")</f>
        <v>ok</v>
      </c>
      <c r="C2763" s="117" t="s">
        <v>369</v>
      </c>
      <c r="D2763" t="s">
        <v>4685</v>
      </c>
      <c r="E2763" t="s">
        <v>4751</v>
      </c>
      <c r="F2763" s="94" t="s">
        <v>4751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4786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4895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80</v>
      </c>
      <c r="R2763" s="110" t="s">
        <v>485</v>
      </c>
      <c r="S2763" s="94"/>
    </row>
    <row r="2764" spans="1:19" hidden="1">
      <c r="A2764" s="103" t="s">
        <v>4423</v>
      </c>
      <c r="B2764" s="149" t="str">
        <f>IFERROR(VLOOKUP(Proc[[#This Row],[App]],Table2[],3,0),"open")</f>
        <v>ok</v>
      </c>
      <c r="C2764" s="117" t="s">
        <v>369</v>
      </c>
      <c r="D2764" t="s">
        <v>4686</v>
      </c>
      <c r="E2764" t="s">
        <v>4752</v>
      </c>
      <c r="F2764" s="94" t="s">
        <v>4752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4786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4895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80</v>
      </c>
      <c r="R2764" s="110" t="s">
        <v>485</v>
      </c>
      <c r="S2764" s="94"/>
    </row>
    <row r="2765" spans="1:19" hidden="1">
      <c r="A2765" s="103" t="s">
        <v>4423</v>
      </c>
      <c r="B2765" s="149" t="str">
        <f>IFERROR(VLOOKUP(Proc[[#This Row],[App]],Table2[],3,0),"open")</f>
        <v>ok</v>
      </c>
      <c r="C2765" s="117" t="s">
        <v>369</v>
      </c>
      <c r="D2765" t="s">
        <v>4687</v>
      </c>
      <c r="E2765" t="s">
        <v>4751</v>
      </c>
      <c r="F2765" s="94" t="s">
        <v>4751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4786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4895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80</v>
      </c>
      <c r="R2765" s="110" t="s">
        <v>485</v>
      </c>
      <c r="S2765" s="94"/>
    </row>
    <row r="2766" spans="1:19" hidden="1">
      <c r="A2766" s="103" t="s">
        <v>4423</v>
      </c>
      <c r="B2766" s="149" t="str">
        <f>IFERROR(VLOOKUP(Proc[[#This Row],[App]],Table2[],3,0),"open")</f>
        <v>ok</v>
      </c>
      <c r="C2766" s="117" t="s">
        <v>369</v>
      </c>
      <c r="D2766" t="s">
        <v>4688</v>
      </c>
      <c r="E2766" t="s">
        <v>4752</v>
      </c>
      <c r="F2766" s="94" t="s">
        <v>4752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4786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4895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80</v>
      </c>
      <c r="R2766" s="110" t="s">
        <v>485</v>
      </c>
      <c r="S2766" s="94"/>
    </row>
    <row r="2767" spans="1:19" hidden="1">
      <c r="A2767" s="103" t="s">
        <v>4423</v>
      </c>
      <c r="B2767" s="149" t="str">
        <f>IFERROR(VLOOKUP(Proc[[#This Row],[App]],Table2[],3,0),"open")</f>
        <v>ok</v>
      </c>
      <c r="C2767" s="117" t="s">
        <v>369</v>
      </c>
      <c r="D2767" t="s">
        <v>4689</v>
      </c>
      <c r="E2767" t="s">
        <v>4754</v>
      </c>
      <c r="F2767" s="94" t="s">
        <v>4754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4786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4895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80</v>
      </c>
      <c r="R2767" s="110" t="s">
        <v>485</v>
      </c>
      <c r="S2767" s="94"/>
    </row>
    <row r="2768" spans="1:19" hidden="1">
      <c r="A2768" s="103" t="s">
        <v>4423</v>
      </c>
      <c r="B2768" s="149" t="str">
        <f>IFERROR(VLOOKUP(Proc[[#This Row],[App]],Table2[],3,0),"open")</f>
        <v>ok</v>
      </c>
      <c r="C2768" s="117" t="s">
        <v>369</v>
      </c>
      <c r="D2768" t="s">
        <v>4690</v>
      </c>
      <c r="E2768" t="s">
        <v>4752</v>
      </c>
      <c r="F2768" s="94" t="s">
        <v>4752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4786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4895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80</v>
      </c>
      <c r="R2768" s="110" t="s">
        <v>485</v>
      </c>
      <c r="S2768" s="94"/>
    </row>
    <row r="2769" spans="1:19" hidden="1">
      <c r="A2769" s="103" t="s">
        <v>4423</v>
      </c>
      <c r="B2769" s="149" t="str">
        <f>IFERROR(VLOOKUP(Proc[[#This Row],[App]],Table2[],3,0),"open")</f>
        <v>ok</v>
      </c>
      <c r="C2769" s="117" t="s">
        <v>369</v>
      </c>
      <c r="D2769" t="s">
        <v>4691</v>
      </c>
      <c r="E2769" t="s">
        <v>4752</v>
      </c>
      <c r="F2769" s="94" t="s">
        <v>4752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4786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4895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80</v>
      </c>
      <c r="R2769" s="110" t="s">
        <v>485</v>
      </c>
      <c r="S2769" s="94"/>
    </row>
    <row r="2770" spans="1:19" hidden="1">
      <c r="A2770" s="103" t="s">
        <v>4423</v>
      </c>
      <c r="B2770" s="149" t="str">
        <f>IFERROR(VLOOKUP(Proc[[#This Row],[App]],Table2[],3,0),"open")</f>
        <v>ok</v>
      </c>
      <c r="C2770" s="117" t="s">
        <v>369</v>
      </c>
      <c r="D2770" t="s">
        <v>4692</v>
      </c>
      <c r="E2770" t="s">
        <v>4752</v>
      </c>
      <c r="F2770" s="94" t="s">
        <v>4752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4786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4895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80</v>
      </c>
      <c r="R2770" s="110" t="s">
        <v>485</v>
      </c>
      <c r="S2770" s="94"/>
    </row>
    <row r="2771" spans="1:19" hidden="1">
      <c r="A2771" s="103" t="s">
        <v>4423</v>
      </c>
      <c r="B2771" s="149" t="str">
        <f>IFERROR(VLOOKUP(Proc[[#This Row],[App]],Table2[],3,0),"open")</f>
        <v>ok</v>
      </c>
      <c r="C2771" s="117" t="s">
        <v>369</v>
      </c>
      <c r="D2771" t="s">
        <v>4693</v>
      </c>
      <c r="E2771" t="s">
        <v>4752</v>
      </c>
      <c r="F2771" s="94" t="s">
        <v>4752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4786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4895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80</v>
      </c>
      <c r="R2771" s="110" t="s">
        <v>485</v>
      </c>
      <c r="S2771" s="94"/>
    </row>
    <row r="2772" spans="1:19" hidden="1">
      <c r="A2772" s="103" t="s">
        <v>4423</v>
      </c>
      <c r="B2772" s="149" t="str">
        <f>IFERROR(VLOOKUP(Proc[[#This Row],[App]],Table2[],3,0),"open")</f>
        <v>ok</v>
      </c>
      <c r="C2772" s="117" t="s">
        <v>369</v>
      </c>
      <c r="D2772" t="s">
        <v>4694</v>
      </c>
      <c r="E2772" t="s">
        <v>4752</v>
      </c>
      <c r="F2772" s="94" t="s">
        <v>4752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4786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4895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80</v>
      </c>
      <c r="R2772" s="110" t="s">
        <v>485</v>
      </c>
      <c r="S2772" s="94"/>
    </row>
    <row r="2773" spans="1:19" hidden="1">
      <c r="A2773" s="103" t="s">
        <v>4423</v>
      </c>
      <c r="B2773" s="149" t="str">
        <f>IFERROR(VLOOKUP(Proc[[#This Row],[App]],Table2[],3,0),"open")</f>
        <v>ok</v>
      </c>
      <c r="C2773" s="117" t="s">
        <v>369</v>
      </c>
      <c r="D2773" t="s">
        <v>4695</v>
      </c>
      <c r="E2773" t="s">
        <v>4755</v>
      </c>
      <c r="F2773" s="94" t="s">
        <v>4755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4786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4895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80</v>
      </c>
      <c r="R2773" s="110" t="s">
        <v>485</v>
      </c>
      <c r="S2773" s="94"/>
    </row>
    <row r="2774" spans="1:19" hidden="1">
      <c r="A2774" s="103" t="s">
        <v>4423</v>
      </c>
      <c r="B2774" s="149" t="str">
        <f>IFERROR(VLOOKUP(Proc[[#This Row],[App]],Table2[],3,0),"open")</f>
        <v>ok</v>
      </c>
      <c r="C2774" s="117" t="s">
        <v>369</v>
      </c>
      <c r="D2774" t="s">
        <v>4696</v>
      </c>
      <c r="E2774" t="s">
        <v>4752</v>
      </c>
      <c r="F2774" s="94" t="s">
        <v>4752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4786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4895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80</v>
      </c>
      <c r="R2774" s="110" t="s">
        <v>485</v>
      </c>
      <c r="S2774" s="94"/>
    </row>
    <row r="2775" spans="1:19" hidden="1">
      <c r="A2775" s="103" t="s">
        <v>4423</v>
      </c>
      <c r="B2775" s="149" t="str">
        <f>IFERROR(VLOOKUP(Proc[[#This Row],[App]],Table2[],3,0),"open")</f>
        <v>ok</v>
      </c>
      <c r="C2775" s="117" t="s">
        <v>369</v>
      </c>
      <c r="D2775" t="s">
        <v>4697</v>
      </c>
      <c r="E2775" t="s">
        <v>4752</v>
      </c>
      <c r="F2775" s="94" t="s">
        <v>4752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4786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4895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80</v>
      </c>
      <c r="R2775" s="110" t="s">
        <v>485</v>
      </c>
      <c r="S2775" s="94"/>
    </row>
    <row r="2776" spans="1:19" hidden="1">
      <c r="A2776" s="103" t="s">
        <v>4423</v>
      </c>
      <c r="B2776" s="149" t="str">
        <f>IFERROR(VLOOKUP(Proc[[#This Row],[App]],Table2[],3,0),"open")</f>
        <v>ok</v>
      </c>
      <c r="C2776" s="117" t="s">
        <v>369</v>
      </c>
      <c r="D2776" t="s">
        <v>4698</v>
      </c>
      <c r="E2776" t="s">
        <v>4752</v>
      </c>
      <c r="F2776" s="94" t="s">
        <v>4752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4786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4895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80</v>
      </c>
      <c r="R2776" s="110" t="s">
        <v>485</v>
      </c>
      <c r="S2776" s="94"/>
    </row>
    <row r="2777" spans="1:19" hidden="1">
      <c r="A2777" s="103" t="s">
        <v>4423</v>
      </c>
      <c r="B2777" s="149" t="str">
        <f>IFERROR(VLOOKUP(Proc[[#This Row],[App]],Table2[],3,0),"open")</f>
        <v>ok</v>
      </c>
      <c r="C2777" s="117" t="s">
        <v>369</v>
      </c>
      <c r="D2777" t="s">
        <v>4699</v>
      </c>
      <c r="E2777" t="s">
        <v>4752</v>
      </c>
      <c r="F2777" s="94" t="s">
        <v>4752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4786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4895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80</v>
      </c>
      <c r="R2777" s="110" t="s">
        <v>485</v>
      </c>
      <c r="S2777" s="94"/>
    </row>
    <row r="2778" spans="1:19" hidden="1">
      <c r="A2778" s="103" t="s">
        <v>4423</v>
      </c>
      <c r="B2778" s="149" t="str">
        <f>IFERROR(VLOOKUP(Proc[[#This Row],[App]],Table2[],3,0),"open")</f>
        <v>ok</v>
      </c>
      <c r="C2778" s="117" t="s">
        <v>369</v>
      </c>
      <c r="D2778" t="s">
        <v>4700</v>
      </c>
      <c r="E2778" t="s">
        <v>4755</v>
      </c>
      <c r="F2778" s="94" t="s">
        <v>4755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4786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4895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80</v>
      </c>
      <c r="R2778" s="110" t="s">
        <v>485</v>
      </c>
      <c r="S2778" s="94"/>
    </row>
    <row r="2779" spans="1:19" hidden="1">
      <c r="A2779" s="103" t="s">
        <v>4423</v>
      </c>
      <c r="B2779" s="149" t="str">
        <f>IFERROR(VLOOKUP(Proc[[#This Row],[App]],Table2[],3,0),"open")</f>
        <v>ok</v>
      </c>
      <c r="C2779" s="117" t="s">
        <v>369</v>
      </c>
      <c r="D2779" t="s">
        <v>4701</v>
      </c>
      <c r="E2779" t="s">
        <v>4752</v>
      </c>
      <c r="F2779" s="94" t="s">
        <v>4752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4786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4895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80</v>
      </c>
      <c r="R2779" s="110" t="s">
        <v>485</v>
      </c>
      <c r="S2779" s="94"/>
    </row>
    <row r="2780" spans="1:19" hidden="1">
      <c r="A2780" s="103" t="s">
        <v>4423</v>
      </c>
      <c r="B2780" s="149" t="str">
        <f>IFERROR(VLOOKUP(Proc[[#This Row],[App]],Table2[],3,0),"open")</f>
        <v>ok</v>
      </c>
      <c r="C2780" s="117" t="s">
        <v>369</v>
      </c>
      <c r="D2780" t="s">
        <v>4702</v>
      </c>
      <c r="E2780" t="s">
        <v>4752</v>
      </c>
      <c r="F2780" s="94" t="s">
        <v>4752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4786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4895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80</v>
      </c>
      <c r="R2780" s="110" t="s">
        <v>485</v>
      </c>
      <c r="S2780" s="94"/>
    </row>
    <row r="2781" spans="1:19" hidden="1">
      <c r="A2781" s="103" t="s">
        <v>4423</v>
      </c>
      <c r="B2781" s="149" t="str">
        <f>IFERROR(VLOOKUP(Proc[[#This Row],[App]],Table2[],3,0),"open")</f>
        <v>ok</v>
      </c>
      <c r="C2781" s="117" t="s">
        <v>369</v>
      </c>
      <c r="D2781" t="s">
        <v>4703</v>
      </c>
      <c r="E2781" t="s">
        <v>4751</v>
      </c>
      <c r="F2781" s="94" t="s">
        <v>4751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4786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4895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80</v>
      </c>
      <c r="R2781" s="110" t="s">
        <v>485</v>
      </c>
      <c r="S2781" s="94"/>
    </row>
    <row r="2782" spans="1:19" hidden="1">
      <c r="A2782" s="103" t="s">
        <v>4423</v>
      </c>
      <c r="B2782" s="149" t="str">
        <f>IFERROR(VLOOKUP(Proc[[#This Row],[App]],Table2[],3,0),"open")</f>
        <v>ok</v>
      </c>
      <c r="C2782" s="117" t="s">
        <v>369</v>
      </c>
      <c r="D2782" t="s">
        <v>4704</v>
      </c>
      <c r="E2782" t="s">
        <v>4752</v>
      </c>
      <c r="F2782" s="94" t="s">
        <v>4752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4786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4895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80</v>
      </c>
      <c r="R2782" s="110" t="s">
        <v>485</v>
      </c>
      <c r="S2782" s="94"/>
    </row>
    <row r="2783" spans="1:19" hidden="1">
      <c r="A2783" s="103" t="s">
        <v>4423</v>
      </c>
      <c r="B2783" s="149" t="str">
        <f>IFERROR(VLOOKUP(Proc[[#This Row],[App]],Table2[],3,0),"open")</f>
        <v>ok</v>
      </c>
      <c r="C2783" s="117" t="s">
        <v>369</v>
      </c>
      <c r="D2783" t="s">
        <v>4705</v>
      </c>
      <c r="E2783" t="s">
        <v>4752</v>
      </c>
      <c r="F2783" s="94" t="s">
        <v>4752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4786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4895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80</v>
      </c>
      <c r="R2783" s="110" t="s">
        <v>485</v>
      </c>
      <c r="S2783" s="94"/>
    </row>
    <row r="2784" spans="1:19" hidden="1">
      <c r="A2784" s="103" t="s">
        <v>4423</v>
      </c>
      <c r="B2784" s="149" t="str">
        <f>IFERROR(VLOOKUP(Proc[[#This Row],[App]],Table2[],3,0),"open")</f>
        <v>ok</v>
      </c>
      <c r="C2784" s="117" t="s">
        <v>369</v>
      </c>
      <c r="D2784" t="s">
        <v>4706</v>
      </c>
      <c r="E2784" t="s">
        <v>4750</v>
      </c>
      <c r="F2784" s="94" t="s">
        <v>4750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4786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4895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80</v>
      </c>
      <c r="R2784" s="110" t="s">
        <v>485</v>
      </c>
      <c r="S2784" s="94"/>
    </row>
    <row r="2785" spans="1:19" hidden="1">
      <c r="A2785" s="103" t="s">
        <v>4423</v>
      </c>
      <c r="B2785" s="149" t="str">
        <f>IFERROR(VLOOKUP(Proc[[#This Row],[App]],Table2[],3,0),"open")</f>
        <v>ok</v>
      </c>
      <c r="C2785" s="117" t="s">
        <v>369</v>
      </c>
      <c r="D2785" t="s">
        <v>4707</v>
      </c>
      <c r="E2785" t="s">
        <v>4752</v>
      </c>
      <c r="F2785" s="94" t="s">
        <v>4752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4786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4895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80</v>
      </c>
      <c r="R2785" s="110" t="s">
        <v>485</v>
      </c>
      <c r="S2785" s="94"/>
    </row>
    <row r="2786" spans="1:19" hidden="1">
      <c r="A2786" s="103" t="s">
        <v>4423</v>
      </c>
      <c r="B2786" s="149" t="str">
        <f>IFERROR(VLOOKUP(Proc[[#This Row],[App]],Table2[],3,0),"open")</f>
        <v>ok</v>
      </c>
      <c r="C2786" s="117" t="s">
        <v>369</v>
      </c>
      <c r="D2786" t="s">
        <v>4708</v>
      </c>
      <c r="E2786" t="s">
        <v>4752</v>
      </c>
      <c r="F2786" s="94" t="s">
        <v>4752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4786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4895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80</v>
      </c>
      <c r="R2786" s="110" t="s">
        <v>485</v>
      </c>
      <c r="S2786" s="94"/>
    </row>
    <row r="2787" spans="1:19" hidden="1">
      <c r="A2787" s="103" t="s">
        <v>4423</v>
      </c>
      <c r="B2787" s="149" t="str">
        <f>IFERROR(VLOOKUP(Proc[[#This Row],[App]],Table2[],3,0),"open")</f>
        <v>ok</v>
      </c>
      <c r="C2787" s="117" t="s">
        <v>369</v>
      </c>
      <c r="D2787" t="s">
        <v>4709</v>
      </c>
      <c r="E2787" t="s">
        <v>4752</v>
      </c>
      <c r="F2787" s="94" t="s">
        <v>4752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4786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4895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80</v>
      </c>
      <c r="R2787" s="110" t="s">
        <v>485</v>
      </c>
      <c r="S2787" s="94"/>
    </row>
    <row r="2788" spans="1:19" hidden="1">
      <c r="A2788" s="103" t="s">
        <v>4423</v>
      </c>
      <c r="B2788" s="149" t="str">
        <f>IFERROR(VLOOKUP(Proc[[#This Row],[App]],Table2[],3,0),"open")</f>
        <v>ok</v>
      </c>
      <c r="C2788" s="117" t="s">
        <v>369</v>
      </c>
      <c r="D2788" t="s">
        <v>4710</v>
      </c>
      <c r="E2788" t="s">
        <v>4754</v>
      </c>
      <c r="F2788" s="94" t="s">
        <v>4754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4786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4895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80</v>
      </c>
      <c r="R2788" s="110" t="s">
        <v>485</v>
      </c>
      <c r="S2788" s="94"/>
    </row>
    <row r="2789" spans="1:19" hidden="1">
      <c r="A2789" s="103" t="s">
        <v>4423</v>
      </c>
      <c r="B2789" s="149" t="str">
        <f>IFERROR(VLOOKUP(Proc[[#This Row],[App]],Table2[],3,0),"open")</f>
        <v>ok</v>
      </c>
      <c r="C2789" s="117" t="s">
        <v>369</v>
      </c>
      <c r="D2789" t="s">
        <v>4711</v>
      </c>
      <c r="E2789" t="s">
        <v>4754</v>
      </c>
      <c r="F2789" s="94" t="s">
        <v>4754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4786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4895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80</v>
      </c>
      <c r="R2789" s="110" t="s">
        <v>485</v>
      </c>
      <c r="S2789" s="94"/>
    </row>
    <row r="2790" spans="1:19" hidden="1">
      <c r="A2790" s="103" t="s">
        <v>4423</v>
      </c>
      <c r="B2790" s="149" t="str">
        <f>IFERROR(VLOOKUP(Proc[[#This Row],[App]],Table2[],3,0),"open")</f>
        <v>ok</v>
      </c>
      <c r="C2790" s="117" t="s">
        <v>369</v>
      </c>
      <c r="D2790" t="s">
        <v>4712</v>
      </c>
      <c r="E2790" t="s">
        <v>4755</v>
      </c>
      <c r="F2790" s="94" t="s">
        <v>4755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4786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4895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80</v>
      </c>
      <c r="R2790" s="110" t="s">
        <v>485</v>
      </c>
      <c r="S2790" s="94"/>
    </row>
    <row r="2791" spans="1:19" hidden="1">
      <c r="A2791" s="103" t="s">
        <v>4423</v>
      </c>
      <c r="B2791" s="149" t="str">
        <f>IFERROR(VLOOKUP(Proc[[#This Row],[App]],Table2[],3,0),"open")</f>
        <v>ok</v>
      </c>
      <c r="C2791" s="117" t="s">
        <v>369</v>
      </c>
      <c r="D2791" t="s">
        <v>4713</v>
      </c>
      <c r="E2791" t="s">
        <v>4755</v>
      </c>
      <c r="F2791" s="94" t="s">
        <v>4755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4786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4895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80</v>
      </c>
      <c r="R2791" s="110" t="s">
        <v>485</v>
      </c>
      <c r="S2791" s="94"/>
    </row>
    <row r="2792" spans="1:19" hidden="1">
      <c r="A2792" s="103" t="s">
        <v>4423</v>
      </c>
      <c r="B2792" s="149" t="str">
        <f>IFERROR(VLOOKUP(Proc[[#This Row],[App]],Table2[],3,0),"open")</f>
        <v>ok</v>
      </c>
      <c r="C2792" s="117" t="s">
        <v>369</v>
      </c>
      <c r="D2792" t="s">
        <v>4714</v>
      </c>
      <c r="E2792" t="s">
        <v>4745</v>
      </c>
      <c r="F2792" s="94" t="s">
        <v>4745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4786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4895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80</v>
      </c>
      <c r="R2792" s="110" t="s">
        <v>485</v>
      </c>
      <c r="S2792" s="94"/>
    </row>
    <row r="2793" spans="1:19" hidden="1">
      <c r="A2793" s="103" t="s">
        <v>4423</v>
      </c>
      <c r="B2793" s="149" t="str">
        <f>IFERROR(VLOOKUP(Proc[[#This Row],[App]],Table2[],3,0),"open")</f>
        <v>ok</v>
      </c>
      <c r="C2793" s="117" t="s">
        <v>369</v>
      </c>
      <c r="D2793" t="s">
        <v>4715</v>
      </c>
      <c r="E2793" t="s">
        <v>4752</v>
      </c>
      <c r="F2793" s="94" t="s">
        <v>4752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4786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4895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80</v>
      </c>
      <c r="R2793" s="110" t="s">
        <v>485</v>
      </c>
      <c r="S2793" s="94"/>
    </row>
    <row r="2794" spans="1:19" hidden="1">
      <c r="A2794" s="103" t="s">
        <v>4423</v>
      </c>
      <c r="B2794" s="149" t="str">
        <f>IFERROR(VLOOKUP(Proc[[#This Row],[App]],Table2[],3,0),"open")</f>
        <v>ok</v>
      </c>
      <c r="C2794" s="117" t="s">
        <v>369</v>
      </c>
      <c r="D2794" t="s">
        <v>4716</v>
      </c>
      <c r="E2794" t="s">
        <v>4752</v>
      </c>
      <c r="F2794" s="94" t="s">
        <v>4752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4786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4895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80</v>
      </c>
      <c r="R2794" s="110" t="s">
        <v>485</v>
      </c>
      <c r="S2794" s="94"/>
    </row>
    <row r="2795" spans="1:19" hidden="1">
      <c r="A2795" s="103" t="s">
        <v>4423</v>
      </c>
      <c r="B2795" s="149" t="str">
        <f>IFERROR(VLOOKUP(Proc[[#This Row],[App]],Table2[],3,0),"open")</f>
        <v>ok</v>
      </c>
      <c r="C2795" s="117" t="s">
        <v>369</v>
      </c>
      <c r="D2795" t="s">
        <v>4717</v>
      </c>
      <c r="E2795" t="s">
        <v>4750</v>
      </c>
      <c r="F2795" s="94" t="s">
        <v>4750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4786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4895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80</v>
      </c>
      <c r="R2795" s="110" t="s">
        <v>485</v>
      </c>
      <c r="S2795" s="94"/>
    </row>
    <row r="2796" spans="1:19" hidden="1">
      <c r="A2796" s="103" t="s">
        <v>4423</v>
      </c>
      <c r="B2796" s="149" t="str">
        <f>IFERROR(VLOOKUP(Proc[[#This Row],[App]],Table2[],3,0),"open")</f>
        <v>ok</v>
      </c>
      <c r="C2796" s="117" t="s">
        <v>369</v>
      </c>
      <c r="D2796" t="s">
        <v>4718</v>
      </c>
      <c r="E2796" t="s">
        <v>4750</v>
      </c>
      <c r="F2796" s="94" t="s">
        <v>4750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4786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4895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80</v>
      </c>
      <c r="R2796" s="110" t="s">
        <v>485</v>
      </c>
      <c r="S2796" s="94"/>
    </row>
    <row r="2797" spans="1:19" hidden="1">
      <c r="A2797" s="103" t="s">
        <v>4423</v>
      </c>
      <c r="B2797" s="149" t="str">
        <f>IFERROR(VLOOKUP(Proc[[#This Row],[App]],Table2[],3,0),"open")</f>
        <v>ok</v>
      </c>
      <c r="C2797" s="117" t="s">
        <v>369</v>
      </c>
      <c r="D2797" t="s">
        <v>4719</v>
      </c>
      <c r="E2797" t="s">
        <v>4750</v>
      </c>
      <c r="F2797" s="94" t="s">
        <v>4750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4786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4895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80</v>
      </c>
      <c r="R2797" s="110" t="s">
        <v>485</v>
      </c>
      <c r="S2797" s="94"/>
    </row>
    <row r="2798" spans="1:19" hidden="1">
      <c r="A2798" s="103" t="s">
        <v>4423</v>
      </c>
      <c r="B2798" s="149" t="str">
        <f>IFERROR(VLOOKUP(Proc[[#This Row],[App]],Table2[],3,0),"open")</f>
        <v>ok</v>
      </c>
      <c r="C2798" s="117" t="s">
        <v>369</v>
      </c>
      <c r="D2798" t="s">
        <v>4720</v>
      </c>
      <c r="E2798" t="s">
        <v>4750</v>
      </c>
      <c r="F2798" s="94" t="s">
        <v>4750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4786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4895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80</v>
      </c>
      <c r="R2798" s="110" t="s">
        <v>485</v>
      </c>
      <c r="S2798" s="94"/>
    </row>
    <row r="2799" spans="1:19" hidden="1">
      <c r="A2799" s="103" t="s">
        <v>4423</v>
      </c>
      <c r="B2799" s="149" t="str">
        <f>IFERROR(VLOOKUP(Proc[[#This Row],[App]],Table2[],3,0),"open")</f>
        <v>ok</v>
      </c>
      <c r="C2799" s="117" t="s">
        <v>369</v>
      </c>
      <c r="D2799" t="s">
        <v>4721</v>
      </c>
      <c r="E2799" t="s">
        <v>4752</v>
      </c>
      <c r="F2799" s="94" t="s">
        <v>4752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4786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4895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80</v>
      </c>
      <c r="R2799" s="110" t="s">
        <v>485</v>
      </c>
      <c r="S2799" s="94"/>
    </row>
    <row r="2800" spans="1:19" hidden="1">
      <c r="A2800" s="103" t="s">
        <v>4423</v>
      </c>
      <c r="B2800" s="149" t="str">
        <f>IFERROR(VLOOKUP(Proc[[#This Row],[App]],Table2[],3,0),"open")</f>
        <v>ok</v>
      </c>
      <c r="C2800" s="117" t="s">
        <v>369</v>
      </c>
      <c r="D2800" t="s">
        <v>4722</v>
      </c>
      <c r="E2800" t="s">
        <v>4752</v>
      </c>
      <c r="F2800" s="94" t="s">
        <v>4752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4786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4895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80</v>
      </c>
      <c r="R2800" s="110" t="s">
        <v>485</v>
      </c>
      <c r="S2800" s="94"/>
    </row>
    <row r="2801" spans="1:19" hidden="1">
      <c r="A2801" s="103" t="s">
        <v>4423</v>
      </c>
      <c r="B2801" s="149" t="str">
        <f>IFERROR(VLOOKUP(Proc[[#This Row],[App]],Table2[],3,0),"open")</f>
        <v>ok</v>
      </c>
      <c r="C2801" s="117" t="s">
        <v>369</v>
      </c>
      <c r="D2801" t="s">
        <v>4723</v>
      </c>
      <c r="E2801" t="s">
        <v>4752</v>
      </c>
      <c r="F2801" s="94" t="s">
        <v>4752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4786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4895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80</v>
      </c>
      <c r="R2801" s="110" t="s">
        <v>485</v>
      </c>
      <c r="S2801" s="94"/>
    </row>
    <row r="2802" spans="1:19" hidden="1">
      <c r="A2802" s="103" t="s">
        <v>4423</v>
      </c>
      <c r="B2802" s="149" t="str">
        <f>IFERROR(VLOOKUP(Proc[[#This Row],[App]],Table2[],3,0),"open")</f>
        <v>ok</v>
      </c>
      <c r="C2802" s="117" t="s">
        <v>369</v>
      </c>
      <c r="D2802" t="s">
        <v>4724</v>
      </c>
      <c r="E2802" t="s">
        <v>4752</v>
      </c>
      <c r="F2802" s="94" t="s">
        <v>4752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4786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4895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80</v>
      </c>
      <c r="R2802" s="110" t="s">
        <v>485</v>
      </c>
      <c r="S2802" s="94"/>
    </row>
    <row r="2803" spans="1:19" hidden="1">
      <c r="A2803" s="103" t="s">
        <v>4423</v>
      </c>
      <c r="B2803" s="149" t="str">
        <f>IFERROR(VLOOKUP(Proc[[#This Row],[App]],Table2[],3,0),"open")</f>
        <v>ok</v>
      </c>
      <c r="C2803" s="117" t="s">
        <v>369</v>
      </c>
      <c r="D2803" t="s">
        <v>4725</v>
      </c>
      <c r="E2803" t="s">
        <v>4754</v>
      </c>
      <c r="F2803" s="94" t="s">
        <v>4754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4786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4895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80</v>
      </c>
      <c r="R2803" s="110" t="s">
        <v>485</v>
      </c>
      <c r="S2803" s="94"/>
    </row>
    <row r="2804" spans="1:19" hidden="1">
      <c r="A2804" s="103" t="s">
        <v>4423</v>
      </c>
      <c r="B2804" s="149" t="str">
        <f>IFERROR(VLOOKUP(Proc[[#This Row],[App]],Table2[],3,0),"open")</f>
        <v>ok</v>
      </c>
      <c r="C2804" s="117" t="s">
        <v>369</v>
      </c>
      <c r="D2804" t="s">
        <v>4726</v>
      </c>
      <c r="E2804" t="s">
        <v>4755</v>
      </c>
      <c r="F2804" s="94" t="s">
        <v>4755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4786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4895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80</v>
      </c>
      <c r="R2804" s="110" t="s">
        <v>485</v>
      </c>
      <c r="S2804" s="94"/>
    </row>
    <row r="2805" spans="1:19" hidden="1">
      <c r="A2805" s="103" t="s">
        <v>4423</v>
      </c>
      <c r="B2805" s="149" t="str">
        <f>IFERROR(VLOOKUP(Proc[[#This Row],[App]],Table2[],3,0),"open")</f>
        <v>ok</v>
      </c>
      <c r="C2805" s="117" t="s">
        <v>369</v>
      </c>
      <c r="D2805" t="s">
        <v>4727</v>
      </c>
      <c r="E2805" t="s">
        <v>4755</v>
      </c>
      <c r="F2805" s="94" t="s">
        <v>4755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4786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4895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80</v>
      </c>
      <c r="R2805" s="110" t="s">
        <v>485</v>
      </c>
      <c r="S2805" s="94"/>
    </row>
    <row r="2806" spans="1:19" hidden="1">
      <c r="A2806" s="103" t="s">
        <v>4423</v>
      </c>
      <c r="B2806" s="149" t="str">
        <f>IFERROR(VLOOKUP(Proc[[#This Row],[App]],Table2[],3,0),"open")</f>
        <v>ok</v>
      </c>
      <c r="C2806" s="117" t="s">
        <v>369</v>
      </c>
      <c r="D2806" t="s">
        <v>4728</v>
      </c>
      <c r="E2806" t="s">
        <v>4755</v>
      </c>
      <c r="F2806" s="94" t="s">
        <v>4755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4786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4895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80</v>
      </c>
      <c r="R2806" s="110" t="s">
        <v>485</v>
      </c>
      <c r="S2806" s="94"/>
    </row>
    <row r="2807" spans="1:19" hidden="1">
      <c r="A2807" s="103" t="s">
        <v>4423</v>
      </c>
      <c r="B2807" s="149" t="str">
        <f>IFERROR(VLOOKUP(Proc[[#This Row],[App]],Table2[],3,0),"open")</f>
        <v>ok</v>
      </c>
      <c r="C2807" s="117" t="s">
        <v>369</v>
      </c>
      <c r="D2807" t="s">
        <v>4729</v>
      </c>
      <c r="E2807" t="s">
        <v>4755</v>
      </c>
      <c r="F2807" s="94" t="s">
        <v>4755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4786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4895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80</v>
      </c>
      <c r="R2807" s="110" t="s">
        <v>485</v>
      </c>
      <c r="S2807" s="94"/>
    </row>
    <row r="2808" spans="1:19" hidden="1">
      <c r="A2808" s="103" t="s">
        <v>4423</v>
      </c>
      <c r="B2808" s="149" t="str">
        <f>IFERROR(VLOOKUP(Proc[[#This Row],[App]],Table2[],3,0),"open")</f>
        <v>ok</v>
      </c>
      <c r="C2808" s="117" t="s">
        <v>369</v>
      </c>
      <c r="D2808" t="s">
        <v>4730</v>
      </c>
      <c r="E2808" t="s">
        <v>4752</v>
      </c>
      <c r="F2808" s="94" t="s">
        <v>4752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4786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4895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80</v>
      </c>
      <c r="R2808" s="110" t="s">
        <v>485</v>
      </c>
      <c r="S2808" s="94"/>
    </row>
    <row r="2809" spans="1:19" hidden="1">
      <c r="A2809" s="103" t="s">
        <v>4423</v>
      </c>
      <c r="B2809" s="149" t="str">
        <f>IFERROR(VLOOKUP(Proc[[#This Row],[App]],Table2[],3,0),"open")</f>
        <v>ok</v>
      </c>
      <c r="C2809" s="117" t="s">
        <v>369</v>
      </c>
      <c r="D2809" t="s">
        <v>4731</v>
      </c>
      <c r="E2809" t="s">
        <v>4751</v>
      </c>
      <c r="F2809" s="94" t="s">
        <v>4751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4786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4895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80</v>
      </c>
      <c r="R2809" s="110" t="s">
        <v>485</v>
      </c>
      <c r="S2809" s="94"/>
    </row>
    <row r="2810" spans="1:19" hidden="1">
      <c r="A2810" s="103" t="s">
        <v>4423</v>
      </c>
      <c r="B2810" s="149" t="str">
        <f>IFERROR(VLOOKUP(Proc[[#This Row],[App]],Table2[],3,0),"open")</f>
        <v>ok</v>
      </c>
      <c r="C2810" s="117" t="s">
        <v>369</v>
      </c>
      <c r="D2810" t="s">
        <v>4732</v>
      </c>
      <c r="E2810" t="s">
        <v>4751</v>
      </c>
      <c r="F2810" s="94" t="s">
        <v>4751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4786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4895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80</v>
      </c>
      <c r="R2810" s="110" t="s">
        <v>485</v>
      </c>
      <c r="S2810" s="94"/>
    </row>
    <row r="2811" spans="1:19" hidden="1">
      <c r="A2811" s="103" t="s">
        <v>4423</v>
      </c>
      <c r="B2811" s="149" t="str">
        <f>IFERROR(VLOOKUP(Proc[[#This Row],[App]],Table2[],3,0),"open")</f>
        <v>ok</v>
      </c>
      <c r="C2811" s="117" t="s">
        <v>369</v>
      </c>
      <c r="D2811" t="s">
        <v>4733</v>
      </c>
      <c r="E2811" t="s">
        <v>4755</v>
      </c>
      <c r="F2811" s="94" t="s">
        <v>4755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4786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4895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80</v>
      </c>
      <c r="R2811" s="110" t="s">
        <v>485</v>
      </c>
      <c r="S2811" s="94"/>
    </row>
    <row r="2812" spans="1:19" hidden="1">
      <c r="A2812" s="103" t="s">
        <v>4423</v>
      </c>
      <c r="B2812" s="149" t="str">
        <f>IFERROR(VLOOKUP(Proc[[#This Row],[App]],Table2[],3,0),"open")</f>
        <v>ok</v>
      </c>
      <c r="C2812" s="117" t="s">
        <v>369</v>
      </c>
      <c r="D2812" t="s">
        <v>4734</v>
      </c>
      <c r="E2812" t="s">
        <v>4741</v>
      </c>
      <c r="F2812" s="94" t="s">
        <v>4741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4786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4895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80</v>
      </c>
      <c r="R2812" s="110" t="s">
        <v>485</v>
      </c>
      <c r="S2812" s="94"/>
    </row>
    <row r="2813" spans="1:19" hidden="1">
      <c r="A2813" t="s">
        <v>4756</v>
      </c>
      <c r="B2813" s="149" t="str">
        <f>IFERROR(VLOOKUP(Proc[[#This Row],[App]],Table2[],3,0),"open")</f>
        <v>ok</v>
      </c>
      <c r="C2813" s="103" t="s">
        <v>369</v>
      </c>
      <c r="D2813" t="s">
        <v>4757</v>
      </c>
      <c r="E2813" t="s">
        <v>4765</v>
      </c>
      <c r="F2813" s="117" t="s">
        <v>4765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4786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4895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80</v>
      </c>
      <c r="R2813" s="110" t="s">
        <v>410</v>
      </c>
      <c r="S2813" s="94"/>
    </row>
    <row r="2814" spans="1:19" hidden="1">
      <c r="A2814" s="103" t="s">
        <v>4756</v>
      </c>
      <c r="B2814" s="149" t="str">
        <f>IFERROR(VLOOKUP(Proc[[#This Row],[App]],Table2[],3,0),"open")</f>
        <v>ok</v>
      </c>
      <c r="C2814" s="117" t="s">
        <v>369</v>
      </c>
      <c r="D2814" t="s">
        <v>4758</v>
      </c>
      <c r="E2814" t="s">
        <v>4765</v>
      </c>
      <c r="F2814" s="117" t="s">
        <v>4765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4786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4895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80</v>
      </c>
      <c r="R2814" s="110" t="s">
        <v>410</v>
      </c>
      <c r="S2814" s="94"/>
    </row>
    <row r="2815" spans="1:19" hidden="1">
      <c r="A2815" s="103" t="s">
        <v>4756</v>
      </c>
      <c r="B2815" s="149" t="str">
        <f>IFERROR(VLOOKUP(Proc[[#This Row],[App]],Table2[],3,0),"open")</f>
        <v>ok</v>
      </c>
      <c r="C2815" s="117" t="s">
        <v>369</v>
      </c>
      <c r="D2815" t="s">
        <v>4759</v>
      </c>
      <c r="E2815" t="s">
        <v>4765</v>
      </c>
      <c r="F2815" s="117" t="s">
        <v>4765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4786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4895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80</v>
      </c>
      <c r="R2815" s="110" t="s">
        <v>410</v>
      </c>
      <c r="S2815" s="94"/>
    </row>
    <row r="2816" spans="1:19" hidden="1">
      <c r="A2816" s="103" t="s">
        <v>4756</v>
      </c>
      <c r="B2816" s="149" t="str">
        <f>IFERROR(VLOOKUP(Proc[[#This Row],[App]],Table2[],3,0),"open")</f>
        <v>ok</v>
      </c>
      <c r="C2816" s="117" t="s">
        <v>369</v>
      </c>
      <c r="D2816" t="s">
        <v>4760</v>
      </c>
      <c r="E2816" t="s">
        <v>4765</v>
      </c>
      <c r="F2816" s="117" t="s">
        <v>4765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4786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4895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80</v>
      </c>
      <c r="R2816" s="110" t="s">
        <v>410</v>
      </c>
      <c r="S2816" s="94"/>
    </row>
    <row r="2817" spans="1:19" hidden="1">
      <c r="A2817" s="103" t="s">
        <v>4756</v>
      </c>
      <c r="B2817" s="149" t="str">
        <f>IFERROR(VLOOKUP(Proc[[#This Row],[App]],Table2[],3,0),"open")</f>
        <v>ok</v>
      </c>
      <c r="C2817" s="117" t="s">
        <v>369</v>
      </c>
      <c r="D2817" t="s">
        <v>4761</v>
      </c>
      <c r="E2817" t="s">
        <v>4765</v>
      </c>
      <c r="F2817" s="117" t="s">
        <v>4765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4786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4895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80</v>
      </c>
      <c r="R2817" s="110" t="s">
        <v>410</v>
      </c>
      <c r="S2817" s="94"/>
    </row>
    <row r="2818" spans="1:19" hidden="1">
      <c r="A2818" s="103" t="s">
        <v>4756</v>
      </c>
      <c r="B2818" s="149" t="str">
        <f>IFERROR(VLOOKUP(Proc[[#This Row],[App]],Table2[],3,0),"open")</f>
        <v>ok</v>
      </c>
      <c r="C2818" s="117" t="s">
        <v>369</v>
      </c>
      <c r="D2818" t="s">
        <v>4762</v>
      </c>
      <c r="E2818" t="s">
        <v>4765</v>
      </c>
      <c r="F2818" s="117" t="s">
        <v>4765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4786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4895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80</v>
      </c>
      <c r="R2818" s="110" t="s">
        <v>410</v>
      </c>
      <c r="S2818" s="94"/>
    </row>
    <row r="2819" spans="1:19" hidden="1">
      <c r="A2819" s="103" t="s">
        <v>4756</v>
      </c>
      <c r="B2819" s="149" t="str">
        <f>IFERROR(VLOOKUP(Proc[[#This Row],[App]],Table2[],3,0),"open")</f>
        <v>ok</v>
      </c>
      <c r="C2819" s="117" t="s">
        <v>369</v>
      </c>
      <c r="D2819" t="s">
        <v>4763</v>
      </c>
      <c r="E2819" t="s">
        <v>4765</v>
      </c>
      <c r="F2819" s="117" t="s">
        <v>4765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4895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80</v>
      </c>
      <c r="R2819" s="110" t="s">
        <v>410</v>
      </c>
      <c r="S2819" s="94"/>
    </row>
    <row r="2820" spans="1:19" hidden="1">
      <c r="A2820" s="103" t="s">
        <v>4756</v>
      </c>
      <c r="B2820" s="149" t="str">
        <f>IFERROR(VLOOKUP(Proc[[#This Row],[App]],Table2[],3,0),"open")</f>
        <v>ok</v>
      </c>
      <c r="C2820" s="117" t="s">
        <v>369</v>
      </c>
      <c r="D2820" t="s">
        <v>4764</v>
      </c>
      <c r="E2820" t="s">
        <v>4765</v>
      </c>
      <c r="F2820" s="117" t="s">
        <v>4765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4895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80</v>
      </c>
      <c r="R2820" s="110" t="s">
        <v>410</v>
      </c>
      <c r="S2820" s="94"/>
    </row>
    <row r="2821" spans="1:19" hidden="1">
      <c r="A2821" t="s">
        <v>4766</v>
      </c>
      <c r="B2821" s="149" t="str">
        <f>IFERROR(VLOOKUP(Proc[[#This Row],[App]],Table2[],3,0),"open")</f>
        <v>ok</v>
      </c>
      <c r="C2821" s="103" t="s">
        <v>369</v>
      </c>
      <c r="D2821" t="s">
        <v>4767</v>
      </c>
      <c r="E2821" t="s">
        <v>4778</v>
      </c>
      <c r="F2821" s="117" t="s">
        <v>4778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4786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4895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80</v>
      </c>
      <c r="R2821" s="94" t="s">
        <v>515</v>
      </c>
      <c r="S2821" s="94"/>
    </row>
    <row r="2822" spans="1:19" hidden="1">
      <c r="A2822" s="103" t="s">
        <v>4766</v>
      </c>
      <c r="B2822" s="149" t="str">
        <f>IFERROR(VLOOKUP(Proc[[#This Row],[App]],Table2[],3,0),"open")</f>
        <v>ok</v>
      </c>
      <c r="C2822" s="117" t="s">
        <v>369</v>
      </c>
      <c r="D2822" t="s">
        <v>4768</v>
      </c>
      <c r="E2822" t="s">
        <v>4778</v>
      </c>
      <c r="F2822" s="117" t="s">
        <v>4778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4786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4895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80</v>
      </c>
      <c r="R2822" s="94" t="s">
        <v>515</v>
      </c>
      <c r="S2822" s="94"/>
    </row>
    <row r="2823" spans="1:19" hidden="1">
      <c r="A2823" s="103" t="s">
        <v>4766</v>
      </c>
      <c r="B2823" s="149" t="str">
        <f>IFERROR(VLOOKUP(Proc[[#This Row],[App]],Table2[],3,0),"open")</f>
        <v>ok</v>
      </c>
      <c r="C2823" s="117" t="s">
        <v>369</v>
      </c>
      <c r="D2823" t="s">
        <v>4769</v>
      </c>
      <c r="E2823" t="s">
        <v>4778</v>
      </c>
      <c r="F2823" s="117" t="s">
        <v>4778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4786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4895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80</v>
      </c>
      <c r="R2823" s="94" t="s">
        <v>515</v>
      </c>
      <c r="S2823" s="94"/>
    </row>
    <row r="2824" spans="1:19" hidden="1">
      <c r="A2824" s="103" t="s">
        <v>4766</v>
      </c>
      <c r="B2824" s="149" t="str">
        <f>IFERROR(VLOOKUP(Proc[[#This Row],[App]],Table2[],3,0),"open")</f>
        <v>ok</v>
      </c>
      <c r="C2824" s="117" t="s">
        <v>369</v>
      </c>
      <c r="D2824" t="s">
        <v>4770</v>
      </c>
      <c r="E2824" t="s">
        <v>4779</v>
      </c>
      <c r="F2824" s="117" t="s">
        <v>4779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4786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4895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80</v>
      </c>
      <c r="R2824" s="94" t="s">
        <v>515</v>
      </c>
      <c r="S2824" s="94"/>
    </row>
    <row r="2825" spans="1:19" hidden="1">
      <c r="A2825" s="103" t="s">
        <v>4766</v>
      </c>
      <c r="B2825" s="149" t="str">
        <f>IFERROR(VLOOKUP(Proc[[#This Row],[App]],Table2[],3,0),"open")</f>
        <v>ok</v>
      </c>
      <c r="C2825" s="117" t="s">
        <v>369</v>
      </c>
      <c r="D2825" t="s">
        <v>4771</v>
      </c>
      <c r="E2825" t="s">
        <v>4778</v>
      </c>
      <c r="F2825" s="117" t="s">
        <v>4778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4786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4895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80</v>
      </c>
      <c r="R2825" s="94" t="s">
        <v>515</v>
      </c>
      <c r="S2825" s="94"/>
    </row>
    <row r="2826" spans="1:19" hidden="1">
      <c r="A2826" s="103" t="s">
        <v>4766</v>
      </c>
      <c r="B2826" s="149" t="str">
        <f>IFERROR(VLOOKUP(Proc[[#This Row],[App]],Table2[],3,0),"open")</f>
        <v>ok</v>
      </c>
      <c r="C2826" s="117" t="s">
        <v>369</v>
      </c>
      <c r="D2826" t="s">
        <v>4772</v>
      </c>
      <c r="E2826" t="s">
        <v>4778</v>
      </c>
      <c r="F2826" s="117" t="s">
        <v>4778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4786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4895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80</v>
      </c>
      <c r="R2826" s="94" t="s">
        <v>515</v>
      </c>
      <c r="S2826" s="94"/>
    </row>
    <row r="2827" spans="1:19" hidden="1">
      <c r="A2827" s="103" t="s">
        <v>4766</v>
      </c>
      <c r="B2827" s="149" t="str">
        <f>IFERROR(VLOOKUP(Proc[[#This Row],[App]],Table2[],3,0),"open")</f>
        <v>ok</v>
      </c>
      <c r="C2827" s="117" t="s">
        <v>369</v>
      </c>
      <c r="D2827" t="s">
        <v>4773</v>
      </c>
      <c r="E2827" t="s">
        <v>4778</v>
      </c>
      <c r="F2827" s="117" t="s">
        <v>4778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4786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4895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80</v>
      </c>
      <c r="R2827" s="94" t="s">
        <v>515</v>
      </c>
      <c r="S2827" s="94"/>
    </row>
    <row r="2828" spans="1:19" hidden="1">
      <c r="A2828" s="103" t="s">
        <v>4766</v>
      </c>
      <c r="B2828" s="149" t="str">
        <f>IFERROR(VLOOKUP(Proc[[#This Row],[App]],Table2[],3,0),"open")</f>
        <v>ok</v>
      </c>
      <c r="C2828" s="117" t="s">
        <v>369</v>
      </c>
      <c r="D2828" t="s">
        <v>4774</v>
      </c>
      <c r="E2828" t="s">
        <v>4778</v>
      </c>
      <c r="F2828" s="117" t="s">
        <v>4778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4786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4895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80</v>
      </c>
      <c r="R2828" s="94" t="s">
        <v>515</v>
      </c>
      <c r="S2828" s="94"/>
    </row>
    <row r="2829" spans="1:19" hidden="1">
      <c r="A2829" s="103" t="s">
        <v>4766</v>
      </c>
      <c r="B2829" s="149" t="str">
        <f>IFERROR(VLOOKUP(Proc[[#This Row],[App]],Table2[],3,0),"open")</f>
        <v>ok</v>
      </c>
      <c r="C2829" s="117" t="s">
        <v>369</v>
      </c>
      <c r="D2829" t="s">
        <v>4775</v>
      </c>
      <c r="E2829" t="s">
        <v>4778</v>
      </c>
      <c r="F2829" s="117" t="s">
        <v>4778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4786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4895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80</v>
      </c>
      <c r="R2829" s="94" t="s">
        <v>515</v>
      </c>
      <c r="S2829" s="94"/>
    </row>
    <row r="2830" spans="1:19" hidden="1">
      <c r="A2830" s="103" t="s">
        <v>4766</v>
      </c>
      <c r="B2830" s="149" t="str">
        <f>IFERROR(VLOOKUP(Proc[[#This Row],[App]],Table2[],3,0),"open")</f>
        <v>ok</v>
      </c>
      <c r="C2830" s="117" t="s">
        <v>369</v>
      </c>
      <c r="D2830" t="s">
        <v>4776</v>
      </c>
      <c r="E2830" t="s">
        <v>4778</v>
      </c>
      <c r="F2830" s="117" t="s">
        <v>4778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4786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4895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80</v>
      </c>
      <c r="R2830" s="94" t="s">
        <v>515</v>
      </c>
      <c r="S2830" s="94"/>
    </row>
    <row r="2831" spans="1:19" hidden="1">
      <c r="A2831" s="103" t="s">
        <v>4766</v>
      </c>
      <c r="B2831" s="149" t="str">
        <f>IFERROR(VLOOKUP(Proc[[#This Row],[App]],Table2[],3,0),"open")</f>
        <v>ok</v>
      </c>
      <c r="C2831" s="117" t="s">
        <v>369</v>
      </c>
      <c r="D2831" t="s">
        <v>4801</v>
      </c>
      <c r="E2831" t="s">
        <v>4779</v>
      </c>
      <c r="F2831" s="117" t="s">
        <v>4779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4784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4895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80</v>
      </c>
      <c r="R2831" s="94" t="s">
        <v>515</v>
      </c>
      <c r="S2831" s="94"/>
    </row>
    <row r="2832" spans="1:19" hidden="1">
      <c r="A2832" s="103" t="s">
        <v>4766</v>
      </c>
      <c r="B2832" s="149" t="str">
        <f>IFERROR(VLOOKUP(Proc[[#This Row],[App]],Table2[],3,0),"open")</f>
        <v>ok</v>
      </c>
      <c r="C2832" s="117" t="s">
        <v>369</v>
      </c>
      <c r="D2832" t="s">
        <v>4777</v>
      </c>
      <c r="E2832" t="s">
        <v>4778</v>
      </c>
      <c r="F2832" s="117" t="s">
        <v>4778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4895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80</v>
      </c>
      <c r="R2832" s="94" t="s">
        <v>515</v>
      </c>
      <c r="S2832" s="94"/>
    </row>
    <row r="2833" spans="1:19" hidden="1">
      <c r="A2833" t="s">
        <v>4783</v>
      </c>
      <c r="B2833" s="149" t="str">
        <f>IFERROR(VLOOKUP(Proc[[#This Row],[App]],Table2[],3,0),"open")</f>
        <v>ok</v>
      </c>
      <c r="C2833" s="117" t="s">
        <v>369</v>
      </c>
      <c r="D2833" t="s">
        <v>4780</v>
      </c>
      <c r="E2833" t="s">
        <v>4323</v>
      </c>
      <c r="F2833" s="120" t="s">
        <v>4323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4782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4895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80</v>
      </c>
      <c r="R2833" s="110" t="s">
        <v>780</v>
      </c>
      <c r="S2833" s="94"/>
    </row>
    <row r="2834" spans="1:19" hidden="1">
      <c r="A2834" s="103" t="s">
        <v>4783</v>
      </c>
      <c r="B2834" s="149" t="str">
        <f>IFERROR(VLOOKUP(Proc[[#This Row],[App]],Table2[],3,0),"open")</f>
        <v>ok</v>
      </c>
      <c r="C2834" t="s">
        <v>369</v>
      </c>
      <c r="D2834" t="s">
        <v>4781</v>
      </c>
      <c r="E2834" t="s">
        <v>4323</v>
      </c>
      <c r="F2834" s="94" t="s">
        <v>4323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4782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4895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80</v>
      </c>
      <c r="R2834" s="110" t="s">
        <v>780</v>
      </c>
      <c r="S2834" s="94"/>
    </row>
    <row r="2835" spans="1:19" hidden="1">
      <c r="A2835" t="s">
        <v>4787</v>
      </c>
      <c r="B2835" s="149" t="str">
        <f>IFERROR(VLOOKUP(Proc[[#This Row],[App]],Table2[],3,0),"open")</f>
        <v>ok</v>
      </c>
      <c r="C2835" s="117" t="s">
        <v>369</v>
      </c>
      <c r="D2835" t="s">
        <v>4808</v>
      </c>
      <c r="E2835" t="s">
        <v>4788</v>
      </c>
      <c r="F2835" s="94" t="s">
        <v>4788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4895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78</v>
      </c>
      <c r="R2835" s="110" t="s">
        <v>1459</v>
      </c>
      <c r="S2835" s="94"/>
    </row>
    <row r="2836" spans="1:19" hidden="1">
      <c r="A2836" s="114" t="s">
        <v>4789</v>
      </c>
      <c r="B2836" s="149" t="str">
        <f>IFERROR(VLOOKUP(Proc[[#This Row],[App]],Table2[],3,0),"open")</f>
        <v>ok</v>
      </c>
      <c r="C2836" s="117" t="s">
        <v>369</v>
      </c>
      <c r="D2836" s="114" t="s">
        <v>4790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4895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78</v>
      </c>
      <c r="R2836" s="115" t="s">
        <v>489</v>
      </c>
      <c r="S2836" s="94"/>
    </row>
    <row r="2837" spans="1:19" hidden="1">
      <c r="A2837" s="114" t="s">
        <v>4789</v>
      </c>
      <c r="B2837" s="149" t="str">
        <f>IFERROR(VLOOKUP(Proc[[#This Row],[App]],Table2[],3,0),"open")</f>
        <v>ok</v>
      </c>
      <c r="C2837" s="117" t="s">
        <v>369</v>
      </c>
      <c r="D2837" s="114" t="s">
        <v>4791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4895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78</v>
      </c>
      <c r="R2837" s="115" t="s">
        <v>489</v>
      </c>
      <c r="S2837" s="94"/>
    </row>
    <row r="2838" spans="1:19" hidden="1">
      <c r="A2838" s="114" t="s">
        <v>4789</v>
      </c>
      <c r="B2838" s="149" t="str">
        <f>IFERROR(VLOOKUP(Proc[[#This Row],[App]],Table2[],3,0),"open")</f>
        <v>ok</v>
      </c>
      <c r="C2838" s="114" t="s">
        <v>377</v>
      </c>
      <c r="D2838" s="114" t="s">
        <v>4792</v>
      </c>
      <c r="E2838" s="114" t="s">
        <v>417</v>
      </c>
      <c r="F2838" s="94" t="s">
        <v>4805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4895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78</v>
      </c>
      <c r="R2838" s="115" t="s">
        <v>489</v>
      </c>
      <c r="S2838" s="94"/>
    </row>
    <row r="2839" spans="1:19" hidden="1">
      <c r="A2839" s="114" t="s">
        <v>4789</v>
      </c>
      <c r="B2839" s="149" t="str">
        <f>IFERROR(VLOOKUP(Proc[[#This Row],[App]],Table2[],3,0),"open")</f>
        <v>ok</v>
      </c>
      <c r="C2839" s="117" t="s">
        <v>377</v>
      </c>
      <c r="D2839" s="114" t="s">
        <v>4793</v>
      </c>
      <c r="E2839" s="114" t="s">
        <v>417</v>
      </c>
      <c r="F2839" s="94" t="s">
        <v>4805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4895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78</v>
      </c>
      <c r="R2839" s="115" t="s">
        <v>489</v>
      </c>
      <c r="S2839" s="94"/>
    </row>
    <row r="2840" spans="1:19" hidden="1">
      <c r="A2840" s="114" t="s">
        <v>4789</v>
      </c>
      <c r="B2840" s="149" t="str">
        <f>IFERROR(VLOOKUP(Proc[[#This Row],[App]],Table2[],3,0),"open")</f>
        <v>ok</v>
      </c>
      <c r="C2840" s="117" t="s">
        <v>377</v>
      </c>
      <c r="D2840" s="114" t="s">
        <v>4794</v>
      </c>
      <c r="E2840" s="114" t="s">
        <v>417</v>
      </c>
      <c r="F2840" s="94" t="s">
        <v>4806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4895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78</v>
      </c>
      <c r="R2840" s="115" t="s">
        <v>489</v>
      </c>
      <c r="S2840" s="94"/>
    </row>
    <row r="2841" spans="1:19" hidden="1">
      <c r="A2841" s="114" t="s">
        <v>4789</v>
      </c>
      <c r="B2841" s="149" t="str">
        <f>IFERROR(VLOOKUP(Proc[[#This Row],[App]],Table2[],3,0),"open")</f>
        <v>ok</v>
      </c>
      <c r="C2841" s="117" t="s">
        <v>377</v>
      </c>
      <c r="D2841" s="114" t="s">
        <v>4795</v>
      </c>
      <c r="E2841" s="114" t="s">
        <v>417</v>
      </c>
      <c r="F2841" s="94" t="s">
        <v>4807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4895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78</v>
      </c>
      <c r="R2841" s="115" t="s">
        <v>489</v>
      </c>
      <c r="S2841" s="94"/>
    </row>
    <row r="2842" spans="1:19" hidden="1">
      <c r="A2842" s="114" t="s">
        <v>4789</v>
      </c>
      <c r="B2842" s="149" t="str">
        <f>IFERROR(VLOOKUP(Proc[[#This Row],[App]],Table2[],3,0),"open")</f>
        <v>ok</v>
      </c>
      <c r="C2842" s="117" t="s">
        <v>369</v>
      </c>
      <c r="D2842" s="114" t="s">
        <v>4796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4895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78</v>
      </c>
      <c r="R2842" s="115" t="s">
        <v>489</v>
      </c>
      <c r="S2842" s="94"/>
    </row>
    <row r="2843" spans="1:19" hidden="1">
      <c r="A2843" t="s">
        <v>4797</v>
      </c>
      <c r="B2843" s="149" t="str">
        <f>IFERROR(VLOOKUP(Proc[[#This Row],[App]],Table2[],3,0),"open")</f>
        <v>ok</v>
      </c>
      <c r="C2843" s="114" t="s">
        <v>369</v>
      </c>
      <c r="D2843" t="s">
        <v>4802</v>
      </c>
      <c r="E2843" t="s">
        <v>4798</v>
      </c>
      <c r="F2843" s="94" t="s">
        <v>4798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4803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4895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78</v>
      </c>
      <c r="R2843" s="115" t="s">
        <v>489</v>
      </c>
      <c r="S2843" s="94"/>
    </row>
    <row r="2844" spans="1:19" hidden="1">
      <c r="A2844" t="s">
        <v>4800</v>
      </c>
      <c r="B2844" s="149" t="str">
        <f>IFERROR(VLOOKUP(Proc[[#This Row],[App]],Table2[],3,0),"open")</f>
        <v>ok</v>
      </c>
      <c r="C2844" s="117" t="s">
        <v>369</v>
      </c>
      <c r="D2844" s="116" t="s">
        <v>4799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4895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78</v>
      </c>
      <c r="R2844" s="115" t="s">
        <v>515</v>
      </c>
      <c r="S2844" s="94"/>
    </row>
    <row r="2845" spans="1:19" hidden="1">
      <c r="A2845" t="s">
        <v>4809</v>
      </c>
      <c r="B2845" s="149" t="str">
        <f>IFERROR(VLOOKUP(Proc[[#This Row],[App]],Table2[],3,0),"open")</f>
        <v>ok</v>
      </c>
      <c r="C2845" s="117" t="s">
        <v>369</v>
      </c>
      <c r="D2845" t="s">
        <v>4810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4895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77</v>
      </c>
      <c r="R2845" s="115" t="s">
        <v>489</v>
      </c>
      <c r="S2845" s="94"/>
    </row>
    <row r="2846" spans="1:19" hidden="1">
      <c r="A2846" s="117" t="s">
        <v>4809</v>
      </c>
      <c r="B2846" s="149" t="str">
        <f>IFERROR(VLOOKUP(Proc[[#This Row],[App]],Table2[],3,0),"open")</f>
        <v>ok</v>
      </c>
      <c r="C2846" s="117" t="s">
        <v>369</v>
      </c>
      <c r="D2846" t="s">
        <v>4811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4895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77</v>
      </c>
      <c r="R2846" s="115" t="s">
        <v>489</v>
      </c>
      <c r="S2846" s="94"/>
    </row>
    <row r="2847" spans="1:19" hidden="1">
      <c r="A2847" s="117" t="s">
        <v>4809</v>
      </c>
      <c r="B2847" s="149" t="str">
        <f>IFERROR(VLOOKUP(Proc[[#This Row],[App]],Table2[],3,0),"open")</f>
        <v>ok</v>
      </c>
      <c r="C2847" s="117" t="s">
        <v>369</v>
      </c>
      <c r="D2847" t="s">
        <v>4812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4895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77</v>
      </c>
      <c r="R2847" s="115" t="s">
        <v>489</v>
      </c>
      <c r="S2847" s="94"/>
    </row>
    <row r="2848" spans="1:19" hidden="1">
      <c r="A2848" t="s">
        <v>4813</v>
      </c>
      <c r="B2848" s="149" t="str">
        <f>IFERROR(VLOOKUP(Proc[[#This Row],[App]],Table2[],3,0),"open")</f>
        <v>ok</v>
      </c>
      <c r="C2848" s="117" t="s">
        <v>369</v>
      </c>
      <c r="D2848" t="s">
        <v>4822</v>
      </c>
      <c r="E2848" s="94" t="s">
        <v>4814</v>
      </c>
      <c r="F2848" s="94" t="s">
        <v>4814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4895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76</v>
      </c>
      <c r="R2848" s="115" t="s">
        <v>4821</v>
      </c>
      <c r="S2848" s="94"/>
    </row>
    <row r="2849" spans="1:19" hidden="1">
      <c r="A2849" t="s">
        <v>4815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4895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76</v>
      </c>
      <c r="R2849" s="115" t="s">
        <v>4820</v>
      </c>
      <c r="S2849" s="94"/>
    </row>
    <row r="2850" spans="1:19" hidden="1">
      <c r="A2850" s="117" t="s">
        <v>4815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4895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76</v>
      </c>
      <c r="R2850" s="115" t="s">
        <v>4820</v>
      </c>
      <c r="S2850" s="94"/>
    </row>
    <row r="2851" spans="1:19" hidden="1">
      <c r="A2851" s="117" t="s">
        <v>4815</v>
      </c>
      <c r="B2851" s="149" t="str">
        <f>IFERROR(VLOOKUP(Proc[[#This Row],[App]],Table2[],3,0),"open")</f>
        <v>ok</v>
      </c>
      <c r="C2851" s="117" t="s">
        <v>369</v>
      </c>
      <c r="D2851" t="s">
        <v>4823</v>
      </c>
      <c r="E2851" t="s">
        <v>4816</v>
      </c>
      <c r="F2851" s="94" t="s">
        <v>4816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4895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76</v>
      </c>
      <c r="R2851" s="115" t="s">
        <v>4820</v>
      </c>
      <c r="S2851" s="94"/>
    </row>
    <row r="2852" spans="1:19" hidden="1">
      <c r="A2852" t="s">
        <v>4817</v>
      </c>
      <c r="B2852" s="149" t="str">
        <f>IFERROR(VLOOKUP(Proc[[#This Row],[App]],Table2[],3,0),"open")</f>
        <v>ok</v>
      </c>
      <c r="C2852" s="117" t="s">
        <v>369</v>
      </c>
      <c r="D2852" t="s">
        <v>4818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4895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76</v>
      </c>
      <c r="R2852" s="115" t="s">
        <v>481</v>
      </c>
      <c r="S2852" s="94"/>
    </row>
    <row r="2853" spans="1:19" hidden="1">
      <c r="A2853" s="117" t="s">
        <v>4817</v>
      </c>
      <c r="B2853" s="149" t="str">
        <f>IFERROR(VLOOKUP(Proc[[#This Row],[App]],Table2[],3,0),"open")</f>
        <v>ok</v>
      </c>
      <c r="C2853" s="117" t="s">
        <v>369</v>
      </c>
      <c r="D2853" t="s">
        <v>4819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4895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76</v>
      </c>
      <c r="R2853" s="115" t="s">
        <v>481</v>
      </c>
      <c r="S2853" s="94"/>
    </row>
    <row r="2854" spans="1:19" hidden="1">
      <c r="A2854" t="s">
        <v>4824</v>
      </c>
      <c r="B2854" s="149" t="str">
        <f>IFERROR(VLOOKUP(Proc[[#This Row],[App]],Table2[],3,0),"open")</f>
        <v>ok</v>
      </c>
      <c r="C2854" s="117" t="s">
        <v>369</v>
      </c>
      <c r="D2854" s="99" t="s">
        <v>4825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4895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75</v>
      </c>
      <c r="R2854" s="115" t="s">
        <v>410</v>
      </c>
      <c r="S2854" s="94"/>
    </row>
    <row r="2855" spans="1:19" hidden="1">
      <c r="A2855" t="s">
        <v>4826</v>
      </c>
      <c r="B2855" s="149" t="str">
        <f>IFERROR(VLOOKUP(Proc[[#This Row],[App]],Table2[],3,0),"open")</f>
        <v>ok</v>
      </c>
      <c r="C2855" s="117" t="s">
        <v>369</v>
      </c>
      <c r="D2855" t="s">
        <v>4827</v>
      </c>
      <c r="E2855" t="s">
        <v>4828</v>
      </c>
      <c r="F2855" s="117" t="s">
        <v>4828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4895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75</v>
      </c>
      <c r="R2855" s="115" t="s">
        <v>4820</v>
      </c>
      <c r="S2855" s="94"/>
    </row>
    <row r="2856" spans="1:19" hidden="1">
      <c r="A2856" t="s">
        <v>4831</v>
      </c>
      <c r="B2856" s="149" t="str">
        <f>IFERROR(VLOOKUP(Proc[[#This Row],[App]],Table2[],3,0),"open")</f>
        <v>ok</v>
      </c>
      <c r="C2856" t="s">
        <v>369</v>
      </c>
      <c r="D2856" t="s">
        <v>4832</v>
      </c>
      <c r="E2856" t="s">
        <v>4830</v>
      </c>
      <c r="F2856" s="120" t="s">
        <v>4830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4895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73</v>
      </c>
      <c r="R2856" s="115" t="s">
        <v>410</v>
      </c>
      <c r="S2856" s="94"/>
    </row>
    <row r="2857" spans="1:19" hidden="1">
      <c r="A2857" t="s">
        <v>4835</v>
      </c>
      <c r="B2857" s="149" t="str">
        <f>IFERROR(VLOOKUP(Proc[[#This Row],[App]],Table2[],3,0),"open")</f>
        <v>ok</v>
      </c>
      <c r="C2857" s="121" t="s">
        <v>369</v>
      </c>
      <c r="D2857" s="119" t="s">
        <v>4840</v>
      </c>
      <c r="E2857" t="s">
        <v>4834</v>
      </c>
      <c r="F2857" s="125" t="s">
        <v>4834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4895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72</v>
      </c>
      <c r="R2857" s="115" t="s">
        <v>410</v>
      </c>
      <c r="S2857" s="120"/>
    </row>
    <row r="2858" spans="1:19" hidden="1">
      <c r="A2858" t="s">
        <v>4839</v>
      </c>
      <c r="B2858" s="149" t="str">
        <f>IFERROR(VLOOKUP(Proc[[#This Row],[App]],Table2[],3,0),"open")</f>
        <v>ok</v>
      </c>
      <c r="C2858" s="121" t="s">
        <v>369</v>
      </c>
      <c r="D2858" t="s">
        <v>4836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4895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72</v>
      </c>
      <c r="R2858" s="115" t="s">
        <v>780</v>
      </c>
      <c r="S2858" s="120"/>
    </row>
    <row r="2859" spans="1:19" hidden="1">
      <c r="A2859" s="119" t="s">
        <v>4839</v>
      </c>
      <c r="B2859" s="149" t="str">
        <f>IFERROR(VLOOKUP(Proc[[#This Row],[App]],Table2[],3,0),"open")</f>
        <v>ok</v>
      </c>
      <c r="C2859" s="121" t="s">
        <v>369</v>
      </c>
      <c r="D2859" t="s">
        <v>4837</v>
      </c>
      <c r="E2859" t="s">
        <v>4838</v>
      </c>
      <c r="F2859" s="125" t="s">
        <v>4838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4895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72</v>
      </c>
      <c r="R2859" s="115" t="s">
        <v>780</v>
      </c>
      <c r="S2859" s="120"/>
    </row>
    <row r="2860" spans="1:19" hidden="1">
      <c r="A2860" t="s">
        <v>4843</v>
      </c>
      <c r="B2860" s="149" t="str">
        <f>IFERROR(VLOOKUP(Proc[[#This Row],[App]],Table2[],3,0),"open")</f>
        <v>ok</v>
      </c>
      <c r="C2860" s="121" t="s">
        <v>369</v>
      </c>
      <c r="D2860" t="s">
        <v>4841</v>
      </c>
      <c r="E2860" t="s">
        <v>4842</v>
      </c>
      <c r="F2860" s="124" t="s">
        <v>4842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4844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4895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71</v>
      </c>
      <c r="R2860" s="115" t="s">
        <v>856</v>
      </c>
      <c r="S2860" s="120"/>
    </row>
    <row r="2861" spans="1:19" hidden="1">
      <c r="A2861" t="s">
        <v>4845</v>
      </c>
      <c r="B2861" s="149" t="str">
        <f>IFERROR(VLOOKUP(Proc[[#This Row],[App]],Table2[],3,0),"open")</f>
        <v>ok</v>
      </c>
      <c r="C2861" s="121" t="s">
        <v>369</v>
      </c>
      <c r="D2861" t="s">
        <v>4846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4895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71</v>
      </c>
      <c r="R2861" s="115" t="s">
        <v>856</v>
      </c>
      <c r="S2861" s="120"/>
    </row>
    <row r="2862" spans="1:19" hidden="1">
      <c r="A2862" t="s">
        <v>4847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4895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71</v>
      </c>
      <c r="R2862" s="115" t="s">
        <v>489</v>
      </c>
      <c r="S2862" s="120"/>
    </row>
    <row r="2863" spans="1:19" hidden="1">
      <c r="A2863" t="s">
        <v>4849</v>
      </c>
      <c r="B2863" s="149" t="str">
        <f>IFERROR(VLOOKUP(Proc[[#This Row],[App]],Table2[],3,0),"open")</f>
        <v>ok</v>
      </c>
      <c r="C2863" s="121" t="s">
        <v>369</v>
      </c>
      <c r="D2863" t="s">
        <v>4841</v>
      </c>
      <c r="E2863" t="s">
        <v>4848</v>
      </c>
      <c r="F2863" s="124" t="s">
        <v>4848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4854</v>
      </c>
      <c r="B2864" s="149" t="str">
        <f>IFERROR(VLOOKUP(Proc[[#This Row],[App]],Table2[],3,0),"open")</f>
        <v>ok</v>
      </c>
      <c r="C2864" t="s">
        <v>369</v>
      </c>
      <c r="D2864" t="s">
        <v>4850</v>
      </c>
      <c r="E2864" t="s">
        <v>4866</v>
      </c>
      <c r="F2864" s="125" t="s">
        <v>4866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4895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69</v>
      </c>
      <c r="R2864" s="115" t="s">
        <v>515</v>
      </c>
      <c r="S2864" s="120"/>
    </row>
    <row r="2865" spans="1:19" hidden="1">
      <c r="A2865" s="121" t="s">
        <v>4854</v>
      </c>
      <c r="B2865" s="149" t="str">
        <f>IFERROR(VLOOKUP(Proc[[#This Row],[App]],Table2[],3,0),"open")</f>
        <v>ok</v>
      </c>
      <c r="C2865" s="124" t="s">
        <v>369</v>
      </c>
      <c r="D2865" t="s">
        <v>4851</v>
      </c>
      <c r="E2865" t="s">
        <v>4866</v>
      </c>
      <c r="F2865" s="125" t="s">
        <v>4866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4895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69</v>
      </c>
      <c r="R2865" s="115" t="s">
        <v>515</v>
      </c>
      <c r="S2865" s="120"/>
    </row>
    <row r="2866" spans="1:19" hidden="1">
      <c r="A2866" s="121" t="s">
        <v>4854</v>
      </c>
      <c r="B2866" s="149" t="str">
        <f>IFERROR(VLOOKUP(Proc[[#This Row],[App]],Table2[],3,0),"open")</f>
        <v>ok</v>
      </c>
      <c r="C2866" s="121" t="s">
        <v>369</v>
      </c>
      <c r="D2866" t="s">
        <v>4852</v>
      </c>
      <c r="E2866" t="s">
        <v>4865</v>
      </c>
      <c r="F2866" s="124" t="s">
        <v>4865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4895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69</v>
      </c>
      <c r="R2866" s="115" t="s">
        <v>515</v>
      </c>
      <c r="S2866" s="120"/>
    </row>
    <row r="2867" spans="1:19" hidden="1">
      <c r="A2867" s="121" t="s">
        <v>4854</v>
      </c>
      <c r="B2867" s="149" t="str">
        <f>IFERROR(VLOOKUP(Proc[[#This Row],[App]],Table2[],3,0),"open")</f>
        <v>ok</v>
      </c>
      <c r="C2867" s="124" t="s">
        <v>369</v>
      </c>
      <c r="D2867" t="s">
        <v>4853</v>
      </c>
      <c r="E2867" t="s">
        <v>4865</v>
      </c>
      <c r="F2867" s="124" t="s">
        <v>4865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4895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69</v>
      </c>
      <c r="R2867" s="115" t="s">
        <v>515</v>
      </c>
      <c r="S2867" s="120"/>
    </row>
    <row r="2868" spans="1:19" hidden="1">
      <c r="A2868" t="s">
        <v>4855</v>
      </c>
      <c r="B2868" s="149" t="str">
        <f>IFERROR(VLOOKUP(Proc[[#This Row],[App]],Table2[],3,0),"open")</f>
        <v>ok</v>
      </c>
      <c r="C2868" s="124" t="s">
        <v>369</v>
      </c>
      <c r="D2868" t="s">
        <v>4862</v>
      </c>
      <c r="E2868" t="s">
        <v>4856</v>
      </c>
      <c r="F2868" s="124" t="s">
        <v>4856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4895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69</v>
      </c>
      <c r="R2868" s="115" t="s">
        <v>415</v>
      </c>
      <c r="S2868" s="120"/>
    </row>
    <row r="2869" spans="1:19" hidden="1">
      <c r="A2869" t="s">
        <v>4858</v>
      </c>
      <c r="B2869" s="149" t="str">
        <f>IFERROR(VLOOKUP(Proc[[#This Row],[App]],Table2[],3,0),"open")</f>
        <v>ok</v>
      </c>
      <c r="C2869" s="124" t="s">
        <v>369</v>
      </c>
      <c r="D2869" s="122" t="s">
        <v>4333</v>
      </c>
      <c r="E2869" s="125" t="s">
        <v>4857</v>
      </c>
      <c r="F2869" s="124" t="s">
        <v>4857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4895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69</v>
      </c>
      <c r="R2869" s="115" t="s">
        <v>410</v>
      </c>
      <c r="S2869" s="123"/>
    </row>
    <row r="2870" spans="1:19" hidden="1">
      <c r="A2870" t="s">
        <v>4859</v>
      </c>
      <c r="B2870" s="149" t="str">
        <f>IFERROR(VLOOKUP(Proc[[#This Row],[App]],Table2[],3,0),"open")</f>
        <v>ok</v>
      </c>
      <c r="C2870" s="124" t="s">
        <v>369</v>
      </c>
      <c r="D2870" t="s">
        <v>4860</v>
      </c>
      <c r="E2870" t="s">
        <v>4861</v>
      </c>
      <c r="F2870" s="124" t="s">
        <v>4861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4895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69</v>
      </c>
      <c r="R2870" s="115" t="s">
        <v>856</v>
      </c>
      <c r="S2870" s="125"/>
    </row>
    <row r="2871" spans="1:19" hidden="1">
      <c r="A2871" t="s">
        <v>4863</v>
      </c>
      <c r="B2871" s="149" t="str">
        <f>IFERROR(VLOOKUP(Proc[[#This Row],[App]],Table2[],3,0),"open")</f>
        <v>ok</v>
      </c>
      <c r="C2871" s="124" t="s">
        <v>369</v>
      </c>
      <c r="D2871" t="s">
        <v>4864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4895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66</v>
      </c>
      <c r="R2871" s="115" t="s">
        <v>415</v>
      </c>
      <c r="S2871" s="125"/>
    </row>
    <row r="2872" spans="1:19" hidden="1">
      <c r="A2872" t="s">
        <v>4867</v>
      </c>
      <c r="B2872" s="149" t="str">
        <f>IFERROR(VLOOKUP(Proc[[#This Row],[App]],Table2[],3,0),"open")</f>
        <v>ok</v>
      </c>
      <c r="C2872" s="124" t="s">
        <v>369</v>
      </c>
      <c r="D2872" t="s">
        <v>4868</v>
      </c>
      <c r="E2872" s="124" t="s">
        <v>4900</v>
      </c>
      <c r="F2872" s="125" t="s">
        <v>4900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4895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66</v>
      </c>
      <c r="R2872" s="115" t="s">
        <v>515</v>
      </c>
      <c r="S2872" s="125"/>
    </row>
    <row r="2873" spans="1:19" hidden="1">
      <c r="A2873" s="124" t="s">
        <v>4867</v>
      </c>
      <c r="B2873" s="149" t="str">
        <f>IFERROR(VLOOKUP(Proc[[#This Row],[App]],Table2[],3,0),"open")</f>
        <v>ok</v>
      </c>
      <c r="C2873" s="124" t="s">
        <v>369</v>
      </c>
      <c r="D2873" t="s">
        <v>4869</v>
      </c>
      <c r="E2873" s="124" t="s">
        <v>4900</v>
      </c>
      <c r="F2873" s="125" t="s">
        <v>4900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4895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66</v>
      </c>
      <c r="R2873" s="115" t="s">
        <v>515</v>
      </c>
      <c r="S2873" s="125"/>
    </row>
    <row r="2874" spans="1:19" hidden="1">
      <c r="A2874" s="124" t="s">
        <v>4867</v>
      </c>
      <c r="B2874" s="149" t="str">
        <f>IFERROR(VLOOKUP(Proc[[#This Row],[App]],Table2[],3,0),"open")</f>
        <v>ok</v>
      </c>
      <c r="C2874" s="124" t="s">
        <v>369</v>
      </c>
      <c r="D2874" t="s">
        <v>4870</v>
      </c>
      <c r="E2874" s="124" t="s">
        <v>4900</v>
      </c>
      <c r="F2874" s="125" t="s">
        <v>4900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4895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66</v>
      </c>
      <c r="R2874" s="115" t="s">
        <v>515</v>
      </c>
      <c r="S2874" s="125"/>
    </row>
    <row r="2875" spans="1:19" hidden="1">
      <c r="A2875" s="124" t="s">
        <v>4867</v>
      </c>
      <c r="B2875" s="149" t="str">
        <f>IFERROR(VLOOKUP(Proc[[#This Row],[App]],Table2[],3,0),"open")</f>
        <v>ok</v>
      </c>
      <c r="C2875" s="124" t="s">
        <v>369</v>
      </c>
      <c r="D2875" t="s">
        <v>4871</v>
      </c>
      <c r="E2875" s="124" t="s">
        <v>4900</v>
      </c>
      <c r="F2875" s="125" t="s">
        <v>4900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4895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66</v>
      </c>
      <c r="R2875" s="115" t="s">
        <v>515</v>
      </c>
      <c r="S2875" s="125"/>
    </row>
    <row r="2876" spans="1:19" hidden="1">
      <c r="A2876" s="124" t="s">
        <v>4867</v>
      </c>
      <c r="B2876" s="149" t="str">
        <f>IFERROR(VLOOKUP(Proc[[#This Row],[App]],Table2[],3,0),"open")</f>
        <v>ok</v>
      </c>
      <c r="C2876" s="124" t="s">
        <v>369</v>
      </c>
      <c r="D2876" t="s">
        <v>4872</v>
      </c>
      <c r="E2876" s="124" t="s">
        <v>4900</v>
      </c>
      <c r="F2876" s="125" t="s">
        <v>4900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4895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66</v>
      </c>
      <c r="R2876" s="115" t="s">
        <v>515</v>
      </c>
      <c r="S2876" s="125"/>
    </row>
    <row r="2877" spans="1:19" hidden="1">
      <c r="A2877" s="124" t="s">
        <v>4867</v>
      </c>
      <c r="B2877" s="149" t="str">
        <f>IFERROR(VLOOKUP(Proc[[#This Row],[App]],Table2[],3,0),"open")</f>
        <v>ok</v>
      </c>
      <c r="C2877" s="124" t="s">
        <v>369</v>
      </c>
      <c r="D2877" t="s">
        <v>4873</v>
      </c>
      <c r="E2877" s="124" t="s">
        <v>4900</v>
      </c>
      <c r="F2877" s="125" t="s">
        <v>4900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4895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66</v>
      </c>
      <c r="R2877" s="115" t="s">
        <v>515</v>
      </c>
      <c r="S2877" s="125"/>
    </row>
    <row r="2878" spans="1:19" hidden="1">
      <c r="A2878" s="124" t="s">
        <v>4867</v>
      </c>
      <c r="B2878" s="149" t="str">
        <f>IFERROR(VLOOKUP(Proc[[#This Row],[App]],Table2[],3,0),"open")</f>
        <v>ok</v>
      </c>
      <c r="C2878" s="124" t="s">
        <v>369</v>
      </c>
      <c r="D2878" t="s">
        <v>4874</v>
      </c>
      <c r="E2878" s="124" t="s">
        <v>4900</v>
      </c>
      <c r="F2878" s="125" t="s">
        <v>4900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4895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66</v>
      </c>
      <c r="R2878" s="115" t="s">
        <v>515</v>
      </c>
      <c r="S2878" s="125"/>
    </row>
    <row r="2879" spans="1:19" hidden="1">
      <c r="A2879" s="124" t="s">
        <v>4867</v>
      </c>
      <c r="B2879" s="149" t="str">
        <f>IFERROR(VLOOKUP(Proc[[#This Row],[App]],Table2[],3,0),"open")</f>
        <v>ok</v>
      </c>
      <c r="C2879" s="124" t="s">
        <v>369</v>
      </c>
      <c r="D2879" t="s">
        <v>4875</v>
      </c>
      <c r="E2879" s="124" t="s">
        <v>4900</v>
      </c>
      <c r="F2879" s="125" t="s">
        <v>4900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4895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66</v>
      </c>
      <c r="R2879" s="115" t="s">
        <v>515</v>
      </c>
      <c r="S2879" s="125"/>
    </row>
    <row r="2880" spans="1:19" hidden="1">
      <c r="A2880" s="124" t="s">
        <v>4867</v>
      </c>
      <c r="B2880" s="149" t="str">
        <f>IFERROR(VLOOKUP(Proc[[#This Row],[App]],Table2[],3,0),"open")</f>
        <v>ok</v>
      </c>
      <c r="C2880" s="124" t="s">
        <v>369</v>
      </c>
      <c r="D2880" t="s">
        <v>4876</v>
      </c>
      <c r="E2880" s="124" t="s">
        <v>4900</v>
      </c>
      <c r="F2880" s="125" t="s">
        <v>4900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4895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66</v>
      </c>
      <c r="R2880" s="115" t="s">
        <v>515</v>
      </c>
      <c r="S2880" s="125"/>
    </row>
    <row r="2881" spans="1:19" hidden="1">
      <c r="A2881" s="124" t="s">
        <v>4867</v>
      </c>
      <c r="B2881" s="149" t="str">
        <f>IFERROR(VLOOKUP(Proc[[#This Row],[App]],Table2[],3,0),"open")</f>
        <v>ok</v>
      </c>
      <c r="C2881" s="124" t="s">
        <v>369</v>
      </c>
      <c r="D2881" t="s">
        <v>4877</v>
      </c>
      <c r="E2881" s="124" t="s">
        <v>4900</v>
      </c>
      <c r="F2881" s="125" t="s">
        <v>4900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4895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66</v>
      </c>
      <c r="R2881" s="115" t="s">
        <v>515</v>
      </c>
      <c r="S2881" s="125"/>
    </row>
    <row r="2882" spans="1:19" hidden="1">
      <c r="A2882" s="124" t="s">
        <v>4867</v>
      </c>
      <c r="B2882" s="149" t="str">
        <f>IFERROR(VLOOKUP(Proc[[#This Row],[App]],Table2[],3,0),"open")</f>
        <v>ok</v>
      </c>
      <c r="C2882" s="124" t="s">
        <v>369</v>
      </c>
      <c r="D2882" t="s">
        <v>4878</v>
      </c>
      <c r="E2882" s="124" t="s">
        <v>4900</v>
      </c>
      <c r="F2882" s="125" t="s">
        <v>4900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4895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66</v>
      </c>
      <c r="R2882" s="115" t="s">
        <v>515</v>
      </c>
      <c r="S2882" s="125"/>
    </row>
    <row r="2883" spans="1:19" hidden="1">
      <c r="A2883" s="124" t="s">
        <v>4867</v>
      </c>
      <c r="B2883" s="149" t="str">
        <f>IFERROR(VLOOKUP(Proc[[#This Row],[App]],Table2[],3,0),"open")</f>
        <v>ok</v>
      </c>
      <c r="C2883" s="124" t="s">
        <v>369</v>
      </c>
      <c r="D2883" t="s">
        <v>4879</v>
      </c>
      <c r="E2883" s="124" t="s">
        <v>4900</v>
      </c>
      <c r="F2883" s="125" t="s">
        <v>4900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4895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66</v>
      </c>
      <c r="R2883" s="115" t="s">
        <v>515</v>
      </c>
      <c r="S2883" s="125"/>
    </row>
    <row r="2884" spans="1:19" hidden="1">
      <c r="A2884" s="124" t="s">
        <v>4867</v>
      </c>
      <c r="B2884" s="149" t="str">
        <f>IFERROR(VLOOKUP(Proc[[#This Row],[App]],Table2[],3,0),"open")</f>
        <v>ok</v>
      </c>
      <c r="C2884" s="124" t="s">
        <v>369</v>
      </c>
      <c r="D2884" t="s">
        <v>4880</v>
      </c>
      <c r="E2884" s="124" t="s">
        <v>4900</v>
      </c>
      <c r="F2884" s="125" t="s">
        <v>4900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4895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66</v>
      </c>
      <c r="R2884" s="115" t="s">
        <v>515</v>
      </c>
      <c r="S2884" s="125"/>
    </row>
    <row r="2885" spans="1:19" hidden="1">
      <c r="A2885" s="124" t="s">
        <v>4867</v>
      </c>
      <c r="B2885" s="149" t="str">
        <f>IFERROR(VLOOKUP(Proc[[#This Row],[App]],Table2[],3,0),"open")</f>
        <v>ok</v>
      </c>
      <c r="C2885" s="124" t="s">
        <v>369</v>
      </c>
      <c r="D2885" t="s">
        <v>4881</v>
      </c>
      <c r="E2885" s="124" t="s">
        <v>4900</v>
      </c>
      <c r="F2885" s="125" t="s">
        <v>4900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4895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66</v>
      </c>
      <c r="R2885" s="115" t="s">
        <v>515</v>
      </c>
      <c r="S2885" s="125"/>
    </row>
    <row r="2886" spans="1:19" hidden="1">
      <c r="A2886" s="124" t="s">
        <v>4867</v>
      </c>
      <c r="B2886" s="149" t="str">
        <f>IFERROR(VLOOKUP(Proc[[#This Row],[App]],Table2[],3,0),"open")</f>
        <v>ok</v>
      </c>
      <c r="C2886" s="124" t="s">
        <v>369</v>
      </c>
      <c r="D2886" t="s">
        <v>4882</v>
      </c>
      <c r="E2886" s="124" t="s">
        <v>4900</v>
      </c>
      <c r="F2886" s="125" t="s">
        <v>4900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4895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66</v>
      </c>
      <c r="R2886" s="115" t="s">
        <v>515</v>
      </c>
      <c r="S2886" s="125"/>
    </row>
    <row r="2887" spans="1:19" hidden="1">
      <c r="A2887" s="124" t="s">
        <v>4867</v>
      </c>
      <c r="B2887" s="149" t="str">
        <f>IFERROR(VLOOKUP(Proc[[#This Row],[App]],Table2[],3,0),"open")</f>
        <v>ok</v>
      </c>
      <c r="C2887" s="124" t="s">
        <v>369</v>
      </c>
      <c r="D2887" t="s">
        <v>4883</v>
      </c>
      <c r="E2887" s="124" t="s">
        <v>4900</v>
      </c>
      <c r="F2887" s="125" t="s">
        <v>4900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4895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66</v>
      </c>
      <c r="R2887" s="115" t="s">
        <v>515</v>
      </c>
      <c r="S2887" s="125"/>
    </row>
    <row r="2888" spans="1:19" hidden="1">
      <c r="A2888" s="124" t="s">
        <v>4867</v>
      </c>
      <c r="B2888" s="149" t="str">
        <f>IFERROR(VLOOKUP(Proc[[#This Row],[App]],Table2[],3,0),"open")</f>
        <v>ok</v>
      </c>
      <c r="C2888" s="124" t="s">
        <v>369</v>
      </c>
      <c r="D2888" t="s">
        <v>4884</v>
      </c>
      <c r="E2888" t="s">
        <v>4900</v>
      </c>
      <c r="F2888" s="125" t="s">
        <v>4900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4895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66</v>
      </c>
      <c r="R2888" s="115" t="s">
        <v>515</v>
      </c>
      <c r="S2888" s="125"/>
    </row>
    <row r="2889" spans="1:19" hidden="1">
      <c r="A2889" s="124" t="s">
        <v>4867</v>
      </c>
      <c r="B2889" s="149" t="str">
        <f>IFERROR(VLOOKUP(Proc[[#This Row],[App]],Table2[],3,0),"open")</f>
        <v>ok</v>
      </c>
      <c r="C2889" s="124" t="s">
        <v>369</v>
      </c>
      <c r="D2889" t="s">
        <v>4885</v>
      </c>
      <c r="E2889" s="124" t="s">
        <v>4900</v>
      </c>
      <c r="F2889" s="125" t="s">
        <v>4900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4895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66</v>
      </c>
      <c r="R2889" s="115" t="s">
        <v>515</v>
      </c>
      <c r="S2889" s="125"/>
    </row>
    <row r="2890" spans="1:19" hidden="1">
      <c r="A2890" t="s">
        <v>4893</v>
      </c>
      <c r="B2890" s="149" t="str">
        <f>IFERROR(VLOOKUP(Proc[[#This Row],[App]],Table2[],3,0),"open")</f>
        <v>ok</v>
      </c>
      <c r="C2890" s="124" t="s">
        <v>369</v>
      </c>
      <c r="D2890" t="s">
        <v>4886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4895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66</v>
      </c>
      <c r="R2890" s="115" t="s">
        <v>489</v>
      </c>
      <c r="S2890" s="125"/>
    </row>
    <row r="2891" spans="1:19" hidden="1">
      <c r="A2891" s="124" t="s">
        <v>4893</v>
      </c>
      <c r="B2891" s="149" t="str">
        <f>IFERROR(VLOOKUP(Proc[[#This Row],[App]],Table2[],3,0),"open")</f>
        <v>ok</v>
      </c>
      <c r="C2891" s="124" t="s">
        <v>369</v>
      </c>
      <c r="D2891" t="s">
        <v>4894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4895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66</v>
      </c>
      <c r="R2891" s="115" t="s">
        <v>489</v>
      </c>
      <c r="S2891" s="125"/>
    </row>
    <row r="2892" spans="1:19" hidden="1">
      <c r="A2892" s="124" t="s">
        <v>4893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4891</v>
      </c>
      <c r="F2892" s="125" t="s">
        <v>4891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4895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66</v>
      </c>
      <c r="R2892" s="115" t="s">
        <v>489</v>
      </c>
      <c r="S2892" s="125"/>
    </row>
    <row r="2893" spans="1:19" hidden="1">
      <c r="A2893" s="124" t="s">
        <v>4893</v>
      </c>
      <c r="B2893" s="149" t="str">
        <f>IFERROR(VLOOKUP(Proc[[#This Row],[App]],Table2[],3,0),"open")</f>
        <v>ok</v>
      </c>
      <c r="C2893" s="124" t="s">
        <v>369</v>
      </c>
      <c r="D2893" t="s">
        <v>4887</v>
      </c>
      <c r="E2893" s="124" t="s">
        <v>4390</v>
      </c>
      <c r="F2893" s="125" t="s">
        <v>4390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4895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66</v>
      </c>
      <c r="R2893" s="115" t="s">
        <v>489</v>
      </c>
      <c r="S2893" s="125"/>
    </row>
    <row r="2894" spans="1:19" hidden="1">
      <c r="A2894" s="124" t="s">
        <v>4893</v>
      </c>
      <c r="B2894" s="149" t="str">
        <f>IFERROR(VLOOKUP(Proc[[#This Row],[App]],Table2[],3,0),"open")</f>
        <v>ok</v>
      </c>
      <c r="C2894" s="124" t="s">
        <v>369</v>
      </c>
      <c r="D2894" t="s">
        <v>4888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4895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66</v>
      </c>
      <c r="R2894" s="115" t="s">
        <v>489</v>
      </c>
      <c r="S2894" s="125"/>
    </row>
    <row r="2895" spans="1:19" hidden="1">
      <c r="A2895" s="124" t="s">
        <v>4893</v>
      </c>
      <c r="B2895" s="149" t="str">
        <f>IFERROR(VLOOKUP(Proc[[#This Row],[App]],Table2[],3,0),"open")</f>
        <v>ok</v>
      </c>
      <c r="C2895" s="124" t="s">
        <v>369</v>
      </c>
      <c r="D2895" t="s">
        <v>4889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4895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66</v>
      </c>
      <c r="R2895" s="115" t="s">
        <v>489</v>
      </c>
      <c r="S2895" s="125"/>
    </row>
    <row r="2896" spans="1:19" hidden="1">
      <c r="A2896" s="124" t="s">
        <v>4893</v>
      </c>
      <c r="B2896" s="149" t="str">
        <f>IFERROR(VLOOKUP(Proc[[#This Row],[App]],Table2[],3,0),"open")</f>
        <v>ok</v>
      </c>
      <c r="C2896" s="124" t="s">
        <v>369</v>
      </c>
      <c r="D2896" t="s">
        <v>4890</v>
      </c>
      <c r="E2896" s="124" t="s">
        <v>4892</v>
      </c>
      <c r="F2896" s="125" t="s">
        <v>4892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4895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66</v>
      </c>
      <c r="R2896" s="115" t="s">
        <v>489</v>
      </c>
      <c r="S2896" s="125"/>
    </row>
    <row r="2897" spans="1:19" hidden="1">
      <c r="A2897" t="s">
        <v>4896</v>
      </c>
      <c r="B2897" s="149" t="str">
        <f>IFERROR(VLOOKUP(Proc[[#This Row],[App]],Table2[],3,0),"open")</f>
        <v>ok</v>
      </c>
      <c r="C2897" s="124" t="s">
        <v>369</v>
      </c>
      <c r="D2897" t="s">
        <v>4898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4895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66</v>
      </c>
      <c r="R2897" s="115" t="s">
        <v>972</v>
      </c>
      <c r="S2897" s="125"/>
    </row>
    <row r="2898" spans="1:19" hidden="1">
      <c r="A2898" s="124" t="s">
        <v>4896</v>
      </c>
      <c r="B2898" s="149" t="str">
        <f>IFERROR(VLOOKUP(Proc[[#This Row],[App]],Table2[],3,0),"open")</f>
        <v>ok</v>
      </c>
      <c r="C2898" s="124" t="s">
        <v>369</v>
      </c>
      <c r="D2898" t="s">
        <v>4899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4895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66</v>
      </c>
      <c r="R2898" s="115" t="s">
        <v>972</v>
      </c>
      <c r="S2898" s="125"/>
    </row>
    <row r="2899" spans="1:19" hidden="1">
      <c r="A2899" s="124" t="s">
        <v>4896</v>
      </c>
      <c r="B2899" s="149" t="str">
        <f>IFERROR(VLOOKUP(Proc[[#This Row],[App]],Table2[],3,0),"open")</f>
        <v>ok</v>
      </c>
      <c r="C2899" s="124" t="s">
        <v>369</v>
      </c>
      <c r="D2899" t="s">
        <v>4897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4895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66</v>
      </c>
      <c r="R2899" s="115" t="s">
        <v>972</v>
      </c>
      <c r="S2899" s="125"/>
    </row>
    <row r="2900" spans="1:19" hidden="1">
      <c r="A2900" t="s">
        <v>4903</v>
      </c>
      <c r="B2900" s="149" t="str">
        <f>IFERROR(VLOOKUP(Proc[[#This Row],[App]],Table2[],3,0),"open")</f>
        <v>ok</v>
      </c>
      <c r="C2900" t="s">
        <v>369</v>
      </c>
      <c r="D2900" t="s">
        <v>4901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4911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4895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65</v>
      </c>
      <c r="R2900" s="115" t="s">
        <v>515</v>
      </c>
      <c r="S2900" s="125"/>
    </row>
    <row r="2901" spans="1:19" hidden="1">
      <c r="A2901" t="s">
        <v>4903</v>
      </c>
      <c r="B2901" s="149" t="str">
        <f>IFERROR(VLOOKUP(Proc[[#This Row],[App]],Table2[],3,0),"open")</f>
        <v>ok</v>
      </c>
      <c r="C2901" s="124" t="s">
        <v>369</v>
      </c>
      <c r="D2901" t="s">
        <v>4902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4911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4895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65</v>
      </c>
      <c r="R2901" s="115" t="s">
        <v>515</v>
      </c>
      <c r="S2901" s="125"/>
    </row>
    <row r="2902" spans="1:19" hidden="1">
      <c r="A2902" t="s">
        <v>4904</v>
      </c>
      <c r="B2902" s="149" t="str">
        <f>IFERROR(VLOOKUP(Proc[[#This Row],[App]],Table2[],3,0),"open")</f>
        <v>ok</v>
      </c>
      <c r="C2902" s="124" t="s">
        <v>369</v>
      </c>
      <c r="D2902" t="s">
        <v>4901</v>
      </c>
      <c r="E2902" t="s">
        <v>4906</v>
      </c>
      <c r="F2902" s="125" t="s">
        <v>4906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4895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63</v>
      </c>
      <c r="R2902" s="115" t="s">
        <v>515</v>
      </c>
      <c r="S2902" s="125"/>
    </row>
    <row r="2903" spans="1:19" hidden="1">
      <c r="A2903" s="124" t="s">
        <v>4904</v>
      </c>
      <c r="B2903" s="149" t="str">
        <f>IFERROR(VLOOKUP(Proc[[#This Row],[App]],Table2[],3,0),"open")</f>
        <v>ok</v>
      </c>
      <c r="C2903" s="124" t="s">
        <v>369</v>
      </c>
      <c r="D2903" t="s">
        <v>4902</v>
      </c>
      <c r="E2903" t="s">
        <v>4906</v>
      </c>
      <c r="F2903" s="125" t="s">
        <v>4906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4895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63</v>
      </c>
      <c r="R2903" s="115" t="s">
        <v>515</v>
      </c>
      <c r="S2903" s="125"/>
    </row>
    <row r="2904" spans="1:19" hidden="1">
      <c r="A2904" s="124" t="s">
        <v>4904</v>
      </c>
      <c r="B2904" s="149" t="str">
        <f>IFERROR(VLOOKUP(Proc[[#This Row],[App]],Table2[],3,0),"open")</f>
        <v>ok</v>
      </c>
      <c r="C2904" s="124" t="s">
        <v>369</v>
      </c>
      <c r="D2904" t="s">
        <v>4905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4895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63</v>
      </c>
      <c r="R2904" s="115" t="s">
        <v>515</v>
      </c>
      <c r="S2904" s="125"/>
    </row>
    <row r="2905" spans="1:19" hidden="1">
      <c r="A2905" t="s">
        <v>4907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4921</v>
      </c>
      <c r="F2905" s="125" t="s">
        <v>4921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4895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63</v>
      </c>
      <c r="R2905" s="115" t="s">
        <v>489</v>
      </c>
      <c r="S2905" s="125"/>
    </row>
    <row r="2906" spans="1:19" hidden="1">
      <c r="A2906" s="124" t="s">
        <v>4907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4921</v>
      </c>
      <c r="F2906" s="125" t="s">
        <v>4921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4895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63</v>
      </c>
      <c r="R2906" s="115" t="s">
        <v>489</v>
      </c>
      <c r="S2906" s="125"/>
    </row>
    <row r="2907" spans="1:19" hidden="1">
      <c r="A2907" t="s">
        <v>4908</v>
      </c>
      <c r="B2907" s="149" t="str">
        <f>IFERROR(VLOOKUP(Proc[[#This Row],[App]],Table2[],3,0),"open")</f>
        <v>ok</v>
      </c>
      <c r="C2907" s="124" t="s">
        <v>369</v>
      </c>
      <c r="D2907" t="s">
        <v>4909</v>
      </c>
      <c r="E2907" t="s">
        <v>4910</v>
      </c>
      <c r="F2907" s="125" t="s">
        <v>4910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4895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63</v>
      </c>
      <c r="R2907" s="115" t="s">
        <v>972</v>
      </c>
      <c r="S2907" s="125"/>
    </row>
    <row r="2908" spans="1:19" hidden="1">
      <c r="A2908" t="s">
        <v>4918</v>
      </c>
      <c r="B2908" s="149" t="str">
        <f>IFERROR(VLOOKUP(Proc[[#This Row],[App]],Table2[],3,0),"open")</f>
        <v>ok</v>
      </c>
      <c r="C2908" s="124" t="s">
        <v>369</v>
      </c>
      <c r="D2908" t="s">
        <v>4912</v>
      </c>
      <c r="E2908" t="s">
        <v>4915</v>
      </c>
      <c r="F2908" s="124" t="s">
        <v>4915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4895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63</v>
      </c>
      <c r="R2908" s="115" t="s">
        <v>764</v>
      </c>
      <c r="S2908" s="125"/>
    </row>
    <row r="2909" spans="1:19" hidden="1">
      <c r="A2909" s="124" t="s">
        <v>4918</v>
      </c>
      <c r="B2909" s="149" t="str">
        <f>IFERROR(VLOOKUP(Proc[[#This Row],[App]],Table2[],3,0),"open")</f>
        <v>ok</v>
      </c>
      <c r="C2909" s="124" t="s">
        <v>369</v>
      </c>
      <c r="D2909" t="s">
        <v>4913</v>
      </c>
      <c r="E2909" t="s">
        <v>4916</v>
      </c>
      <c r="F2909" s="124" t="s">
        <v>4916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4895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63</v>
      </c>
      <c r="R2909" s="115" t="s">
        <v>764</v>
      </c>
      <c r="S2909" s="125"/>
    </row>
    <row r="2910" spans="1:19" hidden="1">
      <c r="A2910" s="124" t="s">
        <v>4918</v>
      </c>
      <c r="B2910" s="149" t="str">
        <f>IFERROR(VLOOKUP(Proc[[#This Row],[App]],Table2[],3,0),"open")</f>
        <v>ok</v>
      </c>
      <c r="C2910" s="124" t="s">
        <v>369</v>
      </c>
      <c r="D2910" t="s">
        <v>4914</v>
      </c>
      <c r="E2910" t="s">
        <v>4917</v>
      </c>
      <c r="F2910" s="124" t="s">
        <v>4917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4895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63</v>
      </c>
      <c r="R2910" s="115" t="s">
        <v>764</v>
      </c>
      <c r="S2910" s="125"/>
    </row>
    <row r="2911" spans="1:19" hidden="1">
      <c r="A2911" t="s">
        <v>4920</v>
      </c>
      <c r="B2911" s="149" t="str">
        <f>IFERROR(VLOOKUP(Proc[[#This Row],[App]],Table2[],3,0),"open")</f>
        <v>ok</v>
      </c>
      <c r="C2911" s="124" t="s">
        <v>369</v>
      </c>
      <c r="D2911" t="s">
        <v>4919</v>
      </c>
      <c r="E2911" t="s">
        <v>4334</v>
      </c>
      <c r="F2911" s="124" t="s">
        <v>4334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4895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63</v>
      </c>
      <c r="R2911" s="115" t="s">
        <v>410</v>
      </c>
      <c r="S2911" s="125"/>
    </row>
    <row r="2912" spans="1:19" hidden="1">
      <c r="A2912" t="s">
        <v>4934</v>
      </c>
      <c r="B2912" s="149" t="str">
        <f>IFERROR(VLOOKUP(Proc[[#This Row],[App]],Table2[],3,0),"open")</f>
        <v>ok</v>
      </c>
      <c r="C2912" s="124" t="s">
        <v>369</v>
      </c>
      <c r="D2912" t="s">
        <v>4922</v>
      </c>
      <c r="E2912" t="s">
        <v>4928</v>
      </c>
      <c r="F2912" s="125" t="s">
        <v>4928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4895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61</v>
      </c>
      <c r="R2912" s="115" t="s">
        <v>972</v>
      </c>
      <c r="S2912" s="125"/>
    </row>
    <row r="2913" spans="1:19" hidden="1">
      <c r="A2913" s="124" t="s">
        <v>4934</v>
      </c>
      <c r="B2913" s="149" t="str">
        <f>IFERROR(VLOOKUP(Proc[[#This Row],[App]],Table2[],3,0),"open")</f>
        <v>ok</v>
      </c>
      <c r="C2913" s="124" t="s">
        <v>369</v>
      </c>
      <c r="D2913" t="s">
        <v>4923</v>
      </c>
      <c r="E2913" t="s">
        <v>4929</v>
      </c>
      <c r="F2913" s="125" t="s">
        <v>4929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4895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61</v>
      </c>
      <c r="R2913" s="115" t="s">
        <v>972</v>
      </c>
      <c r="S2913" s="125"/>
    </row>
    <row r="2914" spans="1:19" hidden="1">
      <c r="A2914" s="124" t="s">
        <v>4934</v>
      </c>
      <c r="B2914" s="149" t="str">
        <f>IFERROR(VLOOKUP(Proc[[#This Row],[App]],Table2[],3,0),"open")</f>
        <v>ok</v>
      </c>
      <c r="C2914" s="124" t="s">
        <v>369</v>
      </c>
      <c r="D2914" t="s">
        <v>4924</v>
      </c>
      <c r="E2914" t="s">
        <v>4930</v>
      </c>
      <c r="F2914" s="125" t="s">
        <v>4930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4895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61</v>
      </c>
      <c r="R2914" s="115" t="s">
        <v>972</v>
      </c>
      <c r="S2914" s="125"/>
    </row>
    <row r="2915" spans="1:19" hidden="1">
      <c r="A2915" s="124" t="s">
        <v>4934</v>
      </c>
      <c r="B2915" s="149" t="str">
        <f>IFERROR(VLOOKUP(Proc[[#This Row],[App]],Table2[],3,0),"open")</f>
        <v>ok</v>
      </c>
      <c r="C2915" s="124" t="s">
        <v>369</v>
      </c>
      <c r="D2915" t="s">
        <v>4925</v>
      </c>
      <c r="E2915" t="s">
        <v>4931</v>
      </c>
      <c r="F2915" s="125" t="s">
        <v>4931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4895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61</v>
      </c>
      <c r="R2915" s="115" t="s">
        <v>972</v>
      </c>
      <c r="S2915" s="125"/>
    </row>
    <row r="2916" spans="1:19" hidden="1">
      <c r="A2916" s="124" t="s">
        <v>4934</v>
      </c>
      <c r="B2916" s="149" t="str">
        <f>IFERROR(VLOOKUP(Proc[[#This Row],[App]],Table2[],3,0),"open")</f>
        <v>ok</v>
      </c>
      <c r="C2916" s="124" t="s">
        <v>369</v>
      </c>
      <c r="D2916" t="s">
        <v>4926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4895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61</v>
      </c>
      <c r="R2916" s="115" t="s">
        <v>972</v>
      </c>
      <c r="S2916" s="125"/>
    </row>
    <row r="2917" spans="1:19" hidden="1">
      <c r="A2917" s="124" t="s">
        <v>4934</v>
      </c>
      <c r="B2917" s="149" t="str">
        <f>IFERROR(VLOOKUP(Proc[[#This Row],[App]],Table2[],3,0),"open")</f>
        <v>ok</v>
      </c>
      <c r="C2917" s="124" t="s">
        <v>369</v>
      </c>
      <c r="D2917" t="s">
        <v>4927</v>
      </c>
      <c r="E2917" t="s">
        <v>4932</v>
      </c>
      <c r="F2917" s="125" t="s">
        <v>4932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4895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61</v>
      </c>
      <c r="R2917" s="115" t="s">
        <v>972</v>
      </c>
      <c r="S2917" s="125"/>
    </row>
    <row r="2918" spans="1:19" hidden="1">
      <c r="A2918" s="124" t="s">
        <v>4934</v>
      </c>
      <c r="B2918" s="149" t="str">
        <f>IFERROR(VLOOKUP(Proc[[#This Row],[App]],Table2[],3,0),"open")</f>
        <v>ok</v>
      </c>
      <c r="C2918" s="124" t="s">
        <v>369</v>
      </c>
      <c r="D2918" t="s">
        <v>4933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4895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61</v>
      </c>
      <c r="R2918" s="115" t="s">
        <v>972</v>
      </c>
      <c r="S2918" s="125"/>
    </row>
    <row r="2919" spans="1:19" hidden="1">
      <c r="A2919" t="s">
        <v>4935</v>
      </c>
      <c r="B2919" s="149" t="str">
        <f>IFERROR(VLOOKUP(Proc[[#This Row],[App]],Table2[],3,0),"open")</f>
        <v>ok</v>
      </c>
      <c r="C2919" s="124" t="s">
        <v>369</v>
      </c>
      <c r="D2919" t="s">
        <v>4956</v>
      </c>
      <c r="E2919" t="s">
        <v>4936</v>
      </c>
      <c r="F2919" s="125" t="s">
        <v>4936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4895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61</v>
      </c>
      <c r="R2919" s="115" t="s">
        <v>515</v>
      </c>
      <c r="S2919" s="125"/>
    </row>
    <row r="2920" spans="1:19" hidden="1">
      <c r="A2920" s="124" t="s">
        <v>4935</v>
      </c>
      <c r="B2920" s="149" t="str">
        <f>IFERROR(VLOOKUP(Proc[[#This Row],[App]],Table2[],3,0),"open")</f>
        <v>ok</v>
      </c>
      <c r="C2920" s="124" t="s">
        <v>369</v>
      </c>
      <c r="D2920" t="s">
        <v>4942</v>
      </c>
      <c r="E2920" t="s">
        <v>4937</v>
      </c>
      <c r="F2920" s="125" t="s">
        <v>4937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4895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60</v>
      </c>
      <c r="R2920" s="115" t="s">
        <v>415</v>
      </c>
      <c r="S2920" s="125"/>
    </row>
    <row r="2921" spans="1:19" hidden="1">
      <c r="A2921" s="124" t="s">
        <v>4935</v>
      </c>
      <c r="B2921" s="149" t="str">
        <f>IFERROR(VLOOKUP(Proc[[#This Row],[App]],Table2[],3,0),"open")</f>
        <v>ok</v>
      </c>
      <c r="C2921" s="124" t="s">
        <v>369</v>
      </c>
      <c r="D2921" t="s">
        <v>4943</v>
      </c>
      <c r="E2921" t="s">
        <v>4937</v>
      </c>
      <c r="F2921" s="125" t="s">
        <v>4937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4895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60</v>
      </c>
      <c r="R2921" s="115" t="s">
        <v>415</v>
      </c>
      <c r="S2921" s="125"/>
    </row>
    <row r="2922" spans="1:19" hidden="1">
      <c r="A2922" s="124" t="s">
        <v>4935</v>
      </c>
      <c r="B2922" s="149" t="str">
        <f>IFERROR(VLOOKUP(Proc[[#This Row],[App]],Table2[],3,0),"open")</f>
        <v>ok</v>
      </c>
      <c r="C2922" s="124" t="s">
        <v>369</v>
      </c>
      <c r="D2922" t="s">
        <v>4944</v>
      </c>
      <c r="E2922" t="s">
        <v>4938</v>
      </c>
      <c r="F2922" s="125" t="s">
        <v>4938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4895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60</v>
      </c>
      <c r="R2922" s="115" t="s">
        <v>415</v>
      </c>
      <c r="S2922" s="125"/>
    </row>
    <row r="2923" spans="1:19" hidden="1">
      <c r="A2923" s="124" t="s">
        <v>4935</v>
      </c>
      <c r="B2923" s="149" t="str">
        <f>IFERROR(VLOOKUP(Proc[[#This Row],[App]],Table2[],3,0),"open")</f>
        <v>ok</v>
      </c>
      <c r="C2923" s="124" t="s">
        <v>369</v>
      </c>
      <c r="D2923" t="s">
        <v>4945</v>
      </c>
      <c r="E2923" t="s">
        <v>4938</v>
      </c>
      <c r="F2923" s="125" t="s">
        <v>4938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4895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60</v>
      </c>
      <c r="R2923" s="115" t="s">
        <v>415</v>
      </c>
      <c r="S2923" s="125"/>
    </row>
    <row r="2924" spans="1:19" hidden="1">
      <c r="A2924" s="124" t="s">
        <v>4935</v>
      </c>
      <c r="B2924" s="149" t="str">
        <f>IFERROR(VLOOKUP(Proc[[#This Row],[App]],Table2[],3,0),"open")</f>
        <v>ok</v>
      </c>
      <c r="C2924" s="124" t="s">
        <v>369</v>
      </c>
      <c r="D2924" t="s">
        <v>4946</v>
      </c>
      <c r="E2924" t="s">
        <v>4938</v>
      </c>
      <c r="F2924" s="125" t="s">
        <v>4938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4895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60</v>
      </c>
      <c r="R2924" s="115" t="s">
        <v>415</v>
      </c>
      <c r="S2924" s="125"/>
    </row>
    <row r="2925" spans="1:19" hidden="1">
      <c r="A2925" s="124" t="s">
        <v>4935</v>
      </c>
      <c r="B2925" s="149" t="str">
        <f>IFERROR(VLOOKUP(Proc[[#This Row],[App]],Table2[],3,0),"open")</f>
        <v>ok</v>
      </c>
      <c r="C2925" s="124" t="s">
        <v>369</v>
      </c>
      <c r="D2925" t="s">
        <v>4947</v>
      </c>
      <c r="E2925" t="s">
        <v>4938</v>
      </c>
      <c r="F2925" s="125" t="s">
        <v>4938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4895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60</v>
      </c>
      <c r="R2925" s="115" t="s">
        <v>415</v>
      </c>
      <c r="S2925" s="125"/>
    </row>
    <row r="2926" spans="1:19" hidden="1">
      <c r="A2926" s="124" t="s">
        <v>4935</v>
      </c>
      <c r="B2926" s="149" t="str">
        <f>IFERROR(VLOOKUP(Proc[[#This Row],[App]],Table2[],3,0),"open")</f>
        <v>ok</v>
      </c>
      <c r="C2926" s="124" t="s">
        <v>369</v>
      </c>
      <c r="D2926" t="s">
        <v>4948</v>
      </c>
      <c r="E2926" t="s">
        <v>4938</v>
      </c>
      <c r="F2926" s="125" t="s">
        <v>4938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4895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60</v>
      </c>
      <c r="R2926" s="115" t="s">
        <v>415</v>
      </c>
      <c r="S2926" s="125"/>
    </row>
    <row r="2927" spans="1:19" hidden="1">
      <c r="A2927" s="124" t="s">
        <v>4935</v>
      </c>
      <c r="B2927" s="149" t="str">
        <f>IFERROR(VLOOKUP(Proc[[#This Row],[App]],Table2[],3,0),"open")</f>
        <v>ok</v>
      </c>
      <c r="C2927" s="124" t="s">
        <v>369</v>
      </c>
      <c r="D2927" t="s">
        <v>4949</v>
      </c>
      <c r="E2927" t="s">
        <v>4938</v>
      </c>
      <c r="F2927" s="125" t="s">
        <v>4938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4895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60</v>
      </c>
      <c r="R2927" s="115" t="s">
        <v>415</v>
      </c>
      <c r="S2927" s="125"/>
    </row>
    <row r="2928" spans="1:19" hidden="1">
      <c r="A2928" s="124" t="s">
        <v>4935</v>
      </c>
      <c r="B2928" s="149" t="str">
        <f>IFERROR(VLOOKUP(Proc[[#This Row],[App]],Table2[],3,0),"open")</f>
        <v>ok</v>
      </c>
      <c r="C2928" s="124" t="s">
        <v>369</v>
      </c>
      <c r="D2928" t="s">
        <v>4950</v>
      </c>
      <c r="E2928" t="s">
        <v>4938</v>
      </c>
      <c r="F2928" s="125" t="s">
        <v>4938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4895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60</v>
      </c>
      <c r="R2928" s="115" t="s">
        <v>415</v>
      </c>
      <c r="S2928" s="125"/>
    </row>
    <row r="2929" spans="1:19" hidden="1">
      <c r="A2929" s="124" t="s">
        <v>4935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4939</v>
      </c>
      <c r="F2929" s="125" t="s">
        <v>4939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4895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60</v>
      </c>
      <c r="R2929" s="115" t="s">
        <v>415</v>
      </c>
      <c r="S2929" s="125"/>
    </row>
    <row r="2930" spans="1:19" hidden="1">
      <c r="A2930" s="124" t="s">
        <v>4935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4939</v>
      </c>
      <c r="F2930" s="125" t="s">
        <v>4939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4895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60</v>
      </c>
      <c r="R2930" s="115" t="s">
        <v>415</v>
      </c>
      <c r="S2930" s="125"/>
    </row>
    <row r="2931" spans="1:19" hidden="1">
      <c r="A2931" s="124" t="s">
        <v>4935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4939</v>
      </c>
      <c r="F2931" s="125" t="s">
        <v>4939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4895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60</v>
      </c>
      <c r="R2931" s="115" t="s">
        <v>415</v>
      </c>
      <c r="S2931" s="125"/>
    </row>
    <row r="2932" spans="1:19" hidden="1">
      <c r="A2932" s="124" t="s">
        <v>4935</v>
      </c>
      <c r="B2932" s="149" t="str">
        <f>IFERROR(VLOOKUP(Proc[[#This Row],[App]],Table2[],3,0),"open")</f>
        <v>ok</v>
      </c>
      <c r="C2932" s="124" t="s">
        <v>369</v>
      </c>
      <c r="D2932" t="s">
        <v>4951</v>
      </c>
      <c r="E2932" t="s">
        <v>4940</v>
      </c>
      <c r="F2932" s="125" t="s">
        <v>4940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4895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60</v>
      </c>
      <c r="R2932" s="115" t="s">
        <v>415</v>
      </c>
      <c r="S2932" s="125"/>
    </row>
    <row r="2933" spans="1:19" hidden="1">
      <c r="A2933" s="124" t="s">
        <v>4935</v>
      </c>
      <c r="B2933" s="149" t="str">
        <f>IFERROR(VLOOKUP(Proc[[#This Row],[App]],Table2[],3,0),"open")</f>
        <v>ok</v>
      </c>
      <c r="C2933" s="124" t="s">
        <v>369</v>
      </c>
      <c r="D2933" t="s">
        <v>4952</v>
      </c>
      <c r="E2933" t="s">
        <v>4940</v>
      </c>
      <c r="F2933" s="125" t="s">
        <v>4940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4895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60</v>
      </c>
      <c r="R2933" s="115" t="s">
        <v>415</v>
      </c>
      <c r="S2933" s="125"/>
    </row>
    <row r="2934" spans="1:19" hidden="1">
      <c r="A2934" s="124" t="s">
        <v>4935</v>
      </c>
      <c r="B2934" s="149" t="str">
        <f>IFERROR(VLOOKUP(Proc[[#This Row],[App]],Table2[],3,0),"open")</f>
        <v>ok</v>
      </c>
      <c r="C2934" s="124" t="s">
        <v>369</v>
      </c>
      <c r="D2934" t="s">
        <v>4953</v>
      </c>
      <c r="E2934" t="s">
        <v>4938</v>
      </c>
      <c r="F2934" s="125" t="s">
        <v>4938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4895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60</v>
      </c>
      <c r="R2934" s="115" t="s">
        <v>415</v>
      </c>
      <c r="S2934" s="125"/>
    </row>
    <row r="2935" spans="1:19" hidden="1">
      <c r="A2935" s="124" t="s">
        <v>4935</v>
      </c>
      <c r="B2935" s="149" t="str">
        <f>IFERROR(VLOOKUP(Proc[[#This Row],[App]],Table2[],3,0),"open")</f>
        <v>ok</v>
      </c>
      <c r="C2935" s="124" t="s">
        <v>369</v>
      </c>
      <c r="D2935" t="s">
        <v>4954</v>
      </c>
      <c r="E2935" t="s">
        <v>4941</v>
      </c>
      <c r="F2935" s="125" t="s">
        <v>4941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4895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60</v>
      </c>
      <c r="R2935" s="115" t="s">
        <v>415</v>
      </c>
      <c r="S2935" s="125"/>
    </row>
    <row r="2936" spans="1:19" hidden="1">
      <c r="A2936" s="124" t="s">
        <v>4935</v>
      </c>
      <c r="B2936" s="149" t="str">
        <f>IFERROR(VLOOKUP(Proc[[#This Row],[App]],Table2[],3,0),"open")</f>
        <v>ok</v>
      </c>
      <c r="C2936" s="124" t="s">
        <v>369</v>
      </c>
      <c r="D2936" t="s">
        <v>4955</v>
      </c>
      <c r="E2936" t="s">
        <v>4941</v>
      </c>
      <c r="F2936" s="125" t="s">
        <v>4941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4895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60</v>
      </c>
      <c r="R2936" s="115" t="s">
        <v>415</v>
      </c>
      <c r="S2936" s="125"/>
    </row>
    <row r="2937" spans="1:19" hidden="1">
      <c r="A2937" t="s">
        <v>5259</v>
      </c>
      <c r="B2937" s="149" t="str">
        <f>IFERROR(VLOOKUP(Proc[[#This Row],[App]],Table2[],3,0),"open")</f>
        <v>ok</v>
      </c>
      <c r="C2937" s="124" t="s">
        <v>369</v>
      </c>
      <c r="D2937" t="s">
        <v>4957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4895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58</v>
      </c>
      <c r="R2937" s="115" t="s">
        <v>1013</v>
      </c>
      <c r="S2937" s="125"/>
    </row>
    <row r="2938" spans="1:19" hidden="1">
      <c r="A2938" s="124" t="s">
        <v>5259</v>
      </c>
      <c r="B2938" s="149" t="str">
        <f>IFERROR(VLOOKUP(Proc[[#This Row],[App]],Table2[],3,0),"open")</f>
        <v>ok</v>
      </c>
      <c r="C2938" s="124" t="s">
        <v>369</v>
      </c>
      <c r="D2938" t="s">
        <v>4958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4895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58</v>
      </c>
      <c r="R2938" s="115" t="s">
        <v>1013</v>
      </c>
      <c r="S2938" s="125"/>
    </row>
    <row r="2939" spans="1:19" hidden="1">
      <c r="A2939" s="124" t="s">
        <v>5259</v>
      </c>
      <c r="B2939" s="149" t="str">
        <f>IFERROR(VLOOKUP(Proc[[#This Row],[App]],Table2[],3,0),"open")</f>
        <v>ok</v>
      </c>
      <c r="C2939" s="124" t="s">
        <v>369</v>
      </c>
      <c r="D2939" t="s">
        <v>4959</v>
      </c>
      <c r="E2939" t="s">
        <v>5252</v>
      </c>
      <c r="F2939" s="125" t="s">
        <v>5252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4895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58</v>
      </c>
      <c r="R2939" s="115" t="s">
        <v>1013</v>
      </c>
      <c r="S2939" s="125"/>
    </row>
    <row r="2940" spans="1:19" hidden="1">
      <c r="A2940" s="124" t="s">
        <v>5259</v>
      </c>
      <c r="B2940" s="149" t="str">
        <f>IFERROR(VLOOKUP(Proc[[#This Row],[App]],Table2[],3,0),"open")</f>
        <v>ok</v>
      </c>
      <c r="C2940" s="124" t="s">
        <v>369</v>
      </c>
      <c r="D2940" t="s">
        <v>4960</v>
      </c>
      <c r="E2940" t="s">
        <v>5252</v>
      </c>
      <c r="F2940" s="125" t="s">
        <v>5252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4895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58</v>
      </c>
      <c r="R2940" s="115" t="s">
        <v>1013</v>
      </c>
      <c r="S2940" s="125"/>
    </row>
    <row r="2941" spans="1:19" hidden="1">
      <c r="A2941" s="124" t="s">
        <v>5259</v>
      </c>
      <c r="B2941" s="149" t="str">
        <f>IFERROR(VLOOKUP(Proc[[#This Row],[App]],Table2[],3,0),"open")</f>
        <v>ok</v>
      </c>
      <c r="C2941" s="124" t="s">
        <v>369</v>
      </c>
      <c r="D2941" t="s">
        <v>4961</v>
      </c>
      <c r="E2941" t="s">
        <v>5252</v>
      </c>
      <c r="F2941" s="125" t="s">
        <v>5252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4895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58</v>
      </c>
      <c r="R2941" s="115" t="s">
        <v>1013</v>
      </c>
      <c r="S2941" s="125"/>
    </row>
    <row r="2942" spans="1:19" hidden="1">
      <c r="A2942" s="124" t="s">
        <v>5259</v>
      </c>
      <c r="B2942" s="149" t="str">
        <f>IFERROR(VLOOKUP(Proc[[#This Row],[App]],Table2[],3,0),"open")</f>
        <v>ok</v>
      </c>
      <c r="C2942" s="124" t="s">
        <v>369</v>
      </c>
      <c r="D2942" t="s">
        <v>4962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4895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58</v>
      </c>
      <c r="R2942" s="115" t="s">
        <v>1013</v>
      </c>
      <c r="S2942" s="125"/>
    </row>
    <row r="2943" spans="1:19" hidden="1">
      <c r="A2943" s="124" t="s">
        <v>5259</v>
      </c>
      <c r="B2943" s="149" t="str">
        <f>IFERROR(VLOOKUP(Proc[[#This Row],[App]],Table2[],3,0),"open")</f>
        <v>ok</v>
      </c>
      <c r="C2943" s="124" t="s">
        <v>369</v>
      </c>
      <c r="D2943" t="s">
        <v>4963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4895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58</v>
      </c>
      <c r="R2943" s="115" t="s">
        <v>1013</v>
      </c>
      <c r="S2943" s="125"/>
    </row>
    <row r="2944" spans="1:19" hidden="1">
      <c r="A2944" s="124" t="s">
        <v>5259</v>
      </c>
      <c r="B2944" s="149" t="str">
        <f>IFERROR(VLOOKUP(Proc[[#This Row],[App]],Table2[],3,0),"open")</f>
        <v>ok</v>
      </c>
      <c r="C2944" s="124" t="s">
        <v>369</v>
      </c>
      <c r="D2944" t="s">
        <v>4964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4895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58</v>
      </c>
      <c r="R2944" s="115" t="s">
        <v>1013</v>
      </c>
      <c r="S2944" s="125"/>
    </row>
    <row r="2945" spans="1:19" hidden="1">
      <c r="A2945" s="124" t="s">
        <v>5259</v>
      </c>
      <c r="B2945" s="149" t="str">
        <f>IFERROR(VLOOKUP(Proc[[#This Row],[App]],Table2[],3,0),"open")</f>
        <v>ok</v>
      </c>
      <c r="C2945" s="124" t="s">
        <v>369</v>
      </c>
      <c r="D2945" t="s">
        <v>4965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4895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58</v>
      </c>
      <c r="R2945" s="115" t="s">
        <v>1013</v>
      </c>
      <c r="S2945" s="125"/>
    </row>
    <row r="2946" spans="1:19" hidden="1">
      <c r="A2946" s="124" t="s">
        <v>5259</v>
      </c>
      <c r="B2946" s="149" t="str">
        <f>IFERROR(VLOOKUP(Proc[[#This Row],[App]],Table2[],3,0),"open")</f>
        <v>ok</v>
      </c>
      <c r="C2946" s="124" t="s">
        <v>369</v>
      </c>
      <c r="D2946" t="s">
        <v>4966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4895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58</v>
      </c>
      <c r="R2946" s="115" t="s">
        <v>1013</v>
      </c>
      <c r="S2946" s="125"/>
    </row>
    <row r="2947" spans="1:19" hidden="1">
      <c r="A2947" s="124" t="s">
        <v>5259</v>
      </c>
      <c r="B2947" s="149" t="str">
        <f>IFERROR(VLOOKUP(Proc[[#This Row],[App]],Table2[],3,0),"open")</f>
        <v>ok</v>
      </c>
      <c r="C2947" s="124" t="s">
        <v>369</v>
      </c>
      <c r="D2947" t="s">
        <v>4967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4895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58</v>
      </c>
      <c r="R2947" s="115" t="s">
        <v>1013</v>
      </c>
      <c r="S2947" s="125"/>
    </row>
    <row r="2948" spans="1:19" hidden="1">
      <c r="A2948" s="124" t="s">
        <v>5259</v>
      </c>
      <c r="B2948" s="149" t="str">
        <f>IFERROR(VLOOKUP(Proc[[#This Row],[App]],Table2[],3,0),"open")</f>
        <v>ok</v>
      </c>
      <c r="C2948" s="124" t="s">
        <v>369</v>
      </c>
      <c r="D2948" t="s">
        <v>4968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4895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58</v>
      </c>
      <c r="R2948" s="115" t="s">
        <v>1013</v>
      </c>
      <c r="S2948" s="125"/>
    </row>
    <row r="2949" spans="1:19" hidden="1">
      <c r="A2949" s="124" t="s">
        <v>5259</v>
      </c>
      <c r="B2949" s="149" t="str">
        <f>IFERROR(VLOOKUP(Proc[[#This Row],[App]],Table2[],3,0),"open")</f>
        <v>ok</v>
      </c>
      <c r="C2949" s="124" t="s">
        <v>369</v>
      </c>
      <c r="D2949" t="s">
        <v>4969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4895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58</v>
      </c>
      <c r="R2949" s="115" t="s">
        <v>1013</v>
      </c>
      <c r="S2949" s="125"/>
    </row>
    <row r="2950" spans="1:19" hidden="1">
      <c r="A2950" s="124" t="s">
        <v>5259</v>
      </c>
      <c r="B2950" s="149" t="str">
        <f>IFERROR(VLOOKUP(Proc[[#This Row],[App]],Table2[],3,0),"open")</f>
        <v>ok</v>
      </c>
      <c r="C2950" s="124" t="s">
        <v>369</v>
      </c>
      <c r="D2950" t="s">
        <v>4970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4895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58</v>
      </c>
      <c r="R2950" s="115" t="s">
        <v>1013</v>
      </c>
      <c r="S2950" s="125"/>
    </row>
    <row r="2951" spans="1:19" hidden="1">
      <c r="A2951" s="124" t="s">
        <v>5259</v>
      </c>
      <c r="B2951" s="149" t="str">
        <f>IFERROR(VLOOKUP(Proc[[#This Row],[App]],Table2[],3,0),"open")</f>
        <v>ok</v>
      </c>
      <c r="C2951" s="124" t="s">
        <v>369</v>
      </c>
      <c r="D2951" t="s">
        <v>4971</v>
      </c>
      <c r="E2951" t="s">
        <v>5252</v>
      </c>
      <c r="F2951" s="125" t="s">
        <v>5252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4895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58</v>
      </c>
      <c r="R2951" s="115" t="s">
        <v>1013</v>
      </c>
      <c r="S2951" s="125"/>
    </row>
    <row r="2952" spans="1:19" hidden="1">
      <c r="A2952" s="124" t="s">
        <v>5259</v>
      </c>
      <c r="B2952" s="149" t="str">
        <f>IFERROR(VLOOKUP(Proc[[#This Row],[App]],Table2[],3,0),"open")</f>
        <v>ok</v>
      </c>
      <c r="C2952" s="124" t="s">
        <v>369</v>
      </c>
      <c r="D2952" t="s">
        <v>4972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4895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58</v>
      </c>
      <c r="R2952" s="115" t="s">
        <v>1013</v>
      </c>
      <c r="S2952" s="125"/>
    </row>
    <row r="2953" spans="1:19" hidden="1">
      <c r="A2953" s="124" t="s">
        <v>5259</v>
      </c>
      <c r="B2953" s="149" t="str">
        <f>IFERROR(VLOOKUP(Proc[[#This Row],[App]],Table2[],3,0),"open")</f>
        <v>ok</v>
      </c>
      <c r="C2953" s="124" t="s">
        <v>369</v>
      </c>
      <c r="D2953" t="s">
        <v>4973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4895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58</v>
      </c>
      <c r="R2953" s="115" t="s">
        <v>1013</v>
      </c>
      <c r="S2953" s="125"/>
    </row>
    <row r="2954" spans="1:19" hidden="1">
      <c r="A2954" s="124" t="s">
        <v>5259</v>
      </c>
      <c r="B2954" s="149" t="str">
        <f>IFERROR(VLOOKUP(Proc[[#This Row],[App]],Table2[],3,0),"open")</f>
        <v>ok</v>
      </c>
      <c r="C2954" s="124" t="s">
        <v>369</v>
      </c>
      <c r="D2954" t="s">
        <v>4974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4895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58</v>
      </c>
      <c r="R2954" s="115" t="s">
        <v>1013</v>
      </c>
      <c r="S2954" s="125"/>
    </row>
    <row r="2955" spans="1:19" hidden="1">
      <c r="A2955" s="124" t="s">
        <v>5259</v>
      </c>
      <c r="B2955" s="149" t="str">
        <f>IFERROR(VLOOKUP(Proc[[#This Row],[App]],Table2[],3,0),"open")</f>
        <v>ok</v>
      </c>
      <c r="C2955" s="124" t="s">
        <v>369</v>
      </c>
      <c r="D2955" t="s">
        <v>4975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4895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58</v>
      </c>
      <c r="R2955" s="115" t="s">
        <v>1013</v>
      </c>
      <c r="S2955" s="125"/>
    </row>
    <row r="2956" spans="1:19" hidden="1">
      <c r="A2956" s="124" t="s">
        <v>5259</v>
      </c>
      <c r="B2956" s="149" t="str">
        <f>IFERROR(VLOOKUP(Proc[[#This Row],[App]],Table2[],3,0),"open")</f>
        <v>ok</v>
      </c>
      <c r="C2956" s="124" t="s">
        <v>369</v>
      </c>
      <c r="D2956" t="s">
        <v>4976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4895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58</v>
      </c>
      <c r="R2956" s="115" t="s">
        <v>1013</v>
      </c>
      <c r="S2956" s="125"/>
    </row>
    <row r="2957" spans="1:19" hidden="1">
      <c r="A2957" s="124" t="s">
        <v>5259</v>
      </c>
      <c r="B2957" s="149" t="str">
        <f>IFERROR(VLOOKUP(Proc[[#This Row],[App]],Table2[],3,0),"open")</f>
        <v>ok</v>
      </c>
      <c r="C2957" s="124" t="s">
        <v>369</v>
      </c>
      <c r="D2957" t="s">
        <v>4977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4895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58</v>
      </c>
      <c r="R2957" s="115" t="s">
        <v>1013</v>
      </c>
      <c r="S2957" s="125"/>
    </row>
    <row r="2958" spans="1:19" hidden="1">
      <c r="A2958" s="124" t="s">
        <v>5259</v>
      </c>
      <c r="B2958" s="149" t="str">
        <f>IFERROR(VLOOKUP(Proc[[#This Row],[App]],Table2[],3,0),"open")</f>
        <v>ok</v>
      </c>
      <c r="C2958" s="124" t="s">
        <v>369</v>
      </c>
      <c r="D2958" t="s">
        <v>4978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4895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58</v>
      </c>
      <c r="R2958" s="115" t="s">
        <v>1013</v>
      </c>
      <c r="S2958" s="125"/>
    </row>
    <row r="2959" spans="1:19" hidden="1">
      <c r="A2959" s="124" t="s">
        <v>5259</v>
      </c>
      <c r="B2959" s="149" t="str">
        <f>IFERROR(VLOOKUP(Proc[[#This Row],[App]],Table2[],3,0),"open")</f>
        <v>ok</v>
      </c>
      <c r="C2959" s="124" t="s">
        <v>369</v>
      </c>
      <c r="D2959" t="s">
        <v>4979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4895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58</v>
      </c>
      <c r="R2959" s="115" t="s">
        <v>1013</v>
      </c>
      <c r="S2959" s="125"/>
    </row>
    <row r="2960" spans="1:19" hidden="1">
      <c r="A2960" s="124" t="s">
        <v>5259</v>
      </c>
      <c r="B2960" s="149" t="str">
        <f>IFERROR(VLOOKUP(Proc[[#This Row],[App]],Table2[],3,0),"open")</f>
        <v>ok</v>
      </c>
      <c r="C2960" s="124" t="s">
        <v>369</v>
      </c>
      <c r="D2960" t="s">
        <v>4980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4895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58</v>
      </c>
      <c r="R2960" s="115" t="s">
        <v>1013</v>
      </c>
      <c r="S2960" s="125"/>
    </row>
    <row r="2961" spans="1:19" hidden="1">
      <c r="A2961" s="124" t="s">
        <v>5259</v>
      </c>
      <c r="B2961" s="149" t="str">
        <f>IFERROR(VLOOKUP(Proc[[#This Row],[App]],Table2[],3,0),"open")</f>
        <v>ok</v>
      </c>
      <c r="C2961" s="124" t="s">
        <v>369</v>
      </c>
      <c r="D2961" t="s">
        <v>4981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4895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58</v>
      </c>
      <c r="R2961" s="115" t="s">
        <v>1013</v>
      </c>
      <c r="S2961" s="125"/>
    </row>
    <row r="2962" spans="1:19" hidden="1">
      <c r="A2962" s="124" t="s">
        <v>5259</v>
      </c>
      <c r="B2962" s="149" t="str">
        <f>IFERROR(VLOOKUP(Proc[[#This Row],[App]],Table2[],3,0),"open")</f>
        <v>ok</v>
      </c>
      <c r="C2962" s="124" t="s">
        <v>369</v>
      </c>
      <c r="D2962" t="s">
        <v>4982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4895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58</v>
      </c>
      <c r="R2962" s="115" t="s">
        <v>1013</v>
      </c>
      <c r="S2962" s="125"/>
    </row>
    <row r="2963" spans="1:19" hidden="1">
      <c r="A2963" s="124" t="s">
        <v>5259</v>
      </c>
      <c r="B2963" s="149" t="str">
        <f>IFERROR(VLOOKUP(Proc[[#This Row],[App]],Table2[],3,0),"open")</f>
        <v>ok</v>
      </c>
      <c r="C2963" s="124" t="s">
        <v>369</v>
      </c>
      <c r="D2963" t="s">
        <v>4983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4895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58</v>
      </c>
      <c r="R2963" s="115" t="s">
        <v>1013</v>
      </c>
      <c r="S2963" s="125"/>
    </row>
    <row r="2964" spans="1:19" hidden="1">
      <c r="A2964" s="124" t="s">
        <v>5259</v>
      </c>
      <c r="B2964" s="149" t="str">
        <f>IFERROR(VLOOKUP(Proc[[#This Row],[App]],Table2[],3,0),"open")</f>
        <v>ok</v>
      </c>
      <c r="C2964" s="124" t="s">
        <v>369</v>
      </c>
      <c r="D2964" t="s">
        <v>4984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4895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58</v>
      </c>
      <c r="R2964" s="115" t="s">
        <v>1013</v>
      </c>
      <c r="S2964" s="125"/>
    </row>
    <row r="2965" spans="1:19" hidden="1">
      <c r="A2965" s="124" t="s">
        <v>5259</v>
      </c>
      <c r="B2965" s="149" t="str">
        <f>IFERROR(VLOOKUP(Proc[[#This Row],[App]],Table2[],3,0),"open")</f>
        <v>ok</v>
      </c>
      <c r="C2965" s="124" t="s">
        <v>369</v>
      </c>
      <c r="D2965" t="s">
        <v>4985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4895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58</v>
      </c>
      <c r="R2965" s="115" t="s">
        <v>1013</v>
      </c>
      <c r="S2965" s="125"/>
    </row>
    <row r="2966" spans="1:19" hidden="1">
      <c r="A2966" s="124" t="s">
        <v>5259</v>
      </c>
      <c r="B2966" s="149" t="str">
        <f>IFERROR(VLOOKUP(Proc[[#This Row],[App]],Table2[],3,0),"open")</f>
        <v>ok</v>
      </c>
      <c r="C2966" s="124" t="s">
        <v>369</v>
      </c>
      <c r="D2966" t="s">
        <v>4986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4895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58</v>
      </c>
      <c r="R2966" s="115" t="s">
        <v>1013</v>
      </c>
      <c r="S2966" s="125"/>
    </row>
    <row r="2967" spans="1:19" hidden="1">
      <c r="A2967" s="124" t="s">
        <v>5259</v>
      </c>
      <c r="B2967" s="149" t="str">
        <f>IFERROR(VLOOKUP(Proc[[#This Row],[App]],Table2[],3,0),"open")</f>
        <v>ok</v>
      </c>
      <c r="C2967" s="124" t="s">
        <v>369</v>
      </c>
      <c r="D2967" t="s">
        <v>4987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4895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58</v>
      </c>
      <c r="R2967" s="115" t="s">
        <v>1013</v>
      </c>
      <c r="S2967" s="125"/>
    </row>
    <row r="2968" spans="1:19" hidden="1">
      <c r="A2968" s="124" t="s">
        <v>5259</v>
      </c>
      <c r="B2968" s="149" t="str">
        <f>IFERROR(VLOOKUP(Proc[[#This Row],[App]],Table2[],3,0),"open")</f>
        <v>ok</v>
      </c>
      <c r="C2968" s="124" t="s">
        <v>369</v>
      </c>
      <c r="D2968" t="s">
        <v>4988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4895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58</v>
      </c>
      <c r="R2968" s="115" t="s">
        <v>1013</v>
      </c>
      <c r="S2968" s="125"/>
    </row>
    <row r="2969" spans="1:19" hidden="1">
      <c r="A2969" s="124" t="s">
        <v>5259</v>
      </c>
      <c r="B2969" s="149" t="str">
        <f>IFERROR(VLOOKUP(Proc[[#This Row],[App]],Table2[],3,0),"open")</f>
        <v>ok</v>
      </c>
      <c r="C2969" s="124" t="s">
        <v>369</v>
      </c>
      <c r="D2969" t="s">
        <v>4989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4895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58</v>
      </c>
      <c r="R2969" s="115" t="s">
        <v>1013</v>
      </c>
      <c r="S2969" s="125"/>
    </row>
    <row r="2970" spans="1:19" hidden="1">
      <c r="A2970" s="124" t="s">
        <v>5259</v>
      </c>
      <c r="B2970" s="149" t="str">
        <f>IFERROR(VLOOKUP(Proc[[#This Row],[App]],Table2[],3,0),"open")</f>
        <v>ok</v>
      </c>
      <c r="C2970" s="124" t="s">
        <v>369</v>
      </c>
      <c r="D2970" t="s">
        <v>4990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4895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58</v>
      </c>
      <c r="R2970" s="115" t="s">
        <v>1013</v>
      </c>
      <c r="S2970" s="125"/>
    </row>
    <row r="2971" spans="1:19" hidden="1">
      <c r="A2971" s="124" t="s">
        <v>5259</v>
      </c>
      <c r="B2971" s="149" t="str">
        <f>IFERROR(VLOOKUP(Proc[[#This Row],[App]],Table2[],3,0),"open")</f>
        <v>ok</v>
      </c>
      <c r="C2971" s="124" t="s">
        <v>369</v>
      </c>
      <c r="D2971" t="s">
        <v>4991</v>
      </c>
      <c r="E2971" t="s">
        <v>5252</v>
      </c>
      <c r="F2971" s="125" t="s">
        <v>5252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4895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58</v>
      </c>
      <c r="R2971" s="115" t="s">
        <v>1013</v>
      </c>
      <c r="S2971" s="125"/>
    </row>
    <row r="2972" spans="1:19" hidden="1">
      <c r="A2972" s="124" t="s">
        <v>5259</v>
      </c>
      <c r="B2972" s="149" t="str">
        <f>IFERROR(VLOOKUP(Proc[[#This Row],[App]],Table2[],3,0),"open")</f>
        <v>ok</v>
      </c>
      <c r="C2972" s="124" t="s">
        <v>369</v>
      </c>
      <c r="D2972" t="s">
        <v>4992</v>
      </c>
      <c r="E2972" t="s">
        <v>5253</v>
      </c>
      <c r="F2972" s="125" t="s">
        <v>5253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4895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58</v>
      </c>
      <c r="R2972" s="115" t="s">
        <v>1013</v>
      </c>
      <c r="S2972" s="125"/>
    </row>
    <row r="2973" spans="1:19" hidden="1">
      <c r="A2973" s="124" t="s">
        <v>5259</v>
      </c>
      <c r="B2973" s="149" t="str">
        <f>IFERROR(VLOOKUP(Proc[[#This Row],[App]],Table2[],3,0),"open")</f>
        <v>ok</v>
      </c>
      <c r="C2973" s="124" t="s">
        <v>369</v>
      </c>
      <c r="D2973" t="s">
        <v>4993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4895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58</v>
      </c>
      <c r="R2973" s="115" t="s">
        <v>1013</v>
      </c>
      <c r="S2973" s="125"/>
    </row>
    <row r="2974" spans="1:19" hidden="1">
      <c r="A2974" s="124" t="s">
        <v>5259</v>
      </c>
      <c r="B2974" s="149" t="str">
        <f>IFERROR(VLOOKUP(Proc[[#This Row],[App]],Table2[],3,0),"open")</f>
        <v>ok</v>
      </c>
      <c r="C2974" s="124" t="s">
        <v>369</v>
      </c>
      <c r="D2974" t="s">
        <v>4994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4895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58</v>
      </c>
      <c r="R2974" s="115" t="s">
        <v>1013</v>
      </c>
      <c r="S2974" s="125"/>
    </row>
    <row r="2975" spans="1:19" hidden="1">
      <c r="A2975" s="124" t="s">
        <v>5259</v>
      </c>
      <c r="B2975" s="149" t="str">
        <f>IFERROR(VLOOKUP(Proc[[#This Row],[App]],Table2[],3,0),"open")</f>
        <v>ok</v>
      </c>
      <c r="C2975" s="124" t="s">
        <v>369</v>
      </c>
      <c r="D2975" t="s">
        <v>4995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4895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58</v>
      </c>
      <c r="R2975" s="115" t="s">
        <v>1013</v>
      </c>
      <c r="S2975" s="125"/>
    </row>
    <row r="2976" spans="1:19" hidden="1">
      <c r="A2976" s="124" t="s">
        <v>5259</v>
      </c>
      <c r="B2976" s="149" t="str">
        <f>IFERROR(VLOOKUP(Proc[[#This Row],[App]],Table2[],3,0),"open")</f>
        <v>ok</v>
      </c>
      <c r="C2976" s="124" t="s">
        <v>369</v>
      </c>
      <c r="D2976" t="s">
        <v>4996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4895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58</v>
      </c>
      <c r="R2976" s="115" t="s">
        <v>1013</v>
      </c>
      <c r="S2976" s="125"/>
    </row>
    <row r="2977" spans="1:19" hidden="1">
      <c r="A2977" s="124" t="s">
        <v>5259</v>
      </c>
      <c r="B2977" s="149" t="str">
        <f>IFERROR(VLOOKUP(Proc[[#This Row],[App]],Table2[],3,0),"open")</f>
        <v>ok</v>
      </c>
      <c r="C2977" s="124" t="s">
        <v>369</v>
      </c>
      <c r="D2977" t="s">
        <v>4997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4895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58</v>
      </c>
      <c r="R2977" s="115" t="s">
        <v>1013</v>
      </c>
      <c r="S2977" s="125"/>
    </row>
    <row r="2978" spans="1:19" hidden="1">
      <c r="A2978" s="124" t="s">
        <v>5259</v>
      </c>
      <c r="B2978" s="149" t="str">
        <f>IFERROR(VLOOKUP(Proc[[#This Row],[App]],Table2[],3,0),"open")</f>
        <v>ok</v>
      </c>
      <c r="C2978" s="124" t="s">
        <v>369</v>
      </c>
      <c r="D2978" t="s">
        <v>4998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4895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58</v>
      </c>
      <c r="R2978" s="115" t="s">
        <v>1013</v>
      </c>
      <c r="S2978" s="125"/>
    </row>
    <row r="2979" spans="1:19" hidden="1">
      <c r="A2979" s="124" t="s">
        <v>5259</v>
      </c>
      <c r="B2979" s="149" t="str">
        <f>IFERROR(VLOOKUP(Proc[[#This Row],[App]],Table2[],3,0),"open")</f>
        <v>ok</v>
      </c>
      <c r="C2979" s="124" t="s">
        <v>369</v>
      </c>
      <c r="D2979" t="s">
        <v>4999</v>
      </c>
      <c r="E2979" t="s">
        <v>5252</v>
      </c>
      <c r="F2979" s="125" t="s">
        <v>5252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4895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58</v>
      </c>
      <c r="R2979" s="115" t="s">
        <v>1013</v>
      </c>
      <c r="S2979" s="125"/>
    </row>
    <row r="2980" spans="1:19" hidden="1">
      <c r="A2980" s="124" t="s">
        <v>5259</v>
      </c>
      <c r="B2980" s="149" t="str">
        <f>IFERROR(VLOOKUP(Proc[[#This Row],[App]],Table2[],3,0),"open")</f>
        <v>ok</v>
      </c>
      <c r="C2980" s="124" t="s">
        <v>369</v>
      </c>
      <c r="D2980" t="s">
        <v>5000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4895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58</v>
      </c>
      <c r="R2980" s="115" t="s">
        <v>1013</v>
      </c>
      <c r="S2980" s="125"/>
    </row>
    <row r="2981" spans="1:19" hidden="1">
      <c r="A2981" s="124" t="s">
        <v>5259</v>
      </c>
      <c r="B2981" s="149" t="str">
        <f>IFERROR(VLOOKUP(Proc[[#This Row],[App]],Table2[],3,0),"open")</f>
        <v>ok</v>
      </c>
      <c r="C2981" s="124" t="s">
        <v>369</v>
      </c>
      <c r="D2981" t="s">
        <v>5001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4895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58</v>
      </c>
      <c r="R2981" s="115" t="s">
        <v>1013</v>
      </c>
      <c r="S2981" s="125"/>
    </row>
    <row r="2982" spans="1:19" hidden="1">
      <c r="A2982" s="124" t="s">
        <v>5259</v>
      </c>
      <c r="B2982" s="149" t="str">
        <f>IFERROR(VLOOKUP(Proc[[#This Row],[App]],Table2[],3,0),"open")</f>
        <v>ok</v>
      </c>
      <c r="C2982" s="124" t="s">
        <v>369</v>
      </c>
      <c r="D2982" t="s">
        <v>5002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4895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58</v>
      </c>
      <c r="R2982" s="115" t="s">
        <v>1013</v>
      </c>
      <c r="S2982" s="125"/>
    </row>
    <row r="2983" spans="1:19" hidden="1">
      <c r="A2983" s="124" t="s">
        <v>5259</v>
      </c>
      <c r="B2983" s="149" t="str">
        <f>IFERROR(VLOOKUP(Proc[[#This Row],[App]],Table2[],3,0),"open")</f>
        <v>ok</v>
      </c>
      <c r="C2983" s="124" t="s">
        <v>369</v>
      </c>
      <c r="D2983" t="s">
        <v>5003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4895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58</v>
      </c>
      <c r="R2983" s="115" t="s">
        <v>1013</v>
      </c>
      <c r="S2983" s="125"/>
    </row>
    <row r="2984" spans="1:19" hidden="1">
      <c r="A2984" s="124" t="s">
        <v>5259</v>
      </c>
      <c r="B2984" s="149" t="str">
        <f>IFERROR(VLOOKUP(Proc[[#This Row],[App]],Table2[],3,0),"open")</f>
        <v>ok</v>
      </c>
      <c r="C2984" s="124" t="s">
        <v>369</v>
      </c>
      <c r="D2984" t="s">
        <v>5004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4895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58</v>
      </c>
      <c r="R2984" s="115" t="s">
        <v>1013</v>
      </c>
      <c r="S2984" s="125"/>
    </row>
    <row r="2985" spans="1:19" hidden="1">
      <c r="A2985" s="124" t="s">
        <v>5259</v>
      </c>
      <c r="B2985" s="149" t="str">
        <f>IFERROR(VLOOKUP(Proc[[#This Row],[App]],Table2[],3,0),"open")</f>
        <v>ok</v>
      </c>
      <c r="C2985" s="124" t="s">
        <v>369</v>
      </c>
      <c r="D2985" t="s">
        <v>5005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4895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58</v>
      </c>
      <c r="R2985" s="115" t="s">
        <v>1013</v>
      </c>
      <c r="S2985" s="125"/>
    </row>
    <row r="2986" spans="1:19" hidden="1">
      <c r="A2986" s="124" t="s">
        <v>5259</v>
      </c>
      <c r="B2986" s="149" t="str">
        <f>IFERROR(VLOOKUP(Proc[[#This Row],[App]],Table2[],3,0),"open")</f>
        <v>ok</v>
      </c>
      <c r="C2986" s="124" t="s">
        <v>369</v>
      </c>
      <c r="D2986" t="s">
        <v>5006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4895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58</v>
      </c>
      <c r="R2986" s="115" t="s">
        <v>1013</v>
      </c>
      <c r="S2986" s="125"/>
    </row>
    <row r="2987" spans="1:19" hidden="1">
      <c r="A2987" s="124" t="s">
        <v>5259</v>
      </c>
      <c r="B2987" s="149" t="str">
        <f>IFERROR(VLOOKUP(Proc[[#This Row],[App]],Table2[],3,0),"open")</f>
        <v>ok</v>
      </c>
      <c r="C2987" s="124" t="s">
        <v>369</v>
      </c>
      <c r="D2987" t="s">
        <v>5007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4895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58</v>
      </c>
      <c r="R2987" s="115" t="s">
        <v>1013</v>
      </c>
      <c r="S2987" s="125"/>
    </row>
    <row r="2988" spans="1:19" hidden="1">
      <c r="A2988" s="124" t="s">
        <v>5259</v>
      </c>
      <c r="B2988" s="149" t="str">
        <f>IFERROR(VLOOKUP(Proc[[#This Row],[App]],Table2[],3,0),"open")</f>
        <v>ok</v>
      </c>
      <c r="C2988" s="124" t="s">
        <v>369</v>
      </c>
      <c r="D2988" t="s">
        <v>5008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4895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58</v>
      </c>
      <c r="R2988" s="115" t="s">
        <v>1013</v>
      </c>
      <c r="S2988" s="125"/>
    </row>
    <row r="2989" spans="1:19" hidden="1">
      <c r="A2989" s="124" t="s">
        <v>5259</v>
      </c>
      <c r="B2989" s="149" t="str">
        <f>IFERROR(VLOOKUP(Proc[[#This Row],[App]],Table2[],3,0),"open")</f>
        <v>ok</v>
      </c>
      <c r="C2989" s="124" t="s">
        <v>369</v>
      </c>
      <c r="D2989" t="s">
        <v>5009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4895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58</v>
      </c>
      <c r="R2989" s="115" t="s">
        <v>1013</v>
      </c>
      <c r="S2989" s="125"/>
    </row>
    <row r="2990" spans="1:19" hidden="1">
      <c r="A2990" s="124" t="s">
        <v>5259</v>
      </c>
      <c r="B2990" s="149" t="str">
        <f>IFERROR(VLOOKUP(Proc[[#This Row],[App]],Table2[],3,0),"open")</f>
        <v>ok</v>
      </c>
      <c r="C2990" s="124" t="s">
        <v>369</v>
      </c>
      <c r="D2990" t="s">
        <v>5010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4895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58</v>
      </c>
      <c r="R2990" s="115" t="s">
        <v>1013</v>
      </c>
      <c r="S2990" s="125"/>
    </row>
    <row r="2991" spans="1:19" hidden="1">
      <c r="A2991" s="124" t="s">
        <v>5259</v>
      </c>
      <c r="B2991" s="149" t="str">
        <f>IFERROR(VLOOKUP(Proc[[#This Row],[App]],Table2[],3,0),"open")</f>
        <v>ok</v>
      </c>
      <c r="C2991" s="124" t="s">
        <v>369</v>
      </c>
      <c r="D2991" t="s">
        <v>5011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4895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58</v>
      </c>
      <c r="R2991" s="115" t="s">
        <v>1013</v>
      </c>
      <c r="S2991" s="125"/>
    </row>
    <row r="2992" spans="1:19" hidden="1">
      <c r="A2992" s="124" t="s">
        <v>5259</v>
      </c>
      <c r="B2992" s="149" t="str">
        <f>IFERROR(VLOOKUP(Proc[[#This Row],[App]],Table2[],3,0),"open")</f>
        <v>ok</v>
      </c>
      <c r="C2992" s="124" t="s">
        <v>369</v>
      </c>
      <c r="D2992" t="s">
        <v>5012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4895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58</v>
      </c>
      <c r="R2992" s="115" t="s">
        <v>1013</v>
      </c>
      <c r="S2992" s="125"/>
    </row>
    <row r="2993" spans="1:19" hidden="1">
      <c r="A2993" s="124" t="s">
        <v>5259</v>
      </c>
      <c r="B2993" s="149" t="str">
        <f>IFERROR(VLOOKUP(Proc[[#This Row],[App]],Table2[],3,0),"open")</f>
        <v>ok</v>
      </c>
      <c r="C2993" s="124" t="s">
        <v>369</v>
      </c>
      <c r="D2993" t="s">
        <v>5013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4895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58</v>
      </c>
      <c r="R2993" s="115" t="s">
        <v>1013</v>
      </c>
      <c r="S2993" s="125"/>
    </row>
    <row r="2994" spans="1:19" hidden="1">
      <c r="A2994" s="124" t="s">
        <v>5259</v>
      </c>
      <c r="B2994" s="149" t="str">
        <f>IFERROR(VLOOKUP(Proc[[#This Row],[App]],Table2[],3,0),"open")</f>
        <v>ok</v>
      </c>
      <c r="C2994" s="124" t="s">
        <v>369</v>
      </c>
      <c r="D2994" t="s">
        <v>5014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4895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58</v>
      </c>
      <c r="R2994" s="115" t="s">
        <v>1013</v>
      </c>
      <c r="S2994" s="125"/>
    </row>
    <row r="2995" spans="1:19" hidden="1">
      <c r="A2995" s="124" t="s">
        <v>5259</v>
      </c>
      <c r="B2995" s="149" t="str">
        <f>IFERROR(VLOOKUP(Proc[[#This Row],[App]],Table2[],3,0),"open")</f>
        <v>ok</v>
      </c>
      <c r="C2995" s="124" t="s">
        <v>369</v>
      </c>
      <c r="D2995" t="s">
        <v>5015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4895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58</v>
      </c>
      <c r="R2995" s="115" t="s">
        <v>1013</v>
      </c>
      <c r="S2995" s="125"/>
    </row>
    <row r="2996" spans="1:19" hidden="1">
      <c r="A2996" s="124" t="s">
        <v>5259</v>
      </c>
      <c r="B2996" s="149" t="str">
        <f>IFERROR(VLOOKUP(Proc[[#This Row],[App]],Table2[],3,0),"open")</f>
        <v>ok</v>
      </c>
      <c r="C2996" s="124" t="s">
        <v>369</v>
      </c>
      <c r="D2996" t="s">
        <v>5016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4895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58</v>
      </c>
      <c r="R2996" s="115" t="s">
        <v>1013</v>
      </c>
      <c r="S2996" s="125"/>
    </row>
    <row r="2997" spans="1:19" hidden="1">
      <c r="A2997" s="124" t="s">
        <v>5259</v>
      </c>
      <c r="B2997" s="149" t="str">
        <f>IFERROR(VLOOKUP(Proc[[#This Row],[App]],Table2[],3,0),"open")</f>
        <v>ok</v>
      </c>
      <c r="C2997" s="124" t="s">
        <v>369</v>
      </c>
      <c r="D2997" t="s">
        <v>5017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4895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58</v>
      </c>
      <c r="R2997" s="115" t="s">
        <v>1013</v>
      </c>
      <c r="S2997" s="125"/>
    </row>
    <row r="2998" spans="1:19" hidden="1">
      <c r="A2998" s="124" t="s">
        <v>5259</v>
      </c>
      <c r="B2998" s="149" t="str">
        <f>IFERROR(VLOOKUP(Proc[[#This Row],[App]],Table2[],3,0),"open")</f>
        <v>ok</v>
      </c>
      <c r="C2998" s="124" t="s">
        <v>369</v>
      </c>
      <c r="D2998" t="s">
        <v>5018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4895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58</v>
      </c>
      <c r="R2998" s="115" t="s">
        <v>1013</v>
      </c>
      <c r="S2998" s="125"/>
    </row>
    <row r="2999" spans="1:19" hidden="1">
      <c r="A2999" s="124" t="s">
        <v>5259</v>
      </c>
      <c r="B2999" s="149" t="str">
        <f>IFERROR(VLOOKUP(Proc[[#This Row],[App]],Table2[],3,0),"open")</f>
        <v>ok</v>
      </c>
      <c r="C2999" s="124" t="s">
        <v>369</v>
      </c>
      <c r="D2999" t="s">
        <v>5019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4895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58</v>
      </c>
      <c r="R2999" s="115" t="s">
        <v>1013</v>
      </c>
      <c r="S2999" s="125"/>
    </row>
    <row r="3000" spans="1:19" hidden="1">
      <c r="A3000" s="124" t="s">
        <v>5259</v>
      </c>
      <c r="B3000" s="149" t="str">
        <f>IFERROR(VLOOKUP(Proc[[#This Row],[App]],Table2[],3,0),"open")</f>
        <v>ok</v>
      </c>
      <c r="C3000" s="124" t="s">
        <v>369</v>
      </c>
      <c r="D3000" t="s">
        <v>5020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4895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58</v>
      </c>
      <c r="R3000" s="115" t="s">
        <v>1013</v>
      </c>
      <c r="S3000" s="125"/>
    </row>
    <row r="3001" spans="1:19" hidden="1">
      <c r="A3001" s="124" t="s">
        <v>5259</v>
      </c>
      <c r="B3001" s="149" t="str">
        <f>IFERROR(VLOOKUP(Proc[[#This Row],[App]],Table2[],3,0),"open")</f>
        <v>ok</v>
      </c>
      <c r="C3001" s="124" t="s">
        <v>369</v>
      </c>
      <c r="D3001" t="s">
        <v>5021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4895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58</v>
      </c>
      <c r="R3001" s="115" t="s">
        <v>1013</v>
      </c>
      <c r="S3001" s="125"/>
    </row>
    <row r="3002" spans="1:19" hidden="1">
      <c r="A3002" s="124" t="s">
        <v>5259</v>
      </c>
      <c r="B3002" s="149" t="str">
        <f>IFERROR(VLOOKUP(Proc[[#This Row],[App]],Table2[],3,0),"open")</f>
        <v>ok</v>
      </c>
      <c r="C3002" s="124" t="s">
        <v>369</v>
      </c>
      <c r="D3002" t="s">
        <v>5022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4895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58</v>
      </c>
      <c r="R3002" s="115" t="s">
        <v>1013</v>
      </c>
      <c r="S3002" s="125"/>
    </row>
    <row r="3003" spans="1:19" hidden="1">
      <c r="A3003" s="124" t="s">
        <v>5259</v>
      </c>
      <c r="B3003" s="149" t="str">
        <f>IFERROR(VLOOKUP(Proc[[#This Row],[App]],Table2[],3,0),"open")</f>
        <v>ok</v>
      </c>
      <c r="C3003" s="124" t="s">
        <v>369</v>
      </c>
      <c r="D3003" t="s">
        <v>5023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4895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58</v>
      </c>
      <c r="R3003" s="115" t="s">
        <v>1013</v>
      </c>
      <c r="S3003" s="125"/>
    </row>
    <row r="3004" spans="1:19" hidden="1">
      <c r="A3004" s="124" t="s">
        <v>5259</v>
      </c>
      <c r="B3004" s="149" t="str">
        <f>IFERROR(VLOOKUP(Proc[[#This Row],[App]],Table2[],3,0),"open")</f>
        <v>ok</v>
      </c>
      <c r="C3004" s="124" t="s">
        <v>369</v>
      </c>
      <c r="D3004" t="s">
        <v>5024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4895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58</v>
      </c>
      <c r="R3004" s="115" t="s">
        <v>1013</v>
      </c>
      <c r="S3004" s="125"/>
    </row>
    <row r="3005" spans="1:19" hidden="1">
      <c r="A3005" s="124" t="s">
        <v>5259</v>
      </c>
      <c r="B3005" s="149" t="str">
        <f>IFERROR(VLOOKUP(Proc[[#This Row],[App]],Table2[],3,0),"open")</f>
        <v>ok</v>
      </c>
      <c r="C3005" s="124" t="s">
        <v>369</v>
      </c>
      <c r="D3005" t="s">
        <v>5025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4895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58</v>
      </c>
      <c r="R3005" s="115" t="s">
        <v>1013</v>
      </c>
      <c r="S3005" s="125"/>
    </row>
    <row r="3006" spans="1:19" hidden="1">
      <c r="A3006" s="124" t="s">
        <v>5259</v>
      </c>
      <c r="B3006" s="149" t="str">
        <f>IFERROR(VLOOKUP(Proc[[#This Row],[App]],Table2[],3,0),"open")</f>
        <v>ok</v>
      </c>
      <c r="C3006" s="124" t="s">
        <v>369</v>
      </c>
      <c r="D3006" t="s">
        <v>5026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4895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58</v>
      </c>
      <c r="R3006" s="115" t="s">
        <v>1013</v>
      </c>
      <c r="S3006" s="125"/>
    </row>
    <row r="3007" spans="1:19" hidden="1">
      <c r="A3007" s="124" t="s">
        <v>5259</v>
      </c>
      <c r="B3007" s="149" t="str">
        <f>IFERROR(VLOOKUP(Proc[[#This Row],[App]],Table2[],3,0),"open")</f>
        <v>ok</v>
      </c>
      <c r="C3007" s="124" t="s">
        <v>369</v>
      </c>
      <c r="D3007" t="s">
        <v>5027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4895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58</v>
      </c>
      <c r="R3007" s="115" t="s">
        <v>1013</v>
      </c>
      <c r="S3007" s="125"/>
    </row>
    <row r="3008" spans="1:19" hidden="1">
      <c r="A3008" s="124" t="s">
        <v>5259</v>
      </c>
      <c r="B3008" s="149" t="str">
        <f>IFERROR(VLOOKUP(Proc[[#This Row],[App]],Table2[],3,0),"open")</f>
        <v>ok</v>
      </c>
      <c r="C3008" s="124" t="s">
        <v>369</v>
      </c>
      <c r="D3008" t="s">
        <v>5028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4895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58</v>
      </c>
      <c r="R3008" s="115" t="s">
        <v>1013</v>
      </c>
      <c r="S3008" s="125"/>
    </row>
    <row r="3009" spans="1:19" hidden="1">
      <c r="A3009" s="124" t="s">
        <v>5259</v>
      </c>
      <c r="B3009" s="149" t="str">
        <f>IFERROR(VLOOKUP(Proc[[#This Row],[App]],Table2[],3,0),"open")</f>
        <v>ok</v>
      </c>
      <c r="C3009" s="124" t="s">
        <v>369</v>
      </c>
      <c r="D3009" t="s">
        <v>5029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4895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58</v>
      </c>
      <c r="R3009" s="115" t="s">
        <v>1013</v>
      </c>
      <c r="S3009" s="125"/>
    </row>
    <row r="3010" spans="1:19" hidden="1">
      <c r="A3010" s="124" t="s">
        <v>5259</v>
      </c>
      <c r="B3010" s="149" t="str">
        <f>IFERROR(VLOOKUP(Proc[[#This Row],[App]],Table2[],3,0),"open")</f>
        <v>ok</v>
      </c>
      <c r="C3010" s="124" t="s">
        <v>369</v>
      </c>
      <c r="D3010" t="s">
        <v>5030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4895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58</v>
      </c>
      <c r="R3010" s="115" t="s">
        <v>1013</v>
      </c>
      <c r="S3010" s="125"/>
    </row>
    <row r="3011" spans="1:19" hidden="1">
      <c r="A3011" s="124" t="s">
        <v>5259</v>
      </c>
      <c r="B3011" s="149" t="str">
        <f>IFERROR(VLOOKUP(Proc[[#This Row],[App]],Table2[],3,0),"open")</f>
        <v>ok</v>
      </c>
      <c r="C3011" s="124" t="s">
        <v>369</v>
      </c>
      <c r="D3011" t="s">
        <v>5031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4895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58</v>
      </c>
      <c r="R3011" s="115" t="s">
        <v>1013</v>
      </c>
      <c r="S3011" s="125"/>
    </row>
    <row r="3012" spans="1:19" hidden="1">
      <c r="A3012" s="124" t="s">
        <v>5259</v>
      </c>
      <c r="B3012" s="149" t="str">
        <f>IFERROR(VLOOKUP(Proc[[#This Row],[App]],Table2[],3,0),"open")</f>
        <v>ok</v>
      </c>
      <c r="C3012" s="124" t="s">
        <v>369</v>
      </c>
      <c r="D3012" t="s">
        <v>5032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4895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58</v>
      </c>
      <c r="R3012" s="115" t="s">
        <v>1013</v>
      </c>
      <c r="S3012" s="125"/>
    </row>
    <row r="3013" spans="1:19" hidden="1">
      <c r="A3013" s="124" t="s">
        <v>5259</v>
      </c>
      <c r="B3013" s="149" t="str">
        <f>IFERROR(VLOOKUP(Proc[[#This Row],[App]],Table2[],3,0),"open")</f>
        <v>ok</v>
      </c>
      <c r="C3013" s="124" t="s">
        <v>369</v>
      </c>
      <c r="D3013" t="s">
        <v>5033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4895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58</v>
      </c>
      <c r="R3013" s="115" t="s">
        <v>1013</v>
      </c>
      <c r="S3013" s="125"/>
    </row>
    <row r="3014" spans="1:19" hidden="1">
      <c r="A3014" s="124" t="s">
        <v>5259</v>
      </c>
      <c r="B3014" s="149" t="str">
        <f>IFERROR(VLOOKUP(Proc[[#This Row],[App]],Table2[],3,0),"open")</f>
        <v>ok</v>
      </c>
      <c r="C3014" s="124" t="s">
        <v>369</v>
      </c>
      <c r="D3014" t="s">
        <v>5034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4895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58</v>
      </c>
      <c r="R3014" s="115" t="s">
        <v>1013</v>
      </c>
      <c r="S3014" s="125"/>
    </row>
    <row r="3015" spans="1:19" hidden="1">
      <c r="A3015" s="124" t="s">
        <v>5259</v>
      </c>
      <c r="B3015" s="149" t="str">
        <f>IFERROR(VLOOKUP(Proc[[#This Row],[App]],Table2[],3,0),"open")</f>
        <v>ok</v>
      </c>
      <c r="C3015" s="124" t="s">
        <v>369</v>
      </c>
      <c r="D3015" t="s">
        <v>5035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4895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58</v>
      </c>
      <c r="R3015" s="115" t="s">
        <v>1013</v>
      </c>
      <c r="S3015" s="125"/>
    </row>
    <row r="3016" spans="1:19" hidden="1">
      <c r="A3016" s="124" t="s">
        <v>5259</v>
      </c>
      <c r="B3016" s="149" t="str">
        <f>IFERROR(VLOOKUP(Proc[[#This Row],[App]],Table2[],3,0),"open")</f>
        <v>ok</v>
      </c>
      <c r="C3016" s="124" t="s">
        <v>369</v>
      </c>
      <c r="D3016" t="s">
        <v>5036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4895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58</v>
      </c>
      <c r="R3016" s="115" t="s">
        <v>1013</v>
      </c>
      <c r="S3016" s="125"/>
    </row>
    <row r="3017" spans="1:19" hidden="1">
      <c r="A3017" s="124" t="s">
        <v>5259</v>
      </c>
      <c r="B3017" s="149" t="str">
        <f>IFERROR(VLOOKUP(Proc[[#This Row],[App]],Table2[],3,0),"open")</f>
        <v>ok</v>
      </c>
      <c r="C3017" s="124" t="s">
        <v>369</v>
      </c>
      <c r="D3017" t="s">
        <v>5037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4895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58</v>
      </c>
      <c r="R3017" s="115" t="s">
        <v>1013</v>
      </c>
      <c r="S3017" s="125"/>
    </row>
    <row r="3018" spans="1:19" hidden="1">
      <c r="A3018" s="124" t="s">
        <v>5259</v>
      </c>
      <c r="B3018" s="149" t="str">
        <f>IFERROR(VLOOKUP(Proc[[#This Row],[App]],Table2[],3,0),"open")</f>
        <v>ok</v>
      </c>
      <c r="C3018" s="124" t="s">
        <v>369</v>
      </c>
      <c r="D3018" t="s">
        <v>5038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4895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58</v>
      </c>
      <c r="R3018" s="115" t="s">
        <v>1013</v>
      </c>
      <c r="S3018" s="125"/>
    </row>
    <row r="3019" spans="1:19" hidden="1">
      <c r="A3019" s="124" t="s">
        <v>5259</v>
      </c>
      <c r="B3019" s="149" t="str">
        <f>IFERROR(VLOOKUP(Proc[[#This Row],[App]],Table2[],3,0),"open")</f>
        <v>ok</v>
      </c>
      <c r="C3019" s="124" t="s">
        <v>369</v>
      </c>
      <c r="D3019" t="s">
        <v>5039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4895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58</v>
      </c>
      <c r="R3019" s="115" t="s">
        <v>1013</v>
      </c>
      <c r="S3019" s="125"/>
    </row>
    <row r="3020" spans="1:19" hidden="1">
      <c r="A3020" s="124" t="s">
        <v>5259</v>
      </c>
      <c r="B3020" s="149" t="str">
        <f>IFERROR(VLOOKUP(Proc[[#This Row],[App]],Table2[],3,0),"open")</f>
        <v>ok</v>
      </c>
      <c r="C3020" s="124" t="s">
        <v>369</v>
      </c>
      <c r="D3020" t="s">
        <v>5040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4895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58</v>
      </c>
      <c r="R3020" s="115" t="s">
        <v>1013</v>
      </c>
      <c r="S3020" s="125"/>
    </row>
    <row r="3021" spans="1:19" hidden="1">
      <c r="A3021" s="124" t="s">
        <v>5259</v>
      </c>
      <c r="B3021" s="149" t="str">
        <f>IFERROR(VLOOKUP(Proc[[#This Row],[App]],Table2[],3,0),"open")</f>
        <v>ok</v>
      </c>
      <c r="C3021" s="124" t="s">
        <v>369</v>
      </c>
      <c r="D3021" t="s">
        <v>5041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4895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58</v>
      </c>
      <c r="R3021" s="115" t="s">
        <v>1013</v>
      </c>
      <c r="S3021" s="125"/>
    </row>
    <row r="3022" spans="1:19" hidden="1">
      <c r="A3022" s="124" t="s">
        <v>5259</v>
      </c>
      <c r="B3022" s="149" t="str">
        <f>IFERROR(VLOOKUP(Proc[[#This Row],[App]],Table2[],3,0),"open")</f>
        <v>ok</v>
      </c>
      <c r="C3022" s="124" t="s">
        <v>369</v>
      </c>
      <c r="D3022" t="s">
        <v>5042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4895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58</v>
      </c>
      <c r="R3022" s="115" t="s">
        <v>1013</v>
      </c>
      <c r="S3022" s="125"/>
    </row>
    <row r="3023" spans="1:19" hidden="1">
      <c r="A3023" s="124" t="s">
        <v>5259</v>
      </c>
      <c r="B3023" s="149" t="str">
        <f>IFERROR(VLOOKUP(Proc[[#This Row],[App]],Table2[],3,0),"open")</f>
        <v>ok</v>
      </c>
      <c r="C3023" s="124" t="s">
        <v>369</v>
      </c>
      <c r="D3023" t="s">
        <v>5043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4895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58</v>
      </c>
      <c r="R3023" s="115" t="s">
        <v>1013</v>
      </c>
      <c r="S3023" s="125"/>
    </row>
    <row r="3024" spans="1:19" hidden="1">
      <c r="A3024" s="124" t="s">
        <v>5259</v>
      </c>
      <c r="B3024" s="149" t="str">
        <f>IFERROR(VLOOKUP(Proc[[#This Row],[App]],Table2[],3,0),"open")</f>
        <v>ok</v>
      </c>
      <c r="C3024" s="124" t="s">
        <v>369</v>
      </c>
      <c r="D3024" t="s">
        <v>5044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4895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58</v>
      </c>
      <c r="R3024" s="115" t="s">
        <v>1013</v>
      </c>
      <c r="S3024" s="125"/>
    </row>
    <row r="3025" spans="1:19" hidden="1">
      <c r="A3025" s="124" t="s">
        <v>5259</v>
      </c>
      <c r="B3025" s="149" t="str">
        <f>IFERROR(VLOOKUP(Proc[[#This Row],[App]],Table2[],3,0),"open")</f>
        <v>ok</v>
      </c>
      <c r="C3025" s="124" t="s">
        <v>369</v>
      </c>
      <c r="D3025" t="s">
        <v>5045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4895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58</v>
      </c>
      <c r="R3025" s="115" t="s">
        <v>1013</v>
      </c>
      <c r="S3025" s="125"/>
    </row>
    <row r="3026" spans="1:19" hidden="1">
      <c r="A3026" s="124" t="s">
        <v>5259</v>
      </c>
      <c r="B3026" s="149" t="str">
        <f>IFERROR(VLOOKUP(Proc[[#This Row],[App]],Table2[],3,0),"open")</f>
        <v>ok</v>
      </c>
      <c r="C3026" s="124" t="s">
        <v>369</v>
      </c>
      <c r="D3026" t="s">
        <v>5046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4895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58</v>
      </c>
      <c r="R3026" s="115" t="s">
        <v>1013</v>
      </c>
      <c r="S3026" s="125"/>
    </row>
    <row r="3027" spans="1:19" hidden="1">
      <c r="A3027" s="124" t="s">
        <v>5259</v>
      </c>
      <c r="B3027" s="149" t="str">
        <f>IFERROR(VLOOKUP(Proc[[#This Row],[App]],Table2[],3,0),"open")</f>
        <v>ok</v>
      </c>
      <c r="C3027" s="124" t="s">
        <v>369</v>
      </c>
      <c r="D3027" t="s">
        <v>5047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4895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58</v>
      </c>
      <c r="R3027" s="115" t="s">
        <v>1013</v>
      </c>
      <c r="S3027" s="125"/>
    </row>
    <row r="3028" spans="1:19" hidden="1">
      <c r="A3028" s="124" t="s">
        <v>5259</v>
      </c>
      <c r="B3028" s="149" t="str">
        <f>IFERROR(VLOOKUP(Proc[[#This Row],[App]],Table2[],3,0),"open")</f>
        <v>ok</v>
      </c>
      <c r="C3028" s="124" t="s">
        <v>369</v>
      </c>
      <c r="D3028" t="s">
        <v>5048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4895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58</v>
      </c>
      <c r="R3028" s="115" t="s">
        <v>1013</v>
      </c>
      <c r="S3028" s="125"/>
    </row>
    <row r="3029" spans="1:19" hidden="1">
      <c r="A3029" s="124" t="s">
        <v>5259</v>
      </c>
      <c r="B3029" s="149" t="str">
        <f>IFERROR(VLOOKUP(Proc[[#This Row],[App]],Table2[],3,0),"open")</f>
        <v>ok</v>
      </c>
      <c r="C3029" s="124" t="s">
        <v>369</v>
      </c>
      <c r="D3029" t="s">
        <v>5049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4895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58</v>
      </c>
      <c r="R3029" s="115" t="s">
        <v>1013</v>
      </c>
      <c r="S3029" s="125"/>
    </row>
    <row r="3030" spans="1:19" hidden="1">
      <c r="A3030" s="124" t="s">
        <v>5259</v>
      </c>
      <c r="B3030" s="149" t="str">
        <f>IFERROR(VLOOKUP(Proc[[#This Row],[App]],Table2[],3,0),"open")</f>
        <v>ok</v>
      </c>
      <c r="C3030" s="124" t="s">
        <v>369</v>
      </c>
      <c r="D3030" t="s">
        <v>5050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4895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58</v>
      </c>
      <c r="R3030" s="115" t="s">
        <v>1013</v>
      </c>
      <c r="S3030" s="125"/>
    </row>
    <row r="3031" spans="1:19" hidden="1">
      <c r="A3031" s="124" t="s">
        <v>5259</v>
      </c>
      <c r="B3031" s="149" t="str">
        <f>IFERROR(VLOOKUP(Proc[[#This Row],[App]],Table2[],3,0),"open")</f>
        <v>ok</v>
      </c>
      <c r="C3031" s="124" t="s">
        <v>369</v>
      </c>
      <c r="D3031" t="s">
        <v>5051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4895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58</v>
      </c>
      <c r="R3031" s="115" t="s">
        <v>1013</v>
      </c>
      <c r="S3031" s="125"/>
    </row>
    <row r="3032" spans="1:19" hidden="1">
      <c r="A3032" s="124" t="s">
        <v>5259</v>
      </c>
      <c r="B3032" s="149" t="str">
        <f>IFERROR(VLOOKUP(Proc[[#This Row],[App]],Table2[],3,0),"open")</f>
        <v>ok</v>
      </c>
      <c r="C3032" s="124" t="s">
        <v>369</v>
      </c>
      <c r="D3032" t="s">
        <v>5052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4895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58</v>
      </c>
      <c r="R3032" s="115" t="s">
        <v>1013</v>
      </c>
      <c r="S3032" s="125"/>
    </row>
    <row r="3033" spans="1:19" hidden="1">
      <c r="A3033" s="124" t="s">
        <v>5259</v>
      </c>
      <c r="B3033" s="149" t="str">
        <f>IFERROR(VLOOKUP(Proc[[#This Row],[App]],Table2[],3,0),"open")</f>
        <v>ok</v>
      </c>
      <c r="C3033" s="124" t="s">
        <v>369</v>
      </c>
      <c r="D3033" t="s">
        <v>5053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4895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58</v>
      </c>
      <c r="R3033" s="115" t="s">
        <v>1013</v>
      </c>
      <c r="S3033" s="125"/>
    </row>
    <row r="3034" spans="1:19" hidden="1">
      <c r="A3034" s="124" t="s">
        <v>5259</v>
      </c>
      <c r="B3034" s="149" t="str">
        <f>IFERROR(VLOOKUP(Proc[[#This Row],[App]],Table2[],3,0),"open")</f>
        <v>ok</v>
      </c>
      <c r="C3034" s="124" t="s">
        <v>369</v>
      </c>
      <c r="D3034" t="s">
        <v>5054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4895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58</v>
      </c>
      <c r="R3034" s="115" t="s">
        <v>1013</v>
      </c>
      <c r="S3034" s="125"/>
    </row>
    <row r="3035" spans="1:19" hidden="1">
      <c r="A3035" s="124" t="s">
        <v>5259</v>
      </c>
      <c r="B3035" s="149" t="str">
        <f>IFERROR(VLOOKUP(Proc[[#This Row],[App]],Table2[],3,0),"open")</f>
        <v>ok</v>
      </c>
      <c r="C3035" s="124" t="s">
        <v>369</v>
      </c>
      <c r="D3035" t="s">
        <v>5055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4895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58</v>
      </c>
      <c r="R3035" s="115" t="s">
        <v>1013</v>
      </c>
      <c r="S3035" s="125"/>
    </row>
    <row r="3036" spans="1:19" hidden="1">
      <c r="A3036" s="124" t="s">
        <v>5259</v>
      </c>
      <c r="B3036" s="149" t="str">
        <f>IFERROR(VLOOKUP(Proc[[#This Row],[App]],Table2[],3,0),"open")</f>
        <v>ok</v>
      </c>
      <c r="C3036" s="124" t="s">
        <v>369</v>
      </c>
      <c r="D3036" t="s">
        <v>5056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4895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58</v>
      </c>
      <c r="R3036" s="115" t="s">
        <v>1013</v>
      </c>
      <c r="S3036" s="125"/>
    </row>
    <row r="3037" spans="1:19" hidden="1">
      <c r="A3037" s="124" t="s">
        <v>5259</v>
      </c>
      <c r="B3037" s="149" t="str">
        <f>IFERROR(VLOOKUP(Proc[[#This Row],[App]],Table2[],3,0),"open")</f>
        <v>ok</v>
      </c>
      <c r="C3037" s="124" t="s">
        <v>369</v>
      </c>
      <c r="D3037" t="s">
        <v>5057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4895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58</v>
      </c>
      <c r="R3037" s="115" t="s">
        <v>1013</v>
      </c>
      <c r="S3037" s="125"/>
    </row>
    <row r="3038" spans="1:19" hidden="1">
      <c r="A3038" s="124" t="s">
        <v>5259</v>
      </c>
      <c r="B3038" s="149" t="str">
        <f>IFERROR(VLOOKUP(Proc[[#This Row],[App]],Table2[],3,0),"open")</f>
        <v>ok</v>
      </c>
      <c r="C3038" s="124" t="s">
        <v>369</v>
      </c>
      <c r="D3038" t="s">
        <v>5058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4895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58</v>
      </c>
      <c r="R3038" s="115" t="s">
        <v>1013</v>
      </c>
      <c r="S3038" s="125"/>
    </row>
    <row r="3039" spans="1:19" hidden="1">
      <c r="A3039" s="124" t="s">
        <v>5259</v>
      </c>
      <c r="B3039" s="149" t="str">
        <f>IFERROR(VLOOKUP(Proc[[#This Row],[App]],Table2[],3,0),"open")</f>
        <v>ok</v>
      </c>
      <c r="C3039" s="124" t="s">
        <v>369</v>
      </c>
      <c r="D3039" t="s">
        <v>5059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4895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58</v>
      </c>
      <c r="R3039" s="115" t="s">
        <v>1013</v>
      </c>
      <c r="S3039" s="125"/>
    </row>
    <row r="3040" spans="1:19" hidden="1">
      <c r="A3040" s="124" t="s">
        <v>5259</v>
      </c>
      <c r="B3040" s="149" t="str">
        <f>IFERROR(VLOOKUP(Proc[[#This Row],[App]],Table2[],3,0),"open")</f>
        <v>ok</v>
      </c>
      <c r="C3040" s="124" t="s">
        <v>369</v>
      </c>
      <c r="D3040" t="s">
        <v>5060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4895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58</v>
      </c>
      <c r="R3040" s="115" t="s">
        <v>1013</v>
      </c>
      <c r="S3040" s="125"/>
    </row>
    <row r="3041" spans="1:19" hidden="1">
      <c r="A3041" s="124" t="s">
        <v>5259</v>
      </c>
      <c r="B3041" s="149" t="str">
        <f>IFERROR(VLOOKUP(Proc[[#This Row],[App]],Table2[],3,0),"open")</f>
        <v>ok</v>
      </c>
      <c r="C3041" s="124" t="s">
        <v>369</v>
      </c>
      <c r="D3041" t="s">
        <v>5061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4895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58</v>
      </c>
      <c r="R3041" s="115" t="s">
        <v>1013</v>
      </c>
      <c r="S3041" s="125"/>
    </row>
    <row r="3042" spans="1:19" hidden="1">
      <c r="A3042" s="124" t="s">
        <v>5259</v>
      </c>
      <c r="B3042" s="149" t="str">
        <f>IFERROR(VLOOKUP(Proc[[#This Row],[App]],Table2[],3,0),"open")</f>
        <v>ok</v>
      </c>
      <c r="C3042" s="124" t="s">
        <v>369</v>
      </c>
      <c r="D3042" t="s">
        <v>5062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4895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58</v>
      </c>
      <c r="R3042" s="115" t="s">
        <v>1013</v>
      </c>
      <c r="S3042" s="125"/>
    </row>
    <row r="3043" spans="1:19" hidden="1">
      <c r="A3043" s="124" t="s">
        <v>5259</v>
      </c>
      <c r="B3043" s="149" t="str">
        <f>IFERROR(VLOOKUP(Proc[[#This Row],[App]],Table2[],3,0),"open")</f>
        <v>ok</v>
      </c>
      <c r="C3043" s="124" t="s">
        <v>369</v>
      </c>
      <c r="D3043" t="s">
        <v>5063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4895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58</v>
      </c>
      <c r="R3043" s="115" t="s">
        <v>1013</v>
      </c>
      <c r="S3043" s="125"/>
    </row>
    <row r="3044" spans="1:19" hidden="1">
      <c r="A3044" s="124" t="s">
        <v>5259</v>
      </c>
      <c r="B3044" s="149" t="str">
        <f>IFERROR(VLOOKUP(Proc[[#This Row],[App]],Table2[],3,0),"open")</f>
        <v>ok</v>
      </c>
      <c r="C3044" s="124" t="s">
        <v>369</v>
      </c>
      <c r="D3044" t="s">
        <v>5064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4895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58</v>
      </c>
      <c r="R3044" s="115" t="s">
        <v>1013</v>
      </c>
      <c r="S3044" s="125"/>
    </row>
    <row r="3045" spans="1:19" hidden="1">
      <c r="A3045" s="124" t="s">
        <v>5259</v>
      </c>
      <c r="B3045" s="149" t="str">
        <f>IFERROR(VLOOKUP(Proc[[#This Row],[App]],Table2[],3,0),"open")</f>
        <v>ok</v>
      </c>
      <c r="C3045" s="124" t="s">
        <v>369</v>
      </c>
      <c r="D3045" t="s">
        <v>5065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4895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58</v>
      </c>
      <c r="R3045" s="115" t="s">
        <v>1013</v>
      </c>
      <c r="S3045" s="125"/>
    </row>
    <row r="3046" spans="1:19" hidden="1">
      <c r="A3046" s="124" t="s">
        <v>5259</v>
      </c>
      <c r="B3046" s="149" t="str">
        <f>IFERROR(VLOOKUP(Proc[[#This Row],[App]],Table2[],3,0),"open")</f>
        <v>ok</v>
      </c>
      <c r="C3046" s="124" t="s">
        <v>369</v>
      </c>
      <c r="D3046" t="s">
        <v>5066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4895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58</v>
      </c>
      <c r="R3046" s="115" t="s">
        <v>1013</v>
      </c>
      <c r="S3046" s="125"/>
    </row>
    <row r="3047" spans="1:19" hidden="1">
      <c r="A3047" s="124" t="s">
        <v>5259</v>
      </c>
      <c r="B3047" s="149" t="str">
        <f>IFERROR(VLOOKUP(Proc[[#This Row],[App]],Table2[],3,0),"open")</f>
        <v>ok</v>
      </c>
      <c r="C3047" s="124" t="s">
        <v>369</v>
      </c>
      <c r="D3047" t="s">
        <v>5067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4895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58</v>
      </c>
      <c r="R3047" s="115" t="s">
        <v>1013</v>
      </c>
      <c r="S3047" s="125"/>
    </row>
    <row r="3048" spans="1:19" hidden="1">
      <c r="A3048" s="124" t="s">
        <v>5259</v>
      </c>
      <c r="B3048" s="149" t="str">
        <f>IFERROR(VLOOKUP(Proc[[#This Row],[App]],Table2[],3,0),"open")</f>
        <v>ok</v>
      </c>
      <c r="C3048" s="124" t="s">
        <v>369</v>
      </c>
      <c r="D3048" t="s">
        <v>5068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4895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58</v>
      </c>
      <c r="R3048" s="115" t="s">
        <v>1013</v>
      </c>
      <c r="S3048" s="125"/>
    </row>
    <row r="3049" spans="1:19" hidden="1">
      <c r="A3049" s="124" t="s">
        <v>5259</v>
      </c>
      <c r="B3049" s="149" t="str">
        <f>IFERROR(VLOOKUP(Proc[[#This Row],[App]],Table2[],3,0),"open")</f>
        <v>ok</v>
      </c>
      <c r="C3049" s="124" t="s">
        <v>369</v>
      </c>
      <c r="D3049" t="s">
        <v>5069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4895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58</v>
      </c>
      <c r="R3049" s="115" t="s">
        <v>1013</v>
      </c>
      <c r="S3049" s="125"/>
    </row>
    <row r="3050" spans="1:19" hidden="1">
      <c r="A3050" s="124" t="s">
        <v>5259</v>
      </c>
      <c r="B3050" s="149" t="str">
        <f>IFERROR(VLOOKUP(Proc[[#This Row],[App]],Table2[],3,0),"open")</f>
        <v>ok</v>
      </c>
      <c r="C3050" s="124" t="s">
        <v>369</v>
      </c>
      <c r="D3050" t="s">
        <v>5070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4895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58</v>
      </c>
      <c r="R3050" s="115" t="s">
        <v>1013</v>
      </c>
      <c r="S3050" s="125"/>
    </row>
    <row r="3051" spans="1:19" hidden="1">
      <c r="A3051" s="124" t="s">
        <v>5259</v>
      </c>
      <c r="B3051" s="149" t="str">
        <f>IFERROR(VLOOKUP(Proc[[#This Row],[App]],Table2[],3,0),"open")</f>
        <v>ok</v>
      </c>
      <c r="C3051" s="124" t="s">
        <v>369</v>
      </c>
      <c r="D3051" t="s">
        <v>5071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4895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58</v>
      </c>
      <c r="R3051" s="115" t="s">
        <v>1013</v>
      </c>
      <c r="S3051" s="125"/>
    </row>
    <row r="3052" spans="1:19" hidden="1">
      <c r="A3052" s="124" t="s">
        <v>5259</v>
      </c>
      <c r="B3052" s="149" t="str">
        <f>IFERROR(VLOOKUP(Proc[[#This Row],[App]],Table2[],3,0),"open")</f>
        <v>ok</v>
      </c>
      <c r="C3052" s="124" t="s">
        <v>369</v>
      </c>
      <c r="D3052" t="s">
        <v>5072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4895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58</v>
      </c>
      <c r="R3052" s="115" t="s">
        <v>1013</v>
      </c>
      <c r="S3052" s="125"/>
    </row>
    <row r="3053" spans="1:19" hidden="1">
      <c r="A3053" s="124" t="s">
        <v>5259</v>
      </c>
      <c r="B3053" s="149" t="str">
        <f>IFERROR(VLOOKUP(Proc[[#This Row],[App]],Table2[],3,0),"open")</f>
        <v>ok</v>
      </c>
      <c r="C3053" s="124" t="s">
        <v>369</v>
      </c>
      <c r="D3053" t="s">
        <v>5073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4895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58</v>
      </c>
      <c r="R3053" s="115" t="s">
        <v>1013</v>
      </c>
      <c r="S3053" s="125"/>
    </row>
    <row r="3054" spans="1:19" hidden="1">
      <c r="A3054" s="124" t="s">
        <v>5259</v>
      </c>
      <c r="B3054" s="149" t="str">
        <f>IFERROR(VLOOKUP(Proc[[#This Row],[App]],Table2[],3,0),"open")</f>
        <v>ok</v>
      </c>
      <c r="C3054" s="124" t="s">
        <v>369</v>
      </c>
      <c r="D3054" t="s">
        <v>5074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4895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58</v>
      </c>
      <c r="R3054" s="115" t="s">
        <v>1013</v>
      </c>
      <c r="S3054" s="125"/>
    </row>
    <row r="3055" spans="1:19" hidden="1">
      <c r="A3055" s="124" t="s">
        <v>5259</v>
      </c>
      <c r="B3055" s="149" t="str">
        <f>IFERROR(VLOOKUP(Proc[[#This Row],[App]],Table2[],3,0),"open")</f>
        <v>ok</v>
      </c>
      <c r="C3055" s="124" t="s">
        <v>369</v>
      </c>
      <c r="D3055" t="s">
        <v>5075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4895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58</v>
      </c>
      <c r="R3055" s="115" t="s">
        <v>1013</v>
      </c>
      <c r="S3055" s="125"/>
    </row>
    <row r="3056" spans="1:19" hidden="1">
      <c r="A3056" s="124" t="s">
        <v>5259</v>
      </c>
      <c r="B3056" s="149" t="str">
        <f>IFERROR(VLOOKUP(Proc[[#This Row],[App]],Table2[],3,0),"open")</f>
        <v>ok</v>
      </c>
      <c r="C3056" s="124" t="s">
        <v>369</v>
      </c>
      <c r="D3056" t="s">
        <v>5076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4895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58</v>
      </c>
      <c r="R3056" s="115" t="s">
        <v>1013</v>
      </c>
      <c r="S3056" s="125"/>
    </row>
    <row r="3057" spans="1:19" hidden="1">
      <c r="A3057" s="124" t="s">
        <v>5259</v>
      </c>
      <c r="B3057" s="149" t="str">
        <f>IFERROR(VLOOKUP(Proc[[#This Row],[App]],Table2[],3,0),"open")</f>
        <v>ok</v>
      </c>
      <c r="C3057" s="124" t="s">
        <v>369</v>
      </c>
      <c r="D3057" t="s">
        <v>5077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4895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58</v>
      </c>
      <c r="R3057" s="115" t="s">
        <v>1013</v>
      </c>
      <c r="S3057" s="125"/>
    </row>
    <row r="3058" spans="1:19" hidden="1">
      <c r="A3058" s="124" t="s">
        <v>5259</v>
      </c>
      <c r="B3058" s="149" t="str">
        <f>IFERROR(VLOOKUP(Proc[[#This Row],[App]],Table2[],3,0),"open")</f>
        <v>ok</v>
      </c>
      <c r="C3058" s="124" t="s">
        <v>369</v>
      </c>
      <c r="D3058" t="s">
        <v>5078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4895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58</v>
      </c>
      <c r="R3058" s="115" t="s">
        <v>1013</v>
      </c>
      <c r="S3058" s="125"/>
    </row>
    <row r="3059" spans="1:19" hidden="1">
      <c r="A3059" s="124" t="s">
        <v>5259</v>
      </c>
      <c r="B3059" s="149" t="str">
        <f>IFERROR(VLOOKUP(Proc[[#This Row],[App]],Table2[],3,0),"open")</f>
        <v>ok</v>
      </c>
      <c r="C3059" s="124" t="s">
        <v>369</v>
      </c>
      <c r="D3059" t="s">
        <v>5079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4895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58</v>
      </c>
      <c r="R3059" s="115" t="s">
        <v>1013</v>
      </c>
      <c r="S3059" s="125"/>
    </row>
    <row r="3060" spans="1:19" hidden="1">
      <c r="A3060" s="124" t="s">
        <v>5259</v>
      </c>
      <c r="B3060" s="149" t="str">
        <f>IFERROR(VLOOKUP(Proc[[#This Row],[App]],Table2[],3,0),"open")</f>
        <v>ok</v>
      </c>
      <c r="C3060" s="124" t="s">
        <v>369</v>
      </c>
      <c r="D3060" t="s">
        <v>5080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4895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58</v>
      </c>
      <c r="R3060" s="115" t="s">
        <v>1013</v>
      </c>
      <c r="S3060" s="125"/>
    </row>
    <row r="3061" spans="1:19" hidden="1">
      <c r="A3061" s="124" t="s">
        <v>5259</v>
      </c>
      <c r="B3061" s="149" t="str">
        <f>IFERROR(VLOOKUP(Proc[[#This Row],[App]],Table2[],3,0),"open")</f>
        <v>ok</v>
      </c>
      <c r="C3061" s="124" t="s">
        <v>369</v>
      </c>
      <c r="D3061" t="s">
        <v>5081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4895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58</v>
      </c>
      <c r="R3061" s="115" t="s">
        <v>1013</v>
      </c>
      <c r="S3061" s="125"/>
    </row>
    <row r="3062" spans="1:19" hidden="1">
      <c r="A3062" s="124" t="s">
        <v>5259</v>
      </c>
      <c r="B3062" s="149" t="str">
        <f>IFERROR(VLOOKUP(Proc[[#This Row],[App]],Table2[],3,0),"open")</f>
        <v>ok</v>
      </c>
      <c r="C3062" s="124" t="s">
        <v>369</v>
      </c>
      <c r="D3062" t="s">
        <v>5082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4895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58</v>
      </c>
      <c r="R3062" s="115" t="s">
        <v>1013</v>
      </c>
      <c r="S3062" s="125"/>
    </row>
    <row r="3063" spans="1:19" hidden="1">
      <c r="A3063" s="124" t="s">
        <v>5259</v>
      </c>
      <c r="B3063" s="149" t="str">
        <f>IFERROR(VLOOKUP(Proc[[#This Row],[App]],Table2[],3,0),"open")</f>
        <v>ok</v>
      </c>
      <c r="C3063" s="124" t="s">
        <v>369</v>
      </c>
      <c r="D3063" t="s">
        <v>5083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4895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58</v>
      </c>
      <c r="R3063" s="115" t="s">
        <v>1013</v>
      </c>
      <c r="S3063" s="125"/>
    </row>
    <row r="3064" spans="1:19" hidden="1">
      <c r="A3064" s="124" t="s">
        <v>5259</v>
      </c>
      <c r="B3064" s="149" t="str">
        <f>IFERROR(VLOOKUP(Proc[[#This Row],[App]],Table2[],3,0),"open")</f>
        <v>ok</v>
      </c>
      <c r="C3064" s="124" t="s">
        <v>369</v>
      </c>
      <c r="D3064" t="s">
        <v>5084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4895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58</v>
      </c>
      <c r="R3064" s="115" t="s">
        <v>1013</v>
      </c>
      <c r="S3064" s="125"/>
    </row>
    <row r="3065" spans="1:19" hidden="1">
      <c r="A3065" s="124" t="s">
        <v>5259</v>
      </c>
      <c r="B3065" s="149" t="str">
        <f>IFERROR(VLOOKUP(Proc[[#This Row],[App]],Table2[],3,0),"open")</f>
        <v>ok</v>
      </c>
      <c r="C3065" s="124" t="s">
        <v>369</v>
      </c>
      <c r="D3065" t="s">
        <v>5085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4895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58</v>
      </c>
      <c r="R3065" s="115" t="s">
        <v>1013</v>
      </c>
      <c r="S3065" s="125"/>
    </row>
    <row r="3066" spans="1:19" hidden="1">
      <c r="A3066" s="124" t="s">
        <v>5259</v>
      </c>
      <c r="B3066" s="149" t="str">
        <f>IFERROR(VLOOKUP(Proc[[#This Row],[App]],Table2[],3,0),"open")</f>
        <v>ok</v>
      </c>
      <c r="C3066" s="124" t="s">
        <v>369</v>
      </c>
      <c r="D3066" t="s">
        <v>5086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4895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58</v>
      </c>
      <c r="R3066" s="115" t="s">
        <v>1013</v>
      </c>
      <c r="S3066" s="125"/>
    </row>
    <row r="3067" spans="1:19" hidden="1">
      <c r="A3067" s="124" t="s">
        <v>5259</v>
      </c>
      <c r="B3067" s="149" t="str">
        <f>IFERROR(VLOOKUP(Proc[[#This Row],[App]],Table2[],3,0),"open")</f>
        <v>ok</v>
      </c>
      <c r="C3067" s="124" t="s">
        <v>369</v>
      </c>
      <c r="D3067" t="s">
        <v>5087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4895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58</v>
      </c>
      <c r="R3067" s="115" t="s">
        <v>1013</v>
      </c>
      <c r="S3067" s="125"/>
    </row>
    <row r="3068" spans="1:19" hidden="1">
      <c r="A3068" s="124" t="s">
        <v>5259</v>
      </c>
      <c r="B3068" s="149" t="str">
        <f>IFERROR(VLOOKUP(Proc[[#This Row],[App]],Table2[],3,0),"open")</f>
        <v>ok</v>
      </c>
      <c r="C3068" s="124" t="s">
        <v>369</v>
      </c>
      <c r="D3068" t="s">
        <v>5088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4895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58</v>
      </c>
      <c r="R3068" s="115" t="s">
        <v>1013</v>
      </c>
      <c r="S3068" s="125"/>
    </row>
    <row r="3069" spans="1:19" hidden="1">
      <c r="A3069" s="124" t="s">
        <v>5259</v>
      </c>
      <c r="B3069" s="149" t="str">
        <f>IFERROR(VLOOKUP(Proc[[#This Row],[App]],Table2[],3,0),"open")</f>
        <v>ok</v>
      </c>
      <c r="C3069" s="124" t="s">
        <v>369</v>
      </c>
      <c r="D3069" t="s">
        <v>5089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4895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58</v>
      </c>
      <c r="R3069" s="115" t="s">
        <v>1013</v>
      </c>
      <c r="S3069" s="125"/>
    </row>
    <row r="3070" spans="1:19" hidden="1">
      <c r="A3070" s="124" t="s">
        <v>5259</v>
      </c>
      <c r="B3070" s="149" t="str">
        <f>IFERROR(VLOOKUP(Proc[[#This Row],[App]],Table2[],3,0),"open")</f>
        <v>ok</v>
      </c>
      <c r="C3070" s="124" t="s">
        <v>369</v>
      </c>
      <c r="D3070" t="s">
        <v>5090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4895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58</v>
      </c>
      <c r="R3070" s="115" t="s">
        <v>1013</v>
      </c>
      <c r="S3070" s="125"/>
    </row>
    <row r="3071" spans="1:19" hidden="1">
      <c r="A3071" s="124" t="s">
        <v>5259</v>
      </c>
      <c r="B3071" s="149" t="str">
        <f>IFERROR(VLOOKUP(Proc[[#This Row],[App]],Table2[],3,0),"open")</f>
        <v>ok</v>
      </c>
      <c r="C3071" s="124" t="s">
        <v>369</v>
      </c>
      <c r="D3071" t="s">
        <v>5091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4895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58</v>
      </c>
      <c r="R3071" s="115" t="s">
        <v>1013</v>
      </c>
      <c r="S3071" s="125"/>
    </row>
    <row r="3072" spans="1:19" hidden="1">
      <c r="A3072" s="124" t="s">
        <v>5259</v>
      </c>
      <c r="B3072" s="149" t="str">
        <f>IFERROR(VLOOKUP(Proc[[#This Row],[App]],Table2[],3,0),"open")</f>
        <v>ok</v>
      </c>
      <c r="C3072" s="124" t="s">
        <v>369</v>
      </c>
      <c r="D3072" t="s">
        <v>5092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4895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58</v>
      </c>
      <c r="R3072" s="115" t="s">
        <v>1013</v>
      </c>
      <c r="S3072" s="125"/>
    </row>
    <row r="3073" spans="1:19" hidden="1">
      <c r="A3073" s="124" t="s">
        <v>5259</v>
      </c>
      <c r="B3073" s="149" t="str">
        <f>IFERROR(VLOOKUP(Proc[[#This Row],[App]],Table2[],3,0),"open")</f>
        <v>ok</v>
      </c>
      <c r="C3073" s="124" t="s">
        <v>369</v>
      </c>
      <c r="D3073" t="s">
        <v>5093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4895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58</v>
      </c>
      <c r="R3073" s="115" t="s">
        <v>1013</v>
      </c>
      <c r="S3073" s="125"/>
    </row>
    <row r="3074" spans="1:19" hidden="1">
      <c r="A3074" s="124" t="s">
        <v>5259</v>
      </c>
      <c r="B3074" s="149" t="str">
        <f>IFERROR(VLOOKUP(Proc[[#This Row],[App]],Table2[],3,0),"open")</f>
        <v>ok</v>
      </c>
      <c r="C3074" s="124" t="s">
        <v>369</v>
      </c>
      <c r="D3074" t="s">
        <v>5094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4895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58</v>
      </c>
      <c r="R3074" s="115" t="s">
        <v>1013</v>
      </c>
      <c r="S3074" s="125"/>
    </row>
    <row r="3075" spans="1:19" hidden="1">
      <c r="A3075" s="124" t="s">
        <v>5259</v>
      </c>
      <c r="B3075" s="149" t="str">
        <f>IFERROR(VLOOKUP(Proc[[#This Row],[App]],Table2[],3,0),"open")</f>
        <v>ok</v>
      </c>
      <c r="C3075" s="124" t="s">
        <v>369</v>
      </c>
      <c r="D3075" t="s">
        <v>5095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4895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58</v>
      </c>
      <c r="R3075" s="115" t="s">
        <v>1013</v>
      </c>
      <c r="S3075" s="125"/>
    </row>
    <row r="3076" spans="1:19" hidden="1">
      <c r="A3076" s="124" t="s">
        <v>5259</v>
      </c>
      <c r="B3076" s="149" t="str">
        <f>IFERROR(VLOOKUP(Proc[[#This Row],[App]],Table2[],3,0),"open")</f>
        <v>ok</v>
      </c>
      <c r="C3076" s="124" t="s">
        <v>369</v>
      </c>
      <c r="D3076" t="s">
        <v>5096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4895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58</v>
      </c>
      <c r="R3076" s="115" t="s">
        <v>1013</v>
      </c>
      <c r="S3076" s="125"/>
    </row>
    <row r="3077" spans="1:19" hidden="1">
      <c r="A3077" s="124" t="s">
        <v>5259</v>
      </c>
      <c r="B3077" s="149" t="str">
        <f>IFERROR(VLOOKUP(Proc[[#This Row],[App]],Table2[],3,0),"open")</f>
        <v>ok</v>
      </c>
      <c r="C3077" s="124" t="s">
        <v>369</v>
      </c>
      <c r="D3077" t="s">
        <v>5097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4895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58</v>
      </c>
      <c r="R3077" s="115" t="s">
        <v>1013</v>
      </c>
      <c r="S3077" s="125"/>
    </row>
    <row r="3078" spans="1:19" hidden="1">
      <c r="A3078" s="124" t="s">
        <v>5259</v>
      </c>
      <c r="B3078" s="149" t="str">
        <f>IFERROR(VLOOKUP(Proc[[#This Row],[App]],Table2[],3,0),"open")</f>
        <v>ok</v>
      </c>
      <c r="C3078" s="124" t="s">
        <v>369</v>
      </c>
      <c r="D3078" t="s">
        <v>5098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4895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58</v>
      </c>
      <c r="R3078" s="115" t="s">
        <v>1013</v>
      </c>
      <c r="S3078" s="125"/>
    </row>
    <row r="3079" spans="1:19" hidden="1">
      <c r="A3079" s="124" t="s">
        <v>5259</v>
      </c>
      <c r="B3079" s="149" t="str">
        <f>IFERROR(VLOOKUP(Proc[[#This Row],[App]],Table2[],3,0),"open")</f>
        <v>ok</v>
      </c>
      <c r="C3079" s="124" t="s">
        <v>369</v>
      </c>
      <c r="D3079" t="s">
        <v>5099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4895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58</v>
      </c>
      <c r="R3079" s="115" t="s">
        <v>1013</v>
      </c>
      <c r="S3079" s="125"/>
    </row>
    <row r="3080" spans="1:19" hidden="1">
      <c r="A3080" s="124" t="s">
        <v>5259</v>
      </c>
      <c r="B3080" s="149" t="str">
        <f>IFERROR(VLOOKUP(Proc[[#This Row],[App]],Table2[],3,0),"open")</f>
        <v>ok</v>
      </c>
      <c r="C3080" s="124" t="s">
        <v>369</v>
      </c>
      <c r="D3080" t="s">
        <v>5100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4895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58</v>
      </c>
      <c r="R3080" s="115" t="s">
        <v>1013</v>
      </c>
      <c r="S3080" s="125"/>
    </row>
    <row r="3081" spans="1:19" hidden="1">
      <c r="A3081" s="124" t="s">
        <v>5259</v>
      </c>
      <c r="B3081" s="149" t="str">
        <f>IFERROR(VLOOKUP(Proc[[#This Row],[App]],Table2[],3,0),"open")</f>
        <v>ok</v>
      </c>
      <c r="C3081" s="124" t="s">
        <v>369</v>
      </c>
      <c r="D3081" t="s">
        <v>5101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4895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58</v>
      </c>
      <c r="R3081" s="115" t="s">
        <v>1013</v>
      </c>
      <c r="S3081" s="125"/>
    </row>
    <row r="3082" spans="1:19" hidden="1">
      <c r="A3082" s="124" t="s">
        <v>5259</v>
      </c>
      <c r="B3082" s="149" t="str">
        <f>IFERROR(VLOOKUP(Proc[[#This Row],[App]],Table2[],3,0),"open")</f>
        <v>ok</v>
      </c>
      <c r="C3082" s="124" t="s">
        <v>369</v>
      </c>
      <c r="D3082" t="s">
        <v>5102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4895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58</v>
      </c>
      <c r="R3082" s="115" t="s">
        <v>1013</v>
      </c>
      <c r="S3082" s="125"/>
    </row>
    <row r="3083" spans="1:19" hidden="1">
      <c r="A3083" s="124" t="s">
        <v>5259</v>
      </c>
      <c r="B3083" s="149" t="str">
        <f>IFERROR(VLOOKUP(Proc[[#This Row],[App]],Table2[],3,0),"open")</f>
        <v>ok</v>
      </c>
      <c r="C3083" s="124" t="s">
        <v>369</v>
      </c>
      <c r="D3083" t="s">
        <v>5103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4895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58</v>
      </c>
      <c r="R3083" s="115" t="s">
        <v>1013</v>
      </c>
      <c r="S3083" s="125"/>
    </row>
    <row r="3084" spans="1:19" hidden="1">
      <c r="A3084" s="124" t="s">
        <v>5259</v>
      </c>
      <c r="B3084" s="149" t="str">
        <f>IFERROR(VLOOKUP(Proc[[#This Row],[App]],Table2[],3,0),"open")</f>
        <v>ok</v>
      </c>
      <c r="C3084" s="124" t="s">
        <v>369</v>
      </c>
      <c r="D3084" t="s">
        <v>5104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4895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58</v>
      </c>
      <c r="R3084" s="115" t="s">
        <v>1013</v>
      </c>
      <c r="S3084" s="125"/>
    </row>
    <row r="3085" spans="1:19" hidden="1">
      <c r="A3085" s="124" t="s">
        <v>5259</v>
      </c>
      <c r="B3085" s="149" t="str">
        <f>IFERROR(VLOOKUP(Proc[[#This Row],[App]],Table2[],3,0),"open")</f>
        <v>ok</v>
      </c>
      <c r="C3085" s="124" t="s">
        <v>369</v>
      </c>
      <c r="D3085" t="s">
        <v>5105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4895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58</v>
      </c>
      <c r="R3085" s="115" t="s">
        <v>1013</v>
      </c>
      <c r="S3085" s="125"/>
    </row>
    <row r="3086" spans="1:19" hidden="1">
      <c r="A3086" s="124" t="s">
        <v>5259</v>
      </c>
      <c r="B3086" s="149" t="str">
        <f>IFERROR(VLOOKUP(Proc[[#This Row],[App]],Table2[],3,0),"open")</f>
        <v>ok</v>
      </c>
      <c r="C3086" s="124" t="s">
        <v>369</v>
      </c>
      <c r="D3086" t="s">
        <v>5106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4895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58</v>
      </c>
      <c r="R3086" s="115" t="s">
        <v>1013</v>
      </c>
      <c r="S3086" s="125"/>
    </row>
    <row r="3087" spans="1:19" hidden="1">
      <c r="A3087" s="124" t="s">
        <v>5259</v>
      </c>
      <c r="B3087" s="149" t="str">
        <f>IFERROR(VLOOKUP(Proc[[#This Row],[App]],Table2[],3,0),"open")</f>
        <v>ok</v>
      </c>
      <c r="C3087" s="124" t="s">
        <v>369</v>
      </c>
      <c r="D3087" t="s">
        <v>5107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4895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58</v>
      </c>
      <c r="R3087" s="115" t="s">
        <v>1013</v>
      </c>
      <c r="S3087" s="125"/>
    </row>
    <row r="3088" spans="1:19" hidden="1">
      <c r="A3088" s="124" t="s">
        <v>5259</v>
      </c>
      <c r="B3088" s="149" t="str">
        <f>IFERROR(VLOOKUP(Proc[[#This Row],[App]],Table2[],3,0),"open")</f>
        <v>ok</v>
      </c>
      <c r="C3088" s="124" t="s">
        <v>369</v>
      </c>
      <c r="D3088" t="s">
        <v>5108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4895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58</v>
      </c>
      <c r="R3088" s="115" t="s">
        <v>1013</v>
      </c>
      <c r="S3088" s="125"/>
    </row>
    <row r="3089" spans="1:19" hidden="1">
      <c r="A3089" s="124" t="s">
        <v>5259</v>
      </c>
      <c r="B3089" s="149" t="str">
        <f>IFERROR(VLOOKUP(Proc[[#This Row],[App]],Table2[],3,0),"open")</f>
        <v>ok</v>
      </c>
      <c r="C3089" s="124" t="s">
        <v>369</v>
      </c>
      <c r="D3089" t="s">
        <v>5109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4895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58</v>
      </c>
      <c r="R3089" s="115" t="s">
        <v>1013</v>
      </c>
      <c r="S3089" s="125"/>
    </row>
    <row r="3090" spans="1:19" hidden="1">
      <c r="A3090" s="124" t="s">
        <v>5259</v>
      </c>
      <c r="B3090" s="149" t="str">
        <f>IFERROR(VLOOKUP(Proc[[#This Row],[App]],Table2[],3,0),"open")</f>
        <v>ok</v>
      </c>
      <c r="C3090" s="124" t="s">
        <v>369</v>
      </c>
      <c r="D3090" t="s">
        <v>5110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4895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58</v>
      </c>
      <c r="R3090" s="115" t="s">
        <v>1013</v>
      </c>
      <c r="S3090" s="125"/>
    </row>
    <row r="3091" spans="1:19" hidden="1">
      <c r="A3091" s="124" t="s">
        <v>5259</v>
      </c>
      <c r="B3091" s="149" t="str">
        <f>IFERROR(VLOOKUP(Proc[[#This Row],[App]],Table2[],3,0),"open")</f>
        <v>ok</v>
      </c>
      <c r="C3091" s="124" t="s">
        <v>369</v>
      </c>
      <c r="D3091" t="s">
        <v>5111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4895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58</v>
      </c>
      <c r="R3091" s="115" t="s">
        <v>1013</v>
      </c>
      <c r="S3091" s="125"/>
    </row>
    <row r="3092" spans="1:19" hidden="1">
      <c r="A3092" s="124" t="s">
        <v>5259</v>
      </c>
      <c r="B3092" s="149" t="str">
        <f>IFERROR(VLOOKUP(Proc[[#This Row],[App]],Table2[],3,0),"open")</f>
        <v>ok</v>
      </c>
      <c r="C3092" s="124" t="s">
        <v>369</v>
      </c>
      <c r="D3092" t="s">
        <v>5112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4895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58</v>
      </c>
      <c r="R3092" s="115" t="s">
        <v>1013</v>
      </c>
      <c r="S3092" s="125"/>
    </row>
    <row r="3093" spans="1:19" hidden="1">
      <c r="A3093" s="124" t="s">
        <v>5259</v>
      </c>
      <c r="B3093" s="149" t="str">
        <f>IFERROR(VLOOKUP(Proc[[#This Row],[App]],Table2[],3,0),"open")</f>
        <v>ok</v>
      </c>
      <c r="C3093" s="124" t="s">
        <v>369</v>
      </c>
      <c r="D3093" t="s">
        <v>5113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4895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58</v>
      </c>
      <c r="R3093" s="115" t="s">
        <v>1013</v>
      </c>
      <c r="S3093" s="125"/>
    </row>
    <row r="3094" spans="1:19" hidden="1">
      <c r="A3094" s="124" t="s">
        <v>5259</v>
      </c>
      <c r="B3094" s="149" t="str">
        <f>IFERROR(VLOOKUP(Proc[[#This Row],[App]],Table2[],3,0),"open")</f>
        <v>ok</v>
      </c>
      <c r="C3094" s="124" t="s">
        <v>369</v>
      </c>
      <c r="D3094" t="s">
        <v>5114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4895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58</v>
      </c>
      <c r="R3094" s="115" t="s">
        <v>1013</v>
      </c>
      <c r="S3094" s="125"/>
    </row>
    <row r="3095" spans="1:19" hidden="1">
      <c r="A3095" s="124" t="s">
        <v>5259</v>
      </c>
      <c r="B3095" s="149" t="str">
        <f>IFERROR(VLOOKUP(Proc[[#This Row],[App]],Table2[],3,0),"open")</f>
        <v>ok</v>
      </c>
      <c r="C3095" s="124" t="s">
        <v>369</v>
      </c>
      <c r="D3095" t="s">
        <v>5115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4895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58</v>
      </c>
      <c r="R3095" s="115" t="s">
        <v>1013</v>
      </c>
      <c r="S3095" s="125"/>
    </row>
    <row r="3096" spans="1:19" hidden="1">
      <c r="A3096" s="124" t="s">
        <v>5259</v>
      </c>
      <c r="B3096" s="149" t="str">
        <f>IFERROR(VLOOKUP(Proc[[#This Row],[App]],Table2[],3,0),"open")</f>
        <v>ok</v>
      </c>
      <c r="C3096" s="124" t="s">
        <v>369</v>
      </c>
      <c r="D3096" t="s">
        <v>5116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4895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58</v>
      </c>
      <c r="R3096" s="115" t="s">
        <v>1013</v>
      </c>
      <c r="S3096" s="125"/>
    </row>
    <row r="3097" spans="1:19" hidden="1">
      <c r="A3097" s="124" t="s">
        <v>5259</v>
      </c>
      <c r="B3097" s="149" t="str">
        <f>IFERROR(VLOOKUP(Proc[[#This Row],[App]],Table2[],3,0),"open")</f>
        <v>ok</v>
      </c>
      <c r="C3097" s="124" t="s">
        <v>369</v>
      </c>
      <c r="D3097" t="s">
        <v>5117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4895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58</v>
      </c>
      <c r="R3097" s="115" t="s">
        <v>1013</v>
      </c>
      <c r="S3097" s="125"/>
    </row>
    <row r="3098" spans="1:19" hidden="1">
      <c r="A3098" s="124" t="s">
        <v>5259</v>
      </c>
      <c r="B3098" s="149" t="str">
        <f>IFERROR(VLOOKUP(Proc[[#This Row],[App]],Table2[],3,0),"open")</f>
        <v>ok</v>
      </c>
      <c r="C3098" s="124" t="s">
        <v>369</v>
      </c>
      <c r="D3098" t="s">
        <v>5118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4895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58</v>
      </c>
      <c r="R3098" s="115" t="s">
        <v>1013</v>
      </c>
      <c r="S3098" s="125"/>
    </row>
    <row r="3099" spans="1:19" hidden="1">
      <c r="A3099" s="124" t="s">
        <v>5259</v>
      </c>
      <c r="B3099" s="149" t="str">
        <f>IFERROR(VLOOKUP(Proc[[#This Row],[App]],Table2[],3,0),"open")</f>
        <v>ok</v>
      </c>
      <c r="C3099" s="124" t="s">
        <v>369</v>
      </c>
      <c r="D3099" t="s">
        <v>5119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4895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58</v>
      </c>
      <c r="R3099" s="115" t="s">
        <v>1013</v>
      </c>
      <c r="S3099" s="125"/>
    </row>
    <row r="3100" spans="1:19" hidden="1">
      <c r="A3100" s="124" t="s">
        <v>5259</v>
      </c>
      <c r="B3100" s="149" t="str">
        <f>IFERROR(VLOOKUP(Proc[[#This Row],[App]],Table2[],3,0),"open")</f>
        <v>ok</v>
      </c>
      <c r="C3100" s="124" t="s">
        <v>369</v>
      </c>
      <c r="D3100" t="s">
        <v>5120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4895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58</v>
      </c>
      <c r="R3100" s="115" t="s">
        <v>1013</v>
      </c>
      <c r="S3100" s="125"/>
    </row>
    <row r="3101" spans="1:19" hidden="1">
      <c r="A3101" s="124" t="s">
        <v>5259</v>
      </c>
      <c r="B3101" s="149" t="str">
        <f>IFERROR(VLOOKUP(Proc[[#This Row],[App]],Table2[],3,0),"open")</f>
        <v>ok</v>
      </c>
      <c r="C3101" s="124" t="s">
        <v>369</v>
      </c>
      <c r="D3101" t="s">
        <v>5121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4895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58</v>
      </c>
      <c r="R3101" s="115" t="s">
        <v>1013</v>
      </c>
      <c r="S3101" s="125"/>
    </row>
    <row r="3102" spans="1:19" hidden="1">
      <c r="A3102" s="124" t="s">
        <v>5259</v>
      </c>
      <c r="B3102" s="149" t="str">
        <f>IFERROR(VLOOKUP(Proc[[#This Row],[App]],Table2[],3,0),"open")</f>
        <v>ok</v>
      </c>
      <c r="C3102" s="124" t="s">
        <v>369</v>
      </c>
      <c r="D3102" t="s">
        <v>5122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4895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58</v>
      </c>
      <c r="R3102" s="115" t="s">
        <v>1013</v>
      </c>
      <c r="S3102" s="125"/>
    </row>
    <row r="3103" spans="1:19" hidden="1">
      <c r="A3103" s="124" t="s">
        <v>5259</v>
      </c>
      <c r="B3103" s="149" t="str">
        <f>IFERROR(VLOOKUP(Proc[[#This Row],[App]],Table2[],3,0),"open")</f>
        <v>ok</v>
      </c>
      <c r="C3103" s="124" t="s">
        <v>369</v>
      </c>
      <c r="D3103" t="s">
        <v>5123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4895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58</v>
      </c>
      <c r="R3103" s="115" t="s">
        <v>1013</v>
      </c>
      <c r="S3103" s="125"/>
    </row>
    <row r="3104" spans="1:19" hidden="1">
      <c r="A3104" s="124" t="s">
        <v>5259</v>
      </c>
      <c r="B3104" s="149" t="str">
        <f>IFERROR(VLOOKUP(Proc[[#This Row],[App]],Table2[],3,0),"open")</f>
        <v>ok</v>
      </c>
      <c r="C3104" s="124" t="s">
        <v>369</v>
      </c>
      <c r="D3104" t="s">
        <v>5124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4895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58</v>
      </c>
      <c r="R3104" s="115" t="s">
        <v>1013</v>
      </c>
      <c r="S3104" s="125"/>
    </row>
    <row r="3105" spans="1:19" hidden="1">
      <c r="A3105" s="124" t="s">
        <v>5259</v>
      </c>
      <c r="B3105" s="149" t="str">
        <f>IFERROR(VLOOKUP(Proc[[#This Row],[App]],Table2[],3,0),"open")</f>
        <v>ok</v>
      </c>
      <c r="C3105" s="124" t="s">
        <v>369</v>
      </c>
      <c r="D3105" t="s">
        <v>5125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4895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58</v>
      </c>
      <c r="R3105" s="115" t="s">
        <v>1013</v>
      </c>
      <c r="S3105" s="125"/>
    </row>
    <row r="3106" spans="1:19" hidden="1">
      <c r="A3106" s="124" t="s">
        <v>5259</v>
      </c>
      <c r="B3106" s="149" t="str">
        <f>IFERROR(VLOOKUP(Proc[[#This Row],[App]],Table2[],3,0),"open")</f>
        <v>ok</v>
      </c>
      <c r="C3106" s="124" t="s">
        <v>369</v>
      </c>
      <c r="D3106" t="s">
        <v>5126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4895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58</v>
      </c>
      <c r="R3106" s="115" t="s">
        <v>1013</v>
      </c>
      <c r="S3106" s="125"/>
    </row>
    <row r="3107" spans="1:19" hidden="1">
      <c r="A3107" s="124" t="s">
        <v>5259</v>
      </c>
      <c r="B3107" s="149" t="str">
        <f>IFERROR(VLOOKUP(Proc[[#This Row],[App]],Table2[],3,0),"open")</f>
        <v>ok</v>
      </c>
      <c r="C3107" s="124" t="s">
        <v>369</v>
      </c>
      <c r="D3107" t="s">
        <v>5127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4895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58</v>
      </c>
      <c r="R3107" s="115" t="s">
        <v>1013</v>
      </c>
      <c r="S3107" s="125"/>
    </row>
    <row r="3108" spans="1:19" hidden="1">
      <c r="A3108" s="124" t="s">
        <v>5259</v>
      </c>
      <c r="B3108" s="149" t="str">
        <f>IFERROR(VLOOKUP(Proc[[#This Row],[App]],Table2[],3,0),"open")</f>
        <v>ok</v>
      </c>
      <c r="C3108" s="124" t="s">
        <v>369</v>
      </c>
      <c r="D3108" t="s">
        <v>5128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4895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58</v>
      </c>
      <c r="R3108" s="115" t="s">
        <v>1013</v>
      </c>
      <c r="S3108" s="125"/>
    </row>
    <row r="3109" spans="1:19" hidden="1">
      <c r="A3109" s="124" t="s">
        <v>5259</v>
      </c>
      <c r="B3109" s="149" t="str">
        <f>IFERROR(VLOOKUP(Proc[[#This Row],[App]],Table2[],3,0),"open")</f>
        <v>ok</v>
      </c>
      <c r="C3109" s="124" t="s">
        <v>369</v>
      </c>
      <c r="D3109" t="s">
        <v>5129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4895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58</v>
      </c>
      <c r="R3109" s="115" t="s">
        <v>1013</v>
      </c>
      <c r="S3109" s="125"/>
    </row>
    <row r="3110" spans="1:19" hidden="1">
      <c r="A3110" s="124" t="s">
        <v>5259</v>
      </c>
      <c r="B3110" s="149" t="str">
        <f>IFERROR(VLOOKUP(Proc[[#This Row],[App]],Table2[],3,0),"open")</f>
        <v>ok</v>
      </c>
      <c r="C3110" s="124" t="s">
        <v>369</v>
      </c>
      <c r="D3110" t="s">
        <v>5130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4895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58</v>
      </c>
      <c r="R3110" s="115" t="s">
        <v>1013</v>
      </c>
      <c r="S3110" s="125"/>
    </row>
    <row r="3111" spans="1:19" hidden="1">
      <c r="A3111" s="124" t="s">
        <v>5259</v>
      </c>
      <c r="B3111" s="149" t="str">
        <f>IFERROR(VLOOKUP(Proc[[#This Row],[App]],Table2[],3,0),"open")</f>
        <v>ok</v>
      </c>
      <c r="C3111" s="124" t="s">
        <v>369</v>
      </c>
      <c r="D3111" t="s">
        <v>5131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4895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58</v>
      </c>
      <c r="R3111" s="115" t="s">
        <v>1013</v>
      </c>
      <c r="S3111" s="125"/>
    </row>
    <row r="3112" spans="1:19" hidden="1">
      <c r="A3112" s="124" t="s">
        <v>5259</v>
      </c>
      <c r="B3112" s="149" t="str">
        <f>IFERROR(VLOOKUP(Proc[[#This Row],[App]],Table2[],3,0),"open")</f>
        <v>ok</v>
      </c>
      <c r="C3112" s="124" t="s">
        <v>369</v>
      </c>
      <c r="D3112" t="s">
        <v>5132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4895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58</v>
      </c>
      <c r="R3112" s="115" t="s">
        <v>1013</v>
      </c>
      <c r="S3112" s="125"/>
    </row>
    <row r="3113" spans="1:19" hidden="1">
      <c r="A3113" s="124" t="s">
        <v>5259</v>
      </c>
      <c r="B3113" s="149" t="str">
        <f>IFERROR(VLOOKUP(Proc[[#This Row],[App]],Table2[],3,0),"open")</f>
        <v>ok</v>
      </c>
      <c r="C3113" s="124" t="s">
        <v>369</v>
      </c>
      <c r="D3113" t="s">
        <v>5133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4895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58</v>
      </c>
      <c r="R3113" s="115" t="s">
        <v>1013</v>
      </c>
      <c r="S3113" s="125"/>
    </row>
    <row r="3114" spans="1:19" hidden="1">
      <c r="A3114" s="124" t="s">
        <v>5259</v>
      </c>
      <c r="B3114" s="149" t="str">
        <f>IFERROR(VLOOKUP(Proc[[#This Row],[App]],Table2[],3,0),"open")</f>
        <v>ok</v>
      </c>
      <c r="C3114" s="124" t="s">
        <v>369</v>
      </c>
      <c r="D3114" t="s">
        <v>5134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4895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58</v>
      </c>
      <c r="R3114" s="115" t="s">
        <v>1013</v>
      </c>
      <c r="S3114" s="125"/>
    </row>
    <row r="3115" spans="1:19" hidden="1">
      <c r="A3115" s="124" t="s">
        <v>5259</v>
      </c>
      <c r="B3115" s="149" t="str">
        <f>IFERROR(VLOOKUP(Proc[[#This Row],[App]],Table2[],3,0),"open")</f>
        <v>ok</v>
      </c>
      <c r="C3115" s="124" t="s">
        <v>369</v>
      </c>
      <c r="D3115" t="s">
        <v>5135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4895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58</v>
      </c>
      <c r="R3115" s="115" t="s">
        <v>1013</v>
      </c>
      <c r="S3115" s="125"/>
    </row>
    <row r="3116" spans="1:19" hidden="1">
      <c r="A3116" s="124" t="s">
        <v>5259</v>
      </c>
      <c r="B3116" s="149" t="str">
        <f>IFERROR(VLOOKUP(Proc[[#This Row],[App]],Table2[],3,0),"open")</f>
        <v>ok</v>
      </c>
      <c r="C3116" s="124" t="s">
        <v>369</v>
      </c>
      <c r="D3116" t="s">
        <v>5136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4895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58</v>
      </c>
      <c r="R3116" s="115" t="s">
        <v>1013</v>
      </c>
      <c r="S3116" s="125"/>
    </row>
    <row r="3117" spans="1:19" hidden="1">
      <c r="A3117" s="124" t="s">
        <v>5259</v>
      </c>
      <c r="B3117" s="149" t="str">
        <f>IFERROR(VLOOKUP(Proc[[#This Row],[App]],Table2[],3,0),"open")</f>
        <v>ok</v>
      </c>
      <c r="C3117" s="124" t="s">
        <v>369</v>
      </c>
      <c r="D3117" t="s">
        <v>5137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4895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58</v>
      </c>
      <c r="R3117" s="115" t="s">
        <v>1013</v>
      </c>
      <c r="S3117" s="125"/>
    </row>
    <row r="3118" spans="1:19" hidden="1">
      <c r="A3118" s="124" t="s">
        <v>5259</v>
      </c>
      <c r="B3118" s="149" t="str">
        <f>IFERROR(VLOOKUP(Proc[[#This Row],[App]],Table2[],3,0),"open")</f>
        <v>ok</v>
      </c>
      <c r="C3118" s="124" t="s">
        <v>369</v>
      </c>
      <c r="D3118" t="s">
        <v>5138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4895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58</v>
      </c>
      <c r="R3118" s="115" t="s">
        <v>1013</v>
      </c>
      <c r="S3118" s="125"/>
    </row>
    <row r="3119" spans="1:19" hidden="1">
      <c r="A3119" s="124" t="s">
        <v>5259</v>
      </c>
      <c r="B3119" s="149" t="str">
        <f>IFERROR(VLOOKUP(Proc[[#This Row],[App]],Table2[],3,0),"open")</f>
        <v>ok</v>
      </c>
      <c r="C3119" s="124" t="s">
        <v>369</v>
      </c>
      <c r="D3119" t="s">
        <v>5139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4895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58</v>
      </c>
      <c r="R3119" s="115" t="s">
        <v>1013</v>
      </c>
      <c r="S3119" s="125"/>
    </row>
    <row r="3120" spans="1:19" hidden="1">
      <c r="A3120" s="124" t="s">
        <v>5259</v>
      </c>
      <c r="B3120" s="149" t="str">
        <f>IFERROR(VLOOKUP(Proc[[#This Row],[App]],Table2[],3,0),"open")</f>
        <v>ok</v>
      </c>
      <c r="C3120" s="124" t="s">
        <v>369</v>
      </c>
      <c r="D3120" t="s">
        <v>5140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4895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58</v>
      </c>
      <c r="R3120" s="115" t="s">
        <v>1013</v>
      </c>
      <c r="S3120" s="125"/>
    </row>
    <row r="3121" spans="1:19" hidden="1">
      <c r="A3121" s="124" t="s">
        <v>5259</v>
      </c>
      <c r="B3121" s="149" t="str">
        <f>IFERROR(VLOOKUP(Proc[[#This Row],[App]],Table2[],3,0),"open")</f>
        <v>ok</v>
      </c>
      <c r="C3121" s="124" t="s">
        <v>369</v>
      </c>
      <c r="D3121" t="s">
        <v>5141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4895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58</v>
      </c>
      <c r="R3121" s="115" t="s">
        <v>1013</v>
      </c>
      <c r="S3121" s="125"/>
    </row>
    <row r="3122" spans="1:19" hidden="1">
      <c r="A3122" s="124" t="s">
        <v>5259</v>
      </c>
      <c r="B3122" s="149" t="str">
        <f>IFERROR(VLOOKUP(Proc[[#This Row],[App]],Table2[],3,0),"open")</f>
        <v>ok</v>
      </c>
      <c r="C3122" s="124" t="s">
        <v>369</v>
      </c>
      <c r="D3122" t="s">
        <v>5142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4895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58</v>
      </c>
      <c r="R3122" s="115" t="s">
        <v>1013</v>
      </c>
      <c r="S3122" s="125"/>
    </row>
    <row r="3123" spans="1:19" hidden="1">
      <c r="A3123" s="124" t="s">
        <v>5259</v>
      </c>
      <c r="B3123" s="149" t="str">
        <f>IFERROR(VLOOKUP(Proc[[#This Row],[App]],Table2[],3,0),"open")</f>
        <v>ok</v>
      </c>
      <c r="C3123" s="124" t="s">
        <v>369</v>
      </c>
      <c r="D3123" t="s">
        <v>5143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4895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58</v>
      </c>
      <c r="R3123" s="115" t="s">
        <v>1013</v>
      </c>
      <c r="S3123" s="125"/>
    </row>
    <row r="3124" spans="1:19" hidden="1">
      <c r="A3124" s="124" t="s">
        <v>5259</v>
      </c>
      <c r="B3124" s="149" t="str">
        <f>IFERROR(VLOOKUP(Proc[[#This Row],[App]],Table2[],3,0),"open")</f>
        <v>ok</v>
      </c>
      <c r="C3124" s="124" t="s">
        <v>369</v>
      </c>
      <c r="D3124" t="s">
        <v>5144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4895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58</v>
      </c>
      <c r="R3124" s="115" t="s">
        <v>1013</v>
      </c>
      <c r="S3124" s="125"/>
    </row>
    <row r="3125" spans="1:19" hidden="1">
      <c r="A3125" s="124" t="s">
        <v>5259</v>
      </c>
      <c r="B3125" s="149" t="str">
        <f>IFERROR(VLOOKUP(Proc[[#This Row],[App]],Table2[],3,0),"open")</f>
        <v>ok</v>
      </c>
      <c r="C3125" s="124" t="s">
        <v>369</v>
      </c>
      <c r="D3125" t="s">
        <v>5145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4895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58</v>
      </c>
      <c r="R3125" s="115" t="s">
        <v>1013</v>
      </c>
      <c r="S3125" s="125"/>
    </row>
    <row r="3126" spans="1:19" hidden="1">
      <c r="A3126" s="124" t="s">
        <v>5259</v>
      </c>
      <c r="B3126" s="149" t="str">
        <f>IFERROR(VLOOKUP(Proc[[#This Row],[App]],Table2[],3,0),"open")</f>
        <v>ok</v>
      </c>
      <c r="C3126" s="124" t="s">
        <v>369</v>
      </c>
      <c r="D3126" t="s">
        <v>5146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4895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58</v>
      </c>
      <c r="R3126" s="115" t="s">
        <v>1013</v>
      </c>
      <c r="S3126" s="125"/>
    </row>
    <row r="3127" spans="1:19" hidden="1">
      <c r="A3127" s="124" t="s">
        <v>5259</v>
      </c>
      <c r="B3127" s="149" t="str">
        <f>IFERROR(VLOOKUP(Proc[[#This Row],[App]],Table2[],3,0),"open")</f>
        <v>ok</v>
      </c>
      <c r="C3127" s="124" t="s">
        <v>369</v>
      </c>
      <c r="D3127" t="s">
        <v>5147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4895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58</v>
      </c>
      <c r="R3127" s="115" t="s">
        <v>1013</v>
      </c>
      <c r="S3127" s="125"/>
    </row>
    <row r="3128" spans="1:19" hidden="1">
      <c r="A3128" s="124" t="s">
        <v>5259</v>
      </c>
      <c r="B3128" s="149" t="str">
        <f>IFERROR(VLOOKUP(Proc[[#This Row],[App]],Table2[],3,0),"open")</f>
        <v>ok</v>
      </c>
      <c r="C3128" s="124" t="s">
        <v>369</v>
      </c>
      <c r="D3128" t="s">
        <v>5148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4895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58</v>
      </c>
      <c r="R3128" s="115" t="s">
        <v>1013</v>
      </c>
      <c r="S3128" s="125"/>
    </row>
    <row r="3129" spans="1:19" hidden="1">
      <c r="A3129" s="124" t="s">
        <v>5259</v>
      </c>
      <c r="B3129" s="149" t="str">
        <f>IFERROR(VLOOKUP(Proc[[#This Row],[App]],Table2[],3,0),"open")</f>
        <v>ok</v>
      </c>
      <c r="C3129" s="124" t="s">
        <v>369</v>
      </c>
      <c r="D3129" t="s">
        <v>5149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4895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58</v>
      </c>
      <c r="R3129" s="115" t="s">
        <v>1013</v>
      </c>
      <c r="S3129" s="125"/>
    </row>
    <row r="3130" spans="1:19" hidden="1">
      <c r="A3130" s="124" t="s">
        <v>5259</v>
      </c>
      <c r="B3130" s="149" t="str">
        <f>IFERROR(VLOOKUP(Proc[[#This Row],[App]],Table2[],3,0),"open")</f>
        <v>ok</v>
      </c>
      <c r="C3130" s="124" t="s">
        <v>369</v>
      </c>
      <c r="D3130" t="s">
        <v>5150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4895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58</v>
      </c>
      <c r="R3130" s="115" t="s">
        <v>1013</v>
      </c>
      <c r="S3130" s="125"/>
    </row>
    <row r="3131" spans="1:19" hidden="1">
      <c r="A3131" s="124" t="s">
        <v>5259</v>
      </c>
      <c r="B3131" s="149" t="str">
        <f>IFERROR(VLOOKUP(Proc[[#This Row],[App]],Table2[],3,0),"open")</f>
        <v>ok</v>
      </c>
      <c r="C3131" s="124" t="s">
        <v>369</v>
      </c>
      <c r="D3131" t="s">
        <v>5151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4895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58</v>
      </c>
      <c r="R3131" s="115" t="s">
        <v>1013</v>
      </c>
      <c r="S3131" s="125"/>
    </row>
    <row r="3132" spans="1:19" hidden="1">
      <c r="A3132" s="124" t="s">
        <v>5259</v>
      </c>
      <c r="B3132" s="149" t="str">
        <f>IFERROR(VLOOKUP(Proc[[#This Row],[App]],Table2[],3,0),"open")</f>
        <v>ok</v>
      </c>
      <c r="C3132" s="124" t="s">
        <v>369</v>
      </c>
      <c r="D3132" t="s">
        <v>5152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4895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58</v>
      </c>
      <c r="R3132" s="115" t="s">
        <v>1013</v>
      </c>
      <c r="S3132" s="125"/>
    </row>
    <row r="3133" spans="1:19" hidden="1">
      <c r="A3133" s="124" t="s">
        <v>5259</v>
      </c>
      <c r="B3133" s="149" t="str">
        <f>IFERROR(VLOOKUP(Proc[[#This Row],[App]],Table2[],3,0),"open")</f>
        <v>ok</v>
      </c>
      <c r="C3133" s="124" t="s">
        <v>369</v>
      </c>
      <c r="D3133" t="s">
        <v>5153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4895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58</v>
      </c>
      <c r="R3133" s="115" t="s">
        <v>1013</v>
      </c>
      <c r="S3133" s="125"/>
    </row>
    <row r="3134" spans="1:19" hidden="1">
      <c r="A3134" s="124" t="s">
        <v>5259</v>
      </c>
      <c r="B3134" s="149" t="str">
        <f>IFERROR(VLOOKUP(Proc[[#This Row],[App]],Table2[],3,0),"open")</f>
        <v>ok</v>
      </c>
      <c r="C3134" s="124" t="s">
        <v>369</v>
      </c>
      <c r="D3134" t="s">
        <v>5154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4895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58</v>
      </c>
      <c r="R3134" s="115" t="s">
        <v>1013</v>
      </c>
      <c r="S3134" s="125"/>
    </row>
    <row r="3135" spans="1:19" hidden="1">
      <c r="A3135" s="124" t="s">
        <v>5259</v>
      </c>
      <c r="B3135" s="149" t="str">
        <f>IFERROR(VLOOKUP(Proc[[#This Row],[App]],Table2[],3,0),"open")</f>
        <v>ok</v>
      </c>
      <c r="C3135" s="124" t="s">
        <v>369</v>
      </c>
      <c r="D3135" t="s">
        <v>5155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4895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58</v>
      </c>
      <c r="R3135" s="115" t="s">
        <v>1013</v>
      </c>
      <c r="S3135" s="125"/>
    </row>
    <row r="3136" spans="1:19" hidden="1">
      <c r="A3136" s="124" t="s">
        <v>5259</v>
      </c>
      <c r="B3136" s="149" t="str">
        <f>IFERROR(VLOOKUP(Proc[[#This Row],[App]],Table2[],3,0),"open")</f>
        <v>ok</v>
      </c>
      <c r="C3136" s="124" t="s">
        <v>369</v>
      </c>
      <c r="D3136" t="s">
        <v>5156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4895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58</v>
      </c>
      <c r="R3136" s="115" t="s">
        <v>1013</v>
      </c>
      <c r="S3136" s="125"/>
    </row>
    <row r="3137" spans="1:19" hidden="1">
      <c r="A3137" s="124" t="s">
        <v>5259</v>
      </c>
      <c r="B3137" s="149" t="str">
        <f>IFERROR(VLOOKUP(Proc[[#This Row],[App]],Table2[],3,0),"open")</f>
        <v>ok</v>
      </c>
      <c r="C3137" s="124" t="s">
        <v>369</v>
      </c>
      <c r="D3137" t="s">
        <v>5157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4895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58</v>
      </c>
      <c r="R3137" s="115" t="s">
        <v>1013</v>
      </c>
      <c r="S3137" s="125"/>
    </row>
    <row r="3138" spans="1:19" hidden="1">
      <c r="A3138" s="124" t="s">
        <v>5259</v>
      </c>
      <c r="B3138" s="149" t="str">
        <f>IFERROR(VLOOKUP(Proc[[#This Row],[App]],Table2[],3,0),"open")</f>
        <v>ok</v>
      </c>
      <c r="C3138" s="124" t="s">
        <v>369</v>
      </c>
      <c r="D3138" t="s">
        <v>5158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4895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58</v>
      </c>
      <c r="R3138" s="115" t="s">
        <v>1013</v>
      </c>
      <c r="S3138" s="125"/>
    </row>
    <row r="3139" spans="1:19" hidden="1">
      <c r="A3139" s="124" t="s">
        <v>5259</v>
      </c>
      <c r="B3139" s="149" t="str">
        <f>IFERROR(VLOOKUP(Proc[[#This Row],[App]],Table2[],3,0),"open")</f>
        <v>ok</v>
      </c>
      <c r="C3139" s="124" t="s">
        <v>369</v>
      </c>
      <c r="D3139" t="s">
        <v>5159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4895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58</v>
      </c>
      <c r="R3139" s="115" t="s">
        <v>1013</v>
      </c>
      <c r="S3139" s="125"/>
    </row>
    <row r="3140" spans="1:19" hidden="1">
      <c r="A3140" s="124" t="s">
        <v>5259</v>
      </c>
      <c r="B3140" s="149" t="str">
        <f>IFERROR(VLOOKUP(Proc[[#This Row],[App]],Table2[],3,0),"open")</f>
        <v>ok</v>
      </c>
      <c r="C3140" s="124" t="s">
        <v>369</v>
      </c>
      <c r="D3140" t="s">
        <v>5160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4895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58</v>
      </c>
      <c r="R3140" s="115" t="s">
        <v>1013</v>
      </c>
      <c r="S3140" s="125"/>
    </row>
    <row r="3141" spans="1:19" hidden="1">
      <c r="A3141" s="124" t="s">
        <v>5259</v>
      </c>
      <c r="B3141" s="149" t="str">
        <f>IFERROR(VLOOKUP(Proc[[#This Row],[App]],Table2[],3,0),"open")</f>
        <v>ok</v>
      </c>
      <c r="C3141" s="124" t="s">
        <v>369</v>
      </c>
      <c r="D3141" t="s">
        <v>5161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4895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58</v>
      </c>
      <c r="R3141" s="115" t="s">
        <v>1013</v>
      </c>
      <c r="S3141" s="125"/>
    </row>
    <row r="3142" spans="1:19" hidden="1">
      <c r="A3142" s="124" t="s">
        <v>5259</v>
      </c>
      <c r="B3142" s="149" t="str">
        <f>IFERROR(VLOOKUP(Proc[[#This Row],[App]],Table2[],3,0),"open")</f>
        <v>ok</v>
      </c>
      <c r="C3142" s="124" t="s">
        <v>369</v>
      </c>
      <c r="D3142" t="s">
        <v>5162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4895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58</v>
      </c>
      <c r="R3142" s="115" t="s">
        <v>1013</v>
      </c>
      <c r="S3142" s="125"/>
    </row>
    <row r="3143" spans="1:19" hidden="1">
      <c r="A3143" s="124" t="s">
        <v>5259</v>
      </c>
      <c r="B3143" s="149" t="str">
        <f>IFERROR(VLOOKUP(Proc[[#This Row],[App]],Table2[],3,0),"open")</f>
        <v>ok</v>
      </c>
      <c r="C3143" s="124" t="s">
        <v>369</v>
      </c>
      <c r="D3143" t="s">
        <v>5163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4895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58</v>
      </c>
      <c r="R3143" s="115" t="s">
        <v>1013</v>
      </c>
      <c r="S3143" s="125"/>
    </row>
    <row r="3144" spans="1:19" hidden="1">
      <c r="A3144" s="124" t="s">
        <v>5259</v>
      </c>
      <c r="B3144" s="149" t="str">
        <f>IFERROR(VLOOKUP(Proc[[#This Row],[App]],Table2[],3,0),"open")</f>
        <v>ok</v>
      </c>
      <c r="C3144" s="124" t="s">
        <v>369</v>
      </c>
      <c r="D3144" t="s">
        <v>5164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4895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58</v>
      </c>
      <c r="R3144" s="115" t="s">
        <v>1013</v>
      </c>
      <c r="S3144" s="125"/>
    </row>
    <row r="3145" spans="1:19" hidden="1">
      <c r="A3145" s="124" t="s">
        <v>5259</v>
      </c>
      <c r="B3145" s="149" t="str">
        <f>IFERROR(VLOOKUP(Proc[[#This Row],[App]],Table2[],3,0),"open")</f>
        <v>ok</v>
      </c>
      <c r="C3145" s="124" t="s">
        <v>369</v>
      </c>
      <c r="D3145" t="s">
        <v>5165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4895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58</v>
      </c>
      <c r="R3145" s="115" t="s">
        <v>1013</v>
      </c>
      <c r="S3145" s="125"/>
    </row>
    <row r="3146" spans="1:19" hidden="1">
      <c r="A3146" s="124" t="s">
        <v>5259</v>
      </c>
      <c r="B3146" s="149" t="str">
        <f>IFERROR(VLOOKUP(Proc[[#This Row],[App]],Table2[],3,0),"open")</f>
        <v>ok</v>
      </c>
      <c r="C3146" s="124" t="s">
        <v>369</v>
      </c>
      <c r="D3146" t="s">
        <v>5166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4895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58</v>
      </c>
      <c r="R3146" s="115" t="s">
        <v>1013</v>
      </c>
      <c r="S3146" s="125"/>
    </row>
    <row r="3147" spans="1:19" hidden="1">
      <c r="A3147" s="124" t="s">
        <v>5259</v>
      </c>
      <c r="B3147" s="149" t="str">
        <f>IFERROR(VLOOKUP(Proc[[#This Row],[App]],Table2[],3,0),"open")</f>
        <v>ok</v>
      </c>
      <c r="C3147" s="124" t="s">
        <v>369</v>
      </c>
      <c r="D3147" t="s">
        <v>5167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4895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58</v>
      </c>
      <c r="R3147" s="115" t="s">
        <v>1013</v>
      </c>
      <c r="S3147" s="125"/>
    </row>
    <row r="3148" spans="1:19" hidden="1">
      <c r="A3148" s="124" t="s">
        <v>5259</v>
      </c>
      <c r="B3148" s="149" t="str">
        <f>IFERROR(VLOOKUP(Proc[[#This Row],[App]],Table2[],3,0),"open")</f>
        <v>ok</v>
      </c>
      <c r="C3148" s="124" t="s">
        <v>369</v>
      </c>
      <c r="D3148" t="s">
        <v>5168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4895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58</v>
      </c>
      <c r="R3148" s="115" t="s">
        <v>1013</v>
      </c>
      <c r="S3148" s="125"/>
    </row>
    <row r="3149" spans="1:19" hidden="1">
      <c r="A3149" s="124" t="s">
        <v>5259</v>
      </c>
      <c r="B3149" s="149" t="str">
        <f>IFERROR(VLOOKUP(Proc[[#This Row],[App]],Table2[],3,0),"open")</f>
        <v>ok</v>
      </c>
      <c r="C3149" s="124" t="s">
        <v>369</v>
      </c>
      <c r="D3149" t="s">
        <v>5169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4895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58</v>
      </c>
      <c r="R3149" s="115" t="s">
        <v>1013</v>
      </c>
      <c r="S3149" s="125"/>
    </row>
    <row r="3150" spans="1:19" hidden="1">
      <c r="A3150" s="124" t="s">
        <v>5259</v>
      </c>
      <c r="B3150" s="149" t="str">
        <f>IFERROR(VLOOKUP(Proc[[#This Row],[App]],Table2[],3,0),"open")</f>
        <v>ok</v>
      </c>
      <c r="C3150" s="124" t="s">
        <v>369</v>
      </c>
      <c r="D3150" t="s">
        <v>5170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4895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58</v>
      </c>
      <c r="R3150" s="115" t="s">
        <v>1013</v>
      </c>
      <c r="S3150" s="125"/>
    </row>
    <row r="3151" spans="1:19" hidden="1">
      <c r="A3151" s="124" t="s">
        <v>5259</v>
      </c>
      <c r="B3151" s="149" t="str">
        <f>IFERROR(VLOOKUP(Proc[[#This Row],[App]],Table2[],3,0),"open")</f>
        <v>ok</v>
      </c>
      <c r="C3151" s="124" t="s">
        <v>369</v>
      </c>
      <c r="D3151" t="s">
        <v>5171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4895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58</v>
      </c>
      <c r="R3151" s="115" t="s">
        <v>1013</v>
      </c>
      <c r="S3151" s="125"/>
    </row>
    <row r="3152" spans="1:19" hidden="1">
      <c r="A3152" s="124" t="s">
        <v>5259</v>
      </c>
      <c r="B3152" s="149" t="str">
        <f>IFERROR(VLOOKUP(Proc[[#This Row],[App]],Table2[],3,0),"open")</f>
        <v>ok</v>
      </c>
      <c r="C3152" s="124" t="s">
        <v>369</v>
      </c>
      <c r="D3152" t="s">
        <v>5172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4895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58</v>
      </c>
      <c r="R3152" s="115" t="s">
        <v>1013</v>
      </c>
      <c r="S3152" s="125"/>
    </row>
    <row r="3153" spans="1:19" hidden="1">
      <c r="A3153" s="124" t="s">
        <v>5259</v>
      </c>
      <c r="B3153" s="149" t="str">
        <f>IFERROR(VLOOKUP(Proc[[#This Row],[App]],Table2[],3,0),"open")</f>
        <v>ok</v>
      </c>
      <c r="C3153" s="124" t="s">
        <v>369</v>
      </c>
      <c r="D3153" t="s">
        <v>5173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4895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58</v>
      </c>
      <c r="R3153" s="115" t="s">
        <v>1013</v>
      </c>
      <c r="S3153" s="125"/>
    </row>
    <row r="3154" spans="1:19" hidden="1">
      <c r="A3154" s="124" t="s">
        <v>5259</v>
      </c>
      <c r="B3154" s="149" t="str">
        <f>IFERROR(VLOOKUP(Proc[[#This Row],[App]],Table2[],3,0),"open")</f>
        <v>ok</v>
      </c>
      <c r="C3154" s="124" t="s">
        <v>369</v>
      </c>
      <c r="D3154" t="s">
        <v>5174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4895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58</v>
      </c>
      <c r="R3154" s="115" t="s">
        <v>1013</v>
      </c>
      <c r="S3154" s="125"/>
    </row>
    <row r="3155" spans="1:19" hidden="1">
      <c r="A3155" s="124" t="s">
        <v>5259</v>
      </c>
      <c r="B3155" s="149" t="str">
        <f>IFERROR(VLOOKUP(Proc[[#This Row],[App]],Table2[],3,0),"open")</f>
        <v>ok</v>
      </c>
      <c r="C3155" s="124" t="s">
        <v>369</v>
      </c>
      <c r="D3155" t="s">
        <v>5175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4895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58</v>
      </c>
      <c r="R3155" s="115" t="s">
        <v>1013</v>
      </c>
      <c r="S3155" s="125"/>
    </row>
    <row r="3156" spans="1:19" hidden="1">
      <c r="A3156" s="124" t="s">
        <v>5259</v>
      </c>
      <c r="B3156" s="149" t="str">
        <f>IFERROR(VLOOKUP(Proc[[#This Row],[App]],Table2[],3,0),"open")</f>
        <v>ok</v>
      </c>
      <c r="C3156" s="124" t="s">
        <v>369</v>
      </c>
      <c r="D3156" t="s">
        <v>5176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4895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58</v>
      </c>
      <c r="R3156" s="115" t="s">
        <v>1013</v>
      </c>
      <c r="S3156" s="125"/>
    </row>
    <row r="3157" spans="1:19" hidden="1">
      <c r="A3157" s="124" t="s">
        <v>5259</v>
      </c>
      <c r="B3157" s="149" t="str">
        <f>IFERROR(VLOOKUP(Proc[[#This Row],[App]],Table2[],3,0),"open")</f>
        <v>ok</v>
      </c>
      <c r="C3157" s="124" t="s">
        <v>369</v>
      </c>
      <c r="D3157" t="s">
        <v>5177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4895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58</v>
      </c>
      <c r="R3157" s="115" t="s">
        <v>1013</v>
      </c>
      <c r="S3157" s="125"/>
    </row>
    <row r="3158" spans="1:19" hidden="1">
      <c r="A3158" s="124" t="s">
        <v>5259</v>
      </c>
      <c r="B3158" s="149" t="str">
        <f>IFERROR(VLOOKUP(Proc[[#This Row],[App]],Table2[],3,0),"open")</f>
        <v>ok</v>
      </c>
      <c r="C3158" s="124" t="s">
        <v>369</v>
      </c>
      <c r="D3158" t="s">
        <v>5178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4895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58</v>
      </c>
      <c r="R3158" s="115" t="s">
        <v>1013</v>
      </c>
      <c r="S3158" s="125"/>
    </row>
    <row r="3159" spans="1:19" hidden="1">
      <c r="A3159" s="124" t="s">
        <v>5259</v>
      </c>
      <c r="B3159" s="149" t="str">
        <f>IFERROR(VLOOKUP(Proc[[#This Row],[App]],Table2[],3,0),"open")</f>
        <v>ok</v>
      </c>
      <c r="C3159" s="124" t="s">
        <v>369</v>
      </c>
      <c r="D3159" t="s">
        <v>5179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4895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58</v>
      </c>
      <c r="R3159" s="115" t="s">
        <v>1013</v>
      </c>
      <c r="S3159" s="125"/>
    </row>
    <row r="3160" spans="1:19" hidden="1">
      <c r="A3160" s="124" t="s">
        <v>5259</v>
      </c>
      <c r="B3160" s="149" t="str">
        <f>IFERROR(VLOOKUP(Proc[[#This Row],[App]],Table2[],3,0),"open")</f>
        <v>ok</v>
      </c>
      <c r="C3160" s="124" t="s">
        <v>369</v>
      </c>
      <c r="D3160" t="s">
        <v>5180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4895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58</v>
      </c>
      <c r="R3160" s="115" t="s">
        <v>1013</v>
      </c>
      <c r="S3160" s="125"/>
    </row>
    <row r="3161" spans="1:19" hidden="1">
      <c r="A3161" s="124" t="s">
        <v>5259</v>
      </c>
      <c r="B3161" s="149" t="str">
        <f>IFERROR(VLOOKUP(Proc[[#This Row],[App]],Table2[],3,0),"open")</f>
        <v>ok</v>
      </c>
      <c r="C3161" s="124" t="s">
        <v>369</v>
      </c>
      <c r="D3161" t="s">
        <v>5181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4895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58</v>
      </c>
      <c r="R3161" s="115" t="s">
        <v>1013</v>
      </c>
      <c r="S3161" s="125"/>
    </row>
    <row r="3162" spans="1:19" hidden="1">
      <c r="A3162" s="124" t="s">
        <v>5259</v>
      </c>
      <c r="B3162" s="149" t="str">
        <f>IFERROR(VLOOKUP(Proc[[#This Row],[App]],Table2[],3,0),"open")</f>
        <v>ok</v>
      </c>
      <c r="C3162" s="124" t="s">
        <v>369</v>
      </c>
      <c r="D3162" t="s">
        <v>5182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4895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58</v>
      </c>
      <c r="R3162" s="115" t="s">
        <v>1013</v>
      </c>
      <c r="S3162" s="125"/>
    </row>
    <row r="3163" spans="1:19" hidden="1">
      <c r="A3163" s="124" t="s">
        <v>5259</v>
      </c>
      <c r="B3163" s="149" t="str">
        <f>IFERROR(VLOOKUP(Proc[[#This Row],[App]],Table2[],3,0),"open")</f>
        <v>ok</v>
      </c>
      <c r="C3163" s="124" t="s">
        <v>369</v>
      </c>
      <c r="D3163" t="s">
        <v>5183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4895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58</v>
      </c>
      <c r="R3163" s="115" t="s">
        <v>1013</v>
      </c>
      <c r="S3163" s="125"/>
    </row>
    <row r="3164" spans="1:19" hidden="1">
      <c r="A3164" s="124" t="s">
        <v>5259</v>
      </c>
      <c r="B3164" s="149" t="str">
        <f>IFERROR(VLOOKUP(Proc[[#This Row],[App]],Table2[],3,0),"open")</f>
        <v>ok</v>
      </c>
      <c r="C3164" s="124" t="s">
        <v>369</v>
      </c>
      <c r="D3164" t="s">
        <v>5184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4895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58</v>
      </c>
      <c r="R3164" s="115" t="s">
        <v>1013</v>
      </c>
      <c r="S3164" s="125"/>
    </row>
    <row r="3165" spans="1:19" hidden="1">
      <c r="A3165" s="124" t="s">
        <v>5259</v>
      </c>
      <c r="B3165" s="149" t="str">
        <f>IFERROR(VLOOKUP(Proc[[#This Row],[App]],Table2[],3,0),"open")</f>
        <v>ok</v>
      </c>
      <c r="C3165" s="124" t="s">
        <v>369</v>
      </c>
      <c r="D3165" t="s">
        <v>5185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4895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58</v>
      </c>
      <c r="R3165" s="115" t="s">
        <v>1013</v>
      </c>
      <c r="S3165" s="125"/>
    </row>
    <row r="3166" spans="1:19" hidden="1">
      <c r="A3166" s="124" t="s">
        <v>5259</v>
      </c>
      <c r="B3166" s="149" t="str">
        <f>IFERROR(VLOOKUP(Proc[[#This Row],[App]],Table2[],3,0),"open")</f>
        <v>ok</v>
      </c>
      <c r="C3166" s="124" t="s">
        <v>369</v>
      </c>
      <c r="D3166" t="s">
        <v>5186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4895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58</v>
      </c>
      <c r="R3166" s="115" t="s">
        <v>1013</v>
      </c>
      <c r="S3166" s="125"/>
    </row>
    <row r="3167" spans="1:19" hidden="1">
      <c r="A3167" s="124" t="s">
        <v>5259</v>
      </c>
      <c r="B3167" s="149" t="str">
        <f>IFERROR(VLOOKUP(Proc[[#This Row],[App]],Table2[],3,0),"open")</f>
        <v>ok</v>
      </c>
      <c r="C3167" s="124" t="s">
        <v>369</v>
      </c>
      <c r="D3167" t="s">
        <v>5187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4895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58</v>
      </c>
      <c r="R3167" s="115" t="s">
        <v>1013</v>
      </c>
      <c r="S3167" s="125"/>
    </row>
    <row r="3168" spans="1:19" hidden="1">
      <c r="A3168" s="124" t="s">
        <v>5259</v>
      </c>
      <c r="B3168" s="149" t="str">
        <f>IFERROR(VLOOKUP(Proc[[#This Row],[App]],Table2[],3,0),"open")</f>
        <v>ok</v>
      </c>
      <c r="C3168" s="124" t="s">
        <v>369</v>
      </c>
      <c r="D3168" t="s">
        <v>5188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4895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58</v>
      </c>
      <c r="R3168" s="115" t="s">
        <v>1013</v>
      </c>
      <c r="S3168" s="125"/>
    </row>
    <row r="3169" spans="1:19" hidden="1">
      <c r="A3169" s="124" t="s">
        <v>5259</v>
      </c>
      <c r="B3169" s="149" t="str">
        <f>IFERROR(VLOOKUP(Proc[[#This Row],[App]],Table2[],3,0),"open")</f>
        <v>ok</v>
      </c>
      <c r="C3169" s="124" t="s">
        <v>369</v>
      </c>
      <c r="D3169" t="s">
        <v>5189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4895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58</v>
      </c>
      <c r="R3169" s="115" t="s">
        <v>1013</v>
      </c>
      <c r="S3169" s="125"/>
    </row>
    <row r="3170" spans="1:19" hidden="1">
      <c r="A3170" s="124" t="s">
        <v>5259</v>
      </c>
      <c r="B3170" s="149" t="str">
        <f>IFERROR(VLOOKUP(Proc[[#This Row],[App]],Table2[],3,0),"open")</f>
        <v>ok</v>
      </c>
      <c r="C3170" s="124" t="s">
        <v>369</v>
      </c>
      <c r="D3170" t="s">
        <v>5190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4895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58</v>
      </c>
      <c r="R3170" s="115" t="s">
        <v>1013</v>
      </c>
      <c r="S3170" s="125"/>
    </row>
    <row r="3171" spans="1:19" hidden="1">
      <c r="A3171" s="124" t="s">
        <v>5259</v>
      </c>
      <c r="B3171" s="149" t="str">
        <f>IFERROR(VLOOKUP(Proc[[#This Row],[App]],Table2[],3,0),"open")</f>
        <v>ok</v>
      </c>
      <c r="C3171" s="124" t="s">
        <v>369</v>
      </c>
      <c r="D3171" t="s">
        <v>5191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4895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58</v>
      </c>
      <c r="R3171" s="115" t="s">
        <v>1013</v>
      </c>
      <c r="S3171" s="125"/>
    </row>
    <row r="3172" spans="1:19" hidden="1">
      <c r="A3172" s="124" t="s">
        <v>5259</v>
      </c>
      <c r="B3172" s="149" t="str">
        <f>IFERROR(VLOOKUP(Proc[[#This Row],[App]],Table2[],3,0),"open")</f>
        <v>ok</v>
      </c>
      <c r="C3172" s="124" t="s">
        <v>369</v>
      </c>
      <c r="D3172" t="s">
        <v>5192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4895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58</v>
      </c>
      <c r="R3172" s="115" t="s">
        <v>1013</v>
      </c>
      <c r="S3172" s="125"/>
    </row>
    <row r="3173" spans="1:19" hidden="1">
      <c r="A3173" s="124" t="s">
        <v>5259</v>
      </c>
      <c r="B3173" s="149" t="str">
        <f>IFERROR(VLOOKUP(Proc[[#This Row],[App]],Table2[],3,0),"open")</f>
        <v>ok</v>
      </c>
      <c r="C3173" s="124" t="s">
        <v>369</v>
      </c>
      <c r="D3173" t="s">
        <v>5193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4895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58</v>
      </c>
      <c r="R3173" s="115" t="s">
        <v>1013</v>
      </c>
      <c r="S3173" s="125"/>
    </row>
    <row r="3174" spans="1:19" hidden="1">
      <c r="A3174" s="124" t="s">
        <v>5259</v>
      </c>
      <c r="B3174" s="149" t="str">
        <f>IFERROR(VLOOKUP(Proc[[#This Row],[App]],Table2[],3,0),"open")</f>
        <v>ok</v>
      </c>
      <c r="C3174" s="124" t="s">
        <v>369</v>
      </c>
      <c r="D3174" t="s">
        <v>5194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4895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58</v>
      </c>
      <c r="R3174" s="115" t="s">
        <v>1013</v>
      </c>
      <c r="S3174" s="125"/>
    </row>
    <row r="3175" spans="1:19" hidden="1">
      <c r="A3175" s="124" t="s">
        <v>5259</v>
      </c>
      <c r="B3175" s="149" t="str">
        <f>IFERROR(VLOOKUP(Proc[[#This Row],[App]],Table2[],3,0),"open")</f>
        <v>ok</v>
      </c>
      <c r="C3175" s="124" t="s">
        <v>369</v>
      </c>
      <c r="D3175" t="s">
        <v>5195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4895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58</v>
      </c>
      <c r="R3175" s="115" t="s">
        <v>1013</v>
      </c>
      <c r="S3175" s="125"/>
    </row>
    <row r="3176" spans="1:19" hidden="1">
      <c r="A3176" s="124" t="s">
        <v>5259</v>
      </c>
      <c r="B3176" s="149" t="str">
        <f>IFERROR(VLOOKUP(Proc[[#This Row],[App]],Table2[],3,0),"open")</f>
        <v>ok</v>
      </c>
      <c r="C3176" s="124" t="s">
        <v>369</v>
      </c>
      <c r="D3176" t="s">
        <v>5196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4895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58</v>
      </c>
      <c r="R3176" s="115" t="s">
        <v>1013</v>
      </c>
      <c r="S3176" s="125"/>
    </row>
    <row r="3177" spans="1:19" hidden="1">
      <c r="A3177" s="124" t="s">
        <v>5259</v>
      </c>
      <c r="B3177" s="149" t="str">
        <f>IFERROR(VLOOKUP(Proc[[#This Row],[App]],Table2[],3,0),"open")</f>
        <v>ok</v>
      </c>
      <c r="C3177" s="124" t="s">
        <v>369</v>
      </c>
      <c r="D3177" t="s">
        <v>5197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4895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58</v>
      </c>
      <c r="R3177" s="115" t="s">
        <v>1013</v>
      </c>
      <c r="S3177" s="125"/>
    </row>
    <row r="3178" spans="1:19" hidden="1">
      <c r="A3178" s="124" t="s">
        <v>5259</v>
      </c>
      <c r="B3178" s="149" t="str">
        <f>IFERROR(VLOOKUP(Proc[[#This Row],[App]],Table2[],3,0),"open")</f>
        <v>ok</v>
      </c>
      <c r="C3178" s="124" t="s">
        <v>369</v>
      </c>
      <c r="D3178" t="s">
        <v>5198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4895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58</v>
      </c>
      <c r="R3178" s="115" t="s">
        <v>1013</v>
      </c>
      <c r="S3178" s="125"/>
    </row>
    <row r="3179" spans="1:19" hidden="1">
      <c r="A3179" s="124" t="s">
        <v>5259</v>
      </c>
      <c r="B3179" s="149" t="str">
        <f>IFERROR(VLOOKUP(Proc[[#This Row],[App]],Table2[],3,0),"open")</f>
        <v>ok</v>
      </c>
      <c r="C3179" s="124" t="s">
        <v>369</v>
      </c>
      <c r="D3179" t="s">
        <v>5199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4895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58</v>
      </c>
      <c r="R3179" s="115" t="s">
        <v>1013</v>
      </c>
      <c r="S3179" s="125"/>
    </row>
    <row r="3180" spans="1:19" hidden="1">
      <c r="A3180" s="124" t="s">
        <v>5259</v>
      </c>
      <c r="B3180" s="149" t="str">
        <f>IFERROR(VLOOKUP(Proc[[#This Row],[App]],Table2[],3,0),"open")</f>
        <v>ok</v>
      </c>
      <c r="C3180" s="124" t="s">
        <v>369</v>
      </c>
      <c r="D3180" t="s">
        <v>5200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4895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58</v>
      </c>
      <c r="R3180" s="115" t="s">
        <v>1013</v>
      </c>
      <c r="S3180" s="125"/>
    </row>
    <row r="3181" spans="1:19" hidden="1">
      <c r="A3181" s="124" t="s">
        <v>5259</v>
      </c>
      <c r="B3181" s="149" t="str">
        <f>IFERROR(VLOOKUP(Proc[[#This Row],[App]],Table2[],3,0),"open")</f>
        <v>ok</v>
      </c>
      <c r="C3181" s="124" t="s">
        <v>369</v>
      </c>
      <c r="D3181" t="s">
        <v>5201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4895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58</v>
      </c>
      <c r="R3181" s="115" t="s">
        <v>1013</v>
      </c>
      <c r="S3181" s="125"/>
    </row>
    <row r="3182" spans="1:19" hidden="1">
      <c r="A3182" s="124" t="s">
        <v>5259</v>
      </c>
      <c r="B3182" s="149" t="str">
        <f>IFERROR(VLOOKUP(Proc[[#This Row],[App]],Table2[],3,0),"open")</f>
        <v>ok</v>
      </c>
      <c r="C3182" s="124" t="s">
        <v>369</v>
      </c>
      <c r="D3182" t="s">
        <v>5202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4895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58</v>
      </c>
      <c r="R3182" s="115" t="s">
        <v>1013</v>
      </c>
      <c r="S3182" s="125"/>
    </row>
    <row r="3183" spans="1:19" hidden="1">
      <c r="A3183" s="124" t="s">
        <v>5259</v>
      </c>
      <c r="B3183" s="149" t="str">
        <f>IFERROR(VLOOKUP(Proc[[#This Row],[App]],Table2[],3,0),"open")</f>
        <v>ok</v>
      </c>
      <c r="C3183" s="124" t="s">
        <v>369</v>
      </c>
      <c r="D3183" t="s">
        <v>5203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4895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58</v>
      </c>
      <c r="R3183" s="115" t="s">
        <v>1013</v>
      </c>
      <c r="S3183" s="125"/>
    </row>
    <row r="3184" spans="1:19" hidden="1">
      <c r="A3184" s="124" t="s">
        <v>5259</v>
      </c>
      <c r="B3184" s="149" t="str">
        <f>IFERROR(VLOOKUP(Proc[[#This Row],[App]],Table2[],3,0),"open")</f>
        <v>ok</v>
      </c>
      <c r="C3184" s="124" t="s">
        <v>369</v>
      </c>
      <c r="D3184" t="s">
        <v>5204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4895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58</v>
      </c>
      <c r="R3184" s="115" t="s">
        <v>1013</v>
      </c>
      <c r="S3184" s="125"/>
    </row>
    <row r="3185" spans="1:19" hidden="1">
      <c r="A3185" s="124" t="s">
        <v>5259</v>
      </c>
      <c r="B3185" s="149" t="str">
        <f>IFERROR(VLOOKUP(Proc[[#This Row],[App]],Table2[],3,0),"open")</f>
        <v>ok</v>
      </c>
      <c r="C3185" s="124" t="s">
        <v>369</v>
      </c>
      <c r="D3185" t="s">
        <v>5205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4895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58</v>
      </c>
      <c r="R3185" s="115" t="s">
        <v>1013</v>
      </c>
      <c r="S3185" s="125"/>
    </row>
    <row r="3186" spans="1:19" hidden="1">
      <c r="A3186" s="124" t="s">
        <v>5259</v>
      </c>
      <c r="B3186" s="149" t="str">
        <f>IFERROR(VLOOKUP(Proc[[#This Row],[App]],Table2[],3,0),"open")</f>
        <v>ok</v>
      </c>
      <c r="C3186" s="124" t="s">
        <v>369</v>
      </c>
      <c r="D3186" t="s">
        <v>5206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4895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58</v>
      </c>
      <c r="R3186" s="115" t="s">
        <v>1013</v>
      </c>
      <c r="S3186" s="125"/>
    </row>
    <row r="3187" spans="1:19" hidden="1">
      <c r="A3187" s="124" t="s">
        <v>5259</v>
      </c>
      <c r="B3187" s="149" t="str">
        <f>IFERROR(VLOOKUP(Proc[[#This Row],[App]],Table2[],3,0),"open")</f>
        <v>ok</v>
      </c>
      <c r="C3187" s="124" t="s">
        <v>369</v>
      </c>
      <c r="D3187" t="s">
        <v>5207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4895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58</v>
      </c>
      <c r="R3187" s="115" t="s">
        <v>1013</v>
      </c>
      <c r="S3187" s="125"/>
    </row>
    <row r="3188" spans="1:19" hidden="1">
      <c r="A3188" s="124" t="s">
        <v>5259</v>
      </c>
      <c r="B3188" s="149" t="str">
        <f>IFERROR(VLOOKUP(Proc[[#This Row],[App]],Table2[],3,0),"open")</f>
        <v>ok</v>
      </c>
      <c r="C3188" s="124" t="s">
        <v>369</v>
      </c>
      <c r="D3188" t="s">
        <v>5208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4895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58</v>
      </c>
      <c r="R3188" s="115" t="s">
        <v>1013</v>
      </c>
      <c r="S3188" s="125"/>
    </row>
    <row r="3189" spans="1:19" hidden="1">
      <c r="A3189" s="124" t="s">
        <v>5259</v>
      </c>
      <c r="B3189" s="149" t="str">
        <f>IFERROR(VLOOKUP(Proc[[#This Row],[App]],Table2[],3,0),"open")</f>
        <v>ok</v>
      </c>
      <c r="C3189" s="124" t="s">
        <v>369</v>
      </c>
      <c r="D3189" t="s">
        <v>5209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4895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58</v>
      </c>
      <c r="R3189" s="115" t="s">
        <v>1013</v>
      </c>
      <c r="S3189" s="125"/>
    </row>
    <row r="3190" spans="1:19" hidden="1">
      <c r="A3190" s="124" t="s">
        <v>5259</v>
      </c>
      <c r="B3190" s="149" t="str">
        <f>IFERROR(VLOOKUP(Proc[[#This Row],[App]],Table2[],3,0),"open")</f>
        <v>ok</v>
      </c>
      <c r="C3190" s="124" t="s">
        <v>369</v>
      </c>
      <c r="D3190" t="s">
        <v>5210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4895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58</v>
      </c>
      <c r="R3190" s="115" t="s">
        <v>1013</v>
      </c>
      <c r="S3190" s="125"/>
    </row>
    <row r="3191" spans="1:19" hidden="1">
      <c r="A3191" s="124" t="s">
        <v>5259</v>
      </c>
      <c r="B3191" s="149" t="str">
        <f>IFERROR(VLOOKUP(Proc[[#This Row],[App]],Table2[],3,0),"open")</f>
        <v>ok</v>
      </c>
      <c r="C3191" s="124" t="s">
        <v>369</v>
      </c>
      <c r="D3191" t="s">
        <v>5211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4895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58</v>
      </c>
      <c r="R3191" s="115" t="s">
        <v>1013</v>
      </c>
      <c r="S3191" s="125"/>
    </row>
    <row r="3192" spans="1:19" hidden="1">
      <c r="A3192" s="124" t="s">
        <v>5259</v>
      </c>
      <c r="B3192" s="149" t="str">
        <f>IFERROR(VLOOKUP(Proc[[#This Row],[App]],Table2[],3,0),"open")</f>
        <v>ok</v>
      </c>
      <c r="C3192" s="124" t="s">
        <v>369</v>
      </c>
      <c r="D3192" t="s">
        <v>5212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4895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58</v>
      </c>
      <c r="R3192" s="115" t="s">
        <v>1013</v>
      </c>
      <c r="S3192" s="125"/>
    </row>
    <row r="3193" spans="1:19" hidden="1">
      <c r="A3193" s="124" t="s">
        <v>5259</v>
      </c>
      <c r="B3193" s="149" t="str">
        <f>IFERROR(VLOOKUP(Proc[[#This Row],[App]],Table2[],3,0),"open")</f>
        <v>ok</v>
      </c>
      <c r="C3193" s="124" t="s">
        <v>369</v>
      </c>
      <c r="D3193" t="s">
        <v>5213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4895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58</v>
      </c>
      <c r="R3193" s="115" t="s">
        <v>1013</v>
      </c>
      <c r="S3193" s="125"/>
    </row>
    <row r="3194" spans="1:19" hidden="1">
      <c r="A3194" s="124" t="s">
        <v>5259</v>
      </c>
      <c r="B3194" s="149" t="str">
        <f>IFERROR(VLOOKUP(Proc[[#This Row],[App]],Table2[],3,0),"open")</f>
        <v>ok</v>
      </c>
      <c r="C3194" s="124" t="s">
        <v>369</v>
      </c>
      <c r="D3194" t="s">
        <v>5214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4895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58</v>
      </c>
      <c r="R3194" s="115" t="s">
        <v>1013</v>
      </c>
      <c r="S3194" s="125"/>
    </row>
    <row r="3195" spans="1:19" hidden="1">
      <c r="A3195" s="124" t="s">
        <v>5259</v>
      </c>
      <c r="B3195" s="149" t="str">
        <f>IFERROR(VLOOKUP(Proc[[#This Row],[App]],Table2[],3,0),"open")</f>
        <v>ok</v>
      </c>
      <c r="C3195" s="124" t="s">
        <v>369</v>
      </c>
      <c r="D3195" t="s">
        <v>5215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4895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58</v>
      </c>
      <c r="R3195" s="115" t="s">
        <v>1013</v>
      </c>
      <c r="S3195" s="125"/>
    </row>
    <row r="3196" spans="1:19" hidden="1">
      <c r="A3196" s="124" t="s">
        <v>5259</v>
      </c>
      <c r="B3196" s="149" t="str">
        <f>IFERROR(VLOOKUP(Proc[[#This Row],[App]],Table2[],3,0),"open")</f>
        <v>ok</v>
      </c>
      <c r="C3196" s="124" t="s">
        <v>369</v>
      </c>
      <c r="D3196" t="s">
        <v>5216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4895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58</v>
      </c>
      <c r="R3196" s="115" t="s">
        <v>1013</v>
      </c>
      <c r="S3196" s="125"/>
    </row>
    <row r="3197" spans="1:19" hidden="1">
      <c r="A3197" s="124" t="s">
        <v>5259</v>
      </c>
      <c r="B3197" s="149" t="str">
        <f>IFERROR(VLOOKUP(Proc[[#This Row],[App]],Table2[],3,0),"open")</f>
        <v>ok</v>
      </c>
      <c r="C3197" s="124" t="s">
        <v>369</v>
      </c>
      <c r="D3197" t="s">
        <v>5217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4895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58</v>
      </c>
      <c r="R3197" s="115" t="s">
        <v>1013</v>
      </c>
      <c r="S3197" s="125"/>
    </row>
    <row r="3198" spans="1:19" hidden="1">
      <c r="A3198" s="124" t="s">
        <v>5259</v>
      </c>
      <c r="B3198" s="149" t="str">
        <f>IFERROR(VLOOKUP(Proc[[#This Row],[App]],Table2[],3,0),"open")</f>
        <v>ok</v>
      </c>
      <c r="C3198" s="124" t="s">
        <v>369</v>
      </c>
      <c r="D3198" t="s">
        <v>5218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4895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58</v>
      </c>
      <c r="R3198" s="115" t="s">
        <v>1013</v>
      </c>
      <c r="S3198" s="125"/>
    </row>
    <row r="3199" spans="1:19" hidden="1">
      <c r="A3199" s="124" t="s">
        <v>5259</v>
      </c>
      <c r="B3199" s="149" t="str">
        <f>IFERROR(VLOOKUP(Proc[[#This Row],[App]],Table2[],3,0),"open")</f>
        <v>ok</v>
      </c>
      <c r="C3199" s="124" t="s">
        <v>369</v>
      </c>
      <c r="D3199" t="s">
        <v>5219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4895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58</v>
      </c>
      <c r="R3199" s="115" t="s">
        <v>1013</v>
      </c>
      <c r="S3199" s="125"/>
    </row>
    <row r="3200" spans="1:19" hidden="1">
      <c r="A3200" s="124" t="s">
        <v>5259</v>
      </c>
      <c r="B3200" s="149" t="str">
        <f>IFERROR(VLOOKUP(Proc[[#This Row],[App]],Table2[],3,0),"open")</f>
        <v>ok</v>
      </c>
      <c r="C3200" s="124" t="s">
        <v>369</v>
      </c>
      <c r="D3200" t="s">
        <v>5220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4895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58</v>
      </c>
      <c r="R3200" s="115" t="s">
        <v>1013</v>
      </c>
      <c r="S3200" s="125"/>
    </row>
    <row r="3201" spans="1:19" hidden="1">
      <c r="A3201" s="124" t="s">
        <v>5259</v>
      </c>
      <c r="B3201" s="149" t="str">
        <f>IFERROR(VLOOKUP(Proc[[#This Row],[App]],Table2[],3,0),"open")</f>
        <v>ok</v>
      </c>
      <c r="C3201" s="124" t="s">
        <v>369</v>
      </c>
      <c r="D3201" t="s">
        <v>5221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4895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58</v>
      </c>
      <c r="R3201" s="115" t="s">
        <v>1013</v>
      </c>
      <c r="S3201" s="125"/>
    </row>
    <row r="3202" spans="1:19" hidden="1">
      <c r="A3202" s="124" t="s">
        <v>5259</v>
      </c>
      <c r="B3202" s="149" t="str">
        <f>IFERROR(VLOOKUP(Proc[[#This Row],[App]],Table2[],3,0),"open")</f>
        <v>ok</v>
      </c>
      <c r="C3202" s="124" t="s">
        <v>369</v>
      </c>
      <c r="D3202" t="s">
        <v>5222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4895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58</v>
      </c>
      <c r="R3202" s="115" t="s">
        <v>1013</v>
      </c>
      <c r="S3202" s="125"/>
    </row>
    <row r="3203" spans="1:19" hidden="1">
      <c r="A3203" s="124" t="s">
        <v>5259</v>
      </c>
      <c r="B3203" s="149" t="str">
        <f>IFERROR(VLOOKUP(Proc[[#This Row],[App]],Table2[],3,0),"open")</f>
        <v>ok</v>
      </c>
      <c r="C3203" s="124" t="s">
        <v>369</v>
      </c>
      <c r="D3203" t="s">
        <v>5223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4895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58</v>
      </c>
      <c r="R3203" s="115" t="s">
        <v>1013</v>
      </c>
      <c r="S3203" s="125"/>
    </row>
    <row r="3204" spans="1:19" hidden="1">
      <c r="A3204" s="124" t="s">
        <v>5259</v>
      </c>
      <c r="B3204" s="149" t="str">
        <f>IFERROR(VLOOKUP(Proc[[#This Row],[App]],Table2[],3,0),"open")</f>
        <v>ok</v>
      </c>
      <c r="C3204" s="124" t="s">
        <v>369</v>
      </c>
      <c r="D3204" t="s">
        <v>5224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4895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58</v>
      </c>
      <c r="R3204" s="115" t="s">
        <v>1013</v>
      </c>
      <c r="S3204" s="125"/>
    </row>
    <row r="3205" spans="1:19" hidden="1">
      <c r="A3205" s="124" t="s">
        <v>5259</v>
      </c>
      <c r="B3205" s="149" t="str">
        <f>IFERROR(VLOOKUP(Proc[[#This Row],[App]],Table2[],3,0),"open")</f>
        <v>ok</v>
      </c>
      <c r="C3205" s="124" t="s">
        <v>369</v>
      </c>
      <c r="D3205" t="s">
        <v>5225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4895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58</v>
      </c>
      <c r="R3205" s="115" t="s">
        <v>1013</v>
      </c>
      <c r="S3205" s="125"/>
    </row>
    <row r="3206" spans="1:19" hidden="1">
      <c r="A3206" s="124" t="s">
        <v>5259</v>
      </c>
      <c r="B3206" s="149" t="str">
        <f>IFERROR(VLOOKUP(Proc[[#This Row],[App]],Table2[],3,0),"open")</f>
        <v>ok</v>
      </c>
      <c r="C3206" s="124" t="s">
        <v>369</v>
      </c>
      <c r="D3206" t="s">
        <v>5226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4895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58</v>
      </c>
      <c r="R3206" s="115" t="s">
        <v>1013</v>
      </c>
      <c r="S3206" s="125"/>
    </row>
    <row r="3207" spans="1:19" hidden="1">
      <c r="A3207" s="124" t="s">
        <v>5259</v>
      </c>
      <c r="B3207" s="149" t="str">
        <f>IFERROR(VLOOKUP(Proc[[#This Row],[App]],Table2[],3,0),"open")</f>
        <v>ok</v>
      </c>
      <c r="C3207" s="124" t="s">
        <v>369</v>
      </c>
      <c r="D3207" t="s">
        <v>5227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4895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58</v>
      </c>
      <c r="R3207" s="115" t="s">
        <v>1013</v>
      </c>
      <c r="S3207" s="125"/>
    </row>
    <row r="3208" spans="1:19" hidden="1">
      <c r="A3208" s="124" t="s">
        <v>5259</v>
      </c>
      <c r="B3208" s="149" t="str">
        <f>IFERROR(VLOOKUP(Proc[[#This Row],[App]],Table2[],3,0),"open")</f>
        <v>ok</v>
      </c>
      <c r="C3208" s="124" t="s">
        <v>369</v>
      </c>
      <c r="D3208" t="s">
        <v>5228</v>
      </c>
      <c r="E3208" t="s">
        <v>5254</v>
      </c>
      <c r="F3208" s="125" t="s">
        <v>5254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4895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58</v>
      </c>
      <c r="R3208" s="115" t="s">
        <v>1013</v>
      </c>
      <c r="S3208" s="125"/>
    </row>
    <row r="3209" spans="1:19" hidden="1">
      <c r="A3209" s="124" t="s">
        <v>5259</v>
      </c>
      <c r="B3209" s="149" t="str">
        <f>IFERROR(VLOOKUP(Proc[[#This Row],[App]],Table2[],3,0),"open")</f>
        <v>ok</v>
      </c>
      <c r="C3209" s="124" t="s">
        <v>369</v>
      </c>
      <c r="D3209" t="s">
        <v>5229</v>
      </c>
      <c r="E3209" t="s">
        <v>5254</v>
      </c>
      <c r="F3209" s="125" t="s">
        <v>5254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4895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58</v>
      </c>
      <c r="R3209" s="115" t="s">
        <v>1013</v>
      </c>
      <c r="S3209" s="125"/>
    </row>
    <row r="3210" spans="1:19" hidden="1">
      <c r="A3210" s="124" t="s">
        <v>5259</v>
      </c>
      <c r="B3210" s="149" t="str">
        <f>IFERROR(VLOOKUP(Proc[[#This Row],[App]],Table2[],3,0),"open")</f>
        <v>ok</v>
      </c>
      <c r="C3210" s="124" t="s">
        <v>369</v>
      </c>
      <c r="D3210" t="s">
        <v>5230</v>
      </c>
      <c r="E3210" t="s">
        <v>5254</v>
      </c>
      <c r="F3210" s="125" t="s">
        <v>5254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4895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58</v>
      </c>
      <c r="R3210" s="115" t="s">
        <v>1013</v>
      </c>
      <c r="S3210" s="125"/>
    </row>
    <row r="3211" spans="1:19" hidden="1">
      <c r="A3211" s="124" t="s">
        <v>5259</v>
      </c>
      <c r="B3211" s="149" t="str">
        <f>IFERROR(VLOOKUP(Proc[[#This Row],[App]],Table2[],3,0),"open")</f>
        <v>ok</v>
      </c>
      <c r="C3211" s="124" t="s">
        <v>369</v>
      </c>
      <c r="D3211" t="s">
        <v>5231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4895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58</v>
      </c>
      <c r="R3211" s="115" t="s">
        <v>1013</v>
      </c>
      <c r="S3211" s="125"/>
    </row>
    <row r="3212" spans="1:19" hidden="1">
      <c r="A3212" s="124" t="s">
        <v>5259</v>
      </c>
      <c r="B3212" s="149" t="str">
        <f>IFERROR(VLOOKUP(Proc[[#This Row],[App]],Table2[],3,0),"open")</f>
        <v>ok</v>
      </c>
      <c r="C3212" s="124" t="s">
        <v>369</v>
      </c>
      <c r="D3212" t="s">
        <v>5232</v>
      </c>
      <c r="E3212" t="s">
        <v>5254</v>
      </c>
      <c r="F3212" s="125" t="s">
        <v>5254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4895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58</v>
      </c>
      <c r="R3212" s="115" t="s">
        <v>1013</v>
      </c>
      <c r="S3212" s="125"/>
    </row>
    <row r="3213" spans="1:19" hidden="1">
      <c r="A3213" s="124" t="s">
        <v>5259</v>
      </c>
      <c r="B3213" s="149" t="str">
        <f>IFERROR(VLOOKUP(Proc[[#This Row],[App]],Table2[],3,0),"open")</f>
        <v>ok</v>
      </c>
      <c r="C3213" s="124" t="s">
        <v>369</v>
      </c>
      <c r="D3213" t="s">
        <v>5233</v>
      </c>
      <c r="E3213" t="s">
        <v>5255</v>
      </c>
      <c r="F3213" s="125" t="s">
        <v>5255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4895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58</v>
      </c>
      <c r="R3213" s="115" t="s">
        <v>1013</v>
      </c>
      <c r="S3213" s="125"/>
    </row>
    <row r="3214" spans="1:19" hidden="1">
      <c r="A3214" s="124" t="s">
        <v>5259</v>
      </c>
      <c r="B3214" s="149" t="str">
        <f>IFERROR(VLOOKUP(Proc[[#This Row],[App]],Table2[],3,0),"open")</f>
        <v>ok</v>
      </c>
      <c r="C3214" s="124" t="s">
        <v>369</v>
      </c>
      <c r="D3214" t="s">
        <v>5234</v>
      </c>
      <c r="E3214" t="s">
        <v>5256</v>
      </c>
      <c r="F3214" s="125" t="s">
        <v>5256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4895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58</v>
      </c>
      <c r="R3214" s="115" t="s">
        <v>1013</v>
      </c>
      <c r="S3214" s="125"/>
    </row>
    <row r="3215" spans="1:19" hidden="1">
      <c r="A3215" s="124" t="s">
        <v>5259</v>
      </c>
      <c r="B3215" s="149" t="str">
        <f>IFERROR(VLOOKUP(Proc[[#This Row],[App]],Table2[],3,0),"open")</f>
        <v>ok</v>
      </c>
      <c r="C3215" s="124" t="s">
        <v>369</v>
      </c>
      <c r="D3215" t="s">
        <v>5235</v>
      </c>
      <c r="E3215" t="s">
        <v>5256</v>
      </c>
      <c r="F3215" s="125" t="s">
        <v>5256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4895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58</v>
      </c>
      <c r="R3215" s="115" t="s">
        <v>1013</v>
      </c>
      <c r="S3215" s="125"/>
    </row>
    <row r="3216" spans="1:19" hidden="1">
      <c r="A3216" s="124" t="s">
        <v>5259</v>
      </c>
      <c r="B3216" s="149" t="str">
        <f>IFERROR(VLOOKUP(Proc[[#This Row],[App]],Table2[],3,0),"open")</f>
        <v>ok</v>
      </c>
      <c r="C3216" s="124" t="s">
        <v>369</v>
      </c>
      <c r="D3216" t="s">
        <v>5236</v>
      </c>
      <c r="E3216" t="s">
        <v>5256</v>
      </c>
      <c r="F3216" s="125" t="s">
        <v>5256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4895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58</v>
      </c>
      <c r="R3216" s="115" t="s">
        <v>1013</v>
      </c>
      <c r="S3216" s="125"/>
    </row>
    <row r="3217" spans="1:19" hidden="1">
      <c r="A3217" s="124" t="s">
        <v>5259</v>
      </c>
      <c r="B3217" s="149" t="str">
        <f>IFERROR(VLOOKUP(Proc[[#This Row],[App]],Table2[],3,0),"open")</f>
        <v>ok</v>
      </c>
      <c r="C3217" s="124" t="s">
        <v>369</v>
      </c>
      <c r="D3217" t="s">
        <v>5237</v>
      </c>
      <c r="E3217" t="s">
        <v>5257</v>
      </c>
      <c r="F3217" s="125" t="s">
        <v>5257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4895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58</v>
      </c>
      <c r="R3217" s="115" t="s">
        <v>1013</v>
      </c>
      <c r="S3217" s="125"/>
    </row>
    <row r="3218" spans="1:19" hidden="1">
      <c r="A3218" s="124" t="s">
        <v>5259</v>
      </c>
      <c r="B3218" s="149" t="str">
        <f>IFERROR(VLOOKUP(Proc[[#This Row],[App]],Table2[],3,0),"open")</f>
        <v>ok</v>
      </c>
      <c r="C3218" s="124" t="s">
        <v>369</v>
      </c>
      <c r="D3218" t="s">
        <v>5238</v>
      </c>
      <c r="E3218" t="s">
        <v>5257</v>
      </c>
      <c r="F3218" s="125" t="s">
        <v>5257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4895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58</v>
      </c>
      <c r="R3218" s="115" t="s">
        <v>1013</v>
      </c>
      <c r="S3218" s="125"/>
    </row>
    <row r="3219" spans="1:19" hidden="1">
      <c r="A3219" s="124" t="s">
        <v>5259</v>
      </c>
      <c r="B3219" s="149" t="str">
        <f>IFERROR(VLOOKUP(Proc[[#This Row],[App]],Table2[],3,0),"open")</f>
        <v>ok</v>
      </c>
      <c r="C3219" s="124" t="s">
        <v>369</v>
      </c>
      <c r="D3219" t="s">
        <v>5239</v>
      </c>
      <c r="E3219" t="s">
        <v>5258</v>
      </c>
      <c r="F3219" s="125" t="s">
        <v>5258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4895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58</v>
      </c>
      <c r="R3219" s="115" t="s">
        <v>1013</v>
      </c>
      <c r="S3219" s="125"/>
    </row>
    <row r="3220" spans="1:19" hidden="1">
      <c r="A3220" s="124" t="s">
        <v>5259</v>
      </c>
      <c r="B3220" s="149" t="str">
        <f>IFERROR(VLOOKUP(Proc[[#This Row],[App]],Table2[],3,0),"open")</f>
        <v>ok</v>
      </c>
      <c r="C3220" s="124" t="s">
        <v>369</v>
      </c>
      <c r="D3220" t="s">
        <v>5240</v>
      </c>
      <c r="E3220" t="s">
        <v>5258</v>
      </c>
      <c r="F3220" s="125" t="s">
        <v>5258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4895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58</v>
      </c>
      <c r="R3220" s="115" t="s">
        <v>1013</v>
      </c>
      <c r="S3220" s="125"/>
    </row>
    <row r="3221" spans="1:19" hidden="1">
      <c r="A3221" s="124" t="s">
        <v>5259</v>
      </c>
      <c r="B3221" s="149" t="str">
        <f>IFERROR(VLOOKUP(Proc[[#This Row],[App]],Table2[],3,0),"open")</f>
        <v>ok</v>
      </c>
      <c r="C3221" s="124" t="s">
        <v>369</v>
      </c>
      <c r="D3221" t="s">
        <v>5241</v>
      </c>
      <c r="E3221" t="s">
        <v>5258</v>
      </c>
      <c r="F3221" s="125" t="s">
        <v>5258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4895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58</v>
      </c>
      <c r="R3221" s="115" t="s">
        <v>1013</v>
      </c>
      <c r="S3221" s="125"/>
    </row>
    <row r="3222" spans="1:19" hidden="1">
      <c r="A3222" s="124" t="s">
        <v>5259</v>
      </c>
      <c r="B3222" s="149" t="str">
        <f>IFERROR(VLOOKUP(Proc[[#This Row],[App]],Table2[],3,0),"open")</f>
        <v>ok</v>
      </c>
      <c r="C3222" s="124" t="s">
        <v>369</v>
      </c>
      <c r="D3222" t="s">
        <v>5242</v>
      </c>
      <c r="E3222" t="s">
        <v>5258</v>
      </c>
      <c r="F3222" s="125" t="s">
        <v>5258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4895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58</v>
      </c>
      <c r="R3222" s="115" t="s">
        <v>1013</v>
      </c>
      <c r="S3222" s="125"/>
    </row>
    <row r="3223" spans="1:19" hidden="1">
      <c r="A3223" s="124" t="s">
        <v>5259</v>
      </c>
      <c r="B3223" s="149" t="str">
        <f>IFERROR(VLOOKUP(Proc[[#This Row],[App]],Table2[],3,0),"open")</f>
        <v>ok</v>
      </c>
      <c r="C3223" s="124" t="s">
        <v>369</v>
      </c>
      <c r="D3223" t="s">
        <v>5243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4895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58</v>
      </c>
      <c r="R3223" s="115" t="s">
        <v>1013</v>
      </c>
      <c r="S3223" s="125"/>
    </row>
    <row r="3224" spans="1:19" hidden="1">
      <c r="A3224" s="124" t="s">
        <v>5259</v>
      </c>
      <c r="B3224" s="149" t="str">
        <f>IFERROR(VLOOKUP(Proc[[#This Row],[App]],Table2[],3,0),"open")</f>
        <v>ok</v>
      </c>
      <c r="C3224" s="124" t="s">
        <v>369</v>
      </c>
      <c r="D3224" t="s">
        <v>5244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4895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58</v>
      </c>
      <c r="R3224" s="115" t="s">
        <v>1013</v>
      </c>
      <c r="S3224" s="125"/>
    </row>
    <row r="3225" spans="1:19" hidden="1">
      <c r="A3225" s="124" t="s">
        <v>5259</v>
      </c>
      <c r="B3225" s="149" t="str">
        <f>IFERROR(VLOOKUP(Proc[[#This Row],[App]],Table2[],3,0),"open")</f>
        <v>ok</v>
      </c>
      <c r="C3225" s="124" t="s">
        <v>369</v>
      </c>
      <c r="D3225" t="s">
        <v>5245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4895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58</v>
      </c>
      <c r="R3225" s="115" t="s">
        <v>1013</v>
      </c>
      <c r="S3225" s="125"/>
    </row>
    <row r="3226" spans="1:19" hidden="1">
      <c r="A3226" s="124" t="s">
        <v>5259</v>
      </c>
      <c r="B3226" s="149" t="str">
        <f>IFERROR(VLOOKUP(Proc[[#This Row],[App]],Table2[],3,0),"open")</f>
        <v>ok</v>
      </c>
      <c r="C3226" s="124" t="s">
        <v>369</v>
      </c>
      <c r="D3226" t="s">
        <v>5246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4895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58</v>
      </c>
      <c r="R3226" s="115" t="s">
        <v>1013</v>
      </c>
      <c r="S3226" s="125"/>
    </row>
    <row r="3227" spans="1:19" hidden="1">
      <c r="A3227" s="124" t="s">
        <v>5259</v>
      </c>
      <c r="B3227" s="149" t="str">
        <f>IFERROR(VLOOKUP(Proc[[#This Row],[App]],Table2[],3,0),"open")</f>
        <v>ok</v>
      </c>
      <c r="C3227" s="124" t="s">
        <v>369</v>
      </c>
      <c r="D3227" t="s">
        <v>5247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4895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58</v>
      </c>
      <c r="R3227" s="115" t="s">
        <v>1013</v>
      </c>
      <c r="S3227" s="125"/>
    </row>
    <row r="3228" spans="1:19" hidden="1">
      <c r="A3228" s="124" t="s">
        <v>5259</v>
      </c>
      <c r="B3228" s="149" t="str">
        <f>IFERROR(VLOOKUP(Proc[[#This Row],[App]],Table2[],3,0),"open")</f>
        <v>ok</v>
      </c>
      <c r="C3228" s="124" t="s">
        <v>369</v>
      </c>
      <c r="D3228" t="s">
        <v>5248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4895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58</v>
      </c>
      <c r="R3228" s="115" t="s">
        <v>1013</v>
      </c>
      <c r="S3228" s="125"/>
    </row>
    <row r="3229" spans="1:19" hidden="1">
      <c r="A3229" s="124" t="s">
        <v>5259</v>
      </c>
      <c r="B3229" s="149" t="str">
        <f>IFERROR(VLOOKUP(Proc[[#This Row],[App]],Table2[],3,0),"open")</f>
        <v>ok</v>
      </c>
      <c r="C3229" s="124" t="s">
        <v>369</v>
      </c>
      <c r="D3229" t="s">
        <v>5249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4895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58</v>
      </c>
      <c r="R3229" s="115" t="s">
        <v>1013</v>
      </c>
      <c r="S3229" s="125"/>
    </row>
    <row r="3230" spans="1:19" hidden="1">
      <c r="A3230" s="124" t="s">
        <v>5259</v>
      </c>
      <c r="B3230" s="149" t="str">
        <f>IFERROR(VLOOKUP(Proc[[#This Row],[App]],Table2[],3,0),"open")</f>
        <v>ok</v>
      </c>
      <c r="C3230" s="124" t="s">
        <v>369</v>
      </c>
      <c r="D3230" t="s">
        <v>5250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4895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58</v>
      </c>
      <c r="R3230" s="115" t="s">
        <v>1013</v>
      </c>
      <c r="S3230" s="125"/>
    </row>
    <row r="3231" spans="1:19" hidden="1">
      <c r="A3231" s="124" t="s">
        <v>5259</v>
      </c>
      <c r="B3231" s="149" t="str">
        <f>IFERROR(VLOOKUP(Proc[[#This Row],[App]],Table2[],3,0),"open")</f>
        <v>ok</v>
      </c>
      <c r="C3231" s="124" t="s">
        <v>369</v>
      </c>
      <c r="D3231" t="s">
        <v>5251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4895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58</v>
      </c>
      <c r="R3231" s="115" t="s">
        <v>1013</v>
      </c>
      <c r="S3231" s="125"/>
    </row>
    <row r="3232" spans="1:19" hidden="1">
      <c r="A3232" t="s">
        <v>5272</v>
      </c>
      <c r="B3232" s="149" t="str">
        <f>IFERROR(VLOOKUP(Proc[[#This Row],[App]],Table2[],3,0),"open")</f>
        <v>ok</v>
      </c>
      <c r="C3232" s="124" t="s">
        <v>369</v>
      </c>
      <c r="D3232" t="s">
        <v>5260</v>
      </c>
      <c r="E3232" t="s">
        <v>5271</v>
      </c>
      <c r="F3232" s="125" t="s">
        <v>5271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4895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57</v>
      </c>
      <c r="R3232" s="115" t="s">
        <v>489</v>
      </c>
      <c r="S3232" s="125"/>
    </row>
    <row r="3233" spans="1:19" hidden="1">
      <c r="A3233" s="124" t="s">
        <v>5272</v>
      </c>
      <c r="B3233" s="149" t="str">
        <f>IFERROR(VLOOKUP(Proc[[#This Row],[App]],Table2[],3,0),"open")</f>
        <v>ok</v>
      </c>
      <c r="C3233" s="124" t="s">
        <v>369</v>
      </c>
      <c r="D3233" t="s">
        <v>5261</v>
      </c>
      <c r="E3233" t="s">
        <v>5271</v>
      </c>
      <c r="F3233" s="125" t="s">
        <v>5271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4895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57</v>
      </c>
      <c r="R3233" s="115" t="s">
        <v>489</v>
      </c>
      <c r="S3233" s="125"/>
    </row>
    <row r="3234" spans="1:19" hidden="1">
      <c r="A3234" s="124" t="s">
        <v>5272</v>
      </c>
      <c r="B3234" s="149" t="str">
        <f>IFERROR(VLOOKUP(Proc[[#This Row],[App]],Table2[],3,0),"open")</f>
        <v>ok</v>
      </c>
      <c r="C3234" s="124" t="s">
        <v>369</v>
      </c>
      <c r="D3234" t="s">
        <v>5262</v>
      </c>
      <c r="E3234" t="s">
        <v>5271</v>
      </c>
      <c r="F3234" s="125" t="s">
        <v>5271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4895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57</v>
      </c>
      <c r="R3234" s="115" t="s">
        <v>489</v>
      </c>
      <c r="S3234" s="125"/>
    </row>
    <row r="3235" spans="1:19" hidden="1">
      <c r="A3235" s="124" t="s">
        <v>5272</v>
      </c>
      <c r="B3235" s="149" t="str">
        <f>IFERROR(VLOOKUP(Proc[[#This Row],[App]],Table2[],3,0),"open")</f>
        <v>ok</v>
      </c>
      <c r="C3235" s="124" t="s">
        <v>369</v>
      </c>
      <c r="D3235" t="s">
        <v>5263</v>
      </c>
      <c r="E3235" t="s">
        <v>5271</v>
      </c>
      <c r="F3235" s="125" t="s">
        <v>5271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4895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57</v>
      </c>
      <c r="R3235" s="115" t="s">
        <v>489</v>
      </c>
      <c r="S3235" s="125"/>
    </row>
    <row r="3236" spans="1:19" hidden="1">
      <c r="A3236" s="124" t="s">
        <v>5272</v>
      </c>
      <c r="B3236" s="149" t="str">
        <f>IFERROR(VLOOKUP(Proc[[#This Row],[App]],Table2[],3,0),"open")</f>
        <v>ok</v>
      </c>
      <c r="C3236" s="124" t="s">
        <v>369</v>
      </c>
      <c r="D3236" t="s">
        <v>5264</v>
      </c>
      <c r="E3236" t="s">
        <v>5271</v>
      </c>
      <c r="F3236" s="125" t="s">
        <v>5271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4895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57</v>
      </c>
      <c r="R3236" s="115" t="s">
        <v>489</v>
      </c>
      <c r="S3236" s="125"/>
    </row>
    <row r="3237" spans="1:19" hidden="1">
      <c r="A3237" s="124" t="s">
        <v>5272</v>
      </c>
      <c r="B3237" s="149" t="str">
        <f>IFERROR(VLOOKUP(Proc[[#This Row],[App]],Table2[],3,0),"open")</f>
        <v>ok</v>
      </c>
      <c r="C3237" s="124" t="s">
        <v>369</v>
      </c>
      <c r="D3237" t="s">
        <v>5265</v>
      </c>
      <c r="E3237" t="s">
        <v>5271</v>
      </c>
      <c r="F3237" s="125" t="s">
        <v>5271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4895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57</v>
      </c>
      <c r="R3237" s="115" t="s">
        <v>489</v>
      </c>
      <c r="S3237" s="125"/>
    </row>
    <row r="3238" spans="1:19" hidden="1">
      <c r="A3238" s="124" t="s">
        <v>5272</v>
      </c>
      <c r="B3238" s="149" t="str">
        <f>IFERROR(VLOOKUP(Proc[[#This Row],[App]],Table2[],3,0),"open")</f>
        <v>ok</v>
      </c>
      <c r="C3238" s="124" t="s">
        <v>369</v>
      </c>
      <c r="D3238" t="s">
        <v>5266</v>
      </c>
      <c r="E3238" t="s">
        <v>5271</v>
      </c>
      <c r="F3238" s="125" t="s">
        <v>5271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4895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57</v>
      </c>
      <c r="R3238" s="115" t="s">
        <v>489</v>
      </c>
      <c r="S3238" s="125"/>
    </row>
    <row r="3239" spans="1:19" hidden="1">
      <c r="A3239" s="124" t="s">
        <v>5272</v>
      </c>
      <c r="B3239" s="149" t="str">
        <f>IFERROR(VLOOKUP(Proc[[#This Row],[App]],Table2[],3,0),"open")</f>
        <v>ok</v>
      </c>
      <c r="C3239" s="124" t="s">
        <v>369</v>
      </c>
      <c r="D3239" t="s">
        <v>5267</v>
      </c>
      <c r="E3239" t="s">
        <v>5271</v>
      </c>
      <c r="F3239" s="125" t="s">
        <v>5271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4895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57</v>
      </c>
      <c r="R3239" s="115" t="s">
        <v>489</v>
      </c>
      <c r="S3239" s="125"/>
    </row>
    <row r="3240" spans="1:19" hidden="1">
      <c r="A3240" s="124" t="s">
        <v>5272</v>
      </c>
      <c r="B3240" s="149" t="str">
        <f>IFERROR(VLOOKUP(Proc[[#This Row],[App]],Table2[],3,0),"open")</f>
        <v>ok</v>
      </c>
      <c r="C3240" s="124" t="s">
        <v>369</v>
      </c>
      <c r="D3240" t="s">
        <v>5268</v>
      </c>
      <c r="E3240" t="s">
        <v>5271</v>
      </c>
      <c r="F3240" s="125" t="s">
        <v>5271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4895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57</v>
      </c>
      <c r="R3240" s="115" t="s">
        <v>489</v>
      </c>
      <c r="S3240" s="125"/>
    </row>
    <row r="3241" spans="1:19" hidden="1">
      <c r="A3241" s="124" t="s">
        <v>5272</v>
      </c>
      <c r="B3241" s="149" t="str">
        <f>IFERROR(VLOOKUP(Proc[[#This Row],[App]],Table2[],3,0),"open")</f>
        <v>ok</v>
      </c>
      <c r="C3241" s="124" t="s">
        <v>369</v>
      </c>
      <c r="D3241" t="s">
        <v>5269</v>
      </c>
      <c r="E3241" t="s">
        <v>5271</v>
      </c>
      <c r="F3241" s="125" t="s">
        <v>5271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4895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57</v>
      </c>
      <c r="R3241" s="115" t="s">
        <v>489</v>
      </c>
      <c r="S3241" s="125"/>
    </row>
    <row r="3242" spans="1:19" hidden="1">
      <c r="A3242" s="124" t="s">
        <v>5272</v>
      </c>
      <c r="B3242" s="149" t="str">
        <f>IFERROR(VLOOKUP(Proc[[#This Row],[App]],Table2[],3,0),"open")</f>
        <v>ok</v>
      </c>
      <c r="C3242" s="124" t="s">
        <v>369</v>
      </c>
      <c r="D3242" t="s">
        <v>5270</v>
      </c>
      <c r="E3242" t="s">
        <v>5271</v>
      </c>
      <c r="F3242" s="125" t="s">
        <v>5271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4895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57</v>
      </c>
      <c r="R3242" s="115" t="s">
        <v>489</v>
      </c>
      <c r="S3242" s="125"/>
    </row>
    <row r="3243" spans="1:19" hidden="1">
      <c r="A3243" t="s">
        <v>5479</v>
      </c>
      <c r="B3243" s="149" t="str">
        <f>IFERROR(VLOOKUP(Proc[[#This Row],[App]],Table2[],3,0),"open")</f>
        <v>open</v>
      </c>
      <c r="C3243" s="124" t="s">
        <v>369</v>
      </c>
      <c r="D3243" t="s">
        <v>5273</v>
      </c>
      <c r="E3243" t="s">
        <v>5445</v>
      </c>
      <c r="F3243" s="125" t="s">
        <v>5445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4895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57</v>
      </c>
      <c r="R3243" s="115" t="s">
        <v>1459</v>
      </c>
      <c r="S3243" s="125"/>
    </row>
    <row r="3244" spans="1:19" hidden="1">
      <c r="A3244" s="124" t="s">
        <v>5479</v>
      </c>
      <c r="B3244" s="149" t="str">
        <f>IFERROR(VLOOKUP(Proc[[#This Row],[App]],Table2[],3,0),"open")</f>
        <v>open</v>
      </c>
      <c r="C3244" s="124" t="s">
        <v>369</v>
      </c>
      <c r="D3244" t="s">
        <v>5274</v>
      </c>
      <c r="E3244" t="s">
        <v>5446</v>
      </c>
      <c r="F3244" s="125" t="s">
        <v>5446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4895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57</v>
      </c>
      <c r="R3244" s="115" t="s">
        <v>1459</v>
      </c>
      <c r="S3244" s="125"/>
    </row>
    <row r="3245" spans="1:19" hidden="1">
      <c r="A3245" s="124" t="s">
        <v>5479</v>
      </c>
      <c r="B3245" s="149" t="str">
        <f>IFERROR(VLOOKUP(Proc[[#This Row],[App]],Table2[],3,0),"open")</f>
        <v>open</v>
      </c>
      <c r="C3245" s="124" t="s">
        <v>369</v>
      </c>
      <c r="D3245" t="s">
        <v>5275</v>
      </c>
      <c r="E3245" t="s">
        <v>5445</v>
      </c>
      <c r="F3245" s="125" t="s">
        <v>5445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4895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57</v>
      </c>
      <c r="R3245" s="115" t="s">
        <v>1459</v>
      </c>
      <c r="S3245" s="125"/>
    </row>
    <row r="3246" spans="1:19" hidden="1">
      <c r="A3246" s="124" t="s">
        <v>5479</v>
      </c>
      <c r="B3246" s="149" t="str">
        <f>IFERROR(VLOOKUP(Proc[[#This Row],[App]],Table2[],3,0),"open")</f>
        <v>open</v>
      </c>
      <c r="C3246" s="124" t="s">
        <v>369</v>
      </c>
      <c r="D3246" t="s">
        <v>5276</v>
      </c>
      <c r="E3246" t="s">
        <v>5447</v>
      </c>
      <c r="F3246" s="125" t="s">
        <v>5447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4895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57</v>
      </c>
      <c r="R3246" s="115" t="s">
        <v>1459</v>
      </c>
      <c r="S3246" s="125"/>
    </row>
    <row r="3247" spans="1:19" hidden="1">
      <c r="A3247" s="124" t="s">
        <v>5479</v>
      </c>
      <c r="B3247" s="149" t="str">
        <f>IFERROR(VLOOKUP(Proc[[#This Row],[App]],Table2[],3,0),"open")</f>
        <v>open</v>
      </c>
      <c r="C3247" s="124" t="s">
        <v>369</v>
      </c>
      <c r="D3247" t="s">
        <v>5277</v>
      </c>
      <c r="E3247" t="s">
        <v>5448</v>
      </c>
      <c r="F3247" s="125" t="s">
        <v>5448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4895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57</v>
      </c>
      <c r="R3247" s="115" t="s">
        <v>1459</v>
      </c>
      <c r="S3247" s="125"/>
    </row>
    <row r="3248" spans="1:19" hidden="1">
      <c r="A3248" s="124" t="s">
        <v>5479</v>
      </c>
      <c r="B3248" s="149" t="str">
        <f>IFERROR(VLOOKUP(Proc[[#This Row],[App]],Table2[],3,0),"open")</f>
        <v>open</v>
      </c>
      <c r="C3248" s="124" t="s">
        <v>369</v>
      </c>
      <c r="D3248" t="s">
        <v>5278</v>
      </c>
      <c r="E3248" t="s">
        <v>5449</v>
      </c>
      <c r="F3248" s="125" t="s">
        <v>5449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4895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57</v>
      </c>
      <c r="R3248" s="115" t="s">
        <v>1459</v>
      </c>
      <c r="S3248" s="125"/>
    </row>
    <row r="3249" spans="1:19" hidden="1">
      <c r="A3249" s="124" t="s">
        <v>5479</v>
      </c>
      <c r="B3249" s="149" t="str">
        <f>IFERROR(VLOOKUP(Proc[[#This Row],[App]],Table2[],3,0),"open")</f>
        <v>open</v>
      </c>
      <c r="C3249" s="124" t="s">
        <v>369</v>
      </c>
      <c r="D3249" t="s">
        <v>5279</v>
      </c>
      <c r="E3249" t="s">
        <v>5450</v>
      </c>
      <c r="F3249" s="125" t="s">
        <v>5450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4895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57</v>
      </c>
      <c r="R3249" s="115" t="s">
        <v>1459</v>
      </c>
      <c r="S3249" s="125"/>
    </row>
    <row r="3250" spans="1:19" hidden="1">
      <c r="A3250" s="124" t="s">
        <v>5479</v>
      </c>
      <c r="B3250" s="149" t="str">
        <f>IFERROR(VLOOKUP(Proc[[#This Row],[App]],Table2[],3,0),"open")</f>
        <v>open</v>
      </c>
      <c r="C3250" s="124" t="s">
        <v>369</v>
      </c>
      <c r="D3250" t="s">
        <v>5280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4895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57</v>
      </c>
      <c r="R3250" s="115" t="s">
        <v>1459</v>
      </c>
      <c r="S3250" s="125"/>
    </row>
    <row r="3251" spans="1:19" hidden="1">
      <c r="A3251" s="124" t="s">
        <v>5479</v>
      </c>
      <c r="B3251" s="149" t="str">
        <f>IFERROR(VLOOKUP(Proc[[#This Row],[App]],Table2[],3,0),"open")</f>
        <v>open</v>
      </c>
      <c r="C3251" s="124" t="s">
        <v>369</v>
      </c>
      <c r="D3251" t="s">
        <v>5281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4895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57</v>
      </c>
      <c r="R3251" s="115" t="s">
        <v>1459</v>
      </c>
      <c r="S3251" s="125"/>
    </row>
    <row r="3252" spans="1:19" hidden="1">
      <c r="A3252" s="124" t="s">
        <v>5479</v>
      </c>
      <c r="B3252" s="149" t="str">
        <f>IFERROR(VLOOKUP(Proc[[#This Row],[App]],Table2[],3,0),"open")</f>
        <v>open</v>
      </c>
      <c r="C3252" s="124" t="s">
        <v>369</v>
      </c>
      <c r="D3252" t="s">
        <v>5282</v>
      </c>
      <c r="E3252" t="s">
        <v>5451</v>
      </c>
      <c r="F3252" s="125" t="s">
        <v>5451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4895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57</v>
      </c>
      <c r="R3252" s="115" t="s">
        <v>1459</v>
      </c>
      <c r="S3252" s="125"/>
    </row>
    <row r="3253" spans="1:19" hidden="1">
      <c r="A3253" s="124" t="s">
        <v>5479</v>
      </c>
      <c r="B3253" s="149" t="str">
        <f>IFERROR(VLOOKUP(Proc[[#This Row],[App]],Table2[],3,0),"open")</f>
        <v>open</v>
      </c>
      <c r="C3253" s="124" t="s">
        <v>369</v>
      </c>
      <c r="D3253" t="s">
        <v>5283</v>
      </c>
      <c r="E3253" t="s">
        <v>5452</v>
      </c>
      <c r="F3253" s="125" t="s">
        <v>5452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4895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57</v>
      </c>
      <c r="R3253" s="115" t="s">
        <v>1459</v>
      </c>
      <c r="S3253" s="125"/>
    </row>
    <row r="3254" spans="1:19" hidden="1">
      <c r="A3254" s="124" t="s">
        <v>5479</v>
      </c>
      <c r="B3254" s="149" t="str">
        <f>IFERROR(VLOOKUP(Proc[[#This Row],[App]],Table2[],3,0),"open")</f>
        <v>open</v>
      </c>
      <c r="C3254" s="124" t="s">
        <v>369</v>
      </c>
      <c r="D3254" t="s">
        <v>5284</v>
      </c>
      <c r="E3254" t="s">
        <v>5453</v>
      </c>
      <c r="F3254" s="125" t="s">
        <v>5453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4895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57</v>
      </c>
      <c r="R3254" s="115" t="s">
        <v>1459</v>
      </c>
      <c r="S3254" s="125"/>
    </row>
    <row r="3255" spans="1:19" hidden="1">
      <c r="A3255" s="124" t="s">
        <v>5479</v>
      </c>
      <c r="B3255" s="149" t="str">
        <f>IFERROR(VLOOKUP(Proc[[#This Row],[App]],Table2[],3,0),"open")</f>
        <v>open</v>
      </c>
      <c r="C3255" s="124" t="s">
        <v>369</v>
      </c>
      <c r="D3255" t="s">
        <v>5285</v>
      </c>
      <c r="E3255" t="s">
        <v>5454</v>
      </c>
      <c r="F3255" s="125" t="s">
        <v>5454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4895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57</v>
      </c>
      <c r="R3255" s="115" t="s">
        <v>1459</v>
      </c>
      <c r="S3255" s="125"/>
    </row>
    <row r="3256" spans="1:19" hidden="1">
      <c r="A3256" s="124" t="s">
        <v>5479</v>
      </c>
      <c r="B3256" s="149" t="str">
        <f>IFERROR(VLOOKUP(Proc[[#This Row],[App]],Table2[],3,0),"open")</f>
        <v>open</v>
      </c>
      <c r="C3256" s="124" t="s">
        <v>369</v>
      </c>
      <c r="D3256" t="s">
        <v>5286</v>
      </c>
      <c r="E3256" t="s">
        <v>5454</v>
      </c>
      <c r="F3256" s="125" t="s">
        <v>5454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4895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57</v>
      </c>
      <c r="R3256" s="115" t="s">
        <v>1459</v>
      </c>
      <c r="S3256" s="125"/>
    </row>
    <row r="3257" spans="1:19" hidden="1">
      <c r="A3257" s="124" t="s">
        <v>5479</v>
      </c>
      <c r="B3257" s="149" t="str">
        <f>IFERROR(VLOOKUP(Proc[[#This Row],[App]],Table2[],3,0),"open")</f>
        <v>open</v>
      </c>
      <c r="C3257" s="124" t="s">
        <v>369</v>
      </c>
      <c r="D3257" t="s">
        <v>5287</v>
      </c>
      <c r="E3257" t="s">
        <v>5454</v>
      </c>
      <c r="F3257" s="125" t="s">
        <v>5454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4895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57</v>
      </c>
      <c r="R3257" s="115" t="s">
        <v>1459</v>
      </c>
      <c r="S3257" s="125"/>
    </row>
    <row r="3258" spans="1:19" hidden="1">
      <c r="A3258" s="124" t="s">
        <v>5479</v>
      </c>
      <c r="B3258" s="149" t="str">
        <f>IFERROR(VLOOKUP(Proc[[#This Row],[App]],Table2[],3,0),"open")</f>
        <v>open</v>
      </c>
      <c r="C3258" s="124" t="s">
        <v>369</v>
      </c>
      <c r="D3258" t="s">
        <v>5288</v>
      </c>
      <c r="E3258" t="s">
        <v>5455</v>
      </c>
      <c r="F3258" s="125" t="s">
        <v>5455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4895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57</v>
      </c>
      <c r="R3258" s="115" t="s">
        <v>1459</v>
      </c>
      <c r="S3258" s="125"/>
    </row>
    <row r="3259" spans="1:19" hidden="1">
      <c r="A3259" s="124" t="s">
        <v>5479</v>
      </c>
      <c r="B3259" s="149" t="str">
        <f>IFERROR(VLOOKUP(Proc[[#This Row],[App]],Table2[],3,0),"open")</f>
        <v>open</v>
      </c>
      <c r="C3259" s="124" t="s">
        <v>369</v>
      </c>
      <c r="D3259" t="s">
        <v>5289</v>
      </c>
      <c r="E3259" t="s">
        <v>5451</v>
      </c>
      <c r="F3259" s="125" t="s">
        <v>5451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4895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57</v>
      </c>
      <c r="R3259" s="115" t="s">
        <v>1459</v>
      </c>
      <c r="S3259" s="125"/>
    </row>
    <row r="3260" spans="1:19" hidden="1">
      <c r="A3260" s="124" t="s">
        <v>5479</v>
      </c>
      <c r="B3260" s="149" t="str">
        <f>IFERROR(VLOOKUP(Proc[[#This Row],[App]],Table2[],3,0),"open")</f>
        <v>open</v>
      </c>
      <c r="C3260" s="124" t="s">
        <v>369</v>
      </c>
      <c r="D3260" t="s">
        <v>5290</v>
      </c>
      <c r="E3260" t="s">
        <v>5456</v>
      </c>
      <c r="F3260" s="125" t="s">
        <v>5456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4895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57</v>
      </c>
      <c r="R3260" s="115" t="s">
        <v>1459</v>
      </c>
      <c r="S3260" s="125"/>
    </row>
    <row r="3261" spans="1:19" hidden="1">
      <c r="A3261" s="124" t="s">
        <v>5479</v>
      </c>
      <c r="B3261" s="149" t="str">
        <f>IFERROR(VLOOKUP(Proc[[#This Row],[App]],Table2[],3,0),"open")</f>
        <v>open</v>
      </c>
      <c r="C3261" s="124" t="s">
        <v>369</v>
      </c>
      <c r="D3261" t="s">
        <v>5291</v>
      </c>
      <c r="E3261" t="s">
        <v>5456</v>
      </c>
      <c r="F3261" s="125" t="s">
        <v>5456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4895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57</v>
      </c>
      <c r="R3261" s="115" t="s">
        <v>1459</v>
      </c>
      <c r="S3261" s="125"/>
    </row>
    <row r="3262" spans="1:19" hidden="1">
      <c r="A3262" s="124" t="s">
        <v>5479</v>
      </c>
      <c r="B3262" s="149" t="str">
        <f>IFERROR(VLOOKUP(Proc[[#This Row],[App]],Table2[],3,0),"open")</f>
        <v>open</v>
      </c>
      <c r="C3262" s="124" t="s">
        <v>369</v>
      </c>
      <c r="D3262" t="s">
        <v>5292</v>
      </c>
      <c r="E3262" t="s">
        <v>5454</v>
      </c>
      <c r="F3262" s="125" t="s">
        <v>5454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4895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57</v>
      </c>
      <c r="R3262" s="115" t="s">
        <v>1459</v>
      </c>
      <c r="S3262" s="125"/>
    </row>
    <row r="3263" spans="1:19" hidden="1">
      <c r="A3263" s="124" t="s">
        <v>5479</v>
      </c>
      <c r="B3263" s="149" t="str">
        <f>IFERROR(VLOOKUP(Proc[[#This Row],[App]],Table2[],3,0),"open")</f>
        <v>open</v>
      </c>
      <c r="C3263" s="124" t="s">
        <v>369</v>
      </c>
      <c r="D3263" t="s">
        <v>5293</v>
      </c>
      <c r="E3263" t="s">
        <v>5457</v>
      </c>
      <c r="F3263" s="125" t="s">
        <v>5457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4895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57</v>
      </c>
      <c r="R3263" s="115" t="s">
        <v>1459</v>
      </c>
      <c r="S3263" s="125"/>
    </row>
    <row r="3264" spans="1:19" hidden="1">
      <c r="A3264" s="124" t="s">
        <v>5479</v>
      </c>
      <c r="B3264" s="149" t="str">
        <f>IFERROR(VLOOKUP(Proc[[#This Row],[App]],Table2[],3,0),"open")</f>
        <v>open</v>
      </c>
      <c r="C3264" s="124" t="s">
        <v>369</v>
      </c>
      <c r="D3264" t="s">
        <v>5294</v>
      </c>
      <c r="E3264" t="s">
        <v>5450</v>
      </c>
      <c r="F3264" s="125" t="s">
        <v>5450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4895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57</v>
      </c>
      <c r="R3264" s="115" t="s">
        <v>1459</v>
      </c>
      <c r="S3264" s="125"/>
    </row>
    <row r="3265" spans="1:19" hidden="1">
      <c r="A3265" s="124" t="s">
        <v>5479</v>
      </c>
      <c r="B3265" s="149" t="str">
        <f>IFERROR(VLOOKUP(Proc[[#This Row],[App]],Table2[],3,0),"open")</f>
        <v>open</v>
      </c>
      <c r="C3265" s="124" t="s">
        <v>369</v>
      </c>
      <c r="D3265" t="s">
        <v>5295</v>
      </c>
      <c r="E3265" t="s">
        <v>5457</v>
      </c>
      <c r="F3265" s="125" t="s">
        <v>5457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4895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57</v>
      </c>
      <c r="R3265" s="115" t="s">
        <v>1459</v>
      </c>
      <c r="S3265" s="125"/>
    </row>
    <row r="3266" spans="1:19" hidden="1">
      <c r="A3266" s="124" t="s">
        <v>5479</v>
      </c>
      <c r="B3266" s="149" t="str">
        <f>IFERROR(VLOOKUP(Proc[[#This Row],[App]],Table2[],3,0),"open")</f>
        <v>open</v>
      </c>
      <c r="C3266" s="124" t="s">
        <v>369</v>
      </c>
      <c r="D3266" t="s">
        <v>5296</v>
      </c>
      <c r="E3266" t="s">
        <v>5458</v>
      </c>
      <c r="F3266" s="125" t="s">
        <v>5458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4895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57</v>
      </c>
      <c r="R3266" s="115" t="s">
        <v>1459</v>
      </c>
      <c r="S3266" s="125"/>
    </row>
    <row r="3267" spans="1:19" hidden="1">
      <c r="A3267" s="124" t="s">
        <v>5479</v>
      </c>
      <c r="B3267" s="149" t="str">
        <f>IFERROR(VLOOKUP(Proc[[#This Row],[App]],Table2[],3,0),"open")</f>
        <v>open</v>
      </c>
      <c r="C3267" s="124" t="s">
        <v>369</v>
      </c>
      <c r="D3267" t="s">
        <v>5297</v>
      </c>
      <c r="E3267" t="s">
        <v>5450</v>
      </c>
      <c r="F3267" s="125" t="s">
        <v>5450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4895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57</v>
      </c>
      <c r="R3267" s="115" t="s">
        <v>1459</v>
      </c>
      <c r="S3267" s="125"/>
    </row>
    <row r="3268" spans="1:19" hidden="1">
      <c r="A3268" s="124" t="s">
        <v>5479</v>
      </c>
      <c r="B3268" s="149" t="str">
        <f>IFERROR(VLOOKUP(Proc[[#This Row],[App]],Table2[],3,0),"open")</f>
        <v>open</v>
      </c>
      <c r="C3268" s="124" t="s">
        <v>369</v>
      </c>
      <c r="D3268" t="s">
        <v>4808</v>
      </c>
      <c r="E3268" t="s">
        <v>4411</v>
      </c>
      <c r="F3268" s="125" t="s">
        <v>4411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4895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57</v>
      </c>
      <c r="R3268" s="115" t="s">
        <v>1459</v>
      </c>
      <c r="S3268" s="125"/>
    </row>
    <row r="3269" spans="1:19" hidden="1">
      <c r="A3269" s="124" t="s">
        <v>5479</v>
      </c>
      <c r="B3269" s="149" t="str">
        <f>IFERROR(VLOOKUP(Proc[[#This Row],[App]],Table2[],3,0),"open")</f>
        <v>open</v>
      </c>
      <c r="C3269" s="124" t="s">
        <v>369</v>
      </c>
      <c r="D3269" t="s">
        <v>5298</v>
      </c>
      <c r="E3269" t="s">
        <v>5450</v>
      </c>
      <c r="F3269" s="125" t="s">
        <v>5450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4895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57</v>
      </c>
      <c r="R3269" s="115" t="s">
        <v>1459</v>
      </c>
      <c r="S3269" s="125"/>
    </row>
    <row r="3270" spans="1:19" hidden="1">
      <c r="A3270" s="124" t="s">
        <v>5479</v>
      </c>
      <c r="B3270" s="149" t="str">
        <f>IFERROR(VLOOKUP(Proc[[#This Row],[App]],Table2[],3,0),"open")</f>
        <v>open</v>
      </c>
      <c r="C3270" s="124" t="s">
        <v>369</v>
      </c>
      <c r="D3270" t="s">
        <v>5299</v>
      </c>
      <c r="E3270" t="s">
        <v>5459</v>
      </c>
      <c r="F3270" s="125" t="s">
        <v>5459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4895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57</v>
      </c>
      <c r="R3270" s="115" t="s">
        <v>1459</v>
      </c>
      <c r="S3270" s="125"/>
    </row>
    <row r="3271" spans="1:19" hidden="1">
      <c r="A3271" s="124" t="s">
        <v>5479</v>
      </c>
      <c r="B3271" s="149" t="str">
        <f>IFERROR(VLOOKUP(Proc[[#This Row],[App]],Table2[],3,0),"open")</f>
        <v>open</v>
      </c>
      <c r="C3271" s="124" t="s">
        <v>369</v>
      </c>
      <c r="D3271" t="s">
        <v>5300</v>
      </c>
      <c r="E3271" t="s">
        <v>5460</v>
      </c>
      <c r="F3271" s="125" t="s">
        <v>5460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4895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57</v>
      </c>
      <c r="R3271" s="115" t="s">
        <v>1459</v>
      </c>
      <c r="S3271" s="125"/>
    </row>
    <row r="3272" spans="1:19" hidden="1">
      <c r="A3272" s="124" t="s">
        <v>5479</v>
      </c>
      <c r="B3272" s="149" t="str">
        <f>IFERROR(VLOOKUP(Proc[[#This Row],[App]],Table2[],3,0),"open")</f>
        <v>open</v>
      </c>
      <c r="C3272" s="124" t="s">
        <v>369</v>
      </c>
      <c r="D3272" t="s">
        <v>5301</v>
      </c>
      <c r="E3272" t="s">
        <v>5461</v>
      </c>
      <c r="F3272" s="125" t="s">
        <v>5461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4895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57</v>
      </c>
      <c r="R3272" s="115" t="s">
        <v>1459</v>
      </c>
      <c r="S3272" s="125"/>
    </row>
    <row r="3273" spans="1:19" hidden="1">
      <c r="A3273" s="124" t="s">
        <v>5479</v>
      </c>
      <c r="B3273" s="149" t="str">
        <f>IFERROR(VLOOKUP(Proc[[#This Row],[App]],Table2[],3,0),"open")</f>
        <v>open</v>
      </c>
      <c r="C3273" s="124" t="s">
        <v>369</v>
      </c>
      <c r="D3273" t="s">
        <v>3370</v>
      </c>
      <c r="E3273" t="s">
        <v>5458</v>
      </c>
      <c r="F3273" s="125" t="s">
        <v>5458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4895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57</v>
      </c>
      <c r="R3273" s="115" t="s">
        <v>1459</v>
      </c>
      <c r="S3273" s="125"/>
    </row>
    <row r="3274" spans="1:19" hidden="1">
      <c r="A3274" s="124" t="s">
        <v>5479</v>
      </c>
      <c r="B3274" s="149" t="str">
        <f>IFERROR(VLOOKUP(Proc[[#This Row],[App]],Table2[],3,0),"open")</f>
        <v>open</v>
      </c>
      <c r="C3274" s="124" t="s">
        <v>369</v>
      </c>
      <c r="D3274" t="s">
        <v>5302</v>
      </c>
      <c r="E3274" t="s">
        <v>5460</v>
      </c>
      <c r="F3274" s="125" t="s">
        <v>5460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4895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57</v>
      </c>
      <c r="R3274" s="115" t="s">
        <v>1459</v>
      </c>
      <c r="S3274" s="125"/>
    </row>
    <row r="3275" spans="1:19" hidden="1">
      <c r="A3275" s="124" t="s">
        <v>5479</v>
      </c>
      <c r="B3275" s="149" t="str">
        <f>IFERROR(VLOOKUP(Proc[[#This Row],[App]],Table2[],3,0),"open")</f>
        <v>open</v>
      </c>
      <c r="C3275" s="124" t="s">
        <v>369</v>
      </c>
      <c r="D3275" t="s">
        <v>5303</v>
      </c>
      <c r="E3275" t="s">
        <v>5450</v>
      </c>
      <c r="F3275" s="125" t="s">
        <v>5450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4895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57</v>
      </c>
      <c r="R3275" s="115" t="s">
        <v>1459</v>
      </c>
      <c r="S3275" s="125"/>
    </row>
    <row r="3276" spans="1:19" hidden="1">
      <c r="A3276" s="124" t="s">
        <v>5479</v>
      </c>
      <c r="B3276" s="149" t="str">
        <f>IFERROR(VLOOKUP(Proc[[#This Row],[App]],Table2[],3,0),"open")</f>
        <v>open</v>
      </c>
      <c r="C3276" s="124" t="s">
        <v>369</v>
      </c>
      <c r="D3276" t="s">
        <v>5304</v>
      </c>
      <c r="E3276" t="s">
        <v>5462</v>
      </c>
      <c r="F3276" s="125" t="s">
        <v>5462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4895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57</v>
      </c>
      <c r="R3276" s="115" t="s">
        <v>1459</v>
      </c>
      <c r="S3276" s="125"/>
    </row>
    <row r="3277" spans="1:19" hidden="1">
      <c r="A3277" s="124" t="s">
        <v>5479</v>
      </c>
      <c r="B3277" s="149" t="str">
        <f>IFERROR(VLOOKUP(Proc[[#This Row],[App]],Table2[],3,0),"open")</f>
        <v>open</v>
      </c>
      <c r="C3277" s="124" t="s">
        <v>369</v>
      </c>
      <c r="D3277" t="s">
        <v>5305</v>
      </c>
      <c r="E3277" t="s">
        <v>5463</v>
      </c>
      <c r="F3277" s="125" t="s">
        <v>5463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4895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57</v>
      </c>
      <c r="R3277" s="115" t="s">
        <v>1459</v>
      </c>
      <c r="S3277" s="125"/>
    </row>
    <row r="3278" spans="1:19" hidden="1">
      <c r="A3278" s="124" t="s">
        <v>5479</v>
      </c>
      <c r="B3278" s="149" t="str">
        <f>IFERROR(VLOOKUP(Proc[[#This Row],[App]],Table2[],3,0),"open")</f>
        <v>open</v>
      </c>
      <c r="C3278" s="124" t="s">
        <v>369</v>
      </c>
      <c r="D3278" t="s">
        <v>5306</v>
      </c>
      <c r="E3278" t="s">
        <v>5450</v>
      </c>
      <c r="F3278" s="125" t="s">
        <v>5450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4895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57</v>
      </c>
      <c r="R3278" s="115" t="s">
        <v>1459</v>
      </c>
      <c r="S3278" s="125"/>
    </row>
    <row r="3279" spans="1:19" hidden="1">
      <c r="A3279" s="124" t="s">
        <v>5479</v>
      </c>
      <c r="B3279" s="149" t="str">
        <f>IFERROR(VLOOKUP(Proc[[#This Row],[App]],Table2[],3,0),"open")</f>
        <v>open</v>
      </c>
      <c r="C3279" s="124" t="s">
        <v>369</v>
      </c>
      <c r="D3279" t="s">
        <v>5307</v>
      </c>
      <c r="E3279" t="s">
        <v>5457</v>
      </c>
      <c r="F3279" s="125" t="s">
        <v>5457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4895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57</v>
      </c>
      <c r="R3279" s="115" t="s">
        <v>1459</v>
      </c>
      <c r="S3279" s="125"/>
    </row>
    <row r="3280" spans="1:19" hidden="1">
      <c r="A3280" s="124" t="s">
        <v>5479</v>
      </c>
      <c r="B3280" s="149" t="str">
        <f>IFERROR(VLOOKUP(Proc[[#This Row],[App]],Table2[],3,0),"open")</f>
        <v>open</v>
      </c>
      <c r="C3280" s="124" t="s">
        <v>369</v>
      </c>
      <c r="D3280" t="s">
        <v>5308</v>
      </c>
      <c r="E3280" t="s">
        <v>5457</v>
      </c>
      <c r="F3280" s="125" t="s">
        <v>5457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4895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57</v>
      </c>
      <c r="R3280" s="115" t="s">
        <v>1459</v>
      </c>
      <c r="S3280" s="125"/>
    </row>
    <row r="3281" spans="1:19" hidden="1">
      <c r="A3281" s="124" t="s">
        <v>5479</v>
      </c>
      <c r="B3281" s="149" t="str">
        <f>IFERROR(VLOOKUP(Proc[[#This Row],[App]],Table2[],3,0),"open")</f>
        <v>open</v>
      </c>
      <c r="C3281" s="124" t="s">
        <v>369</v>
      </c>
      <c r="D3281" t="s">
        <v>5309</v>
      </c>
      <c r="E3281" t="s">
        <v>5464</v>
      </c>
      <c r="F3281" s="125" t="s">
        <v>5464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4895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57</v>
      </c>
      <c r="R3281" s="115" t="s">
        <v>1459</v>
      </c>
      <c r="S3281" s="125"/>
    </row>
    <row r="3282" spans="1:19" hidden="1">
      <c r="A3282" s="124" t="s">
        <v>5479</v>
      </c>
      <c r="B3282" s="149" t="str">
        <f>IFERROR(VLOOKUP(Proc[[#This Row],[App]],Table2[],3,0),"open")</f>
        <v>open</v>
      </c>
      <c r="C3282" s="124" t="s">
        <v>369</v>
      </c>
      <c r="D3282" t="s">
        <v>5310</v>
      </c>
      <c r="E3282" t="s">
        <v>5460</v>
      </c>
      <c r="F3282" s="125" t="s">
        <v>5460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4895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57</v>
      </c>
      <c r="R3282" s="115" t="s">
        <v>1459</v>
      </c>
      <c r="S3282" s="125"/>
    </row>
    <row r="3283" spans="1:19">
      <c r="A3283" s="124" t="s">
        <v>5479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5570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4833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4895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57</v>
      </c>
      <c r="R3283" s="115" t="s">
        <v>1459</v>
      </c>
      <c r="S3283" s="125"/>
    </row>
    <row r="3284" spans="1:19" hidden="1">
      <c r="A3284" s="124" t="s">
        <v>5479</v>
      </c>
      <c r="B3284" s="149" t="str">
        <f>IFERROR(VLOOKUP(Proc[[#This Row],[App]],Table2[],3,0),"open")</f>
        <v>open</v>
      </c>
      <c r="C3284" s="124" t="s">
        <v>369</v>
      </c>
      <c r="D3284" t="s">
        <v>5311</v>
      </c>
      <c r="E3284" t="s">
        <v>5465</v>
      </c>
      <c r="F3284" s="125" t="s">
        <v>5465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4895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57</v>
      </c>
      <c r="R3284" s="115" t="s">
        <v>1459</v>
      </c>
      <c r="S3284" s="125"/>
    </row>
    <row r="3285" spans="1:19" hidden="1">
      <c r="A3285" s="124" t="s">
        <v>5479</v>
      </c>
      <c r="B3285" s="149" t="str">
        <f>IFERROR(VLOOKUP(Proc[[#This Row],[App]],Table2[],3,0),"open")</f>
        <v>open</v>
      </c>
      <c r="C3285" s="124" t="s">
        <v>369</v>
      </c>
      <c r="D3285" t="s">
        <v>5312</v>
      </c>
      <c r="E3285" t="s">
        <v>5457</v>
      </c>
      <c r="F3285" s="125" t="s">
        <v>5457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4895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57</v>
      </c>
      <c r="R3285" s="115" t="s">
        <v>1459</v>
      </c>
      <c r="S3285" s="125"/>
    </row>
    <row r="3286" spans="1:19" hidden="1">
      <c r="A3286" s="124" t="s">
        <v>5479</v>
      </c>
      <c r="B3286" s="149" t="str">
        <f>IFERROR(VLOOKUP(Proc[[#This Row],[App]],Table2[],3,0),"open")</f>
        <v>open</v>
      </c>
      <c r="C3286" s="124" t="s">
        <v>369</v>
      </c>
      <c r="D3286" t="s">
        <v>5313</v>
      </c>
      <c r="E3286" t="s">
        <v>5465</v>
      </c>
      <c r="F3286" s="125" t="s">
        <v>5465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4895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57</v>
      </c>
      <c r="R3286" s="115" t="s">
        <v>1459</v>
      </c>
      <c r="S3286" s="125"/>
    </row>
    <row r="3287" spans="1:19" hidden="1">
      <c r="A3287" s="124" t="s">
        <v>5479</v>
      </c>
      <c r="B3287" s="149" t="str">
        <f>IFERROR(VLOOKUP(Proc[[#This Row],[App]],Table2[],3,0),"open")</f>
        <v>open</v>
      </c>
      <c r="C3287" s="124" t="s">
        <v>369</v>
      </c>
      <c r="D3287" t="s">
        <v>5314</v>
      </c>
      <c r="E3287" t="s">
        <v>5457</v>
      </c>
      <c r="F3287" s="125" t="s">
        <v>5457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4895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57</v>
      </c>
      <c r="R3287" s="115" t="s">
        <v>1459</v>
      </c>
      <c r="S3287" s="125"/>
    </row>
    <row r="3288" spans="1:19" hidden="1">
      <c r="A3288" s="124" t="s">
        <v>5479</v>
      </c>
      <c r="B3288" s="149" t="str">
        <f>IFERROR(VLOOKUP(Proc[[#This Row],[App]],Table2[],3,0),"open")</f>
        <v>open</v>
      </c>
      <c r="C3288" s="124" t="s">
        <v>369</v>
      </c>
      <c r="D3288" t="s">
        <v>5315</v>
      </c>
      <c r="E3288" t="s">
        <v>5454</v>
      </c>
      <c r="F3288" s="125" t="s">
        <v>5454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4895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57</v>
      </c>
      <c r="R3288" s="115" t="s">
        <v>1459</v>
      </c>
      <c r="S3288" s="125"/>
    </row>
    <row r="3289" spans="1:19" hidden="1">
      <c r="A3289" s="124" t="s">
        <v>5479</v>
      </c>
      <c r="B3289" s="149" t="str">
        <f>IFERROR(VLOOKUP(Proc[[#This Row],[App]],Table2[],3,0),"open")</f>
        <v>open</v>
      </c>
      <c r="C3289" s="124" t="s">
        <v>369</v>
      </c>
      <c r="D3289" t="s">
        <v>5316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4895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57</v>
      </c>
      <c r="R3289" s="115" t="s">
        <v>1459</v>
      </c>
      <c r="S3289" s="125"/>
    </row>
    <row r="3290" spans="1:19" hidden="1">
      <c r="A3290" s="124" t="s">
        <v>5479</v>
      </c>
      <c r="B3290" s="149" t="str">
        <f>IFERROR(VLOOKUP(Proc[[#This Row],[App]],Table2[],3,0),"open")</f>
        <v>open</v>
      </c>
      <c r="C3290" s="124" t="s">
        <v>369</v>
      </c>
      <c r="D3290" t="s">
        <v>5317</v>
      </c>
      <c r="E3290" t="s">
        <v>5453</v>
      </c>
      <c r="F3290" s="125" t="s">
        <v>5453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4895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57</v>
      </c>
      <c r="R3290" s="115" t="s">
        <v>1459</v>
      </c>
      <c r="S3290" s="125"/>
    </row>
    <row r="3291" spans="1:19" hidden="1">
      <c r="A3291" s="124" t="s">
        <v>5479</v>
      </c>
      <c r="B3291" s="149" t="str">
        <f>IFERROR(VLOOKUP(Proc[[#This Row],[App]],Table2[],3,0),"open")</f>
        <v>open</v>
      </c>
      <c r="C3291" s="124" t="s">
        <v>369</v>
      </c>
      <c r="D3291" t="s">
        <v>5318</v>
      </c>
      <c r="E3291" t="s">
        <v>5453</v>
      </c>
      <c r="F3291" s="125" t="s">
        <v>5453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4895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57</v>
      </c>
      <c r="R3291" s="115" t="s">
        <v>1459</v>
      </c>
      <c r="S3291" s="125"/>
    </row>
    <row r="3292" spans="1:19" hidden="1">
      <c r="A3292" s="124" t="s">
        <v>5479</v>
      </c>
      <c r="B3292" s="149" t="str">
        <f>IFERROR(VLOOKUP(Proc[[#This Row],[App]],Table2[],3,0),"open")</f>
        <v>open</v>
      </c>
      <c r="C3292" s="124" t="s">
        <v>369</v>
      </c>
      <c r="D3292" t="s">
        <v>5319</v>
      </c>
      <c r="E3292" t="s">
        <v>5445</v>
      </c>
      <c r="F3292" s="125" t="s">
        <v>5445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4895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57</v>
      </c>
      <c r="R3292" s="115" t="s">
        <v>1459</v>
      </c>
      <c r="S3292" s="125"/>
    </row>
    <row r="3293" spans="1:19" hidden="1">
      <c r="A3293" s="124" t="s">
        <v>5479</v>
      </c>
      <c r="B3293" s="149" t="str">
        <f>IFERROR(VLOOKUP(Proc[[#This Row],[App]],Table2[],3,0),"open")</f>
        <v>open</v>
      </c>
      <c r="C3293" s="124" t="s">
        <v>369</v>
      </c>
      <c r="D3293" t="s">
        <v>5320</v>
      </c>
      <c r="E3293" t="s">
        <v>5446</v>
      </c>
      <c r="F3293" s="125" t="s">
        <v>5446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4895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57</v>
      </c>
      <c r="R3293" s="115" t="s">
        <v>1459</v>
      </c>
      <c r="S3293" s="125"/>
    </row>
    <row r="3294" spans="1:19" hidden="1">
      <c r="A3294" s="124" t="s">
        <v>5479</v>
      </c>
      <c r="B3294" s="149" t="str">
        <f>IFERROR(VLOOKUP(Proc[[#This Row],[App]],Table2[],3,0),"open")</f>
        <v>open</v>
      </c>
      <c r="C3294" s="124" t="s">
        <v>369</v>
      </c>
      <c r="D3294" t="s">
        <v>5321</v>
      </c>
      <c r="E3294" t="s">
        <v>5453</v>
      </c>
      <c r="F3294" s="125" t="s">
        <v>5453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4895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57</v>
      </c>
      <c r="R3294" s="115" t="s">
        <v>1459</v>
      </c>
      <c r="S3294" s="125"/>
    </row>
    <row r="3295" spans="1:19" hidden="1">
      <c r="A3295" s="124" t="s">
        <v>5479</v>
      </c>
      <c r="B3295" s="149" t="str">
        <f>IFERROR(VLOOKUP(Proc[[#This Row],[App]],Table2[],3,0),"open")</f>
        <v>open</v>
      </c>
      <c r="C3295" s="124" t="s">
        <v>369</v>
      </c>
      <c r="D3295" t="s">
        <v>5322</v>
      </c>
      <c r="E3295" t="s">
        <v>5447</v>
      </c>
      <c r="F3295" s="125" t="s">
        <v>5447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4895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57</v>
      </c>
      <c r="R3295" s="115" t="s">
        <v>1459</v>
      </c>
      <c r="S3295" s="125"/>
    </row>
    <row r="3296" spans="1:19" hidden="1">
      <c r="A3296" s="124" t="s">
        <v>5479</v>
      </c>
      <c r="B3296" s="149" t="str">
        <f>IFERROR(VLOOKUP(Proc[[#This Row],[App]],Table2[],3,0),"open")</f>
        <v>open</v>
      </c>
      <c r="C3296" s="124" t="s">
        <v>369</v>
      </c>
      <c r="D3296" t="s">
        <v>5323</v>
      </c>
      <c r="E3296" t="s">
        <v>5465</v>
      </c>
      <c r="F3296" s="125" t="s">
        <v>5465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4895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57</v>
      </c>
      <c r="R3296" s="115" t="s">
        <v>1459</v>
      </c>
      <c r="S3296" s="125"/>
    </row>
    <row r="3297" spans="1:19" hidden="1">
      <c r="A3297" s="124" t="s">
        <v>5479</v>
      </c>
      <c r="B3297" s="149" t="str">
        <f>IFERROR(VLOOKUP(Proc[[#This Row],[App]],Table2[],3,0),"open")</f>
        <v>open</v>
      </c>
      <c r="C3297" s="124" t="s">
        <v>369</v>
      </c>
      <c r="D3297" t="s">
        <v>5324</v>
      </c>
      <c r="E3297" t="s">
        <v>5453</v>
      </c>
      <c r="F3297" s="125" t="s">
        <v>5453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4895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57</v>
      </c>
      <c r="R3297" s="115" t="s">
        <v>1459</v>
      </c>
      <c r="S3297" s="125"/>
    </row>
    <row r="3298" spans="1:19" hidden="1">
      <c r="A3298" s="124" t="s">
        <v>5479</v>
      </c>
      <c r="B3298" s="149" t="str">
        <f>IFERROR(VLOOKUP(Proc[[#This Row],[App]],Table2[],3,0),"open")</f>
        <v>open</v>
      </c>
      <c r="C3298" s="124" t="s">
        <v>369</v>
      </c>
      <c r="D3298" t="s">
        <v>5325</v>
      </c>
      <c r="E3298" t="s">
        <v>5445</v>
      </c>
      <c r="F3298" s="125" t="s">
        <v>5445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4895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57</v>
      </c>
      <c r="R3298" s="115" t="s">
        <v>1459</v>
      </c>
      <c r="S3298" s="125"/>
    </row>
    <row r="3299" spans="1:19" hidden="1">
      <c r="A3299" s="124" t="s">
        <v>5479</v>
      </c>
      <c r="B3299" s="149" t="str">
        <f>IFERROR(VLOOKUP(Proc[[#This Row],[App]],Table2[],3,0),"open")</f>
        <v>open</v>
      </c>
      <c r="C3299" s="124" t="s">
        <v>369</v>
      </c>
      <c r="D3299" t="s">
        <v>5326</v>
      </c>
      <c r="E3299" t="s">
        <v>5465</v>
      </c>
      <c r="F3299" s="125" t="s">
        <v>5465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4895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57</v>
      </c>
      <c r="R3299" s="115" t="s">
        <v>1459</v>
      </c>
      <c r="S3299" s="125"/>
    </row>
    <row r="3300" spans="1:19" hidden="1">
      <c r="A3300" s="124" t="s">
        <v>5479</v>
      </c>
      <c r="B3300" s="149" t="str">
        <f>IFERROR(VLOOKUP(Proc[[#This Row],[App]],Table2[],3,0),"open")</f>
        <v>open</v>
      </c>
      <c r="C3300" s="124" t="s">
        <v>369</v>
      </c>
      <c r="D3300" t="s">
        <v>5327</v>
      </c>
      <c r="E3300" t="s">
        <v>4411</v>
      </c>
      <c r="F3300" s="140" t="s">
        <v>4411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5480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4895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57</v>
      </c>
      <c r="R3300" s="115" t="s">
        <v>1459</v>
      </c>
      <c r="S3300" s="125"/>
    </row>
    <row r="3301" spans="1:19" hidden="1">
      <c r="A3301" s="124" t="s">
        <v>5479</v>
      </c>
      <c r="B3301" s="149" t="str">
        <f>IFERROR(VLOOKUP(Proc[[#This Row],[App]],Table2[],3,0),"open")</f>
        <v>open</v>
      </c>
      <c r="C3301" s="124" t="s">
        <v>369</v>
      </c>
      <c r="D3301" t="s">
        <v>5328</v>
      </c>
      <c r="E3301" t="s">
        <v>5445</v>
      </c>
      <c r="F3301" s="125" t="s">
        <v>5445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4895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57</v>
      </c>
      <c r="R3301" s="115" t="s">
        <v>1459</v>
      </c>
      <c r="S3301" s="125"/>
    </row>
    <row r="3302" spans="1:19" hidden="1">
      <c r="A3302" s="124" t="s">
        <v>5479</v>
      </c>
      <c r="B3302" s="149" t="str">
        <f>IFERROR(VLOOKUP(Proc[[#This Row],[App]],Table2[],3,0),"open")</f>
        <v>open</v>
      </c>
      <c r="C3302" s="124" t="s">
        <v>369</v>
      </c>
      <c r="D3302" t="s">
        <v>5329</v>
      </c>
      <c r="E3302" t="s">
        <v>5457</v>
      </c>
      <c r="F3302" s="125" t="s">
        <v>5457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4895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57</v>
      </c>
      <c r="R3302" s="115" t="s">
        <v>1459</v>
      </c>
      <c r="S3302" s="125"/>
    </row>
    <row r="3303" spans="1:19" hidden="1">
      <c r="A3303" s="124" t="s">
        <v>5479</v>
      </c>
      <c r="B3303" s="149" t="str">
        <f>IFERROR(VLOOKUP(Proc[[#This Row],[App]],Table2[],3,0),"open")</f>
        <v>open</v>
      </c>
      <c r="C3303" s="124" t="s">
        <v>369</v>
      </c>
      <c r="D3303" t="s">
        <v>5330</v>
      </c>
      <c r="E3303" t="s">
        <v>5453</v>
      </c>
      <c r="F3303" s="125" t="s">
        <v>5453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4895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57</v>
      </c>
      <c r="R3303" s="115" t="s">
        <v>1459</v>
      </c>
      <c r="S3303" s="125"/>
    </row>
    <row r="3304" spans="1:19" hidden="1">
      <c r="A3304" s="124" t="s">
        <v>5479</v>
      </c>
      <c r="B3304" s="149" t="str">
        <f>IFERROR(VLOOKUP(Proc[[#This Row],[App]],Table2[],3,0),"open")</f>
        <v>open</v>
      </c>
      <c r="C3304" s="124" t="s">
        <v>369</v>
      </c>
      <c r="D3304" t="s">
        <v>5331</v>
      </c>
      <c r="E3304" t="s">
        <v>5453</v>
      </c>
      <c r="F3304" s="125" t="s">
        <v>5453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4895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57</v>
      </c>
      <c r="R3304" s="115" t="s">
        <v>1459</v>
      </c>
      <c r="S3304" s="125"/>
    </row>
    <row r="3305" spans="1:19" hidden="1">
      <c r="A3305" s="124" t="s">
        <v>5479</v>
      </c>
      <c r="B3305" s="149" t="str">
        <f>IFERROR(VLOOKUP(Proc[[#This Row],[App]],Table2[],3,0),"open")</f>
        <v>open</v>
      </c>
      <c r="C3305" s="124" t="s">
        <v>369</v>
      </c>
      <c r="D3305" t="s">
        <v>5332</v>
      </c>
      <c r="E3305" t="s">
        <v>5446</v>
      </c>
      <c r="F3305" s="125" t="s">
        <v>5446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4895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57</v>
      </c>
      <c r="R3305" s="115" t="s">
        <v>1459</v>
      </c>
      <c r="S3305" s="125"/>
    </row>
    <row r="3306" spans="1:19" hidden="1">
      <c r="A3306" s="124" t="s">
        <v>5479</v>
      </c>
      <c r="B3306" s="149" t="str">
        <f>IFERROR(VLOOKUP(Proc[[#This Row],[App]],Table2[],3,0),"open")</f>
        <v>open</v>
      </c>
      <c r="C3306" s="124" t="s">
        <v>369</v>
      </c>
      <c r="D3306" t="s">
        <v>5333</v>
      </c>
      <c r="E3306" t="s">
        <v>5458</v>
      </c>
      <c r="F3306" s="125" t="s">
        <v>5458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4895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57</v>
      </c>
      <c r="R3306" s="115" t="s">
        <v>1459</v>
      </c>
      <c r="S3306" s="125"/>
    </row>
    <row r="3307" spans="1:19" hidden="1">
      <c r="A3307" s="124" t="s">
        <v>5479</v>
      </c>
      <c r="B3307" s="149" t="str">
        <f>IFERROR(VLOOKUP(Proc[[#This Row],[App]],Table2[],3,0),"open")</f>
        <v>open</v>
      </c>
      <c r="C3307" s="124" t="s">
        <v>369</v>
      </c>
      <c r="D3307" t="s">
        <v>5334</v>
      </c>
      <c r="E3307" t="s">
        <v>5445</v>
      </c>
      <c r="F3307" s="125" t="s">
        <v>5445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4895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57</v>
      </c>
      <c r="R3307" s="115" t="s">
        <v>1459</v>
      </c>
      <c r="S3307" s="125"/>
    </row>
    <row r="3308" spans="1:19" hidden="1">
      <c r="A3308" s="124" t="s">
        <v>5479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5445</v>
      </c>
      <c r="F3308" s="125" t="s">
        <v>5445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4895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57</v>
      </c>
      <c r="R3308" s="115" t="s">
        <v>1459</v>
      </c>
      <c r="S3308" s="125"/>
    </row>
    <row r="3309" spans="1:19" hidden="1">
      <c r="A3309" s="124" t="s">
        <v>5479</v>
      </c>
      <c r="B3309" s="149" t="str">
        <f>IFERROR(VLOOKUP(Proc[[#This Row],[App]],Table2[],3,0),"open")</f>
        <v>open</v>
      </c>
      <c r="C3309" s="124" t="s">
        <v>369</v>
      </c>
      <c r="D3309" t="s">
        <v>5335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4895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57</v>
      </c>
      <c r="R3309" s="115" t="s">
        <v>1459</v>
      </c>
      <c r="S3309" s="125"/>
    </row>
    <row r="3310" spans="1:19" hidden="1">
      <c r="A3310" s="124" t="s">
        <v>5479</v>
      </c>
      <c r="B3310" s="149" t="str">
        <f>IFERROR(VLOOKUP(Proc[[#This Row],[App]],Table2[],3,0),"open")</f>
        <v>open</v>
      </c>
      <c r="C3310" s="124" t="s">
        <v>369</v>
      </c>
      <c r="D3310" t="s">
        <v>5336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4895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57</v>
      </c>
      <c r="R3310" s="115" t="s">
        <v>1459</v>
      </c>
      <c r="S3310" s="125"/>
    </row>
    <row r="3311" spans="1:19" hidden="1">
      <c r="A3311" s="124" t="s">
        <v>5479</v>
      </c>
      <c r="B3311" s="149" t="str">
        <f>IFERROR(VLOOKUP(Proc[[#This Row],[App]],Table2[],3,0),"open")</f>
        <v>open</v>
      </c>
      <c r="C3311" s="124" t="s">
        <v>369</v>
      </c>
      <c r="D3311" t="s">
        <v>5337</v>
      </c>
      <c r="E3311" t="s">
        <v>5466</v>
      </c>
      <c r="F3311" s="125" t="s">
        <v>5466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4895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57</v>
      </c>
      <c r="R3311" s="115" t="s">
        <v>1459</v>
      </c>
      <c r="S3311" s="125"/>
    </row>
    <row r="3312" spans="1:19" hidden="1">
      <c r="A3312" s="124" t="s">
        <v>5479</v>
      </c>
      <c r="B3312" s="149" t="str">
        <f>IFERROR(VLOOKUP(Proc[[#This Row],[App]],Table2[],3,0),"open")</f>
        <v>open</v>
      </c>
      <c r="C3312" s="124" t="s">
        <v>369</v>
      </c>
      <c r="D3312" t="s">
        <v>5338</v>
      </c>
      <c r="E3312" t="s">
        <v>5467</v>
      </c>
      <c r="F3312" s="125" t="s">
        <v>5467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4895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57</v>
      </c>
      <c r="R3312" s="115" t="s">
        <v>1459</v>
      </c>
      <c r="S3312" s="125"/>
    </row>
    <row r="3313" spans="1:19" hidden="1">
      <c r="A3313" s="124" t="s">
        <v>5479</v>
      </c>
      <c r="B3313" s="149" t="str">
        <f>IFERROR(VLOOKUP(Proc[[#This Row],[App]],Table2[],3,0),"open")</f>
        <v>open</v>
      </c>
      <c r="C3313" s="124" t="s">
        <v>369</v>
      </c>
      <c r="D3313" t="s">
        <v>5339</v>
      </c>
      <c r="E3313" t="s">
        <v>5450</v>
      </c>
      <c r="F3313" s="125" t="s">
        <v>5450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4895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57</v>
      </c>
      <c r="R3313" s="115" t="s">
        <v>1459</v>
      </c>
      <c r="S3313" s="125"/>
    </row>
    <row r="3314" spans="1:19" hidden="1">
      <c r="A3314" s="124" t="s">
        <v>5479</v>
      </c>
      <c r="B3314" s="149" t="str">
        <f>IFERROR(VLOOKUP(Proc[[#This Row],[App]],Table2[],3,0),"open")</f>
        <v>open</v>
      </c>
      <c r="C3314" s="124" t="s">
        <v>369</v>
      </c>
      <c r="D3314" t="s">
        <v>5340</v>
      </c>
      <c r="E3314" t="s">
        <v>5459</v>
      </c>
      <c r="F3314" s="125" t="s">
        <v>5459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4895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57</v>
      </c>
      <c r="R3314" s="115" t="s">
        <v>1459</v>
      </c>
      <c r="S3314" s="125"/>
    </row>
    <row r="3315" spans="1:19" hidden="1">
      <c r="A3315" s="124" t="s">
        <v>5479</v>
      </c>
      <c r="B3315" s="149" t="str">
        <f>IFERROR(VLOOKUP(Proc[[#This Row],[App]],Table2[],3,0),"open")</f>
        <v>open</v>
      </c>
      <c r="C3315" s="124" t="s">
        <v>369</v>
      </c>
      <c r="D3315" t="s">
        <v>5341</v>
      </c>
      <c r="E3315" t="s">
        <v>5461</v>
      </c>
      <c r="F3315" s="125" t="s">
        <v>5461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4895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57</v>
      </c>
      <c r="R3315" s="115" t="s">
        <v>1459</v>
      </c>
      <c r="S3315" s="125"/>
    </row>
    <row r="3316" spans="1:19" hidden="1">
      <c r="A3316" s="124" t="s">
        <v>5479</v>
      </c>
      <c r="B3316" s="149" t="str">
        <f>IFERROR(VLOOKUP(Proc[[#This Row],[App]],Table2[],3,0),"open")</f>
        <v>open</v>
      </c>
      <c r="C3316" s="124" t="s">
        <v>369</v>
      </c>
      <c r="D3316" t="s">
        <v>5342</v>
      </c>
      <c r="E3316" t="s">
        <v>5460</v>
      </c>
      <c r="F3316" s="125" t="s">
        <v>5460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4895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57</v>
      </c>
      <c r="R3316" s="115" t="s">
        <v>1459</v>
      </c>
      <c r="S3316" s="125"/>
    </row>
    <row r="3317" spans="1:19" hidden="1">
      <c r="A3317" s="124" t="s">
        <v>5479</v>
      </c>
      <c r="B3317" s="149" t="str">
        <f>IFERROR(VLOOKUP(Proc[[#This Row],[App]],Table2[],3,0),"open")</f>
        <v>open</v>
      </c>
      <c r="C3317" s="124" t="s">
        <v>369</v>
      </c>
      <c r="D3317" t="s">
        <v>5343</v>
      </c>
      <c r="E3317" t="s">
        <v>5453</v>
      </c>
      <c r="F3317" s="125" t="s">
        <v>5453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4895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57</v>
      </c>
      <c r="R3317" s="115" t="s">
        <v>1459</v>
      </c>
      <c r="S3317" s="125"/>
    </row>
    <row r="3318" spans="1:19" hidden="1">
      <c r="A3318" s="124" t="s">
        <v>5479</v>
      </c>
      <c r="B3318" s="149" t="str">
        <f>IFERROR(VLOOKUP(Proc[[#This Row],[App]],Table2[],3,0),"open")</f>
        <v>open</v>
      </c>
      <c r="C3318" s="124" t="s">
        <v>369</v>
      </c>
      <c r="D3318" t="s">
        <v>5344</v>
      </c>
      <c r="E3318" t="s">
        <v>5453</v>
      </c>
      <c r="F3318" s="125" t="s">
        <v>5453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4895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57</v>
      </c>
      <c r="R3318" s="115" t="s">
        <v>1459</v>
      </c>
      <c r="S3318" s="125"/>
    </row>
    <row r="3319" spans="1:19" hidden="1">
      <c r="A3319" s="124" t="s">
        <v>5479</v>
      </c>
      <c r="B3319" s="149" t="str">
        <f>IFERROR(VLOOKUP(Proc[[#This Row],[App]],Table2[],3,0),"open")</f>
        <v>open</v>
      </c>
      <c r="C3319" s="124" t="s">
        <v>369</v>
      </c>
      <c r="D3319" t="s">
        <v>5345</v>
      </c>
      <c r="E3319" t="s">
        <v>5453</v>
      </c>
      <c r="F3319" s="125" t="s">
        <v>5453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4895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57</v>
      </c>
      <c r="R3319" s="115" t="s">
        <v>1459</v>
      </c>
      <c r="S3319" s="125"/>
    </row>
    <row r="3320" spans="1:19" hidden="1">
      <c r="A3320" s="124" t="s">
        <v>5479</v>
      </c>
      <c r="B3320" s="149" t="str">
        <f>IFERROR(VLOOKUP(Proc[[#This Row],[App]],Table2[],3,0),"open")</f>
        <v>open</v>
      </c>
      <c r="C3320" s="124" t="s">
        <v>369</v>
      </c>
      <c r="D3320" t="s">
        <v>5346</v>
      </c>
      <c r="E3320" t="s">
        <v>5453</v>
      </c>
      <c r="F3320" s="125" t="s">
        <v>5453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4895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57</v>
      </c>
      <c r="R3320" s="115" t="s">
        <v>1459</v>
      </c>
      <c r="S3320" s="125"/>
    </row>
    <row r="3321" spans="1:19" hidden="1">
      <c r="A3321" s="124" t="s">
        <v>5479</v>
      </c>
      <c r="B3321" s="149" t="str">
        <f>IFERROR(VLOOKUP(Proc[[#This Row],[App]],Table2[],3,0),"open")</f>
        <v>open</v>
      </c>
      <c r="C3321" s="124" t="s">
        <v>369</v>
      </c>
      <c r="D3321" t="s">
        <v>5347</v>
      </c>
      <c r="E3321" t="s">
        <v>5453</v>
      </c>
      <c r="F3321" s="125" t="s">
        <v>5453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4895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57</v>
      </c>
      <c r="R3321" s="115" t="s">
        <v>1459</v>
      </c>
      <c r="S3321" s="125"/>
    </row>
    <row r="3322" spans="1:19" hidden="1">
      <c r="A3322" s="124" t="s">
        <v>5479</v>
      </c>
      <c r="B3322" s="149" t="str">
        <f>IFERROR(VLOOKUP(Proc[[#This Row],[App]],Table2[],3,0),"open")</f>
        <v>open</v>
      </c>
      <c r="C3322" s="124" t="s">
        <v>369</v>
      </c>
      <c r="D3322" t="s">
        <v>5348</v>
      </c>
      <c r="E3322" t="s">
        <v>5453</v>
      </c>
      <c r="F3322" s="125" t="s">
        <v>5453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4895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57</v>
      </c>
      <c r="R3322" s="115" t="s">
        <v>1459</v>
      </c>
      <c r="S3322" s="125"/>
    </row>
    <row r="3323" spans="1:19" hidden="1">
      <c r="A3323" s="124" t="s">
        <v>5479</v>
      </c>
      <c r="B3323" s="149" t="str">
        <f>IFERROR(VLOOKUP(Proc[[#This Row],[App]],Table2[],3,0),"open")</f>
        <v>open</v>
      </c>
      <c r="C3323" s="124" t="s">
        <v>369</v>
      </c>
      <c r="D3323" t="s">
        <v>5349</v>
      </c>
      <c r="E3323" t="s">
        <v>5453</v>
      </c>
      <c r="F3323" s="125" t="s">
        <v>5453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4895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57</v>
      </c>
      <c r="R3323" s="115" t="s">
        <v>1459</v>
      </c>
      <c r="S3323" s="125"/>
    </row>
    <row r="3324" spans="1:19" hidden="1">
      <c r="A3324" s="124" t="s">
        <v>5479</v>
      </c>
      <c r="B3324" s="149" t="str">
        <f>IFERROR(VLOOKUP(Proc[[#This Row],[App]],Table2[],3,0),"open")</f>
        <v>open</v>
      </c>
      <c r="C3324" s="124" t="s">
        <v>369</v>
      </c>
      <c r="D3324" t="s">
        <v>5350</v>
      </c>
      <c r="E3324" t="s">
        <v>5451</v>
      </c>
      <c r="F3324" s="125" t="s">
        <v>5451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4895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57</v>
      </c>
      <c r="R3324" s="115" t="s">
        <v>1459</v>
      </c>
      <c r="S3324" s="125"/>
    </row>
    <row r="3325" spans="1:19" hidden="1">
      <c r="A3325" s="124" t="s">
        <v>5479</v>
      </c>
      <c r="B3325" s="149" t="str">
        <f>IFERROR(VLOOKUP(Proc[[#This Row],[App]],Table2[],3,0),"open")</f>
        <v>open</v>
      </c>
      <c r="C3325" s="124" t="s">
        <v>369</v>
      </c>
      <c r="D3325" t="s">
        <v>5351</v>
      </c>
      <c r="E3325" t="s">
        <v>5450</v>
      </c>
      <c r="F3325" s="125" t="s">
        <v>5450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4895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57</v>
      </c>
      <c r="R3325" s="115" t="s">
        <v>1459</v>
      </c>
      <c r="S3325" s="125"/>
    </row>
    <row r="3326" spans="1:19" hidden="1">
      <c r="A3326" s="124" t="s">
        <v>5479</v>
      </c>
      <c r="B3326" s="149" t="str">
        <f>IFERROR(VLOOKUP(Proc[[#This Row],[App]],Table2[],3,0),"open")</f>
        <v>open</v>
      </c>
      <c r="C3326" s="124" t="s">
        <v>369</v>
      </c>
      <c r="D3326" t="s">
        <v>5352</v>
      </c>
      <c r="E3326" t="s">
        <v>5451</v>
      </c>
      <c r="F3326" s="125" t="s">
        <v>5451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4895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57</v>
      </c>
      <c r="R3326" s="115" t="s">
        <v>1459</v>
      </c>
      <c r="S3326" s="125"/>
    </row>
    <row r="3327" spans="1:19" hidden="1">
      <c r="A3327" s="124" t="s">
        <v>5479</v>
      </c>
      <c r="B3327" s="149" t="str">
        <f>IFERROR(VLOOKUP(Proc[[#This Row],[App]],Table2[],3,0),"open")</f>
        <v>open</v>
      </c>
      <c r="C3327" s="124" t="s">
        <v>369</v>
      </c>
      <c r="D3327" t="s">
        <v>5353</v>
      </c>
      <c r="E3327" t="s">
        <v>5451</v>
      </c>
      <c r="F3327" s="125" t="s">
        <v>5451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4895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57</v>
      </c>
      <c r="R3327" s="115" t="s">
        <v>1459</v>
      </c>
      <c r="S3327" s="125"/>
    </row>
    <row r="3328" spans="1:19" hidden="1">
      <c r="A3328" s="124" t="s">
        <v>5479</v>
      </c>
      <c r="B3328" s="149" t="str">
        <f>IFERROR(VLOOKUP(Proc[[#This Row],[App]],Table2[],3,0),"open")</f>
        <v>open</v>
      </c>
      <c r="C3328" s="124" t="s">
        <v>369</v>
      </c>
      <c r="D3328" t="s">
        <v>5354</v>
      </c>
      <c r="E3328" t="s">
        <v>5451</v>
      </c>
      <c r="F3328" s="125" t="s">
        <v>5451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4895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57</v>
      </c>
      <c r="R3328" s="115" t="s">
        <v>1459</v>
      </c>
      <c r="S3328" s="125"/>
    </row>
    <row r="3329" spans="1:19" hidden="1">
      <c r="A3329" s="124" t="s">
        <v>5479</v>
      </c>
      <c r="B3329" s="149" t="str">
        <f>IFERROR(VLOOKUP(Proc[[#This Row],[App]],Table2[],3,0),"open")</f>
        <v>open</v>
      </c>
      <c r="C3329" s="124" t="s">
        <v>369</v>
      </c>
      <c r="D3329" t="s">
        <v>5355</v>
      </c>
      <c r="E3329" t="s">
        <v>5451</v>
      </c>
      <c r="F3329" s="125" t="s">
        <v>5451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4895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57</v>
      </c>
      <c r="R3329" s="115" t="s">
        <v>1459</v>
      </c>
      <c r="S3329" s="125"/>
    </row>
    <row r="3330" spans="1:19" hidden="1">
      <c r="A3330" s="124" t="s">
        <v>5479</v>
      </c>
      <c r="B3330" s="149" t="str">
        <f>IFERROR(VLOOKUP(Proc[[#This Row],[App]],Table2[],3,0),"open")</f>
        <v>open</v>
      </c>
      <c r="C3330" s="124" t="s">
        <v>369</v>
      </c>
      <c r="D3330" t="s">
        <v>5356</v>
      </c>
      <c r="E3330" t="s">
        <v>5447</v>
      </c>
      <c r="F3330" s="125" t="s">
        <v>5447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4895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57</v>
      </c>
      <c r="R3330" s="115" t="s">
        <v>1459</v>
      </c>
      <c r="S3330" s="125"/>
    </row>
    <row r="3331" spans="1:19" hidden="1">
      <c r="A3331" s="124" t="s">
        <v>5479</v>
      </c>
      <c r="B3331" s="149" t="str">
        <f>IFERROR(VLOOKUP(Proc[[#This Row],[App]],Table2[],3,0),"open")</f>
        <v>open</v>
      </c>
      <c r="C3331" s="124" t="s">
        <v>369</v>
      </c>
      <c r="D3331" t="s">
        <v>5357</v>
      </c>
      <c r="E3331" t="s">
        <v>5447</v>
      </c>
      <c r="F3331" s="125" t="s">
        <v>5447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4895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57</v>
      </c>
      <c r="R3331" s="115" t="s">
        <v>1459</v>
      </c>
      <c r="S3331" s="125"/>
    </row>
    <row r="3332" spans="1:19" hidden="1">
      <c r="A3332" s="124" t="s">
        <v>5479</v>
      </c>
      <c r="B3332" s="149" t="str">
        <f>IFERROR(VLOOKUP(Proc[[#This Row],[App]],Table2[],3,0),"open")</f>
        <v>open</v>
      </c>
      <c r="C3332" s="124" t="s">
        <v>369</v>
      </c>
      <c r="D3332" t="s">
        <v>5358</v>
      </c>
      <c r="E3332" t="s">
        <v>5453</v>
      </c>
      <c r="F3332" s="125" t="s">
        <v>5453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4895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57</v>
      </c>
      <c r="R3332" s="115" t="s">
        <v>1459</v>
      </c>
      <c r="S3332" s="125"/>
    </row>
    <row r="3333" spans="1:19" hidden="1">
      <c r="A3333" s="124" t="s">
        <v>5479</v>
      </c>
      <c r="B3333" s="149" t="str">
        <f>IFERROR(VLOOKUP(Proc[[#This Row],[App]],Table2[],3,0),"open")</f>
        <v>open</v>
      </c>
      <c r="C3333" s="124" t="s">
        <v>369</v>
      </c>
      <c r="D3333" t="s">
        <v>5359</v>
      </c>
      <c r="E3333" t="s">
        <v>5468</v>
      </c>
      <c r="F3333" s="125" t="s">
        <v>5468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4895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57</v>
      </c>
      <c r="R3333" s="115" t="s">
        <v>1459</v>
      </c>
      <c r="S3333" s="125"/>
    </row>
    <row r="3334" spans="1:19" hidden="1">
      <c r="A3334" s="124" t="s">
        <v>5479</v>
      </c>
      <c r="B3334" s="149" t="str">
        <f>IFERROR(VLOOKUP(Proc[[#This Row],[App]],Table2[],3,0),"open")</f>
        <v>open</v>
      </c>
      <c r="C3334" s="124" t="s">
        <v>369</v>
      </c>
      <c r="D3334" t="s">
        <v>5360</v>
      </c>
      <c r="E3334" t="s">
        <v>5469</v>
      </c>
      <c r="F3334" s="125" t="s">
        <v>5469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4895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57</v>
      </c>
      <c r="R3334" s="115" t="s">
        <v>1459</v>
      </c>
      <c r="S3334" s="125"/>
    </row>
    <row r="3335" spans="1:19" hidden="1">
      <c r="A3335" s="124" t="s">
        <v>5479</v>
      </c>
      <c r="B3335" s="149" t="str">
        <f>IFERROR(VLOOKUP(Proc[[#This Row],[App]],Table2[],3,0),"open")</f>
        <v>open</v>
      </c>
      <c r="C3335" s="124" t="s">
        <v>369</v>
      </c>
      <c r="D3335" t="s">
        <v>5361</v>
      </c>
      <c r="E3335" t="s">
        <v>5446</v>
      </c>
      <c r="F3335" s="125" t="s">
        <v>5446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4895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57</v>
      </c>
      <c r="R3335" s="115" t="s">
        <v>1459</v>
      </c>
      <c r="S3335" s="125"/>
    </row>
    <row r="3336" spans="1:19" hidden="1">
      <c r="A3336" s="124" t="s">
        <v>5479</v>
      </c>
      <c r="B3336" s="149" t="str">
        <f>IFERROR(VLOOKUP(Proc[[#This Row],[App]],Table2[],3,0),"open")</f>
        <v>open</v>
      </c>
      <c r="C3336" s="124" t="s">
        <v>369</v>
      </c>
      <c r="D3336" t="s">
        <v>5362</v>
      </c>
      <c r="E3336" t="s">
        <v>5450</v>
      </c>
      <c r="F3336" s="125" t="s">
        <v>5450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4895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57</v>
      </c>
      <c r="R3336" s="115" t="s">
        <v>1459</v>
      </c>
      <c r="S3336" s="125"/>
    </row>
    <row r="3337" spans="1:19" hidden="1">
      <c r="A3337" s="124" t="s">
        <v>5479</v>
      </c>
      <c r="B3337" s="149" t="str">
        <f>IFERROR(VLOOKUP(Proc[[#This Row],[App]],Table2[],3,0),"open")</f>
        <v>open</v>
      </c>
      <c r="C3337" s="124" t="s">
        <v>369</v>
      </c>
      <c r="D3337" t="s">
        <v>5363</v>
      </c>
      <c r="E3337" t="s">
        <v>5450</v>
      </c>
      <c r="F3337" s="125" t="s">
        <v>5450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4895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57</v>
      </c>
      <c r="R3337" s="115" t="s">
        <v>1459</v>
      </c>
      <c r="S3337" s="125"/>
    </row>
    <row r="3338" spans="1:19" hidden="1">
      <c r="A3338" s="124" t="s">
        <v>5479</v>
      </c>
      <c r="B3338" s="149" t="str">
        <f>IFERROR(VLOOKUP(Proc[[#This Row],[App]],Table2[],3,0),"open")</f>
        <v>open</v>
      </c>
      <c r="C3338" s="124" t="s">
        <v>369</v>
      </c>
      <c r="D3338" t="s">
        <v>5364</v>
      </c>
      <c r="E3338" t="s">
        <v>5458</v>
      </c>
      <c r="F3338" s="125" t="s">
        <v>5458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4895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57</v>
      </c>
      <c r="R3338" s="115" t="s">
        <v>1459</v>
      </c>
      <c r="S3338" s="125"/>
    </row>
    <row r="3339" spans="1:19" hidden="1">
      <c r="A3339" s="124" t="s">
        <v>5479</v>
      </c>
      <c r="B3339" s="149" t="str">
        <f>IFERROR(VLOOKUP(Proc[[#This Row],[App]],Table2[],3,0),"open")</f>
        <v>open</v>
      </c>
      <c r="C3339" s="124" t="s">
        <v>369</v>
      </c>
      <c r="D3339" t="s">
        <v>5365</v>
      </c>
      <c r="E3339" t="s">
        <v>5447</v>
      </c>
      <c r="F3339" s="125" t="s">
        <v>5447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4895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57</v>
      </c>
      <c r="R3339" s="115" t="s">
        <v>1459</v>
      </c>
      <c r="S3339" s="125"/>
    </row>
    <row r="3340" spans="1:19" hidden="1">
      <c r="A3340" s="124" t="s">
        <v>5479</v>
      </c>
      <c r="B3340" s="149" t="str">
        <f>IFERROR(VLOOKUP(Proc[[#This Row],[App]],Table2[],3,0),"open")</f>
        <v>open</v>
      </c>
      <c r="C3340" s="124" t="s">
        <v>369</v>
      </c>
      <c r="D3340" t="s">
        <v>5366</v>
      </c>
      <c r="E3340" t="s">
        <v>5470</v>
      </c>
      <c r="F3340" s="125" t="s">
        <v>5470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4895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57</v>
      </c>
      <c r="R3340" s="115" t="s">
        <v>1459</v>
      </c>
      <c r="S3340" s="125"/>
    </row>
    <row r="3341" spans="1:19" hidden="1">
      <c r="A3341" s="124" t="s">
        <v>5479</v>
      </c>
      <c r="B3341" s="149" t="str">
        <f>IFERROR(VLOOKUP(Proc[[#This Row],[App]],Table2[],3,0),"open")</f>
        <v>open</v>
      </c>
      <c r="C3341" s="124" t="s">
        <v>369</v>
      </c>
      <c r="D3341" t="s">
        <v>5367</v>
      </c>
      <c r="E3341" t="s">
        <v>5457</v>
      </c>
      <c r="F3341" s="125" t="s">
        <v>5457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4895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57</v>
      </c>
      <c r="R3341" s="115" t="s">
        <v>1459</v>
      </c>
      <c r="S3341" s="125"/>
    </row>
    <row r="3342" spans="1:19" hidden="1">
      <c r="A3342" s="124" t="s">
        <v>5479</v>
      </c>
      <c r="B3342" s="149" t="str">
        <f>IFERROR(VLOOKUP(Proc[[#This Row],[App]],Table2[],3,0),"open")</f>
        <v>open</v>
      </c>
      <c r="C3342" s="124" t="s">
        <v>369</v>
      </c>
      <c r="D3342" t="s">
        <v>5368</v>
      </c>
      <c r="E3342" t="s">
        <v>5453</v>
      </c>
      <c r="F3342" s="125" t="s">
        <v>5453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4895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57</v>
      </c>
      <c r="R3342" s="115" t="s">
        <v>1459</v>
      </c>
      <c r="S3342" s="125"/>
    </row>
    <row r="3343" spans="1:19" hidden="1">
      <c r="A3343" s="124" t="s">
        <v>5479</v>
      </c>
      <c r="B3343" s="149" t="str">
        <f>IFERROR(VLOOKUP(Proc[[#This Row],[App]],Table2[],3,0),"open")</f>
        <v>open</v>
      </c>
      <c r="C3343" s="124" t="s">
        <v>369</v>
      </c>
      <c r="D3343" t="s">
        <v>5369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4895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57</v>
      </c>
      <c r="R3343" s="115" t="s">
        <v>1459</v>
      </c>
      <c r="S3343" s="125"/>
    </row>
    <row r="3344" spans="1:19" hidden="1">
      <c r="A3344" s="124" t="s">
        <v>5479</v>
      </c>
      <c r="B3344" s="149" t="str">
        <f>IFERROR(VLOOKUP(Proc[[#This Row],[App]],Table2[],3,0),"open")</f>
        <v>open</v>
      </c>
      <c r="C3344" s="124" t="s">
        <v>369</v>
      </c>
      <c r="D3344" t="s">
        <v>5370</v>
      </c>
      <c r="E3344" t="s">
        <v>5445</v>
      </c>
      <c r="F3344" s="125" t="s">
        <v>5445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4895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57</v>
      </c>
      <c r="R3344" s="115" t="s">
        <v>1459</v>
      </c>
      <c r="S3344" s="125"/>
    </row>
    <row r="3345" spans="1:19" hidden="1">
      <c r="A3345" s="124" t="s">
        <v>5479</v>
      </c>
      <c r="B3345" s="149" t="str">
        <f>IFERROR(VLOOKUP(Proc[[#This Row],[App]],Table2[],3,0),"open")</f>
        <v>open</v>
      </c>
      <c r="C3345" s="124" t="s">
        <v>369</v>
      </c>
      <c r="D3345" t="s">
        <v>5371</v>
      </c>
      <c r="E3345" t="s">
        <v>5446</v>
      </c>
      <c r="F3345" s="125" t="s">
        <v>5446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4895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57</v>
      </c>
      <c r="R3345" s="115" t="s">
        <v>1459</v>
      </c>
      <c r="S3345" s="125"/>
    </row>
    <row r="3346" spans="1:19" hidden="1">
      <c r="A3346" s="124" t="s">
        <v>5479</v>
      </c>
      <c r="B3346" s="149" t="str">
        <f>IFERROR(VLOOKUP(Proc[[#This Row],[App]],Table2[],3,0),"open")</f>
        <v>open</v>
      </c>
      <c r="C3346" s="124" t="s">
        <v>369</v>
      </c>
      <c r="D3346" t="s">
        <v>5372</v>
      </c>
      <c r="E3346" t="s">
        <v>5447</v>
      </c>
      <c r="F3346" s="125" t="s">
        <v>5447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4895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57</v>
      </c>
      <c r="R3346" s="115" t="s">
        <v>1459</v>
      </c>
      <c r="S3346" s="125"/>
    </row>
    <row r="3347" spans="1:19" hidden="1">
      <c r="A3347" s="124" t="s">
        <v>5479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5454</v>
      </c>
      <c r="F3347" s="125" t="s">
        <v>5454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4895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57</v>
      </c>
      <c r="R3347" s="115" t="s">
        <v>1459</v>
      </c>
      <c r="S3347" s="125"/>
    </row>
    <row r="3348" spans="1:19" hidden="1">
      <c r="A3348" s="124" t="s">
        <v>5479</v>
      </c>
      <c r="B3348" s="149" t="str">
        <f>IFERROR(VLOOKUP(Proc[[#This Row],[App]],Table2[],3,0),"open")</f>
        <v>open</v>
      </c>
      <c r="C3348" s="124" t="s">
        <v>369</v>
      </c>
      <c r="D3348" t="s">
        <v>5373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4895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57</v>
      </c>
      <c r="R3348" s="115" t="s">
        <v>1459</v>
      </c>
      <c r="S3348" s="125"/>
    </row>
    <row r="3349" spans="1:19" hidden="1">
      <c r="A3349" s="124" t="s">
        <v>5479</v>
      </c>
      <c r="B3349" s="149" t="str">
        <f>IFERROR(VLOOKUP(Proc[[#This Row],[App]],Table2[],3,0),"open")</f>
        <v>open</v>
      </c>
      <c r="C3349" s="124" t="s">
        <v>369</v>
      </c>
      <c r="D3349" t="s">
        <v>5374</v>
      </c>
      <c r="E3349" t="s">
        <v>5447</v>
      </c>
      <c r="F3349" s="125" t="s">
        <v>5447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4895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57</v>
      </c>
      <c r="R3349" s="115" t="s">
        <v>1459</v>
      </c>
      <c r="S3349" s="125"/>
    </row>
    <row r="3350" spans="1:19" hidden="1">
      <c r="A3350" s="124" t="s">
        <v>5479</v>
      </c>
      <c r="B3350" s="149" t="str">
        <f>IFERROR(VLOOKUP(Proc[[#This Row],[App]],Table2[],3,0),"open")</f>
        <v>open</v>
      </c>
      <c r="C3350" s="124" t="s">
        <v>369</v>
      </c>
      <c r="D3350" t="s">
        <v>5375</v>
      </c>
      <c r="E3350" t="s">
        <v>5446</v>
      </c>
      <c r="F3350" s="125" t="s">
        <v>5446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4895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57</v>
      </c>
      <c r="R3350" s="115" t="s">
        <v>1459</v>
      </c>
      <c r="S3350" s="125"/>
    </row>
    <row r="3351" spans="1:19" hidden="1">
      <c r="A3351" s="124" t="s">
        <v>5479</v>
      </c>
      <c r="B3351" s="149" t="str">
        <f>IFERROR(VLOOKUP(Proc[[#This Row],[App]],Table2[],3,0),"open")</f>
        <v>open</v>
      </c>
      <c r="C3351" s="124" t="s">
        <v>369</v>
      </c>
      <c r="D3351" t="s">
        <v>5376</v>
      </c>
      <c r="E3351" t="s">
        <v>5471</v>
      </c>
      <c r="F3351" s="125" t="s">
        <v>5471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4895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57</v>
      </c>
      <c r="R3351" s="115" t="s">
        <v>1459</v>
      </c>
      <c r="S3351" s="125"/>
    </row>
    <row r="3352" spans="1:19" hidden="1">
      <c r="A3352" s="124" t="s">
        <v>5479</v>
      </c>
      <c r="B3352" s="149" t="str">
        <f>IFERROR(VLOOKUP(Proc[[#This Row],[App]],Table2[],3,0),"open")</f>
        <v>open</v>
      </c>
      <c r="C3352" s="124" t="s">
        <v>369</v>
      </c>
      <c r="D3352" t="s">
        <v>5377</v>
      </c>
      <c r="E3352" t="s">
        <v>5445</v>
      </c>
      <c r="F3352" s="125" t="s">
        <v>5445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4895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57</v>
      </c>
      <c r="R3352" s="115" t="s">
        <v>1459</v>
      </c>
      <c r="S3352" s="125"/>
    </row>
    <row r="3353" spans="1:19" hidden="1">
      <c r="A3353" s="124" t="s">
        <v>5479</v>
      </c>
      <c r="B3353" s="149" t="str">
        <f>IFERROR(VLOOKUP(Proc[[#This Row],[App]],Table2[],3,0),"open")</f>
        <v>open</v>
      </c>
      <c r="C3353" s="124" t="s">
        <v>369</v>
      </c>
      <c r="D3353" t="s">
        <v>5378</v>
      </c>
      <c r="E3353" t="s">
        <v>5465</v>
      </c>
      <c r="F3353" s="125" t="s">
        <v>5465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4895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57</v>
      </c>
      <c r="R3353" s="115" t="s">
        <v>1459</v>
      </c>
      <c r="S3353" s="125"/>
    </row>
    <row r="3354" spans="1:19" hidden="1">
      <c r="A3354" s="124" t="s">
        <v>5479</v>
      </c>
      <c r="B3354" s="149" t="str">
        <f>IFERROR(VLOOKUP(Proc[[#This Row],[App]],Table2[],3,0),"open")</f>
        <v>open</v>
      </c>
      <c r="C3354" s="124" t="s">
        <v>369</v>
      </c>
      <c r="D3354" t="s">
        <v>5379</v>
      </c>
      <c r="E3354" t="s">
        <v>5447</v>
      </c>
      <c r="F3354" s="125" t="s">
        <v>5447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4895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57</v>
      </c>
      <c r="R3354" s="115" t="s">
        <v>1459</v>
      </c>
      <c r="S3354" s="125"/>
    </row>
    <row r="3355" spans="1:19" hidden="1">
      <c r="A3355" s="124" t="s">
        <v>5479</v>
      </c>
      <c r="B3355" s="149" t="str">
        <f>IFERROR(VLOOKUP(Proc[[#This Row],[App]],Table2[],3,0),"open")</f>
        <v>open</v>
      </c>
      <c r="C3355" s="124" t="s">
        <v>369</v>
      </c>
      <c r="D3355" t="s">
        <v>5380</v>
      </c>
      <c r="E3355" t="s">
        <v>5456</v>
      </c>
      <c r="F3355" s="125" t="s">
        <v>5456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4895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57</v>
      </c>
      <c r="R3355" s="115" t="s">
        <v>1459</v>
      </c>
      <c r="S3355" s="125"/>
    </row>
    <row r="3356" spans="1:19" hidden="1">
      <c r="A3356" s="124" t="s">
        <v>5479</v>
      </c>
      <c r="B3356" s="149" t="str">
        <f>IFERROR(VLOOKUP(Proc[[#This Row],[App]],Table2[],3,0),"open")</f>
        <v>open</v>
      </c>
      <c r="C3356" s="124" t="s">
        <v>369</v>
      </c>
      <c r="D3356" t="s">
        <v>5381</v>
      </c>
      <c r="E3356" t="s">
        <v>5446</v>
      </c>
      <c r="F3356" s="125" t="s">
        <v>5446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4895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57</v>
      </c>
      <c r="R3356" s="115" t="s">
        <v>1459</v>
      </c>
      <c r="S3356" s="125"/>
    </row>
    <row r="3357" spans="1:19" hidden="1">
      <c r="A3357" s="124" t="s">
        <v>5479</v>
      </c>
      <c r="B3357" s="149" t="str">
        <f>IFERROR(VLOOKUP(Proc[[#This Row],[App]],Table2[],3,0),"open")</f>
        <v>open</v>
      </c>
      <c r="C3357" s="124" t="s">
        <v>369</v>
      </c>
      <c r="D3357" t="s">
        <v>5382</v>
      </c>
      <c r="E3357" t="s">
        <v>5454</v>
      </c>
      <c r="F3357" s="125" t="s">
        <v>5454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4895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57</v>
      </c>
      <c r="R3357" s="115" t="s">
        <v>1459</v>
      </c>
      <c r="S3357" s="125"/>
    </row>
    <row r="3358" spans="1:19" hidden="1">
      <c r="A3358" s="124" t="s">
        <v>5479</v>
      </c>
      <c r="B3358" s="149" t="str">
        <f>IFERROR(VLOOKUP(Proc[[#This Row],[App]],Table2[],3,0),"open")</f>
        <v>open</v>
      </c>
      <c r="C3358" s="124" t="s">
        <v>369</v>
      </c>
      <c r="D3358" t="s">
        <v>5383</v>
      </c>
      <c r="E3358" t="s">
        <v>5449</v>
      </c>
      <c r="F3358" s="125" t="s">
        <v>5449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4895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57</v>
      </c>
      <c r="R3358" s="115" t="s">
        <v>1459</v>
      </c>
      <c r="S3358" s="125"/>
    </row>
    <row r="3359" spans="1:19" hidden="1">
      <c r="A3359" s="124" t="s">
        <v>5479</v>
      </c>
      <c r="B3359" s="149" t="str">
        <f>IFERROR(VLOOKUP(Proc[[#This Row],[App]],Table2[],3,0),"open")</f>
        <v>open</v>
      </c>
      <c r="C3359" s="124" t="s">
        <v>369</v>
      </c>
      <c r="D3359" t="s">
        <v>5384</v>
      </c>
      <c r="E3359" t="s">
        <v>5456</v>
      </c>
      <c r="F3359" s="125" t="s">
        <v>5456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4895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57</v>
      </c>
      <c r="R3359" s="115" t="s">
        <v>1459</v>
      </c>
      <c r="S3359" s="125"/>
    </row>
    <row r="3360" spans="1:19" hidden="1">
      <c r="A3360" s="124" t="s">
        <v>5479</v>
      </c>
      <c r="B3360" s="149" t="str">
        <f>IFERROR(VLOOKUP(Proc[[#This Row],[App]],Table2[],3,0),"open")</f>
        <v>open</v>
      </c>
      <c r="C3360" s="124" t="s">
        <v>369</v>
      </c>
      <c r="D3360" t="s">
        <v>5385</v>
      </c>
      <c r="E3360" t="s">
        <v>5446</v>
      </c>
      <c r="F3360" s="125" t="s">
        <v>5446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4895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57</v>
      </c>
      <c r="R3360" s="115" t="s">
        <v>1459</v>
      </c>
      <c r="S3360" s="125"/>
    </row>
    <row r="3361" spans="1:19" hidden="1">
      <c r="A3361" s="124" t="s">
        <v>5479</v>
      </c>
      <c r="B3361" s="149" t="str">
        <f>IFERROR(VLOOKUP(Proc[[#This Row],[App]],Table2[],3,0),"open")</f>
        <v>open</v>
      </c>
      <c r="C3361" s="124" t="s">
        <v>369</v>
      </c>
      <c r="D3361" t="s">
        <v>5386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4895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57</v>
      </c>
      <c r="R3361" s="115" t="s">
        <v>1459</v>
      </c>
      <c r="S3361" s="125"/>
    </row>
    <row r="3362" spans="1:19" hidden="1">
      <c r="A3362" s="124" t="s">
        <v>5479</v>
      </c>
      <c r="B3362" s="149" t="str">
        <f>IFERROR(VLOOKUP(Proc[[#This Row],[App]],Table2[],3,0),"open")</f>
        <v>open</v>
      </c>
      <c r="C3362" s="124" t="s">
        <v>369</v>
      </c>
      <c r="D3362" t="s">
        <v>5387</v>
      </c>
      <c r="E3362" t="s">
        <v>5446</v>
      </c>
      <c r="F3362" s="125" t="s">
        <v>5446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4895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57</v>
      </c>
      <c r="R3362" s="115" t="s">
        <v>1459</v>
      </c>
      <c r="S3362" s="125"/>
    </row>
    <row r="3363" spans="1:19" hidden="1">
      <c r="A3363" s="124" t="s">
        <v>5479</v>
      </c>
      <c r="B3363" s="149" t="str">
        <f>IFERROR(VLOOKUP(Proc[[#This Row],[App]],Table2[],3,0),"open")</f>
        <v>open</v>
      </c>
      <c r="C3363" s="124" t="s">
        <v>369</v>
      </c>
      <c r="D3363" t="s">
        <v>5388</v>
      </c>
      <c r="E3363" t="s">
        <v>5472</v>
      </c>
      <c r="F3363" s="125" t="s">
        <v>5472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4895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57</v>
      </c>
      <c r="R3363" s="115" t="s">
        <v>1459</v>
      </c>
      <c r="S3363" s="125"/>
    </row>
    <row r="3364" spans="1:19" hidden="1">
      <c r="A3364" s="124" t="s">
        <v>5479</v>
      </c>
      <c r="B3364" s="149" t="str">
        <f>IFERROR(VLOOKUP(Proc[[#This Row],[App]],Table2[],3,0),"open")</f>
        <v>open</v>
      </c>
      <c r="C3364" s="124" t="s">
        <v>369</v>
      </c>
      <c r="D3364" t="s">
        <v>5389</v>
      </c>
      <c r="E3364" t="s">
        <v>5473</v>
      </c>
      <c r="F3364" s="125" t="s">
        <v>5473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4895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57</v>
      </c>
      <c r="R3364" s="115" t="s">
        <v>1459</v>
      </c>
      <c r="S3364" s="125"/>
    </row>
    <row r="3365" spans="1:19" hidden="1">
      <c r="A3365" s="124" t="s">
        <v>5479</v>
      </c>
      <c r="B3365" s="149" t="str">
        <f>IFERROR(VLOOKUP(Proc[[#This Row],[App]],Table2[],3,0),"open")</f>
        <v>open</v>
      </c>
      <c r="C3365" s="124" t="s">
        <v>369</v>
      </c>
      <c r="D3365" t="s">
        <v>5390</v>
      </c>
      <c r="E3365" t="s">
        <v>5454</v>
      </c>
      <c r="F3365" s="125" t="s">
        <v>5454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4895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57</v>
      </c>
      <c r="R3365" s="115" t="s">
        <v>1459</v>
      </c>
      <c r="S3365" s="125"/>
    </row>
    <row r="3366" spans="1:19" hidden="1">
      <c r="A3366" s="124" t="s">
        <v>5479</v>
      </c>
      <c r="B3366" s="149" t="str">
        <f>IFERROR(VLOOKUP(Proc[[#This Row],[App]],Table2[],3,0),"open")</f>
        <v>open</v>
      </c>
      <c r="C3366" s="124" t="s">
        <v>369</v>
      </c>
      <c r="D3366" t="s">
        <v>5391</v>
      </c>
      <c r="E3366" t="s">
        <v>5447</v>
      </c>
      <c r="F3366" s="125" t="s">
        <v>5447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4895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57</v>
      </c>
      <c r="R3366" s="115" t="s">
        <v>1459</v>
      </c>
      <c r="S3366" s="125"/>
    </row>
    <row r="3367" spans="1:19" hidden="1">
      <c r="A3367" s="124" t="s">
        <v>5479</v>
      </c>
      <c r="B3367" s="149" t="str">
        <f>IFERROR(VLOOKUP(Proc[[#This Row],[App]],Table2[],3,0),"open")</f>
        <v>open</v>
      </c>
      <c r="C3367" s="124" t="s">
        <v>369</v>
      </c>
      <c r="D3367" t="s">
        <v>5392</v>
      </c>
      <c r="E3367" t="s">
        <v>5456</v>
      </c>
      <c r="F3367" s="125" t="s">
        <v>5456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4895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57</v>
      </c>
      <c r="R3367" s="115" t="s">
        <v>1459</v>
      </c>
      <c r="S3367" s="125"/>
    </row>
    <row r="3368" spans="1:19" hidden="1">
      <c r="A3368" s="124" t="s">
        <v>5479</v>
      </c>
      <c r="B3368" s="149" t="str">
        <f>IFERROR(VLOOKUP(Proc[[#This Row],[App]],Table2[],3,0),"open")</f>
        <v>open</v>
      </c>
      <c r="C3368" s="124" t="s">
        <v>369</v>
      </c>
      <c r="D3368" t="s">
        <v>5393</v>
      </c>
      <c r="E3368" t="s">
        <v>5454</v>
      </c>
      <c r="F3368" s="125" t="s">
        <v>5454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4895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57</v>
      </c>
      <c r="R3368" s="115" t="s">
        <v>1459</v>
      </c>
      <c r="S3368" s="125"/>
    </row>
    <row r="3369" spans="1:19" hidden="1">
      <c r="A3369" s="124" t="s">
        <v>5479</v>
      </c>
      <c r="B3369" s="149" t="str">
        <f>IFERROR(VLOOKUP(Proc[[#This Row],[App]],Table2[],3,0),"open")</f>
        <v>open</v>
      </c>
      <c r="C3369" s="124" t="s">
        <v>369</v>
      </c>
      <c r="D3369" t="s">
        <v>5394</v>
      </c>
      <c r="E3369" t="s">
        <v>5446</v>
      </c>
      <c r="F3369" s="125" t="s">
        <v>5446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4895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57</v>
      </c>
      <c r="R3369" s="115" t="s">
        <v>1459</v>
      </c>
      <c r="S3369" s="125"/>
    </row>
    <row r="3370" spans="1:19" hidden="1">
      <c r="A3370" s="124" t="s">
        <v>5479</v>
      </c>
      <c r="B3370" s="149" t="str">
        <f>IFERROR(VLOOKUP(Proc[[#This Row],[App]],Table2[],3,0),"open")</f>
        <v>open</v>
      </c>
      <c r="C3370" s="124" t="s">
        <v>369</v>
      </c>
      <c r="D3370" t="s">
        <v>5395</v>
      </c>
      <c r="E3370" t="s">
        <v>5453</v>
      </c>
      <c r="F3370" s="125" t="s">
        <v>5453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4895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57</v>
      </c>
      <c r="R3370" s="115" t="s">
        <v>1459</v>
      </c>
      <c r="S3370" s="125"/>
    </row>
    <row r="3371" spans="1:19" hidden="1">
      <c r="A3371" s="124" t="s">
        <v>5479</v>
      </c>
      <c r="B3371" s="149" t="str">
        <f>IFERROR(VLOOKUP(Proc[[#This Row],[App]],Table2[],3,0),"open")</f>
        <v>open</v>
      </c>
      <c r="C3371" s="124" t="s">
        <v>369</v>
      </c>
      <c r="D3371" t="s">
        <v>5396</v>
      </c>
      <c r="E3371" t="s">
        <v>5447</v>
      </c>
      <c r="F3371" s="125" t="s">
        <v>5447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4895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57</v>
      </c>
      <c r="R3371" s="115" t="s">
        <v>1459</v>
      </c>
      <c r="S3371" s="125"/>
    </row>
    <row r="3372" spans="1:19" hidden="1">
      <c r="A3372" s="124" t="s">
        <v>5479</v>
      </c>
      <c r="B3372" s="149" t="str">
        <f>IFERROR(VLOOKUP(Proc[[#This Row],[App]],Table2[],3,0),"open")</f>
        <v>open</v>
      </c>
      <c r="C3372" s="124" t="s">
        <v>369</v>
      </c>
      <c r="D3372" t="s">
        <v>5397</v>
      </c>
      <c r="E3372" t="s">
        <v>5446</v>
      </c>
      <c r="F3372" s="125" t="s">
        <v>5446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4895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57</v>
      </c>
      <c r="R3372" s="115" t="s">
        <v>1459</v>
      </c>
      <c r="S3372" s="125"/>
    </row>
    <row r="3373" spans="1:19" hidden="1">
      <c r="A3373" s="124" t="s">
        <v>5479</v>
      </c>
      <c r="B3373" s="149" t="str">
        <f>IFERROR(VLOOKUP(Proc[[#This Row],[App]],Table2[],3,0),"open")</f>
        <v>open</v>
      </c>
      <c r="C3373" s="124" t="s">
        <v>369</v>
      </c>
      <c r="D3373" t="s">
        <v>5398</v>
      </c>
      <c r="E3373" t="s">
        <v>5446</v>
      </c>
      <c r="F3373" s="125" t="s">
        <v>5446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4895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57</v>
      </c>
      <c r="R3373" s="115" t="s">
        <v>1459</v>
      </c>
      <c r="S3373" s="125"/>
    </row>
    <row r="3374" spans="1:19" hidden="1">
      <c r="A3374" s="124" t="s">
        <v>5479</v>
      </c>
      <c r="B3374" s="149" t="str">
        <f>IFERROR(VLOOKUP(Proc[[#This Row],[App]],Table2[],3,0),"open")</f>
        <v>open</v>
      </c>
      <c r="C3374" s="124" t="s">
        <v>369</v>
      </c>
      <c r="D3374" t="s">
        <v>5399</v>
      </c>
      <c r="E3374" t="s">
        <v>5449</v>
      </c>
      <c r="F3374" s="125" t="s">
        <v>5449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4895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57</v>
      </c>
      <c r="R3374" s="115" t="s">
        <v>1459</v>
      </c>
      <c r="S3374" s="125"/>
    </row>
    <row r="3375" spans="1:19" hidden="1">
      <c r="A3375" s="124" t="s">
        <v>5479</v>
      </c>
      <c r="B3375" s="149" t="str">
        <f>IFERROR(VLOOKUP(Proc[[#This Row],[App]],Table2[],3,0),"open")</f>
        <v>open</v>
      </c>
      <c r="C3375" s="124" t="s">
        <v>369</v>
      </c>
      <c r="D3375" t="s">
        <v>5400</v>
      </c>
      <c r="E3375" t="s">
        <v>5449</v>
      </c>
      <c r="F3375" s="125" t="s">
        <v>5449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4895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57</v>
      </c>
      <c r="R3375" s="115" t="s">
        <v>1459</v>
      </c>
      <c r="S3375" s="125"/>
    </row>
    <row r="3376" spans="1:19" hidden="1">
      <c r="A3376" s="124" t="s">
        <v>5479</v>
      </c>
      <c r="B3376" s="149" t="str">
        <f>IFERROR(VLOOKUP(Proc[[#This Row],[App]],Table2[],3,0),"open")</f>
        <v>open</v>
      </c>
      <c r="C3376" s="124" t="s">
        <v>369</v>
      </c>
      <c r="D3376" t="s">
        <v>5401</v>
      </c>
      <c r="E3376" t="s">
        <v>5457</v>
      </c>
      <c r="F3376" s="125" t="s">
        <v>5457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4895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57</v>
      </c>
      <c r="R3376" s="115" t="s">
        <v>1459</v>
      </c>
      <c r="S3376" s="125"/>
    </row>
    <row r="3377" spans="1:19" hidden="1">
      <c r="A3377" s="124" t="s">
        <v>5479</v>
      </c>
      <c r="B3377" s="149" t="str">
        <f>IFERROR(VLOOKUP(Proc[[#This Row],[App]],Table2[],3,0),"open")</f>
        <v>open</v>
      </c>
      <c r="C3377" s="124" t="s">
        <v>369</v>
      </c>
      <c r="D3377" t="s">
        <v>5402</v>
      </c>
      <c r="E3377" t="s">
        <v>5465</v>
      </c>
      <c r="F3377" s="125" t="s">
        <v>5465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4895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57</v>
      </c>
      <c r="R3377" s="115" t="s">
        <v>1459</v>
      </c>
      <c r="S3377" s="125"/>
    </row>
    <row r="3378" spans="1:19" hidden="1">
      <c r="A3378" s="124" t="s">
        <v>5479</v>
      </c>
      <c r="B3378" s="149" t="str">
        <f>IFERROR(VLOOKUP(Proc[[#This Row],[App]],Table2[],3,0),"open")</f>
        <v>open</v>
      </c>
      <c r="C3378" s="124" t="s">
        <v>369</v>
      </c>
      <c r="D3378" t="s">
        <v>5403</v>
      </c>
      <c r="E3378" t="s">
        <v>5457</v>
      </c>
      <c r="F3378" s="125" t="s">
        <v>5457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4895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57</v>
      </c>
      <c r="R3378" s="115" t="s">
        <v>1459</v>
      </c>
      <c r="S3378" s="125"/>
    </row>
    <row r="3379" spans="1:19" hidden="1">
      <c r="A3379" s="124" t="s">
        <v>5479</v>
      </c>
      <c r="B3379" s="149" t="str">
        <f>IFERROR(VLOOKUP(Proc[[#This Row],[App]],Table2[],3,0),"open")</f>
        <v>open</v>
      </c>
      <c r="C3379" s="124" t="s">
        <v>369</v>
      </c>
      <c r="D3379" t="s">
        <v>4829</v>
      </c>
      <c r="E3379" t="s">
        <v>5474</v>
      </c>
      <c r="F3379" s="125" t="s">
        <v>5474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4895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57</v>
      </c>
      <c r="R3379" s="115" t="s">
        <v>1459</v>
      </c>
      <c r="S3379" s="125"/>
    </row>
    <row r="3380" spans="1:19" hidden="1">
      <c r="A3380" s="124" t="s">
        <v>5479</v>
      </c>
      <c r="B3380" s="149" t="str">
        <f>IFERROR(VLOOKUP(Proc[[#This Row],[App]],Table2[],3,0),"open")</f>
        <v>open</v>
      </c>
      <c r="C3380" s="124" t="s">
        <v>369</v>
      </c>
      <c r="D3380" t="s">
        <v>5404</v>
      </c>
      <c r="E3380" t="s">
        <v>5474</v>
      </c>
      <c r="F3380" s="125" t="s">
        <v>5474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4895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57</v>
      </c>
      <c r="R3380" s="115" t="s">
        <v>1459</v>
      </c>
      <c r="S3380" s="125"/>
    </row>
    <row r="3381" spans="1:19" hidden="1">
      <c r="A3381" s="124" t="s">
        <v>5479</v>
      </c>
      <c r="B3381" s="149" t="str">
        <f>IFERROR(VLOOKUP(Proc[[#This Row],[App]],Table2[],3,0),"open")</f>
        <v>open</v>
      </c>
      <c r="C3381" s="124" t="s">
        <v>369</v>
      </c>
      <c r="D3381" t="s">
        <v>5405</v>
      </c>
      <c r="E3381" t="s">
        <v>5450</v>
      </c>
      <c r="F3381" s="125" t="s">
        <v>5450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4895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57</v>
      </c>
      <c r="R3381" s="115" t="s">
        <v>1459</v>
      </c>
      <c r="S3381" s="125"/>
    </row>
    <row r="3382" spans="1:19" hidden="1">
      <c r="A3382" s="124" t="s">
        <v>5479</v>
      </c>
      <c r="B3382" s="149" t="str">
        <f>IFERROR(VLOOKUP(Proc[[#This Row],[App]],Table2[],3,0),"open")</f>
        <v>open</v>
      </c>
      <c r="C3382" s="124" t="s">
        <v>369</v>
      </c>
      <c r="D3382" t="s">
        <v>5406</v>
      </c>
      <c r="E3382" t="s">
        <v>5458</v>
      </c>
      <c r="F3382" s="125" t="s">
        <v>5458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4895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57</v>
      </c>
      <c r="R3382" s="115" t="s">
        <v>1459</v>
      </c>
      <c r="S3382" s="125"/>
    </row>
    <row r="3383" spans="1:19" hidden="1">
      <c r="A3383" s="124" t="s">
        <v>5479</v>
      </c>
      <c r="B3383" s="149" t="str">
        <f>IFERROR(VLOOKUP(Proc[[#This Row],[App]],Table2[],3,0),"open")</f>
        <v>open</v>
      </c>
      <c r="C3383" s="124" t="s">
        <v>369</v>
      </c>
      <c r="D3383" t="s">
        <v>5407</v>
      </c>
      <c r="E3383" t="s">
        <v>5474</v>
      </c>
      <c r="F3383" s="125" t="s">
        <v>5474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4895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57</v>
      </c>
      <c r="R3383" s="115" t="s">
        <v>1459</v>
      </c>
      <c r="S3383" s="125"/>
    </row>
    <row r="3384" spans="1:19" hidden="1">
      <c r="A3384" s="124" t="s">
        <v>5479</v>
      </c>
      <c r="B3384" s="149" t="str">
        <f>IFERROR(VLOOKUP(Proc[[#This Row],[App]],Table2[],3,0),"open")</f>
        <v>open</v>
      </c>
      <c r="C3384" s="124" t="s">
        <v>369</v>
      </c>
      <c r="D3384" t="s">
        <v>5408</v>
      </c>
      <c r="E3384" t="s">
        <v>5456</v>
      </c>
      <c r="F3384" s="125" t="s">
        <v>5456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4895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57</v>
      </c>
      <c r="R3384" s="115" t="s">
        <v>1459</v>
      </c>
      <c r="S3384" s="125"/>
    </row>
    <row r="3385" spans="1:19" hidden="1">
      <c r="A3385" s="124" t="s">
        <v>5479</v>
      </c>
      <c r="B3385" s="149" t="str">
        <f>IFERROR(VLOOKUP(Proc[[#This Row],[App]],Table2[],3,0),"open")</f>
        <v>open</v>
      </c>
      <c r="C3385" s="124" t="s">
        <v>369</v>
      </c>
      <c r="D3385" t="s">
        <v>5409</v>
      </c>
      <c r="E3385" t="s">
        <v>5451</v>
      </c>
      <c r="F3385" s="125" t="s">
        <v>5451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4895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57</v>
      </c>
      <c r="R3385" s="115" t="s">
        <v>1459</v>
      </c>
      <c r="S3385" s="125"/>
    </row>
    <row r="3386" spans="1:19" hidden="1">
      <c r="A3386" s="124" t="s">
        <v>5479</v>
      </c>
      <c r="B3386" s="149" t="str">
        <f>IFERROR(VLOOKUP(Proc[[#This Row],[App]],Table2[],3,0),"open")</f>
        <v>open</v>
      </c>
      <c r="C3386" s="124" t="s">
        <v>369</v>
      </c>
      <c r="D3386" t="s">
        <v>5410</v>
      </c>
      <c r="E3386" t="s">
        <v>5457</v>
      </c>
      <c r="F3386" s="125" t="s">
        <v>5457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4895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57</v>
      </c>
      <c r="R3386" s="115" t="s">
        <v>1459</v>
      </c>
      <c r="S3386" s="125"/>
    </row>
    <row r="3387" spans="1:19" hidden="1">
      <c r="A3387" s="124" t="s">
        <v>5479</v>
      </c>
      <c r="B3387" s="149" t="str">
        <f>IFERROR(VLOOKUP(Proc[[#This Row],[App]],Table2[],3,0),"open")</f>
        <v>open</v>
      </c>
      <c r="C3387" s="124" t="s">
        <v>369</v>
      </c>
      <c r="D3387" t="s">
        <v>5411</v>
      </c>
      <c r="E3387" t="s">
        <v>5457</v>
      </c>
      <c r="F3387" s="125" t="s">
        <v>5457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4895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57</v>
      </c>
      <c r="R3387" s="115" t="s">
        <v>1459</v>
      </c>
      <c r="S3387" s="125"/>
    </row>
    <row r="3388" spans="1:19" hidden="1">
      <c r="A3388" s="124" t="s">
        <v>5479</v>
      </c>
      <c r="B3388" s="149" t="str">
        <f>IFERROR(VLOOKUP(Proc[[#This Row],[App]],Table2[],3,0),"open")</f>
        <v>open</v>
      </c>
      <c r="C3388" s="124" t="s">
        <v>369</v>
      </c>
      <c r="D3388" t="s">
        <v>5412</v>
      </c>
      <c r="E3388" t="s">
        <v>5475</v>
      </c>
      <c r="F3388" s="125" t="s">
        <v>5475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4895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57</v>
      </c>
      <c r="R3388" s="115" t="s">
        <v>1459</v>
      </c>
      <c r="S3388" s="125"/>
    </row>
    <row r="3389" spans="1:19" hidden="1">
      <c r="A3389" s="124" t="s">
        <v>5479</v>
      </c>
      <c r="B3389" s="149" t="str">
        <f>IFERROR(VLOOKUP(Proc[[#This Row],[App]],Table2[],3,0),"open")</f>
        <v>open</v>
      </c>
      <c r="C3389" s="124" t="s">
        <v>369</v>
      </c>
      <c r="D3389" t="s">
        <v>5413</v>
      </c>
      <c r="E3389" t="s">
        <v>5457</v>
      </c>
      <c r="F3389" s="125" t="s">
        <v>5457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4895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57</v>
      </c>
      <c r="R3389" s="115" t="s">
        <v>1459</v>
      </c>
      <c r="S3389" s="125"/>
    </row>
    <row r="3390" spans="1:19" hidden="1">
      <c r="A3390" s="124" t="s">
        <v>5479</v>
      </c>
      <c r="B3390" s="149" t="str">
        <f>IFERROR(VLOOKUP(Proc[[#This Row],[App]],Table2[],3,0),"open")</f>
        <v>open</v>
      </c>
      <c r="C3390" s="124" t="s">
        <v>369</v>
      </c>
      <c r="D3390" t="s">
        <v>5414</v>
      </c>
      <c r="E3390" t="s">
        <v>5457</v>
      </c>
      <c r="F3390" s="125" t="s">
        <v>5457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4895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57</v>
      </c>
      <c r="R3390" s="115" t="s">
        <v>1459</v>
      </c>
      <c r="S3390" s="125"/>
    </row>
    <row r="3391" spans="1:19" hidden="1">
      <c r="A3391" s="124" t="s">
        <v>5479</v>
      </c>
      <c r="B3391" s="149" t="str">
        <f>IFERROR(VLOOKUP(Proc[[#This Row],[App]],Table2[],3,0),"open")</f>
        <v>open</v>
      </c>
      <c r="C3391" s="124" t="s">
        <v>369</v>
      </c>
      <c r="D3391" t="s">
        <v>5415</v>
      </c>
      <c r="E3391" t="s">
        <v>5457</v>
      </c>
      <c r="F3391" s="125" t="s">
        <v>5457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4895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57</v>
      </c>
      <c r="R3391" s="115" t="s">
        <v>1459</v>
      </c>
      <c r="S3391" s="125"/>
    </row>
    <row r="3392" spans="1:19" hidden="1">
      <c r="A3392" s="124" t="s">
        <v>5479</v>
      </c>
      <c r="B3392" s="149" t="str">
        <f>IFERROR(VLOOKUP(Proc[[#This Row],[App]],Table2[],3,0),"open")</f>
        <v>open</v>
      </c>
      <c r="C3392" s="124" t="s">
        <v>369</v>
      </c>
      <c r="D3392" t="s">
        <v>5416</v>
      </c>
      <c r="E3392" t="s">
        <v>5476</v>
      </c>
      <c r="F3392" s="125" t="s">
        <v>5476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4895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57</v>
      </c>
      <c r="R3392" s="115" t="s">
        <v>1459</v>
      </c>
      <c r="S3392" s="125"/>
    </row>
    <row r="3393" spans="1:19" hidden="1">
      <c r="A3393" s="124" t="s">
        <v>5479</v>
      </c>
      <c r="B3393" s="149" t="str">
        <f>IFERROR(VLOOKUP(Proc[[#This Row],[App]],Table2[],3,0),"open")</f>
        <v>open</v>
      </c>
      <c r="C3393" s="124" t="s">
        <v>369</v>
      </c>
      <c r="D3393" t="s">
        <v>5417</v>
      </c>
      <c r="E3393" t="s">
        <v>5457</v>
      </c>
      <c r="F3393" s="125" t="s">
        <v>5457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4895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57</v>
      </c>
      <c r="R3393" s="115" t="s">
        <v>1459</v>
      </c>
      <c r="S3393" s="125"/>
    </row>
    <row r="3394" spans="1:19" hidden="1">
      <c r="A3394" s="124" t="s">
        <v>5479</v>
      </c>
      <c r="B3394" s="149" t="str">
        <f>IFERROR(VLOOKUP(Proc[[#This Row],[App]],Table2[],3,0),"open")</f>
        <v>open</v>
      </c>
      <c r="C3394" s="124" t="s">
        <v>369</v>
      </c>
      <c r="D3394" t="s">
        <v>5418</v>
      </c>
      <c r="E3394" t="s">
        <v>5457</v>
      </c>
      <c r="F3394" s="125" t="s">
        <v>5457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4895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57</v>
      </c>
      <c r="R3394" s="115" t="s">
        <v>1459</v>
      </c>
      <c r="S3394" s="125"/>
    </row>
    <row r="3395" spans="1:19" hidden="1">
      <c r="A3395" s="124" t="s">
        <v>5479</v>
      </c>
      <c r="B3395" s="149" t="str">
        <f>IFERROR(VLOOKUP(Proc[[#This Row],[App]],Table2[],3,0),"open")</f>
        <v>open</v>
      </c>
      <c r="C3395" s="124" t="s">
        <v>369</v>
      </c>
      <c r="D3395" t="s">
        <v>5419</v>
      </c>
      <c r="E3395" t="s">
        <v>5449</v>
      </c>
      <c r="F3395" s="125" t="s">
        <v>5449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4895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57</v>
      </c>
      <c r="R3395" s="115" t="s">
        <v>1459</v>
      </c>
      <c r="S3395" s="125"/>
    </row>
    <row r="3396" spans="1:19" hidden="1">
      <c r="A3396" s="124" t="s">
        <v>5479</v>
      </c>
      <c r="B3396" s="149" t="str">
        <f>IFERROR(VLOOKUP(Proc[[#This Row],[App]],Table2[],3,0),"open")</f>
        <v>open</v>
      </c>
      <c r="C3396" s="124" t="s">
        <v>369</v>
      </c>
      <c r="D3396" t="s">
        <v>5420</v>
      </c>
      <c r="E3396" t="s">
        <v>5465</v>
      </c>
      <c r="F3396" s="125" t="s">
        <v>5465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4895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57</v>
      </c>
      <c r="R3396" s="115" t="s">
        <v>1459</v>
      </c>
      <c r="S3396" s="125"/>
    </row>
    <row r="3397" spans="1:19" hidden="1">
      <c r="A3397" s="124" t="s">
        <v>5479</v>
      </c>
      <c r="B3397" s="149" t="str">
        <f>IFERROR(VLOOKUP(Proc[[#This Row],[App]],Table2[],3,0),"open")</f>
        <v>open</v>
      </c>
      <c r="C3397" s="124" t="s">
        <v>369</v>
      </c>
      <c r="D3397" t="s">
        <v>5421</v>
      </c>
      <c r="E3397" t="s">
        <v>5448</v>
      </c>
      <c r="F3397" s="125" t="s">
        <v>5448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4895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57</v>
      </c>
      <c r="R3397" s="115" t="s">
        <v>1459</v>
      </c>
      <c r="S3397" s="125"/>
    </row>
    <row r="3398" spans="1:19" hidden="1">
      <c r="A3398" s="124" t="s">
        <v>5479</v>
      </c>
      <c r="B3398" s="149" t="str">
        <f>IFERROR(VLOOKUP(Proc[[#This Row],[App]],Table2[],3,0),"open")</f>
        <v>open</v>
      </c>
      <c r="C3398" s="124" t="s">
        <v>369</v>
      </c>
      <c r="D3398" t="s">
        <v>5422</v>
      </c>
      <c r="E3398" t="s">
        <v>5465</v>
      </c>
      <c r="F3398" s="125" t="s">
        <v>5465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4895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57</v>
      </c>
      <c r="R3398" s="115" t="s">
        <v>1459</v>
      </c>
      <c r="S3398" s="125"/>
    </row>
    <row r="3399" spans="1:19" hidden="1">
      <c r="A3399" s="124" t="s">
        <v>5479</v>
      </c>
      <c r="B3399" s="149" t="str">
        <f>IFERROR(VLOOKUP(Proc[[#This Row],[App]],Table2[],3,0),"open")</f>
        <v>open</v>
      </c>
      <c r="C3399" s="124" t="s">
        <v>369</v>
      </c>
      <c r="D3399" t="s">
        <v>5423</v>
      </c>
      <c r="E3399" t="s">
        <v>5447</v>
      </c>
      <c r="F3399" s="125" t="s">
        <v>5447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4895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57</v>
      </c>
      <c r="R3399" s="115" t="s">
        <v>1459</v>
      </c>
      <c r="S3399" s="125"/>
    </row>
    <row r="3400" spans="1:19" hidden="1">
      <c r="A3400" s="124" t="s">
        <v>5479</v>
      </c>
      <c r="B3400" s="149" t="str">
        <f>IFERROR(VLOOKUP(Proc[[#This Row],[App]],Table2[],3,0),"open")</f>
        <v>open</v>
      </c>
      <c r="C3400" s="124" t="s">
        <v>369</v>
      </c>
      <c r="D3400" t="s">
        <v>5424</v>
      </c>
      <c r="E3400" t="s">
        <v>5468</v>
      </c>
      <c r="F3400" s="125" t="s">
        <v>5468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4895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57</v>
      </c>
      <c r="R3400" s="115" t="s">
        <v>1459</v>
      </c>
      <c r="S3400" s="125"/>
    </row>
    <row r="3401" spans="1:19" hidden="1">
      <c r="A3401" s="124" t="s">
        <v>5479</v>
      </c>
      <c r="B3401" s="149" t="str">
        <f>IFERROR(VLOOKUP(Proc[[#This Row],[App]],Table2[],3,0),"open")</f>
        <v>open</v>
      </c>
      <c r="C3401" s="124" t="s">
        <v>369</v>
      </c>
      <c r="D3401" t="s">
        <v>5425</v>
      </c>
      <c r="E3401" t="s">
        <v>5446</v>
      </c>
      <c r="F3401" s="125" t="s">
        <v>5446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4895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57</v>
      </c>
      <c r="R3401" s="115" t="s">
        <v>1459</v>
      </c>
      <c r="S3401" s="125"/>
    </row>
    <row r="3402" spans="1:19" hidden="1">
      <c r="A3402" s="124" t="s">
        <v>5479</v>
      </c>
      <c r="B3402" s="149" t="str">
        <f>IFERROR(VLOOKUP(Proc[[#This Row],[App]],Table2[],3,0),"open")</f>
        <v>open</v>
      </c>
      <c r="C3402" s="124" t="s">
        <v>369</v>
      </c>
      <c r="D3402" t="s">
        <v>5426</v>
      </c>
      <c r="E3402" t="s">
        <v>5465</v>
      </c>
      <c r="F3402" s="125" t="s">
        <v>5465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4895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57</v>
      </c>
      <c r="R3402" s="115" t="s">
        <v>1459</v>
      </c>
      <c r="S3402" s="125"/>
    </row>
    <row r="3403" spans="1:19" hidden="1">
      <c r="A3403" s="124" t="s">
        <v>5479</v>
      </c>
      <c r="B3403" s="149" t="str">
        <f>IFERROR(VLOOKUP(Proc[[#This Row],[App]],Table2[],3,0),"open")</f>
        <v>open</v>
      </c>
      <c r="C3403" s="124" t="s">
        <v>369</v>
      </c>
      <c r="D3403" t="s">
        <v>5427</v>
      </c>
      <c r="E3403" t="s">
        <v>5474</v>
      </c>
      <c r="F3403" s="125" t="s">
        <v>5474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4895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57</v>
      </c>
      <c r="R3403" s="115" t="s">
        <v>1459</v>
      </c>
      <c r="S3403" s="125"/>
    </row>
    <row r="3404" spans="1:19" hidden="1">
      <c r="A3404" s="124" t="s">
        <v>5479</v>
      </c>
      <c r="B3404" s="149" t="str">
        <f>IFERROR(VLOOKUP(Proc[[#This Row],[App]],Table2[],3,0),"open")</f>
        <v>open</v>
      </c>
      <c r="C3404" s="124" t="s">
        <v>369</v>
      </c>
      <c r="D3404" t="s">
        <v>5428</v>
      </c>
      <c r="E3404" t="s">
        <v>5447</v>
      </c>
      <c r="F3404" s="125" t="s">
        <v>5447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4895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57</v>
      </c>
      <c r="R3404" s="115" t="s">
        <v>1459</v>
      </c>
      <c r="S3404" s="125"/>
    </row>
    <row r="3405" spans="1:19" hidden="1">
      <c r="A3405" s="124" t="s">
        <v>5479</v>
      </c>
      <c r="B3405" s="149" t="str">
        <f>IFERROR(VLOOKUP(Proc[[#This Row],[App]],Table2[],3,0),"open")</f>
        <v>open</v>
      </c>
      <c r="C3405" s="124" t="s">
        <v>369</v>
      </c>
      <c r="D3405" t="s">
        <v>5429</v>
      </c>
      <c r="E3405" t="s">
        <v>5454</v>
      </c>
      <c r="F3405" s="125" t="s">
        <v>5454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4895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57</v>
      </c>
      <c r="R3405" s="115" t="s">
        <v>1459</v>
      </c>
      <c r="S3405" s="125"/>
    </row>
    <row r="3406" spans="1:19" hidden="1">
      <c r="A3406" s="124" t="s">
        <v>5479</v>
      </c>
      <c r="B3406" s="149" t="str">
        <f>IFERROR(VLOOKUP(Proc[[#This Row],[App]],Table2[],3,0),"open")</f>
        <v>open</v>
      </c>
      <c r="C3406" s="124" t="s">
        <v>369</v>
      </c>
      <c r="D3406" t="s">
        <v>5430</v>
      </c>
      <c r="E3406" t="s">
        <v>5454</v>
      </c>
      <c r="F3406" s="125" t="s">
        <v>5454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4895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57</v>
      </c>
      <c r="R3406" s="115" t="s">
        <v>1459</v>
      </c>
      <c r="S3406" s="125"/>
    </row>
    <row r="3407" spans="1:19" hidden="1">
      <c r="A3407" s="124" t="s">
        <v>5479</v>
      </c>
      <c r="B3407" s="149" t="str">
        <f>IFERROR(VLOOKUP(Proc[[#This Row],[App]],Table2[],3,0),"open")</f>
        <v>open</v>
      </c>
      <c r="C3407" s="124" t="s">
        <v>369</v>
      </c>
      <c r="D3407" t="s">
        <v>5431</v>
      </c>
      <c r="E3407" t="s">
        <v>5465</v>
      </c>
      <c r="F3407" s="125" t="s">
        <v>5465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4895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57</v>
      </c>
      <c r="R3407" s="115" t="s">
        <v>1459</v>
      </c>
      <c r="S3407" s="125"/>
    </row>
    <row r="3408" spans="1:19" hidden="1">
      <c r="A3408" s="124" t="s">
        <v>5479</v>
      </c>
      <c r="B3408" s="149" t="str">
        <f>IFERROR(VLOOKUP(Proc[[#This Row],[App]],Table2[],3,0),"open")</f>
        <v>open</v>
      </c>
      <c r="C3408" s="124" t="s">
        <v>369</v>
      </c>
      <c r="D3408" t="s">
        <v>5432</v>
      </c>
      <c r="E3408" t="s">
        <v>5454</v>
      </c>
      <c r="F3408" s="125" t="s">
        <v>5454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4895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57</v>
      </c>
      <c r="R3408" s="115" t="s">
        <v>1459</v>
      </c>
      <c r="S3408" s="125"/>
    </row>
    <row r="3409" spans="1:19" hidden="1">
      <c r="A3409" s="124" t="s">
        <v>5479</v>
      </c>
      <c r="B3409" s="149" t="str">
        <f>IFERROR(VLOOKUP(Proc[[#This Row],[App]],Table2[],3,0),"open")</f>
        <v>open</v>
      </c>
      <c r="C3409" s="124" t="s">
        <v>369</v>
      </c>
      <c r="D3409" t="s">
        <v>5433</v>
      </c>
      <c r="E3409" t="s">
        <v>5448</v>
      </c>
      <c r="F3409" s="125" t="s">
        <v>5448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4895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57</v>
      </c>
      <c r="R3409" s="115" t="s">
        <v>1459</v>
      </c>
      <c r="S3409" s="125"/>
    </row>
    <row r="3410" spans="1:19" hidden="1">
      <c r="A3410" s="124" t="s">
        <v>5479</v>
      </c>
      <c r="B3410" s="149" t="str">
        <f>IFERROR(VLOOKUP(Proc[[#This Row],[App]],Table2[],3,0),"open")</f>
        <v>open</v>
      </c>
      <c r="C3410" s="124" t="s">
        <v>369</v>
      </c>
      <c r="D3410" t="s">
        <v>5434</v>
      </c>
      <c r="E3410" t="s">
        <v>5448</v>
      </c>
      <c r="F3410" s="125" t="s">
        <v>5448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4895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57</v>
      </c>
      <c r="R3410" s="115" t="s">
        <v>1459</v>
      </c>
      <c r="S3410" s="125"/>
    </row>
    <row r="3411" spans="1:19" hidden="1">
      <c r="A3411" s="124" t="s">
        <v>5479</v>
      </c>
      <c r="B3411" s="149" t="str">
        <f>IFERROR(VLOOKUP(Proc[[#This Row],[App]],Table2[],3,0),"open")</f>
        <v>open</v>
      </c>
      <c r="C3411" s="124" t="s">
        <v>369</v>
      </c>
      <c r="D3411" t="s">
        <v>5435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4895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57</v>
      </c>
      <c r="R3411" s="115" t="s">
        <v>1459</v>
      </c>
      <c r="S3411" s="125"/>
    </row>
    <row r="3412" spans="1:19" hidden="1">
      <c r="A3412" s="124" t="s">
        <v>5479</v>
      </c>
      <c r="B3412" s="149" t="str">
        <f>IFERROR(VLOOKUP(Proc[[#This Row],[App]],Table2[],3,0),"open")</f>
        <v>open</v>
      </c>
      <c r="C3412" s="124" t="s">
        <v>369</v>
      </c>
      <c r="D3412" t="s">
        <v>5436</v>
      </c>
      <c r="E3412" t="s">
        <v>5447</v>
      </c>
      <c r="F3412" s="125" t="s">
        <v>5447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4895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57</v>
      </c>
      <c r="R3412" s="115" t="s">
        <v>1459</v>
      </c>
      <c r="S3412" s="125"/>
    </row>
    <row r="3413" spans="1:19" hidden="1">
      <c r="A3413" s="124" t="s">
        <v>5479</v>
      </c>
      <c r="B3413" s="149" t="str">
        <f>IFERROR(VLOOKUP(Proc[[#This Row],[App]],Table2[],3,0),"open")</f>
        <v>open</v>
      </c>
      <c r="C3413" s="124" t="s">
        <v>369</v>
      </c>
      <c r="D3413" t="s">
        <v>5437</v>
      </c>
      <c r="E3413" t="s">
        <v>5477</v>
      </c>
      <c r="F3413" s="125" t="s">
        <v>5477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4895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57</v>
      </c>
      <c r="R3413" s="115" t="s">
        <v>1459</v>
      </c>
      <c r="S3413" s="125"/>
    </row>
    <row r="3414" spans="1:19" hidden="1">
      <c r="A3414" s="124" t="s">
        <v>5479</v>
      </c>
      <c r="B3414" s="149" t="str">
        <f>IFERROR(VLOOKUP(Proc[[#This Row],[App]],Table2[],3,0),"open")</f>
        <v>open</v>
      </c>
      <c r="C3414" s="124" t="s">
        <v>369</v>
      </c>
      <c r="D3414" t="s">
        <v>5438</v>
      </c>
      <c r="E3414" t="s">
        <v>5478</v>
      </c>
      <c r="F3414" s="125" t="s">
        <v>5478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4895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57</v>
      </c>
      <c r="R3414" s="115" t="s">
        <v>1459</v>
      </c>
      <c r="S3414" s="125"/>
    </row>
    <row r="3415" spans="1:19" hidden="1">
      <c r="A3415" s="124" t="s">
        <v>5479</v>
      </c>
      <c r="B3415" s="149" t="str">
        <f>IFERROR(VLOOKUP(Proc[[#This Row],[App]],Table2[],3,0),"open")</f>
        <v>open</v>
      </c>
      <c r="C3415" s="124" t="s">
        <v>369</v>
      </c>
      <c r="D3415" t="s">
        <v>5439</v>
      </c>
      <c r="E3415" t="s">
        <v>5477</v>
      </c>
      <c r="F3415" s="125" t="s">
        <v>5477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4895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57</v>
      </c>
      <c r="R3415" s="115" t="s">
        <v>1459</v>
      </c>
      <c r="S3415" s="125"/>
    </row>
    <row r="3416" spans="1:19" hidden="1">
      <c r="A3416" s="124" t="s">
        <v>5479</v>
      </c>
      <c r="B3416" s="149" t="str">
        <f>IFERROR(VLOOKUP(Proc[[#This Row],[App]],Table2[],3,0),"open")</f>
        <v>open</v>
      </c>
      <c r="C3416" s="124" t="s">
        <v>369</v>
      </c>
      <c r="D3416" t="s">
        <v>5440</v>
      </c>
      <c r="E3416" t="s">
        <v>5477</v>
      </c>
      <c r="F3416" s="125" t="s">
        <v>5477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4895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57</v>
      </c>
      <c r="R3416" s="115" t="s">
        <v>1459</v>
      </c>
      <c r="S3416" s="125"/>
    </row>
    <row r="3417" spans="1:19" hidden="1">
      <c r="A3417" s="124" t="s">
        <v>5479</v>
      </c>
      <c r="B3417" s="149" t="str">
        <f>IFERROR(VLOOKUP(Proc[[#This Row],[App]],Table2[],3,0),"open")</f>
        <v>open</v>
      </c>
      <c r="C3417" s="124" t="s">
        <v>369</v>
      </c>
      <c r="D3417" t="s">
        <v>5441</v>
      </c>
      <c r="E3417" t="s">
        <v>5477</v>
      </c>
      <c r="F3417" s="125" t="s">
        <v>5477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4895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57</v>
      </c>
      <c r="R3417" s="115" t="s">
        <v>1459</v>
      </c>
      <c r="S3417" s="125"/>
    </row>
    <row r="3418" spans="1:19" hidden="1">
      <c r="A3418" s="124" t="s">
        <v>5479</v>
      </c>
      <c r="B3418" s="149" t="str">
        <f>IFERROR(VLOOKUP(Proc[[#This Row],[App]],Table2[],3,0),"open")</f>
        <v>open</v>
      </c>
      <c r="C3418" s="124" t="s">
        <v>369</v>
      </c>
      <c r="D3418" t="s">
        <v>5442</v>
      </c>
      <c r="E3418" t="s">
        <v>5477</v>
      </c>
      <c r="F3418" s="125" t="s">
        <v>5477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4895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57</v>
      </c>
      <c r="R3418" s="115" t="s">
        <v>1459</v>
      </c>
      <c r="S3418" s="125"/>
    </row>
    <row r="3419" spans="1:19" hidden="1">
      <c r="A3419" s="124" t="s">
        <v>5479</v>
      </c>
      <c r="B3419" s="149" t="str">
        <f>IFERROR(VLOOKUP(Proc[[#This Row],[App]],Table2[],3,0),"open")</f>
        <v>open</v>
      </c>
      <c r="C3419" s="124" t="s">
        <v>369</v>
      </c>
      <c r="D3419" t="s">
        <v>5443</v>
      </c>
      <c r="E3419" t="s">
        <v>5477</v>
      </c>
      <c r="F3419" s="125" t="s">
        <v>5477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4895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57</v>
      </c>
      <c r="R3419" s="115" t="s">
        <v>1459</v>
      </c>
      <c r="S3419" s="125"/>
    </row>
    <row r="3420" spans="1:19" hidden="1">
      <c r="A3420" s="124" t="s">
        <v>5479</v>
      </c>
      <c r="B3420" s="149" t="str">
        <f>IFERROR(VLOOKUP(Proc[[#This Row],[App]],Table2[],3,0),"open")</f>
        <v>open</v>
      </c>
      <c r="C3420" s="124" t="s">
        <v>369</v>
      </c>
      <c r="D3420" t="s">
        <v>5444</v>
      </c>
      <c r="E3420" t="s">
        <v>5477</v>
      </c>
      <c r="F3420" s="125" t="s">
        <v>5477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4895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57</v>
      </c>
      <c r="R3420" s="115" t="s">
        <v>1459</v>
      </c>
      <c r="S3420" s="125"/>
    </row>
    <row r="3421" spans="1:19" hidden="1">
      <c r="A3421" t="s">
        <v>5494</v>
      </c>
      <c r="B3421" s="149" t="str">
        <f>IFERROR(VLOOKUP(Proc[[#This Row],[App]],Table2[],3,0),"open")</f>
        <v>ok</v>
      </c>
      <c r="C3421" s="124" t="s">
        <v>369</v>
      </c>
      <c r="D3421" t="s">
        <v>5481</v>
      </c>
      <c r="E3421" t="s">
        <v>5495</v>
      </c>
      <c r="F3421" s="125" t="s">
        <v>5495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4895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57</v>
      </c>
      <c r="R3421" s="115" t="s">
        <v>1013</v>
      </c>
      <c r="S3421" s="125"/>
    </row>
    <row r="3422" spans="1:19" hidden="1">
      <c r="A3422" s="124" t="s">
        <v>5494</v>
      </c>
      <c r="B3422" s="149" t="str">
        <f>IFERROR(VLOOKUP(Proc[[#This Row],[App]],Table2[],3,0),"open")</f>
        <v>ok</v>
      </c>
      <c r="C3422" s="124" t="s">
        <v>369</v>
      </c>
      <c r="D3422" t="s">
        <v>5482</v>
      </c>
      <c r="E3422" t="s">
        <v>5496</v>
      </c>
      <c r="F3422" s="125" t="s">
        <v>5496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4895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57</v>
      </c>
      <c r="R3422" s="115" t="s">
        <v>1013</v>
      </c>
      <c r="S3422" s="125"/>
    </row>
    <row r="3423" spans="1:19" hidden="1">
      <c r="A3423" s="124" t="s">
        <v>5494</v>
      </c>
      <c r="B3423" s="149" t="str">
        <f>IFERROR(VLOOKUP(Proc[[#This Row],[App]],Table2[],3,0),"open")</f>
        <v>ok</v>
      </c>
      <c r="C3423" s="124" t="s">
        <v>369</v>
      </c>
      <c r="D3423" t="s">
        <v>5483</v>
      </c>
      <c r="E3423" t="s">
        <v>5497</v>
      </c>
      <c r="F3423" s="125" t="s">
        <v>5497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4895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57</v>
      </c>
      <c r="R3423" s="115" t="s">
        <v>1013</v>
      </c>
      <c r="S3423" s="125"/>
    </row>
    <row r="3424" spans="1:19" hidden="1">
      <c r="A3424" s="124" t="s">
        <v>5494</v>
      </c>
      <c r="B3424" s="149" t="str">
        <f>IFERROR(VLOOKUP(Proc[[#This Row],[App]],Table2[],3,0),"open")</f>
        <v>ok</v>
      </c>
      <c r="C3424" s="124" t="s">
        <v>369</v>
      </c>
      <c r="D3424" t="s">
        <v>5484</v>
      </c>
      <c r="E3424" t="s">
        <v>5498</v>
      </c>
      <c r="F3424" s="125" t="s">
        <v>5498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4895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57</v>
      </c>
      <c r="R3424" s="115" t="s">
        <v>1013</v>
      </c>
      <c r="S3424" s="125"/>
    </row>
    <row r="3425" spans="1:19" hidden="1">
      <c r="A3425" s="124" t="s">
        <v>5494</v>
      </c>
      <c r="B3425" s="149" t="str">
        <f>IFERROR(VLOOKUP(Proc[[#This Row],[App]],Table2[],3,0),"open")</f>
        <v>ok</v>
      </c>
      <c r="C3425" s="124" t="s">
        <v>369</v>
      </c>
      <c r="D3425" t="s">
        <v>5485</v>
      </c>
      <c r="E3425" t="s">
        <v>5498</v>
      </c>
      <c r="F3425" s="125" t="s">
        <v>5498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4895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57</v>
      </c>
      <c r="R3425" s="115" t="s">
        <v>1013</v>
      </c>
      <c r="S3425" s="125"/>
    </row>
    <row r="3426" spans="1:19" hidden="1">
      <c r="A3426" s="124" t="s">
        <v>5494</v>
      </c>
      <c r="B3426" s="149" t="str">
        <f>IFERROR(VLOOKUP(Proc[[#This Row],[App]],Table2[],3,0),"open")</f>
        <v>ok</v>
      </c>
      <c r="C3426" s="124" t="s">
        <v>369</v>
      </c>
      <c r="D3426" t="s">
        <v>5486</v>
      </c>
      <c r="E3426" t="s">
        <v>5495</v>
      </c>
      <c r="F3426" s="125" t="s">
        <v>5495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4895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57</v>
      </c>
      <c r="R3426" s="115" t="s">
        <v>1013</v>
      </c>
      <c r="S3426" s="125"/>
    </row>
    <row r="3427" spans="1:19" hidden="1">
      <c r="A3427" s="124" t="s">
        <v>5494</v>
      </c>
      <c r="B3427" s="149" t="str">
        <f>IFERROR(VLOOKUP(Proc[[#This Row],[App]],Table2[],3,0),"open")</f>
        <v>ok</v>
      </c>
      <c r="C3427" s="124" t="s">
        <v>369</v>
      </c>
      <c r="D3427" t="s">
        <v>5487</v>
      </c>
      <c r="E3427" t="s">
        <v>5496</v>
      </c>
      <c r="F3427" s="125" t="s">
        <v>5496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4895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57</v>
      </c>
      <c r="R3427" s="115" t="s">
        <v>1013</v>
      </c>
      <c r="S3427" s="125"/>
    </row>
    <row r="3428" spans="1:19" hidden="1">
      <c r="A3428" s="124" t="s">
        <v>5494</v>
      </c>
      <c r="B3428" s="149" t="str">
        <f>IFERROR(VLOOKUP(Proc[[#This Row],[App]],Table2[],3,0),"open")</f>
        <v>ok</v>
      </c>
      <c r="C3428" s="124" t="s">
        <v>369</v>
      </c>
      <c r="D3428" t="s">
        <v>5488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4895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57</v>
      </c>
      <c r="R3428" s="115" t="s">
        <v>1013</v>
      </c>
      <c r="S3428" s="125"/>
    </row>
    <row r="3429" spans="1:19" hidden="1">
      <c r="A3429" s="124" t="s">
        <v>5494</v>
      </c>
      <c r="B3429" s="149" t="str">
        <f>IFERROR(VLOOKUP(Proc[[#This Row],[App]],Table2[],3,0),"open")</f>
        <v>ok</v>
      </c>
      <c r="C3429" s="124" t="s">
        <v>369</v>
      </c>
      <c r="D3429" t="s">
        <v>5489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4895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57</v>
      </c>
      <c r="R3429" s="115" t="s">
        <v>1013</v>
      </c>
      <c r="S3429" s="125"/>
    </row>
    <row r="3430" spans="1:19" hidden="1">
      <c r="A3430" s="124" t="s">
        <v>5494</v>
      </c>
      <c r="B3430" s="149" t="str">
        <f>IFERROR(VLOOKUP(Proc[[#This Row],[App]],Table2[],3,0),"open")</f>
        <v>ok</v>
      </c>
      <c r="C3430" s="124" t="s">
        <v>369</v>
      </c>
      <c r="D3430" t="s">
        <v>5490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4895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57</v>
      </c>
      <c r="R3430" s="115" t="s">
        <v>1013</v>
      </c>
      <c r="S3430" s="125"/>
    </row>
    <row r="3431" spans="1:19" hidden="1">
      <c r="A3431" s="124" t="s">
        <v>5494</v>
      </c>
      <c r="B3431" s="149" t="str">
        <f>IFERROR(VLOOKUP(Proc[[#This Row],[App]],Table2[],3,0),"open")</f>
        <v>ok</v>
      </c>
      <c r="C3431" s="124" t="s">
        <v>369</v>
      </c>
      <c r="D3431" t="s">
        <v>5491</v>
      </c>
      <c r="E3431" t="s">
        <v>5498</v>
      </c>
      <c r="F3431" s="125" t="s">
        <v>5498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4895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57</v>
      </c>
      <c r="R3431" s="115" t="s">
        <v>1013</v>
      </c>
      <c r="S3431" s="125"/>
    </row>
    <row r="3432" spans="1:19" hidden="1">
      <c r="A3432" s="124" t="s">
        <v>5494</v>
      </c>
      <c r="B3432" s="149" t="str">
        <f>IFERROR(VLOOKUP(Proc[[#This Row],[App]],Table2[],3,0),"open")</f>
        <v>ok</v>
      </c>
      <c r="C3432" s="124" t="s">
        <v>369</v>
      </c>
      <c r="D3432" t="s">
        <v>5492</v>
      </c>
      <c r="E3432" t="s">
        <v>5498</v>
      </c>
      <c r="F3432" s="125" t="s">
        <v>5498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4895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57</v>
      </c>
      <c r="R3432" s="115" t="s">
        <v>1013</v>
      </c>
      <c r="S3432" s="125"/>
    </row>
    <row r="3433" spans="1:19" hidden="1">
      <c r="A3433" s="124" t="s">
        <v>5494</v>
      </c>
      <c r="B3433" s="149" t="str">
        <f>IFERROR(VLOOKUP(Proc[[#This Row],[App]],Table2[],3,0),"open")</f>
        <v>ok</v>
      </c>
      <c r="C3433" s="124" t="s">
        <v>369</v>
      </c>
      <c r="D3433" t="s">
        <v>5493</v>
      </c>
      <c r="E3433" t="s">
        <v>5499</v>
      </c>
      <c r="F3433" s="125" t="s">
        <v>5499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4895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57</v>
      </c>
      <c r="R3433" s="115" t="s">
        <v>1013</v>
      </c>
      <c r="S3433" s="125"/>
    </row>
    <row r="3434" spans="1:19" hidden="1">
      <c r="A3434" t="s">
        <v>5500</v>
      </c>
      <c r="B3434" s="149" t="str">
        <f>IFERROR(VLOOKUP(Proc[[#This Row],[App]],Table2[],3,0),"open")</f>
        <v>ok</v>
      </c>
      <c r="C3434" s="124" t="s">
        <v>369</v>
      </c>
      <c r="D3434" t="s">
        <v>5545</v>
      </c>
      <c r="E3434" t="s">
        <v>5501</v>
      </c>
      <c r="F3434" s="125" t="s">
        <v>5501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4895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54</v>
      </c>
      <c r="R3434" s="115" t="s">
        <v>5502</v>
      </c>
      <c r="S3434" s="125"/>
    </row>
    <row r="3435" spans="1:19" hidden="1">
      <c r="A3435" s="124" t="s">
        <v>5500</v>
      </c>
      <c r="B3435" s="149" t="str">
        <f>IFERROR(VLOOKUP(Proc[[#This Row],[App]],Table2[],3,0),"open")</f>
        <v>ok</v>
      </c>
      <c r="C3435" s="124" t="s">
        <v>369</v>
      </c>
      <c r="D3435" t="s">
        <v>5546</v>
      </c>
      <c r="E3435" t="s">
        <v>5501</v>
      </c>
      <c r="F3435" s="125" t="s">
        <v>5501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4895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54</v>
      </c>
      <c r="R3435" s="115" t="s">
        <v>5502</v>
      </c>
      <c r="S3435" s="125"/>
    </row>
    <row r="3436" spans="1:19" hidden="1">
      <c r="A3436" t="s">
        <v>5503</v>
      </c>
      <c r="B3436" s="149" t="str">
        <f>IFERROR(VLOOKUP(Proc[[#This Row],[App]],Table2[],3,0),"open")</f>
        <v>ok</v>
      </c>
      <c r="C3436" s="124" t="s">
        <v>369</v>
      </c>
      <c r="D3436" t="s">
        <v>5504</v>
      </c>
      <c r="E3436" t="s">
        <v>5552</v>
      </c>
      <c r="F3436" s="125" t="s">
        <v>5552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4895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54</v>
      </c>
      <c r="R3436" s="115" t="s">
        <v>489</v>
      </c>
      <c r="S3436" s="125"/>
    </row>
    <row r="3437" spans="1:19" hidden="1">
      <c r="A3437" s="124" t="s">
        <v>5503</v>
      </c>
      <c r="B3437" s="149" t="str">
        <f>IFERROR(VLOOKUP(Proc[[#This Row],[App]],Table2[],3,0),"open")</f>
        <v>ok</v>
      </c>
      <c r="C3437" s="124" t="s">
        <v>369</v>
      </c>
      <c r="D3437" t="s">
        <v>5505</v>
      </c>
      <c r="E3437" t="s">
        <v>5552</v>
      </c>
      <c r="F3437" s="125" t="s">
        <v>5552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4895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54</v>
      </c>
      <c r="R3437" s="115" t="s">
        <v>489</v>
      </c>
      <c r="S3437" s="125"/>
    </row>
    <row r="3438" spans="1:19" hidden="1">
      <c r="A3438" s="124" t="s">
        <v>5503</v>
      </c>
      <c r="B3438" s="149" t="str">
        <f>IFERROR(VLOOKUP(Proc[[#This Row],[App]],Table2[],3,0),"open")</f>
        <v>ok</v>
      </c>
      <c r="C3438" s="124" t="s">
        <v>369</v>
      </c>
      <c r="D3438" t="s">
        <v>5506</v>
      </c>
      <c r="E3438" t="s">
        <v>5552</v>
      </c>
      <c r="F3438" s="125" t="s">
        <v>5552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4895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54</v>
      </c>
      <c r="R3438" s="115" t="s">
        <v>489</v>
      </c>
      <c r="S3438" s="125"/>
    </row>
    <row r="3439" spans="1:19" hidden="1">
      <c r="A3439" s="124" t="s">
        <v>5503</v>
      </c>
      <c r="B3439" s="149" t="str">
        <f>IFERROR(VLOOKUP(Proc[[#This Row],[App]],Table2[],3,0),"open")</f>
        <v>ok</v>
      </c>
      <c r="C3439" s="124" t="s">
        <v>369</v>
      </c>
      <c r="D3439" t="s">
        <v>5507</v>
      </c>
      <c r="E3439" t="s">
        <v>5552</v>
      </c>
      <c r="F3439" s="125" t="s">
        <v>5552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4895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54</v>
      </c>
      <c r="R3439" s="115" t="s">
        <v>489</v>
      </c>
      <c r="S3439" s="125"/>
    </row>
    <row r="3440" spans="1:19" hidden="1">
      <c r="A3440" s="124" t="s">
        <v>5503</v>
      </c>
      <c r="B3440" s="149" t="str">
        <f>IFERROR(VLOOKUP(Proc[[#This Row],[App]],Table2[],3,0),"open")</f>
        <v>ok</v>
      </c>
      <c r="C3440" s="124" t="s">
        <v>369</v>
      </c>
      <c r="D3440" t="s">
        <v>5508</v>
      </c>
      <c r="E3440" t="s">
        <v>5552</v>
      </c>
      <c r="F3440" s="125" t="s">
        <v>5552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4895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54</v>
      </c>
      <c r="R3440" s="115" t="s">
        <v>489</v>
      </c>
      <c r="S3440" s="125"/>
    </row>
    <row r="3441" spans="1:19" hidden="1">
      <c r="A3441" s="124" t="s">
        <v>5503</v>
      </c>
      <c r="B3441" s="149" t="str">
        <f>IFERROR(VLOOKUP(Proc[[#This Row],[App]],Table2[],3,0),"open")</f>
        <v>ok</v>
      </c>
      <c r="C3441" s="124" t="s">
        <v>369</v>
      </c>
      <c r="D3441" t="s">
        <v>5509</v>
      </c>
      <c r="E3441" t="s">
        <v>5552</v>
      </c>
      <c r="F3441" s="125" t="s">
        <v>5552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4895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54</v>
      </c>
      <c r="R3441" s="115" t="s">
        <v>489</v>
      </c>
      <c r="S3441" s="125"/>
    </row>
    <row r="3442" spans="1:19" hidden="1">
      <c r="A3442" s="124" t="s">
        <v>5503</v>
      </c>
      <c r="B3442" s="149" t="str">
        <f>IFERROR(VLOOKUP(Proc[[#This Row],[App]],Table2[],3,0),"open")</f>
        <v>ok</v>
      </c>
      <c r="C3442" s="124" t="s">
        <v>369</v>
      </c>
      <c r="D3442" t="s">
        <v>5510</v>
      </c>
      <c r="E3442" t="s">
        <v>5552</v>
      </c>
      <c r="F3442" s="125" t="s">
        <v>5552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4895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54</v>
      </c>
      <c r="R3442" s="115" t="s">
        <v>489</v>
      </c>
      <c r="S3442" s="125"/>
    </row>
    <row r="3443" spans="1:19" hidden="1">
      <c r="A3443" s="124" t="s">
        <v>5503</v>
      </c>
      <c r="B3443" s="149" t="str">
        <f>IFERROR(VLOOKUP(Proc[[#This Row],[App]],Table2[],3,0),"open")</f>
        <v>ok</v>
      </c>
      <c r="C3443" s="124" t="s">
        <v>369</v>
      </c>
      <c r="D3443" t="s">
        <v>5511</v>
      </c>
      <c r="E3443" t="s">
        <v>5552</v>
      </c>
      <c r="F3443" s="125" t="s">
        <v>5552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4895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54</v>
      </c>
      <c r="R3443" s="115" t="s">
        <v>489</v>
      </c>
      <c r="S3443" s="125"/>
    </row>
    <row r="3444" spans="1:19" hidden="1">
      <c r="A3444" s="124" t="s">
        <v>5503</v>
      </c>
      <c r="B3444" s="149" t="str">
        <f>IFERROR(VLOOKUP(Proc[[#This Row],[App]],Table2[],3,0),"open")</f>
        <v>ok</v>
      </c>
      <c r="C3444" s="124" t="s">
        <v>369</v>
      </c>
      <c r="D3444" t="s">
        <v>5512</v>
      </c>
      <c r="E3444" t="s">
        <v>5552</v>
      </c>
      <c r="F3444" s="125" t="s">
        <v>5552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4895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54</v>
      </c>
      <c r="R3444" s="115" t="s">
        <v>489</v>
      </c>
      <c r="S3444" s="125"/>
    </row>
    <row r="3445" spans="1:19" hidden="1">
      <c r="A3445" s="124" t="s">
        <v>5503</v>
      </c>
      <c r="B3445" s="149" t="str">
        <f>IFERROR(VLOOKUP(Proc[[#This Row],[App]],Table2[],3,0),"open")</f>
        <v>ok</v>
      </c>
      <c r="C3445" s="124" t="s">
        <v>369</v>
      </c>
      <c r="D3445" t="s">
        <v>5513</v>
      </c>
      <c r="E3445" t="s">
        <v>5552</v>
      </c>
      <c r="F3445" s="125" t="s">
        <v>5552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4895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54</v>
      </c>
      <c r="R3445" s="115" t="s">
        <v>489</v>
      </c>
      <c r="S3445" s="125"/>
    </row>
    <row r="3446" spans="1:19" hidden="1">
      <c r="A3446" s="124" t="s">
        <v>5503</v>
      </c>
      <c r="B3446" s="149" t="str">
        <f>IFERROR(VLOOKUP(Proc[[#This Row],[App]],Table2[],3,0),"open")</f>
        <v>ok</v>
      </c>
      <c r="C3446" s="124" t="s">
        <v>369</v>
      </c>
      <c r="D3446" t="s">
        <v>5514</v>
      </c>
      <c r="E3446" t="s">
        <v>5552</v>
      </c>
      <c r="F3446" s="125" t="s">
        <v>5552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4895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54</v>
      </c>
      <c r="R3446" s="115" t="s">
        <v>489</v>
      </c>
      <c r="S3446" s="125"/>
    </row>
    <row r="3447" spans="1:19" hidden="1">
      <c r="A3447" s="124" t="s">
        <v>5503</v>
      </c>
      <c r="B3447" s="149" t="str">
        <f>IFERROR(VLOOKUP(Proc[[#This Row],[App]],Table2[],3,0),"open")</f>
        <v>ok</v>
      </c>
      <c r="C3447" s="124" t="s">
        <v>369</v>
      </c>
      <c r="D3447" t="s">
        <v>5515</v>
      </c>
      <c r="E3447" t="s">
        <v>5552</v>
      </c>
      <c r="F3447" s="125" t="s">
        <v>5552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4895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54</v>
      </c>
      <c r="R3447" s="115" t="s">
        <v>489</v>
      </c>
      <c r="S3447" s="125"/>
    </row>
    <row r="3448" spans="1:19" hidden="1">
      <c r="A3448" s="124" t="s">
        <v>5503</v>
      </c>
      <c r="B3448" s="149" t="str">
        <f>IFERROR(VLOOKUP(Proc[[#This Row],[App]],Table2[],3,0),"open")</f>
        <v>ok</v>
      </c>
      <c r="C3448" s="124" t="s">
        <v>369</v>
      </c>
      <c r="D3448" t="s">
        <v>5516</v>
      </c>
      <c r="E3448" t="s">
        <v>5552</v>
      </c>
      <c r="F3448" s="125" t="s">
        <v>5552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4895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54</v>
      </c>
      <c r="R3448" s="115" t="s">
        <v>489</v>
      </c>
      <c r="S3448" s="125"/>
    </row>
    <row r="3449" spans="1:19" hidden="1">
      <c r="A3449" s="124" t="s">
        <v>5503</v>
      </c>
      <c r="B3449" s="149" t="str">
        <f>IFERROR(VLOOKUP(Proc[[#This Row],[App]],Table2[],3,0),"open")</f>
        <v>ok</v>
      </c>
      <c r="C3449" s="124" t="s">
        <v>369</v>
      </c>
      <c r="D3449" t="s">
        <v>5517</v>
      </c>
      <c r="E3449" t="s">
        <v>5552</v>
      </c>
      <c r="F3449" s="125" t="s">
        <v>5552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4895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54</v>
      </c>
      <c r="R3449" s="115" t="s">
        <v>489</v>
      </c>
      <c r="S3449" s="125"/>
    </row>
    <row r="3450" spans="1:19" hidden="1">
      <c r="A3450" s="124" t="s">
        <v>5503</v>
      </c>
      <c r="B3450" s="149" t="str">
        <f>IFERROR(VLOOKUP(Proc[[#This Row],[App]],Table2[],3,0),"open")</f>
        <v>ok</v>
      </c>
      <c r="C3450" s="124" t="s">
        <v>369</v>
      </c>
      <c r="D3450" t="s">
        <v>5518</v>
      </c>
      <c r="E3450" t="s">
        <v>5552</v>
      </c>
      <c r="F3450" s="125" t="s">
        <v>5552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4895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54</v>
      </c>
      <c r="R3450" s="115" t="s">
        <v>489</v>
      </c>
      <c r="S3450" s="125"/>
    </row>
    <row r="3451" spans="1:19" hidden="1">
      <c r="A3451" s="124" t="s">
        <v>5503</v>
      </c>
      <c r="B3451" s="149" t="str">
        <f>IFERROR(VLOOKUP(Proc[[#This Row],[App]],Table2[],3,0),"open")</f>
        <v>ok</v>
      </c>
      <c r="C3451" s="124" t="s">
        <v>369</v>
      </c>
      <c r="D3451" t="s">
        <v>5519</v>
      </c>
      <c r="E3451" t="s">
        <v>5552</v>
      </c>
      <c r="F3451" s="125" t="s">
        <v>5552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4895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54</v>
      </c>
      <c r="R3451" s="115" t="s">
        <v>489</v>
      </c>
      <c r="S3451" s="125"/>
    </row>
    <row r="3452" spans="1:19" hidden="1">
      <c r="A3452" s="124" t="s">
        <v>5503</v>
      </c>
      <c r="B3452" s="149" t="str">
        <f>IFERROR(VLOOKUP(Proc[[#This Row],[App]],Table2[],3,0),"open")</f>
        <v>ok</v>
      </c>
      <c r="C3452" s="124" t="s">
        <v>369</v>
      </c>
      <c r="D3452" t="s">
        <v>5520</v>
      </c>
      <c r="E3452" t="s">
        <v>5552</v>
      </c>
      <c r="F3452" s="125" t="s">
        <v>5552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4895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54</v>
      </c>
      <c r="R3452" s="115" t="s">
        <v>489</v>
      </c>
      <c r="S3452" s="125"/>
    </row>
    <row r="3453" spans="1:19" hidden="1">
      <c r="A3453" s="124" t="s">
        <v>5503</v>
      </c>
      <c r="B3453" s="149" t="str">
        <f>IFERROR(VLOOKUP(Proc[[#This Row],[App]],Table2[],3,0),"open")</f>
        <v>ok</v>
      </c>
      <c r="C3453" s="124" t="s">
        <v>369</v>
      </c>
      <c r="D3453" t="s">
        <v>5521</v>
      </c>
      <c r="E3453" t="s">
        <v>5552</v>
      </c>
      <c r="F3453" s="125" t="s">
        <v>5552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4895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54</v>
      </c>
      <c r="R3453" s="115" t="s">
        <v>489</v>
      </c>
      <c r="S3453" s="125"/>
    </row>
    <row r="3454" spans="1:19" hidden="1">
      <c r="A3454" s="124" t="s">
        <v>5503</v>
      </c>
      <c r="B3454" s="149" t="str">
        <f>IFERROR(VLOOKUP(Proc[[#This Row],[App]],Table2[],3,0),"open")</f>
        <v>ok</v>
      </c>
      <c r="C3454" s="124" t="s">
        <v>369</v>
      </c>
      <c r="D3454" t="s">
        <v>5522</v>
      </c>
      <c r="E3454" t="s">
        <v>5552</v>
      </c>
      <c r="F3454" s="125" t="s">
        <v>5552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4895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54</v>
      </c>
      <c r="R3454" s="115" t="s">
        <v>489</v>
      </c>
      <c r="S3454" s="125"/>
    </row>
    <row r="3455" spans="1:19" hidden="1">
      <c r="A3455" t="s">
        <v>5523</v>
      </c>
      <c r="B3455" s="149" t="str">
        <f>IFERROR(VLOOKUP(Proc[[#This Row],[App]],Table2[],3,0),"open")</f>
        <v>ok</v>
      </c>
      <c r="C3455" s="124" t="s">
        <v>369</v>
      </c>
      <c r="D3455" t="s">
        <v>5524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4895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54</v>
      </c>
      <c r="R3455" s="115" t="s">
        <v>1459</v>
      </c>
      <c r="S3455" s="125"/>
    </row>
    <row r="3456" spans="1:19" hidden="1">
      <c r="A3456" t="s">
        <v>5525</v>
      </c>
      <c r="B3456" s="149" t="str">
        <f>IFERROR(VLOOKUP(Proc[[#This Row],[App]],Table2[],3,0),"open")</f>
        <v>ok</v>
      </c>
      <c r="C3456" s="124" t="s">
        <v>369</v>
      </c>
      <c r="D3456" t="s">
        <v>5526</v>
      </c>
      <c r="E3456" t="s">
        <v>5528</v>
      </c>
      <c r="F3456" s="124" t="s">
        <v>5528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4895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54</v>
      </c>
      <c r="R3456" s="115" t="s">
        <v>489</v>
      </c>
      <c r="S3456" s="125"/>
    </row>
    <row r="3457" spans="1:19" hidden="1">
      <c r="A3457" s="124" t="s">
        <v>5525</v>
      </c>
      <c r="B3457" s="149" t="str">
        <f>IFERROR(VLOOKUP(Proc[[#This Row],[App]],Table2[],3,0),"open")</f>
        <v>ok</v>
      </c>
      <c r="C3457" s="124" t="s">
        <v>369</v>
      </c>
      <c r="D3457" t="s">
        <v>5527</v>
      </c>
      <c r="E3457" t="s">
        <v>5529</v>
      </c>
      <c r="F3457" s="124" t="s">
        <v>5529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4895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54</v>
      </c>
      <c r="R3457" s="115" t="s">
        <v>489</v>
      </c>
      <c r="S3457" s="125"/>
    </row>
    <row r="3458" spans="1:19" hidden="1">
      <c r="A3458" t="s">
        <v>5530</v>
      </c>
      <c r="B3458" s="149" t="str">
        <f>IFERROR(VLOOKUP(Proc[[#This Row],[App]],Table2[],3,0),"open")</f>
        <v>ok</v>
      </c>
      <c r="C3458" s="124" t="s">
        <v>369</v>
      </c>
      <c r="D3458" t="s">
        <v>4322</v>
      </c>
      <c r="E3458" t="s">
        <v>5553</v>
      </c>
      <c r="F3458" s="125" t="s">
        <v>5553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4895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54</v>
      </c>
      <c r="R3458" s="115" t="s">
        <v>489</v>
      </c>
      <c r="S3458" s="125"/>
    </row>
    <row r="3459" spans="1:19" hidden="1">
      <c r="A3459" t="s">
        <v>5531</v>
      </c>
      <c r="B3459" s="149" t="str">
        <f>IFERROR(VLOOKUP(Proc[[#This Row],[App]],Table2[],3,0),"open")</f>
        <v>ok</v>
      </c>
      <c r="C3459" s="124" t="s">
        <v>369</v>
      </c>
      <c r="D3459" t="s">
        <v>5558</v>
      </c>
      <c r="E3459" t="s">
        <v>5553</v>
      </c>
      <c r="F3459" s="125" t="s">
        <v>5553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4895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54</v>
      </c>
      <c r="R3459" s="115" t="s">
        <v>489</v>
      </c>
      <c r="S3459" s="125"/>
    </row>
    <row r="3460" spans="1:19" hidden="1">
      <c r="A3460" s="124" t="s">
        <v>5531</v>
      </c>
      <c r="B3460" s="149" t="str">
        <f>IFERROR(VLOOKUP(Proc[[#This Row],[App]],Table2[],3,0),"open")</f>
        <v>ok</v>
      </c>
      <c r="C3460" s="124" t="s">
        <v>369</v>
      </c>
      <c r="D3460" t="s">
        <v>5559</v>
      </c>
      <c r="E3460" t="s">
        <v>5553</v>
      </c>
      <c r="F3460" s="125" t="s">
        <v>5553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4895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54</v>
      </c>
      <c r="R3460" s="115" t="s">
        <v>489</v>
      </c>
      <c r="S3460" s="125"/>
    </row>
    <row r="3461" spans="1:19" hidden="1">
      <c r="A3461" s="124" t="s">
        <v>5531</v>
      </c>
      <c r="B3461" s="149" t="str">
        <f>IFERROR(VLOOKUP(Proc[[#This Row],[App]],Table2[],3,0),"open")</f>
        <v>ok</v>
      </c>
      <c r="C3461" s="124" t="s">
        <v>369</v>
      </c>
      <c r="D3461" t="s">
        <v>5560</v>
      </c>
      <c r="E3461" t="s">
        <v>5553</v>
      </c>
      <c r="F3461" s="125" t="s">
        <v>5553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4895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54</v>
      </c>
      <c r="R3461" s="115" t="s">
        <v>489</v>
      </c>
      <c r="S3461" s="125"/>
    </row>
    <row r="3462" spans="1:19" hidden="1">
      <c r="A3462" s="124" t="s">
        <v>5531</v>
      </c>
      <c r="B3462" s="149" t="str">
        <f>IFERROR(VLOOKUP(Proc[[#This Row],[App]],Table2[],3,0),"open")</f>
        <v>ok</v>
      </c>
      <c r="C3462" s="124" t="s">
        <v>369</v>
      </c>
      <c r="D3462" t="s">
        <v>5561</v>
      </c>
      <c r="E3462" t="s">
        <v>5553</v>
      </c>
      <c r="F3462" s="125" t="s">
        <v>5553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4895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54</v>
      </c>
      <c r="R3462" s="115" t="s">
        <v>489</v>
      </c>
      <c r="S3462" s="125"/>
    </row>
    <row r="3463" spans="1:19" hidden="1">
      <c r="A3463" s="124" t="s">
        <v>5531</v>
      </c>
      <c r="B3463" s="149" t="str">
        <f>IFERROR(VLOOKUP(Proc[[#This Row],[App]],Table2[],3,0),"open")</f>
        <v>ok</v>
      </c>
      <c r="C3463" s="124" t="s">
        <v>369</v>
      </c>
      <c r="D3463" t="s">
        <v>5562</v>
      </c>
      <c r="E3463" t="s">
        <v>5553</v>
      </c>
      <c r="F3463" s="125" t="s">
        <v>5553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4895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54</v>
      </c>
      <c r="R3463" s="115" t="s">
        <v>489</v>
      </c>
      <c r="S3463" s="125"/>
    </row>
    <row r="3464" spans="1:19" hidden="1">
      <c r="A3464" s="124" t="s">
        <v>5531</v>
      </c>
      <c r="B3464" s="149" t="str">
        <f>IFERROR(VLOOKUP(Proc[[#This Row],[App]],Table2[],3,0),"open")</f>
        <v>ok</v>
      </c>
      <c r="C3464" s="124" t="s">
        <v>369</v>
      </c>
      <c r="D3464" t="s">
        <v>5563</v>
      </c>
      <c r="E3464" t="s">
        <v>5553</v>
      </c>
      <c r="F3464" s="125" t="s">
        <v>5553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4895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54</v>
      </c>
      <c r="R3464" s="115" t="s">
        <v>489</v>
      </c>
      <c r="S3464" s="125"/>
    </row>
    <row r="3465" spans="1:19" hidden="1">
      <c r="A3465" s="124" t="s">
        <v>5531</v>
      </c>
      <c r="B3465" s="149" t="str">
        <f>IFERROR(VLOOKUP(Proc[[#This Row],[App]],Table2[],3,0),"open")</f>
        <v>ok</v>
      </c>
      <c r="C3465" s="124" t="s">
        <v>369</v>
      </c>
      <c r="D3465" t="s">
        <v>5564</v>
      </c>
      <c r="E3465" t="s">
        <v>5532</v>
      </c>
      <c r="F3465" s="125" t="s">
        <v>5532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4895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54</v>
      </c>
      <c r="R3465" s="115" t="s">
        <v>489</v>
      </c>
      <c r="S3465" s="125"/>
    </row>
    <row r="3466" spans="1:19" hidden="1">
      <c r="A3466" s="124" t="s">
        <v>5531</v>
      </c>
      <c r="B3466" s="149" t="str">
        <f>IFERROR(VLOOKUP(Proc[[#This Row],[App]],Table2[],3,0),"open")</f>
        <v>ok</v>
      </c>
      <c r="C3466" s="124" t="s">
        <v>369</v>
      </c>
      <c r="D3466" t="s">
        <v>5565</v>
      </c>
      <c r="E3466" t="s">
        <v>5532</v>
      </c>
      <c r="F3466" s="125" t="s">
        <v>5532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4895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54</v>
      </c>
      <c r="R3466" s="115" t="s">
        <v>489</v>
      </c>
      <c r="S3466" s="125"/>
    </row>
    <row r="3467" spans="1:19" hidden="1">
      <c r="A3467" t="s">
        <v>5534</v>
      </c>
      <c r="B3467" s="149" t="str">
        <f>IFERROR(VLOOKUP(Proc[[#This Row],[App]],Table2[],3,0),"open")</f>
        <v>ok</v>
      </c>
      <c r="C3467" s="124" t="s">
        <v>369</v>
      </c>
      <c r="D3467" t="s">
        <v>5535</v>
      </c>
      <c r="E3467" t="s">
        <v>5533</v>
      </c>
      <c r="F3467" s="125" t="s">
        <v>5533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4895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54</v>
      </c>
      <c r="R3467" s="115" t="s">
        <v>415</v>
      </c>
      <c r="S3467" s="125"/>
    </row>
    <row r="3468" spans="1:19" hidden="1">
      <c r="A3468" s="124" t="s">
        <v>5534</v>
      </c>
      <c r="B3468" s="149" t="str">
        <f>IFERROR(VLOOKUP(Proc[[#This Row],[App]],Table2[],3,0),"open")</f>
        <v>ok</v>
      </c>
      <c r="C3468" s="124" t="s">
        <v>369</v>
      </c>
      <c r="D3468" t="s">
        <v>5536</v>
      </c>
      <c r="E3468" t="s">
        <v>5533</v>
      </c>
      <c r="F3468" s="125" t="s">
        <v>5533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4895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54</v>
      </c>
      <c r="R3468" s="115" t="s">
        <v>415</v>
      </c>
      <c r="S3468" s="125"/>
    </row>
    <row r="3469" spans="1:19" hidden="1">
      <c r="A3469" s="124" t="s">
        <v>5534</v>
      </c>
      <c r="B3469" s="149" t="str">
        <f>IFERROR(VLOOKUP(Proc[[#This Row],[App]],Table2[],3,0),"open")</f>
        <v>ok</v>
      </c>
      <c r="C3469" s="124" t="s">
        <v>369</v>
      </c>
      <c r="D3469" t="s">
        <v>5537</v>
      </c>
      <c r="E3469" t="s">
        <v>5533</v>
      </c>
      <c r="F3469" s="125" t="s">
        <v>5533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4895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54</v>
      </c>
      <c r="R3469" s="115" t="s">
        <v>415</v>
      </c>
      <c r="S3469" s="125"/>
    </row>
    <row r="3470" spans="1:19" hidden="1">
      <c r="A3470" s="124" t="s">
        <v>5534</v>
      </c>
      <c r="B3470" s="149" t="str">
        <f>IFERROR(VLOOKUP(Proc[[#This Row],[App]],Table2[],3,0),"open")</f>
        <v>ok</v>
      </c>
      <c r="C3470" s="124" t="s">
        <v>369</v>
      </c>
      <c r="D3470" t="s">
        <v>5538</v>
      </c>
      <c r="E3470" t="s">
        <v>5533</v>
      </c>
      <c r="F3470" s="125" t="s">
        <v>5533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4895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54</v>
      </c>
      <c r="R3470" s="115" t="s">
        <v>415</v>
      </c>
      <c r="S3470" s="125"/>
    </row>
    <row r="3471" spans="1:19" hidden="1">
      <c r="A3471" s="124" t="s">
        <v>5534</v>
      </c>
      <c r="B3471" s="149" t="str">
        <f>IFERROR(VLOOKUP(Proc[[#This Row],[App]],Table2[],3,0),"open")</f>
        <v>ok</v>
      </c>
      <c r="C3471" s="124" t="s">
        <v>369</v>
      </c>
      <c r="D3471" t="s">
        <v>5539</v>
      </c>
      <c r="E3471" t="s">
        <v>5533</v>
      </c>
      <c r="F3471" s="125" t="s">
        <v>5533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4895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54</v>
      </c>
      <c r="R3471" s="115" t="s">
        <v>415</v>
      </c>
      <c r="S3471" s="125"/>
    </row>
    <row r="3472" spans="1:19" hidden="1">
      <c r="A3472" s="124" t="s">
        <v>5534</v>
      </c>
      <c r="B3472" s="149" t="str">
        <f>IFERROR(VLOOKUP(Proc[[#This Row],[App]],Table2[],3,0),"open")</f>
        <v>ok</v>
      </c>
      <c r="C3472" s="124" t="s">
        <v>369</v>
      </c>
      <c r="D3472" t="s">
        <v>5540</v>
      </c>
      <c r="E3472" t="s">
        <v>5533</v>
      </c>
      <c r="F3472" s="125" t="s">
        <v>5533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4895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54</v>
      </c>
      <c r="R3472" s="115" t="s">
        <v>415</v>
      </c>
      <c r="S3472" s="125"/>
    </row>
    <row r="3473" spans="1:19" hidden="1">
      <c r="A3473" s="124" t="s">
        <v>5534</v>
      </c>
      <c r="B3473" s="149" t="str">
        <f>IFERROR(VLOOKUP(Proc[[#This Row],[App]],Table2[],3,0),"open")</f>
        <v>ok</v>
      </c>
      <c r="C3473" s="124" t="s">
        <v>369</v>
      </c>
      <c r="D3473" t="s">
        <v>5541</v>
      </c>
      <c r="E3473" t="s">
        <v>5533</v>
      </c>
      <c r="F3473" s="125" t="s">
        <v>5533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4895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54</v>
      </c>
      <c r="R3473" s="115" t="s">
        <v>415</v>
      </c>
      <c r="S3473" s="125"/>
    </row>
    <row r="3474" spans="1:19" hidden="1">
      <c r="A3474" s="124" t="s">
        <v>5534</v>
      </c>
      <c r="B3474" s="149" t="str">
        <f>IFERROR(VLOOKUP(Proc[[#This Row],[App]],Table2[],3,0),"open")</f>
        <v>ok</v>
      </c>
      <c r="C3474" s="124" t="s">
        <v>369</v>
      </c>
      <c r="D3474" t="s">
        <v>5542</v>
      </c>
      <c r="E3474" t="s">
        <v>5533</v>
      </c>
      <c r="F3474" s="125" t="s">
        <v>5533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4895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54</v>
      </c>
      <c r="R3474" s="115" t="s">
        <v>415</v>
      </c>
      <c r="S3474" s="125"/>
    </row>
    <row r="3475" spans="1:19" hidden="1">
      <c r="A3475" s="124" t="s">
        <v>5534</v>
      </c>
      <c r="B3475" s="149" t="str">
        <f>IFERROR(VLOOKUP(Proc[[#This Row],[App]],Table2[],3,0),"open")</f>
        <v>ok</v>
      </c>
      <c r="C3475" s="124" t="s">
        <v>369</v>
      </c>
      <c r="D3475" t="s">
        <v>5543</v>
      </c>
      <c r="E3475" t="s">
        <v>5533</v>
      </c>
      <c r="F3475" s="125" t="s">
        <v>5533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4895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54</v>
      </c>
      <c r="R3475" s="115" t="s">
        <v>415</v>
      </c>
      <c r="S3475" s="125"/>
    </row>
    <row r="3476" spans="1:19" hidden="1">
      <c r="A3476" s="124" t="s">
        <v>5534</v>
      </c>
      <c r="B3476" s="149" t="str">
        <f>IFERROR(VLOOKUP(Proc[[#This Row],[App]],Table2[],3,0),"open")</f>
        <v>ok</v>
      </c>
      <c r="C3476" s="124" t="s">
        <v>369</v>
      </c>
      <c r="D3476" t="s">
        <v>5544</v>
      </c>
      <c r="E3476" t="s">
        <v>5533</v>
      </c>
      <c r="F3476" s="125" t="s">
        <v>5533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4895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54</v>
      </c>
      <c r="R3476" s="115" t="s">
        <v>415</v>
      </c>
      <c r="S3476" s="125"/>
    </row>
    <row r="3477" spans="1:19" hidden="1">
      <c r="A3477" t="s">
        <v>5547</v>
      </c>
      <c r="B3477" s="149" t="str">
        <f>IFERROR(VLOOKUP(Proc[[#This Row],[App]],Table2[],3,0),"open")</f>
        <v>ok</v>
      </c>
      <c r="C3477" s="124" t="s">
        <v>369</v>
      </c>
      <c r="D3477" t="s">
        <v>5548</v>
      </c>
      <c r="E3477" s="124" t="s">
        <v>5549</v>
      </c>
      <c r="F3477" s="125" t="s">
        <v>5549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4895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53</v>
      </c>
      <c r="R3477" s="115" t="s">
        <v>410</v>
      </c>
      <c r="S3477" s="125"/>
    </row>
    <row r="3478" spans="1:19" hidden="1">
      <c r="A3478" t="s">
        <v>5550</v>
      </c>
      <c r="B3478" s="149" t="str">
        <f>IFERROR(VLOOKUP(Proc[[#This Row],[App]],Table2[],3,0),"open")</f>
        <v>ok</v>
      </c>
      <c r="C3478" s="124" t="s">
        <v>369</v>
      </c>
      <c r="D3478" t="s">
        <v>5551</v>
      </c>
      <c r="E3478" t="s">
        <v>5554</v>
      </c>
      <c r="F3478" s="125" t="s">
        <v>5554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4895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53</v>
      </c>
      <c r="R3478" s="115" t="s">
        <v>515</v>
      </c>
      <c r="S3478" s="125"/>
    </row>
    <row r="3479" spans="1:19" hidden="1">
      <c r="A3479" t="s">
        <v>5555</v>
      </c>
      <c r="B3479" s="149" t="str">
        <f>IFERROR(VLOOKUP(Proc[[#This Row],[App]],Table2[],3,0),"open")</f>
        <v>ok</v>
      </c>
      <c r="C3479" t="s">
        <v>369</v>
      </c>
      <c r="D3479" t="s">
        <v>5566</v>
      </c>
      <c r="E3479" t="s">
        <v>5556</v>
      </c>
      <c r="F3479" s="129" t="s">
        <v>5556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4895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52</v>
      </c>
      <c r="R3479" s="115" t="s">
        <v>410</v>
      </c>
      <c r="S3479" s="125"/>
    </row>
    <row r="3480" spans="1:19" hidden="1">
      <c r="A3480" s="124" t="s">
        <v>5555</v>
      </c>
      <c r="B3480" s="149" t="str">
        <f>IFERROR(VLOOKUP(Proc[[#This Row],[App]],Table2[],3,0),"open")</f>
        <v>ok</v>
      </c>
      <c r="C3480" s="128" t="s">
        <v>369</v>
      </c>
      <c r="D3480" t="s">
        <v>5567</v>
      </c>
      <c r="E3480" t="s">
        <v>5556</v>
      </c>
      <c r="F3480" s="129" t="s">
        <v>5556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4895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52</v>
      </c>
      <c r="R3480" s="115" t="s">
        <v>410</v>
      </c>
      <c r="S3480" s="125"/>
    </row>
    <row r="3481" spans="1:19" hidden="1">
      <c r="A3481" s="124" t="s">
        <v>5555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4895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52</v>
      </c>
      <c r="R3481" s="115" t="s">
        <v>410</v>
      </c>
      <c r="S3481" s="125"/>
    </row>
    <row r="3482" spans="1:19" hidden="1">
      <c r="A3482" s="124" t="s">
        <v>5555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4895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52</v>
      </c>
      <c r="R3482" s="115" t="s">
        <v>410</v>
      </c>
      <c r="S3482" s="125"/>
    </row>
    <row r="3483" spans="1:19" hidden="1">
      <c r="A3483" s="124" t="s">
        <v>5555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4895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52</v>
      </c>
      <c r="R3483" s="115" t="s">
        <v>410</v>
      </c>
      <c r="S3483" s="125"/>
    </row>
    <row r="3484" spans="1:19" hidden="1">
      <c r="A3484" s="124" t="s">
        <v>5555</v>
      </c>
      <c r="B3484" s="149" t="str">
        <f>IFERROR(VLOOKUP(Proc[[#This Row],[App]],Table2[],3,0),"open")</f>
        <v>ok</v>
      </c>
      <c r="C3484" s="128" t="s">
        <v>369</v>
      </c>
      <c r="D3484" t="s">
        <v>5568</v>
      </c>
      <c r="E3484" t="s">
        <v>5557</v>
      </c>
      <c r="F3484" s="129" t="s">
        <v>5557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4895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52</v>
      </c>
      <c r="R3484" s="115" t="s">
        <v>410</v>
      </c>
      <c r="S3484" s="125"/>
    </row>
    <row r="3485" spans="1:19" hidden="1">
      <c r="A3485" s="124" t="s">
        <v>5555</v>
      </c>
      <c r="B3485" s="149" t="str">
        <f>IFERROR(VLOOKUP(Proc[[#This Row],[App]],Table2[],3,0),"open")</f>
        <v>ok</v>
      </c>
      <c r="C3485" s="128" t="s">
        <v>369</v>
      </c>
      <c r="D3485" t="s">
        <v>5569</v>
      </c>
      <c r="E3485" t="s">
        <v>5557</v>
      </c>
      <c r="F3485" s="129" t="s">
        <v>5557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4895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52</v>
      </c>
      <c r="R3485" s="115" t="s">
        <v>410</v>
      </c>
      <c r="S3485" s="125"/>
    </row>
    <row r="3486" spans="1:19" hidden="1">
      <c r="A3486" t="s">
        <v>5572</v>
      </c>
      <c r="B3486" s="149" t="str">
        <f>IFERROR(VLOOKUP(Proc[[#This Row],[App]],Table2[],3,0),"open")</f>
        <v>ok</v>
      </c>
      <c r="C3486" s="128" t="s">
        <v>369</v>
      </c>
      <c r="D3486" t="s">
        <v>5576</v>
      </c>
      <c r="E3486" s="128" t="s">
        <v>5571</v>
      </c>
      <c r="F3486" s="129" t="s">
        <v>5571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4895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51</v>
      </c>
      <c r="R3486" s="115" t="s">
        <v>1262</v>
      </c>
      <c r="S3486" s="125"/>
    </row>
    <row r="3487" spans="1:19" hidden="1">
      <c r="A3487" t="s">
        <v>5575</v>
      </c>
      <c r="B3487" s="149" t="str">
        <f>IFERROR(VLOOKUP(Proc[[#This Row],[App]],Table2[],3,0),"open")</f>
        <v>ok</v>
      </c>
      <c r="C3487" s="128" t="s">
        <v>369</v>
      </c>
      <c r="D3487" t="s">
        <v>5573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4895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51</v>
      </c>
      <c r="R3487" s="115" t="s">
        <v>515</v>
      </c>
      <c r="S3487" s="129"/>
    </row>
    <row r="3488" spans="1:19" hidden="1">
      <c r="A3488" s="128" t="s">
        <v>5575</v>
      </c>
      <c r="B3488" s="149" t="str">
        <f>IFERROR(VLOOKUP(Proc[[#This Row],[App]],Table2[],3,0),"open")</f>
        <v>ok</v>
      </c>
      <c r="C3488" s="128" t="s">
        <v>369</v>
      </c>
      <c r="D3488" t="s">
        <v>5574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4895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51</v>
      </c>
      <c r="R3488" s="115" t="s">
        <v>515</v>
      </c>
      <c r="S3488" s="129"/>
    </row>
    <row r="3489" spans="1:19" hidden="1">
      <c r="A3489" t="s">
        <v>5670</v>
      </c>
      <c r="B3489" s="149" t="str">
        <f>IFERROR(VLOOKUP(Proc[[#This Row],[App]],Table2[],3,0),"open")</f>
        <v>ok</v>
      </c>
      <c r="C3489" s="128" t="s">
        <v>369</v>
      </c>
      <c r="D3489" t="s">
        <v>5577</v>
      </c>
      <c r="E3489" t="s">
        <v>5669</v>
      </c>
      <c r="F3489" s="129" t="s">
        <v>5669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4895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50</v>
      </c>
      <c r="R3489" s="115" t="s">
        <v>515</v>
      </c>
      <c r="S3489" s="129"/>
    </row>
    <row r="3490" spans="1:19" hidden="1">
      <c r="A3490" s="128" t="s">
        <v>5670</v>
      </c>
      <c r="B3490" s="149" t="str">
        <f>IFERROR(VLOOKUP(Proc[[#This Row],[App]],Table2[],3,0),"open")</f>
        <v>ok</v>
      </c>
      <c r="C3490" s="128" t="s">
        <v>369</v>
      </c>
      <c r="D3490" t="s">
        <v>5578</v>
      </c>
      <c r="E3490" t="s">
        <v>5669</v>
      </c>
      <c r="F3490" s="129" t="s">
        <v>5669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4895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50</v>
      </c>
      <c r="R3490" s="115" t="s">
        <v>515</v>
      </c>
      <c r="S3490" s="129"/>
    </row>
    <row r="3491" spans="1:19" hidden="1">
      <c r="A3491" s="128" t="s">
        <v>5670</v>
      </c>
      <c r="B3491" s="149" t="str">
        <f>IFERROR(VLOOKUP(Proc[[#This Row],[App]],Table2[],3,0),"open")</f>
        <v>ok</v>
      </c>
      <c r="C3491" s="128" t="s">
        <v>369</v>
      </c>
      <c r="D3491" t="s">
        <v>5579</v>
      </c>
      <c r="E3491" t="s">
        <v>5669</v>
      </c>
      <c r="F3491" s="129" t="s">
        <v>5669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4895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50</v>
      </c>
      <c r="R3491" s="115" t="s">
        <v>515</v>
      </c>
      <c r="S3491" s="129"/>
    </row>
    <row r="3492" spans="1:19" hidden="1">
      <c r="A3492" s="128" t="s">
        <v>5670</v>
      </c>
      <c r="B3492" s="149" t="str">
        <f>IFERROR(VLOOKUP(Proc[[#This Row],[App]],Table2[],3,0),"open")</f>
        <v>ok</v>
      </c>
      <c r="C3492" s="128" t="s">
        <v>369</v>
      </c>
      <c r="D3492" t="s">
        <v>5580</v>
      </c>
      <c r="E3492" t="s">
        <v>5669</v>
      </c>
      <c r="F3492" s="129" t="s">
        <v>5669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4895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50</v>
      </c>
      <c r="R3492" s="115" t="s">
        <v>515</v>
      </c>
      <c r="S3492" s="129"/>
    </row>
    <row r="3493" spans="1:19" hidden="1">
      <c r="A3493" s="128" t="s">
        <v>5670</v>
      </c>
      <c r="B3493" s="149" t="str">
        <f>IFERROR(VLOOKUP(Proc[[#This Row],[App]],Table2[],3,0),"open")</f>
        <v>ok</v>
      </c>
      <c r="C3493" s="128" t="s">
        <v>369</v>
      </c>
      <c r="D3493" t="s">
        <v>5581</v>
      </c>
      <c r="E3493" t="s">
        <v>5669</v>
      </c>
      <c r="F3493" s="129" t="s">
        <v>5669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4895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50</v>
      </c>
      <c r="R3493" s="115" t="s">
        <v>515</v>
      </c>
      <c r="S3493" s="129"/>
    </row>
    <row r="3494" spans="1:19" hidden="1">
      <c r="A3494" s="128" t="s">
        <v>5670</v>
      </c>
      <c r="B3494" s="149" t="str">
        <f>IFERROR(VLOOKUP(Proc[[#This Row],[App]],Table2[],3,0),"open")</f>
        <v>ok</v>
      </c>
      <c r="C3494" s="128" t="s">
        <v>369</v>
      </c>
      <c r="D3494" t="s">
        <v>5582</v>
      </c>
      <c r="E3494" t="s">
        <v>5669</v>
      </c>
      <c r="F3494" s="129" t="s">
        <v>5669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4895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50</v>
      </c>
      <c r="R3494" s="115" t="s">
        <v>515</v>
      </c>
      <c r="S3494" s="129"/>
    </row>
    <row r="3495" spans="1:19" hidden="1">
      <c r="A3495" s="128" t="s">
        <v>5670</v>
      </c>
      <c r="B3495" s="149" t="str">
        <f>IFERROR(VLOOKUP(Proc[[#This Row],[App]],Table2[],3,0),"open")</f>
        <v>ok</v>
      </c>
      <c r="C3495" s="128" t="s">
        <v>369</v>
      </c>
      <c r="D3495" t="s">
        <v>5583</v>
      </c>
      <c r="E3495" t="s">
        <v>5669</v>
      </c>
      <c r="F3495" s="129" t="s">
        <v>5669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4895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50</v>
      </c>
      <c r="R3495" s="115" t="s">
        <v>515</v>
      </c>
      <c r="S3495" s="129"/>
    </row>
    <row r="3496" spans="1:19" hidden="1">
      <c r="A3496" s="128" t="s">
        <v>5670</v>
      </c>
      <c r="B3496" s="149" t="str">
        <f>IFERROR(VLOOKUP(Proc[[#This Row],[App]],Table2[],3,0),"open")</f>
        <v>ok</v>
      </c>
      <c r="C3496" s="128" t="s">
        <v>369</v>
      </c>
      <c r="D3496" t="s">
        <v>5584</v>
      </c>
      <c r="E3496" t="s">
        <v>5669</v>
      </c>
      <c r="F3496" s="129" t="s">
        <v>5669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4895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50</v>
      </c>
      <c r="R3496" s="115" t="s">
        <v>515</v>
      </c>
      <c r="S3496" s="129"/>
    </row>
    <row r="3497" spans="1:19" hidden="1">
      <c r="A3497" s="128" t="s">
        <v>5670</v>
      </c>
      <c r="B3497" s="149" t="str">
        <f>IFERROR(VLOOKUP(Proc[[#This Row],[App]],Table2[],3,0),"open")</f>
        <v>ok</v>
      </c>
      <c r="C3497" s="128" t="s">
        <v>369</v>
      </c>
      <c r="D3497" t="s">
        <v>5585</v>
      </c>
      <c r="E3497" t="s">
        <v>5669</v>
      </c>
      <c r="F3497" s="129" t="s">
        <v>5669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4895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50</v>
      </c>
      <c r="R3497" s="115" t="s">
        <v>515</v>
      </c>
      <c r="S3497" s="129"/>
    </row>
    <row r="3498" spans="1:19" hidden="1">
      <c r="A3498" s="128" t="s">
        <v>5670</v>
      </c>
      <c r="B3498" s="149" t="str">
        <f>IFERROR(VLOOKUP(Proc[[#This Row],[App]],Table2[],3,0),"open")</f>
        <v>ok</v>
      </c>
      <c r="C3498" s="128" t="s">
        <v>369</v>
      </c>
      <c r="D3498" t="s">
        <v>5586</v>
      </c>
      <c r="E3498" t="s">
        <v>5669</v>
      </c>
      <c r="F3498" s="129" t="s">
        <v>5669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4895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50</v>
      </c>
      <c r="R3498" s="115" t="s">
        <v>515</v>
      </c>
      <c r="S3498" s="129"/>
    </row>
    <row r="3499" spans="1:19" hidden="1">
      <c r="A3499" s="128" t="s">
        <v>5670</v>
      </c>
      <c r="B3499" s="149" t="str">
        <f>IFERROR(VLOOKUP(Proc[[#This Row],[App]],Table2[],3,0),"open")</f>
        <v>ok</v>
      </c>
      <c r="C3499" s="128" t="s">
        <v>369</v>
      </c>
      <c r="D3499" t="s">
        <v>5587</v>
      </c>
      <c r="E3499" t="s">
        <v>5669</v>
      </c>
      <c r="F3499" s="129" t="s">
        <v>5669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4895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50</v>
      </c>
      <c r="R3499" s="115" t="s">
        <v>515</v>
      </c>
      <c r="S3499" s="129"/>
    </row>
    <row r="3500" spans="1:19" hidden="1">
      <c r="A3500" s="128" t="s">
        <v>5670</v>
      </c>
      <c r="B3500" s="149" t="str">
        <f>IFERROR(VLOOKUP(Proc[[#This Row],[App]],Table2[],3,0),"open")</f>
        <v>ok</v>
      </c>
      <c r="C3500" s="128" t="s">
        <v>369</v>
      </c>
      <c r="D3500" t="s">
        <v>5588</v>
      </c>
      <c r="E3500" t="s">
        <v>5669</v>
      </c>
      <c r="F3500" s="129" t="s">
        <v>5669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4895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50</v>
      </c>
      <c r="R3500" s="115" t="s">
        <v>515</v>
      </c>
      <c r="S3500" s="129"/>
    </row>
    <row r="3501" spans="1:19" hidden="1">
      <c r="A3501" s="128" t="s">
        <v>5670</v>
      </c>
      <c r="B3501" s="149" t="str">
        <f>IFERROR(VLOOKUP(Proc[[#This Row],[App]],Table2[],3,0),"open")</f>
        <v>ok</v>
      </c>
      <c r="C3501" s="128" t="s">
        <v>369</v>
      </c>
      <c r="D3501" t="s">
        <v>5589</v>
      </c>
      <c r="E3501" t="s">
        <v>5669</v>
      </c>
      <c r="F3501" s="129" t="s">
        <v>5669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4895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50</v>
      </c>
      <c r="R3501" s="115" t="s">
        <v>515</v>
      </c>
      <c r="S3501" s="129"/>
    </row>
    <row r="3502" spans="1:19" hidden="1">
      <c r="A3502" s="128" t="s">
        <v>5670</v>
      </c>
      <c r="B3502" s="149" t="str">
        <f>IFERROR(VLOOKUP(Proc[[#This Row],[App]],Table2[],3,0),"open")</f>
        <v>ok</v>
      </c>
      <c r="C3502" s="128" t="s">
        <v>369</v>
      </c>
      <c r="D3502" t="s">
        <v>5590</v>
      </c>
      <c r="E3502" t="s">
        <v>5669</v>
      </c>
      <c r="F3502" s="129" t="s">
        <v>5669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4895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50</v>
      </c>
      <c r="R3502" s="115" t="s">
        <v>515</v>
      </c>
      <c r="S3502" s="129"/>
    </row>
    <row r="3503" spans="1:19" hidden="1">
      <c r="A3503" s="128" t="s">
        <v>5670</v>
      </c>
      <c r="B3503" s="149" t="str">
        <f>IFERROR(VLOOKUP(Proc[[#This Row],[App]],Table2[],3,0),"open")</f>
        <v>ok</v>
      </c>
      <c r="C3503" s="128" t="s">
        <v>369</v>
      </c>
      <c r="D3503" t="s">
        <v>5591</v>
      </c>
      <c r="E3503" t="s">
        <v>5669</v>
      </c>
      <c r="F3503" s="129" t="s">
        <v>5669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4895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50</v>
      </c>
      <c r="R3503" s="115" t="s">
        <v>515</v>
      </c>
      <c r="S3503" s="129"/>
    </row>
    <row r="3504" spans="1:19" hidden="1">
      <c r="A3504" s="128" t="s">
        <v>5670</v>
      </c>
      <c r="B3504" s="149" t="str">
        <f>IFERROR(VLOOKUP(Proc[[#This Row],[App]],Table2[],3,0),"open")</f>
        <v>ok</v>
      </c>
      <c r="C3504" s="128" t="s">
        <v>369</v>
      </c>
      <c r="D3504" t="s">
        <v>5592</v>
      </c>
      <c r="E3504" t="s">
        <v>5669</v>
      </c>
      <c r="F3504" s="129" t="s">
        <v>5669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4895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50</v>
      </c>
      <c r="R3504" s="115" t="s">
        <v>515</v>
      </c>
      <c r="S3504" s="129"/>
    </row>
    <row r="3505" spans="1:19" hidden="1">
      <c r="A3505" s="128" t="s">
        <v>5670</v>
      </c>
      <c r="B3505" s="149" t="str">
        <f>IFERROR(VLOOKUP(Proc[[#This Row],[App]],Table2[],3,0),"open")</f>
        <v>ok</v>
      </c>
      <c r="C3505" s="128" t="s">
        <v>369</v>
      </c>
      <c r="D3505" t="s">
        <v>5593</v>
      </c>
      <c r="E3505" t="s">
        <v>5669</v>
      </c>
      <c r="F3505" s="129" t="s">
        <v>5669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4895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50</v>
      </c>
      <c r="R3505" s="115" t="s">
        <v>515</v>
      </c>
      <c r="S3505" s="129"/>
    </row>
    <row r="3506" spans="1:19" hidden="1">
      <c r="A3506" s="128" t="s">
        <v>5670</v>
      </c>
      <c r="B3506" s="149" t="str">
        <f>IFERROR(VLOOKUP(Proc[[#This Row],[App]],Table2[],3,0),"open")</f>
        <v>ok</v>
      </c>
      <c r="C3506" s="128" t="s">
        <v>369</v>
      </c>
      <c r="D3506" t="s">
        <v>5594</v>
      </c>
      <c r="E3506" t="s">
        <v>5669</v>
      </c>
      <c r="F3506" s="129" t="s">
        <v>5669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4895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50</v>
      </c>
      <c r="R3506" s="115" t="s">
        <v>515</v>
      </c>
      <c r="S3506" s="129"/>
    </row>
    <row r="3507" spans="1:19" hidden="1">
      <c r="A3507" s="128" t="s">
        <v>5670</v>
      </c>
      <c r="B3507" s="149" t="str">
        <f>IFERROR(VLOOKUP(Proc[[#This Row],[App]],Table2[],3,0),"open")</f>
        <v>ok</v>
      </c>
      <c r="C3507" s="128" t="s">
        <v>369</v>
      </c>
      <c r="D3507" t="s">
        <v>5595</v>
      </c>
      <c r="E3507" t="s">
        <v>5669</v>
      </c>
      <c r="F3507" s="129" t="s">
        <v>5669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4895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50</v>
      </c>
      <c r="R3507" s="115" t="s">
        <v>515</v>
      </c>
      <c r="S3507" s="129"/>
    </row>
    <row r="3508" spans="1:19" hidden="1">
      <c r="A3508" s="128" t="s">
        <v>5670</v>
      </c>
      <c r="B3508" s="149" t="str">
        <f>IFERROR(VLOOKUP(Proc[[#This Row],[App]],Table2[],3,0),"open")</f>
        <v>ok</v>
      </c>
      <c r="C3508" s="128" t="s">
        <v>369</v>
      </c>
      <c r="D3508" t="s">
        <v>5596</v>
      </c>
      <c r="E3508" t="s">
        <v>5669</v>
      </c>
      <c r="F3508" s="129" t="s">
        <v>5669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4895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50</v>
      </c>
      <c r="R3508" s="115" t="s">
        <v>515</v>
      </c>
      <c r="S3508" s="129"/>
    </row>
    <row r="3509" spans="1:19" hidden="1">
      <c r="A3509" s="128" t="s">
        <v>5670</v>
      </c>
      <c r="B3509" s="149" t="str">
        <f>IFERROR(VLOOKUP(Proc[[#This Row],[App]],Table2[],3,0),"open")</f>
        <v>ok</v>
      </c>
      <c r="C3509" s="128" t="s">
        <v>369</v>
      </c>
      <c r="D3509" t="s">
        <v>5597</v>
      </c>
      <c r="E3509" t="s">
        <v>5669</v>
      </c>
      <c r="F3509" s="129" t="s">
        <v>5669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4895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50</v>
      </c>
      <c r="R3509" s="115" t="s">
        <v>515</v>
      </c>
      <c r="S3509" s="129"/>
    </row>
    <row r="3510" spans="1:19" hidden="1">
      <c r="A3510" s="128" t="s">
        <v>5670</v>
      </c>
      <c r="B3510" s="149" t="str">
        <f>IFERROR(VLOOKUP(Proc[[#This Row],[App]],Table2[],3,0),"open")</f>
        <v>ok</v>
      </c>
      <c r="C3510" s="128" t="s">
        <v>369</v>
      </c>
      <c r="D3510" t="s">
        <v>5598</v>
      </c>
      <c r="E3510" t="s">
        <v>5669</v>
      </c>
      <c r="F3510" s="129" t="s">
        <v>5669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4895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50</v>
      </c>
      <c r="R3510" s="115" t="s">
        <v>515</v>
      </c>
      <c r="S3510" s="129"/>
    </row>
    <row r="3511" spans="1:19" hidden="1">
      <c r="A3511" s="128" t="s">
        <v>5670</v>
      </c>
      <c r="B3511" s="149" t="str">
        <f>IFERROR(VLOOKUP(Proc[[#This Row],[App]],Table2[],3,0),"open")</f>
        <v>ok</v>
      </c>
      <c r="C3511" s="128" t="s">
        <v>369</v>
      </c>
      <c r="D3511" t="s">
        <v>5599</v>
      </c>
      <c r="E3511" t="s">
        <v>5669</v>
      </c>
      <c r="F3511" s="129" t="s">
        <v>5669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4895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50</v>
      </c>
      <c r="R3511" s="115" t="s">
        <v>515</v>
      </c>
      <c r="S3511" s="129"/>
    </row>
    <row r="3512" spans="1:19" hidden="1">
      <c r="A3512" s="128" t="s">
        <v>5670</v>
      </c>
      <c r="B3512" s="149" t="str">
        <f>IFERROR(VLOOKUP(Proc[[#This Row],[App]],Table2[],3,0),"open")</f>
        <v>ok</v>
      </c>
      <c r="C3512" s="128" t="s">
        <v>369</v>
      </c>
      <c r="D3512" t="s">
        <v>5600</v>
      </c>
      <c r="E3512" t="s">
        <v>5669</v>
      </c>
      <c r="F3512" s="129" t="s">
        <v>5669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4895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50</v>
      </c>
      <c r="R3512" s="115" t="s">
        <v>515</v>
      </c>
      <c r="S3512" s="129"/>
    </row>
    <row r="3513" spans="1:19" hidden="1">
      <c r="A3513" s="128" t="s">
        <v>5670</v>
      </c>
      <c r="B3513" s="149" t="str">
        <f>IFERROR(VLOOKUP(Proc[[#This Row],[App]],Table2[],3,0),"open")</f>
        <v>ok</v>
      </c>
      <c r="C3513" s="128" t="s">
        <v>369</v>
      </c>
      <c r="D3513" t="s">
        <v>5601</v>
      </c>
      <c r="E3513" t="s">
        <v>5669</v>
      </c>
      <c r="F3513" s="129" t="s">
        <v>5669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4895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50</v>
      </c>
      <c r="R3513" s="115" t="s">
        <v>515</v>
      </c>
      <c r="S3513" s="129"/>
    </row>
    <row r="3514" spans="1:19" hidden="1">
      <c r="A3514" s="128" t="s">
        <v>5670</v>
      </c>
      <c r="B3514" s="149" t="str">
        <f>IFERROR(VLOOKUP(Proc[[#This Row],[App]],Table2[],3,0),"open")</f>
        <v>ok</v>
      </c>
      <c r="C3514" s="128" t="s">
        <v>369</v>
      </c>
      <c r="D3514" t="s">
        <v>5602</v>
      </c>
      <c r="E3514" t="s">
        <v>5669</v>
      </c>
      <c r="F3514" s="129" t="s">
        <v>5669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4895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50</v>
      </c>
      <c r="R3514" s="115" t="s">
        <v>515</v>
      </c>
      <c r="S3514" s="129"/>
    </row>
    <row r="3515" spans="1:19" hidden="1">
      <c r="A3515" s="128" t="s">
        <v>5670</v>
      </c>
      <c r="B3515" s="149" t="str">
        <f>IFERROR(VLOOKUP(Proc[[#This Row],[App]],Table2[],3,0),"open")</f>
        <v>ok</v>
      </c>
      <c r="C3515" s="128" t="s">
        <v>369</v>
      </c>
      <c r="D3515" t="s">
        <v>5603</v>
      </c>
      <c r="E3515" t="s">
        <v>5669</v>
      </c>
      <c r="F3515" s="129" t="s">
        <v>5669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4895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50</v>
      </c>
      <c r="R3515" s="115" t="s">
        <v>515</v>
      </c>
      <c r="S3515" s="129"/>
    </row>
    <row r="3516" spans="1:19" hidden="1">
      <c r="A3516" s="128" t="s">
        <v>5670</v>
      </c>
      <c r="B3516" s="149" t="str">
        <f>IFERROR(VLOOKUP(Proc[[#This Row],[App]],Table2[],3,0),"open")</f>
        <v>ok</v>
      </c>
      <c r="C3516" s="128" t="s">
        <v>369</v>
      </c>
      <c r="D3516" t="s">
        <v>5604</v>
      </c>
      <c r="E3516" t="s">
        <v>5669</v>
      </c>
      <c r="F3516" s="129" t="s">
        <v>5669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4895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50</v>
      </c>
      <c r="R3516" s="115" t="s">
        <v>515</v>
      </c>
      <c r="S3516" s="129"/>
    </row>
    <row r="3517" spans="1:19" hidden="1">
      <c r="A3517" s="128" t="s">
        <v>5670</v>
      </c>
      <c r="B3517" s="149" t="str">
        <f>IFERROR(VLOOKUP(Proc[[#This Row],[App]],Table2[],3,0),"open")</f>
        <v>ok</v>
      </c>
      <c r="C3517" s="128" t="s">
        <v>369</v>
      </c>
      <c r="D3517" t="s">
        <v>5605</v>
      </c>
      <c r="E3517" t="s">
        <v>5669</v>
      </c>
      <c r="F3517" s="129" t="s">
        <v>5669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4895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50</v>
      </c>
      <c r="R3517" s="115" t="s">
        <v>515</v>
      </c>
      <c r="S3517" s="129"/>
    </row>
    <row r="3518" spans="1:19" hidden="1">
      <c r="A3518" s="128" t="s">
        <v>5670</v>
      </c>
      <c r="B3518" s="149" t="str">
        <f>IFERROR(VLOOKUP(Proc[[#This Row],[App]],Table2[],3,0),"open")</f>
        <v>ok</v>
      </c>
      <c r="C3518" s="128" t="s">
        <v>369</v>
      </c>
      <c r="D3518" t="s">
        <v>5606</v>
      </c>
      <c r="E3518" t="s">
        <v>5669</v>
      </c>
      <c r="F3518" s="129" t="s">
        <v>5669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4895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50</v>
      </c>
      <c r="R3518" s="115" t="s">
        <v>515</v>
      </c>
      <c r="S3518" s="129"/>
    </row>
    <row r="3519" spans="1:19" hidden="1">
      <c r="A3519" s="128" t="s">
        <v>5670</v>
      </c>
      <c r="B3519" s="149" t="str">
        <f>IFERROR(VLOOKUP(Proc[[#This Row],[App]],Table2[],3,0),"open")</f>
        <v>ok</v>
      </c>
      <c r="C3519" s="128" t="s">
        <v>369</v>
      </c>
      <c r="D3519" t="s">
        <v>5607</v>
      </c>
      <c r="E3519" t="s">
        <v>5669</v>
      </c>
      <c r="F3519" s="129" t="s">
        <v>5669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4895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50</v>
      </c>
      <c r="R3519" s="115" t="s">
        <v>515</v>
      </c>
      <c r="S3519" s="129"/>
    </row>
    <row r="3520" spans="1:19" hidden="1">
      <c r="A3520" s="128" t="s">
        <v>5670</v>
      </c>
      <c r="B3520" s="149" t="str">
        <f>IFERROR(VLOOKUP(Proc[[#This Row],[App]],Table2[],3,0),"open")</f>
        <v>ok</v>
      </c>
      <c r="C3520" s="128" t="s">
        <v>369</v>
      </c>
      <c r="D3520" t="s">
        <v>5608</v>
      </c>
      <c r="E3520" t="s">
        <v>5669</v>
      </c>
      <c r="F3520" s="129" t="s">
        <v>5669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4895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50</v>
      </c>
      <c r="R3520" s="115" t="s">
        <v>515</v>
      </c>
      <c r="S3520" s="129"/>
    </row>
    <row r="3521" spans="1:19" hidden="1">
      <c r="A3521" s="128" t="s">
        <v>5670</v>
      </c>
      <c r="B3521" s="149" t="str">
        <f>IFERROR(VLOOKUP(Proc[[#This Row],[App]],Table2[],3,0),"open")</f>
        <v>ok</v>
      </c>
      <c r="C3521" s="128" t="s">
        <v>369</v>
      </c>
      <c r="D3521" t="s">
        <v>5609</v>
      </c>
      <c r="E3521" t="s">
        <v>5669</v>
      </c>
      <c r="F3521" s="129" t="s">
        <v>5669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4895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50</v>
      </c>
      <c r="R3521" s="115" t="s">
        <v>515</v>
      </c>
      <c r="S3521" s="129"/>
    </row>
    <row r="3522" spans="1:19" hidden="1">
      <c r="A3522" s="128" t="s">
        <v>5670</v>
      </c>
      <c r="B3522" s="149" t="str">
        <f>IFERROR(VLOOKUP(Proc[[#This Row],[App]],Table2[],3,0),"open")</f>
        <v>ok</v>
      </c>
      <c r="C3522" s="128" t="s">
        <v>369</v>
      </c>
      <c r="D3522" t="s">
        <v>5610</v>
      </c>
      <c r="E3522" t="s">
        <v>5669</v>
      </c>
      <c r="F3522" s="129" t="s">
        <v>5669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4895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50</v>
      </c>
      <c r="R3522" s="115" t="s">
        <v>515</v>
      </c>
      <c r="S3522" s="129"/>
    </row>
    <row r="3523" spans="1:19" hidden="1">
      <c r="A3523" s="128" t="s">
        <v>5670</v>
      </c>
      <c r="B3523" s="149" t="str">
        <f>IFERROR(VLOOKUP(Proc[[#This Row],[App]],Table2[],3,0),"open")</f>
        <v>ok</v>
      </c>
      <c r="C3523" s="128" t="s">
        <v>369</v>
      </c>
      <c r="D3523" t="s">
        <v>5611</v>
      </c>
      <c r="E3523" t="s">
        <v>5669</v>
      </c>
      <c r="F3523" s="129" t="s">
        <v>5669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4895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50</v>
      </c>
      <c r="R3523" s="115" t="s">
        <v>515</v>
      </c>
      <c r="S3523" s="129"/>
    </row>
    <row r="3524" spans="1:19" hidden="1">
      <c r="A3524" s="128" t="s">
        <v>5670</v>
      </c>
      <c r="B3524" s="149" t="str">
        <f>IFERROR(VLOOKUP(Proc[[#This Row],[App]],Table2[],3,0),"open")</f>
        <v>ok</v>
      </c>
      <c r="C3524" s="128" t="s">
        <v>369</v>
      </c>
      <c r="D3524" t="s">
        <v>5612</v>
      </c>
      <c r="E3524" t="s">
        <v>5669</v>
      </c>
      <c r="F3524" s="129" t="s">
        <v>5669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4895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50</v>
      </c>
      <c r="R3524" s="115" t="s">
        <v>515</v>
      </c>
      <c r="S3524" s="129"/>
    </row>
    <row r="3525" spans="1:19" hidden="1">
      <c r="A3525" s="128" t="s">
        <v>5670</v>
      </c>
      <c r="B3525" s="149" t="str">
        <f>IFERROR(VLOOKUP(Proc[[#This Row],[App]],Table2[],3,0),"open")</f>
        <v>ok</v>
      </c>
      <c r="C3525" s="128" t="s">
        <v>369</v>
      </c>
      <c r="D3525" t="s">
        <v>5613</v>
      </c>
      <c r="E3525" t="s">
        <v>5669</v>
      </c>
      <c r="F3525" s="129" t="s">
        <v>5669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4895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50</v>
      </c>
      <c r="R3525" s="115" t="s">
        <v>515</v>
      </c>
      <c r="S3525" s="129"/>
    </row>
    <row r="3526" spans="1:19" hidden="1">
      <c r="A3526" s="128" t="s">
        <v>5670</v>
      </c>
      <c r="B3526" s="149" t="str">
        <f>IFERROR(VLOOKUP(Proc[[#This Row],[App]],Table2[],3,0),"open")</f>
        <v>ok</v>
      </c>
      <c r="C3526" s="128" t="s">
        <v>369</v>
      </c>
      <c r="D3526" t="s">
        <v>5614</v>
      </c>
      <c r="E3526" t="s">
        <v>5669</v>
      </c>
      <c r="F3526" s="129" t="s">
        <v>5669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4895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50</v>
      </c>
      <c r="R3526" s="115" t="s">
        <v>515</v>
      </c>
      <c r="S3526" s="129"/>
    </row>
    <row r="3527" spans="1:19" hidden="1">
      <c r="A3527" s="128" t="s">
        <v>5670</v>
      </c>
      <c r="B3527" s="149" t="str">
        <f>IFERROR(VLOOKUP(Proc[[#This Row],[App]],Table2[],3,0),"open")</f>
        <v>ok</v>
      </c>
      <c r="C3527" s="128" t="s">
        <v>369</v>
      </c>
      <c r="D3527" t="s">
        <v>5615</v>
      </c>
      <c r="E3527" t="s">
        <v>5669</v>
      </c>
      <c r="F3527" s="129" t="s">
        <v>5669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4895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50</v>
      </c>
      <c r="R3527" s="115" t="s">
        <v>515</v>
      </c>
      <c r="S3527" s="129"/>
    </row>
    <row r="3528" spans="1:19" hidden="1">
      <c r="A3528" s="128" t="s">
        <v>5670</v>
      </c>
      <c r="B3528" s="149" t="str">
        <f>IFERROR(VLOOKUP(Proc[[#This Row],[App]],Table2[],3,0),"open")</f>
        <v>ok</v>
      </c>
      <c r="C3528" s="128" t="s">
        <v>369</v>
      </c>
      <c r="D3528" t="s">
        <v>5616</v>
      </c>
      <c r="E3528" t="s">
        <v>5669</v>
      </c>
      <c r="F3528" s="129" t="s">
        <v>5669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4895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50</v>
      </c>
      <c r="R3528" s="115" t="s">
        <v>515</v>
      </c>
      <c r="S3528" s="129"/>
    </row>
    <row r="3529" spans="1:19" hidden="1">
      <c r="A3529" s="128" t="s">
        <v>5670</v>
      </c>
      <c r="B3529" s="149" t="str">
        <f>IFERROR(VLOOKUP(Proc[[#This Row],[App]],Table2[],3,0),"open")</f>
        <v>ok</v>
      </c>
      <c r="C3529" s="128" t="s">
        <v>369</v>
      </c>
      <c r="D3529" t="s">
        <v>5617</v>
      </c>
      <c r="E3529" t="s">
        <v>5669</v>
      </c>
      <c r="F3529" s="129" t="s">
        <v>5669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4895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50</v>
      </c>
      <c r="R3529" s="115" t="s">
        <v>515</v>
      </c>
      <c r="S3529" s="129"/>
    </row>
    <row r="3530" spans="1:19" hidden="1">
      <c r="A3530" s="128" t="s">
        <v>5670</v>
      </c>
      <c r="B3530" s="149" t="str">
        <f>IFERROR(VLOOKUP(Proc[[#This Row],[App]],Table2[],3,0),"open")</f>
        <v>ok</v>
      </c>
      <c r="C3530" s="128" t="s">
        <v>369</v>
      </c>
      <c r="D3530" t="s">
        <v>5618</v>
      </c>
      <c r="E3530" t="s">
        <v>5669</v>
      </c>
      <c r="F3530" s="129" t="s">
        <v>5669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4895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50</v>
      </c>
      <c r="R3530" s="115" t="s">
        <v>515</v>
      </c>
      <c r="S3530" s="129"/>
    </row>
    <row r="3531" spans="1:19" hidden="1">
      <c r="A3531" s="128" t="s">
        <v>5670</v>
      </c>
      <c r="B3531" s="149" t="str">
        <f>IFERROR(VLOOKUP(Proc[[#This Row],[App]],Table2[],3,0),"open")</f>
        <v>ok</v>
      </c>
      <c r="C3531" s="128" t="s">
        <v>369</v>
      </c>
      <c r="D3531" t="s">
        <v>5619</v>
      </c>
      <c r="E3531" t="s">
        <v>5669</v>
      </c>
      <c r="F3531" s="129" t="s">
        <v>5669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4895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50</v>
      </c>
      <c r="R3531" s="115" t="s">
        <v>515</v>
      </c>
      <c r="S3531" s="129"/>
    </row>
    <row r="3532" spans="1:19" hidden="1">
      <c r="A3532" s="128" t="s">
        <v>5670</v>
      </c>
      <c r="B3532" s="149" t="str">
        <f>IFERROR(VLOOKUP(Proc[[#This Row],[App]],Table2[],3,0),"open")</f>
        <v>ok</v>
      </c>
      <c r="C3532" s="128" t="s">
        <v>369</v>
      </c>
      <c r="D3532" t="s">
        <v>5620</v>
      </c>
      <c r="E3532" t="s">
        <v>5669</v>
      </c>
      <c r="F3532" s="129" t="s">
        <v>5669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4895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50</v>
      </c>
      <c r="R3532" s="115" t="s">
        <v>515</v>
      </c>
      <c r="S3532" s="129"/>
    </row>
    <row r="3533" spans="1:19" hidden="1">
      <c r="A3533" s="128" t="s">
        <v>5670</v>
      </c>
      <c r="B3533" s="149" t="str">
        <f>IFERROR(VLOOKUP(Proc[[#This Row],[App]],Table2[],3,0),"open")</f>
        <v>ok</v>
      </c>
      <c r="C3533" s="128" t="s">
        <v>369</v>
      </c>
      <c r="D3533" t="s">
        <v>5621</v>
      </c>
      <c r="E3533" t="s">
        <v>5669</v>
      </c>
      <c r="F3533" s="129" t="s">
        <v>5669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4895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50</v>
      </c>
      <c r="R3533" s="115" t="s">
        <v>515</v>
      </c>
      <c r="S3533" s="129"/>
    </row>
    <row r="3534" spans="1:19" hidden="1">
      <c r="A3534" s="128" t="s">
        <v>5670</v>
      </c>
      <c r="B3534" s="149" t="str">
        <f>IFERROR(VLOOKUP(Proc[[#This Row],[App]],Table2[],3,0),"open")</f>
        <v>ok</v>
      </c>
      <c r="C3534" s="128" t="s">
        <v>369</v>
      </c>
      <c r="D3534" t="s">
        <v>5622</v>
      </c>
      <c r="E3534" t="s">
        <v>5669</v>
      </c>
      <c r="F3534" s="129" t="s">
        <v>5669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4895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50</v>
      </c>
      <c r="R3534" s="115" t="s">
        <v>515</v>
      </c>
      <c r="S3534" s="129"/>
    </row>
    <row r="3535" spans="1:19" hidden="1">
      <c r="A3535" s="128" t="s">
        <v>5670</v>
      </c>
      <c r="B3535" s="149" t="str">
        <f>IFERROR(VLOOKUP(Proc[[#This Row],[App]],Table2[],3,0),"open")</f>
        <v>ok</v>
      </c>
      <c r="C3535" s="128" t="s">
        <v>369</v>
      </c>
      <c r="D3535" t="s">
        <v>5623</v>
      </c>
      <c r="E3535" t="s">
        <v>5669</v>
      </c>
      <c r="F3535" s="129" t="s">
        <v>5669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4895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50</v>
      </c>
      <c r="R3535" s="115" t="s">
        <v>515</v>
      </c>
      <c r="S3535" s="129"/>
    </row>
    <row r="3536" spans="1:19" hidden="1">
      <c r="A3536" s="128" t="s">
        <v>5670</v>
      </c>
      <c r="B3536" s="149" t="str">
        <f>IFERROR(VLOOKUP(Proc[[#This Row],[App]],Table2[],3,0),"open")</f>
        <v>ok</v>
      </c>
      <c r="C3536" s="128" t="s">
        <v>369</v>
      </c>
      <c r="D3536" t="s">
        <v>5736</v>
      </c>
      <c r="E3536" t="s">
        <v>5669</v>
      </c>
      <c r="F3536" s="133" t="s">
        <v>5669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4895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50</v>
      </c>
      <c r="R3536" s="115" t="s">
        <v>515</v>
      </c>
      <c r="S3536" s="129"/>
    </row>
    <row r="3537" spans="1:19" hidden="1">
      <c r="A3537" s="128" t="s">
        <v>5670</v>
      </c>
      <c r="B3537" s="149" t="str">
        <f>IFERROR(VLOOKUP(Proc[[#This Row],[App]],Table2[],3,0),"open")</f>
        <v>ok</v>
      </c>
      <c r="C3537" s="133" t="s">
        <v>369</v>
      </c>
      <c r="D3537" t="s">
        <v>5624</v>
      </c>
      <c r="E3537" t="s">
        <v>5669</v>
      </c>
      <c r="F3537" s="129" t="s">
        <v>5669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4895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50</v>
      </c>
      <c r="R3537" s="115" t="s">
        <v>515</v>
      </c>
      <c r="S3537" s="129"/>
    </row>
    <row r="3538" spans="1:19" hidden="1">
      <c r="A3538" s="128" t="s">
        <v>5670</v>
      </c>
      <c r="B3538" s="149" t="str">
        <f>IFERROR(VLOOKUP(Proc[[#This Row],[App]],Table2[],3,0),"open")</f>
        <v>ok</v>
      </c>
      <c r="C3538" s="133" t="s">
        <v>369</v>
      </c>
      <c r="D3538" t="s">
        <v>5625</v>
      </c>
      <c r="E3538" t="s">
        <v>5669</v>
      </c>
      <c r="F3538" s="129" t="s">
        <v>5669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4895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50</v>
      </c>
      <c r="R3538" s="115" t="s">
        <v>515</v>
      </c>
      <c r="S3538" s="129"/>
    </row>
    <row r="3539" spans="1:19" hidden="1">
      <c r="A3539" s="128" t="s">
        <v>5670</v>
      </c>
      <c r="B3539" s="149" t="str">
        <f>IFERROR(VLOOKUP(Proc[[#This Row],[App]],Table2[],3,0),"open")</f>
        <v>ok</v>
      </c>
      <c r="C3539" s="128" t="s">
        <v>369</v>
      </c>
      <c r="D3539" t="s">
        <v>5626</v>
      </c>
      <c r="E3539" t="s">
        <v>5669</v>
      </c>
      <c r="F3539" s="129" t="s">
        <v>5669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4895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50</v>
      </c>
      <c r="R3539" s="115" t="s">
        <v>515</v>
      </c>
      <c r="S3539" s="129"/>
    </row>
    <row r="3540" spans="1:19" hidden="1">
      <c r="A3540" s="128" t="s">
        <v>5670</v>
      </c>
      <c r="B3540" s="149" t="str">
        <f>IFERROR(VLOOKUP(Proc[[#This Row],[App]],Table2[],3,0),"open")</f>
        <v>ok</v>
      </c>
      <c r="C3540" s="128" t="s">
        <v>369</v>
      </c>
      <c r="D3540" t="s">
        <v>5627</v>
      </c>
      <c r="E3540" t="s">
        <v>5669</v>
      </c>
      <c r="F3540" s="129" t="s">
        <v>5669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4895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50</v>
      </c>
      <c r="R3540" s="115" t="s">
        <v>515</v>
      </c>
      <c r="S3540" s="129"/>
    </row>
    <row r="3541" spans="1:19" hidden="1">
      <c r="A3541" s="128" t="s">
        <v>5670</v>
      </c>
      <c r="B3541" s="149" t="str">
        <f>IFERROR(VLOOKUP(Proc[[#This Row],[App]],Table2[],3,0),"open")</f>
        <v>ok</v>
      </c>
      <c r="C3541" s="128" t="s">
        <v>369</v>
      </c>
      <c r="D3541" t="s">
        <v>5628</v>
      </c>
      <c r="E3541" t="s">
        <v>5669</v>
      </c>
      <c r="F3541" s="129" t="s">
        <v>5669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4895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50</v>
      </c>
      <c r="R3541" s="115" t="s">
        <v>515</v>
      </c>
      <c r="S3541" s="129"/>
    </row>
    <row r="3542" spans="1:19" hidden="1">
      <c r="A3542" s="128" t="s">
        <v>5670</v>
      </c>
      <c r="B3542" s="149" t="str">
        <f>IFERROR(VLOOKUP(Proc[[#This Row],[App]],Table2[],3,0),"open")</f>
        <v>ok</v>
      </c>
      <c r="C3542" s="128" t="s">
        <v>369</v>
      </c>
      <c r="D3542" t="s">
        <v>5629</v>
      </c>
      <c r="E3542" t="s">
        <v>5669</v>
      </c>
      <c r="F3542" s="129" t="s">
        <v>5669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4895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50</v>
      </c>
      <c r="R3542" s="115" t="s">
        <v>515</v>
      </c>
      <c r="S3542" s="129"/>
    </row>
    <row r="3543" spans="1:19" hidden="1">
      <c r="A3543" s="128" t="s">
        <v>5670</v>
      </c>
      <c r="B3543" s="149" t="str">
        <f>IFERROR(VLOOKUP(Proc[[#This Row],[App]],Table2[],3,0),"open")</f>
        <v>ok</v>
      </c>
      <c r="C3543" s="128" t="s">
        <v>369</v>
      </c>
      <c r="D3543" t="s">
        <v>5630</v>
      </c>
      <c r="E3543" t="s">
        <v>5669</v>
      </c>
      <c r="F3543" s="129" t="s">
        <v>5669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4895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50</v>
      </c>
      <c r="R3543" s="115" t="s">
        <v>515</v>
      </c>
      <c r="S3543" s="129"/>
    </row>
    <row r="3544" spans="1:19" hidden="1">
      <c r="A3544" s="128" t="s">
        <v>5670</v>
      </c>
      <c r="B3544" s="149" t="str">
        <f>IFERROR(VLOOKUP(Proc[[#This Row],[App]],Table2[],3,0),"open")</f>
        <v>ok</v>
      </c>
      <c r="C3544" s="128" t="s">
        <v>369</v>
      </c>
      <c r="D3544" t="s">
        <v>5631</v>
      </c>
      <c r="E3544" t="s">
        <v>5669</v>
      </c>
      <c r="F3544" s="129" t="s">
        <v>5669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4895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50</v>
      </c>
      <c r="R3544" s="115" t="s">
        <v>515</v>
      </c>
      <c r="S3544" s="129"/>
    </row>
    <row r="3545" spans="1:19" hidden="1">
      <c r="A3545" s="128" t="s">
        <v>5670</v>
      </c>
      <c r="B3545" s="149" t="str">
        <f>IFERROR(VLOOKUP(Proc[[#This Row],[App]],Table2[],3,0),"open")</f>
        <v>ok</v>
      </c>
      <c r="C3545" s="128" t="s">
        <v>369</v>
      </c>
      <c r="D3545" t="s">
        <v>5632</v>
      </c>
      <c r="E3545" t="s">
        <v>5669</v>
      </c>
      <c r="F3545" s="129" t="s">
        <v>5669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4895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50</v>
      </c>
      <c r="R3545" s="115" t="s">
        <v>515</v>
      </c>
      <c r="S3545" s="129"/>
    </row>
    <row r="3546" spans="1:19" hidden="1">
      <c r="A3546" s="128" t="s">
        <v>5670</v>
      </c>
      <c r="B3546" s="149" t="str">
        <f>IFERROR(VLOOKUP(Proc[[#This Row],[App]],Table2[],3,0),"open")</f>
        <v>ok</v>
      </c>
      <c r="C3546" s="128" t="s">
        <v>369</v>
      </c>
      <c r="D3546" t="s">
        <v>5633</v>
      </c>
      <c r="E3546" t="s">
        <v>5669</v>
      </c>
      <c r="F3546" s="129" t="s">
        <v>5669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4895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50</v>
      </c>
      <c r="R3546" s="115" t="s">
        <v>515</v>
      </c>
      <c r="S3546" s="129"/>
    </row>
    <row r="3547" spans="1:19" hidden="1">
      <c r="A3547" s="128" t="s">
        <v>5670</v>
      </c>
      <c r="B3547" s="149" t="str">
        <f>IFERROR(VLOOKUP(Proc[[#This Row],[App]],Table2[],3,0),"open")</f>
        <v>ok</v>
      </c>
      <c r="C3547" s="128" t="s">
        <v>369</v>
      </c>
      <c r="D3547" t="s">
        <v>5634</v>
      </c>
      <c r="E3547" t="s">
        <v>5669</v>
      </c>
      <c r="F3547" s="129" t="s">
        <v>5669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4895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50</v>
      </c>
      <c r="R3547" s="115" t="s">
        <v>515</v>
      </c>
      <c r="S3547" s="129"/>
    </row>
    <row r="3548" spans="1:19" hidden="1">
      <c r="A3548" s="128" t="s">
        <v>5670</v>
      </c>
      <c r="B3548" s="149" t="str">
        <f>IFERROR(VLOOKUP(Proc[[#This Row],[App]],Table2[],3,0),"open")</f>
        <v>ok</v>
      </c>
      <c r="C3548" s="128" t="s">
        <v>369</v>
      </c>
      <c r="D3548" t="s">
        <v>5635</v>
      </c>
      <c r="E3548" t="s">
        <v>5669</v>
      </c>
      <c r="F3548" s="129" t="s">
        <v>5669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4895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50</v>
      </c>
      <c r="R3548" s="115" t="s">
        <v>515</v>
      </c>
      <c r="S3548" s="129"/>
    </row>
    <row r="3549" spans="1:19" hidden="1">
      <c r="A3549" s="128" t="s">
        <v>5670</v>
      </c>
      <c r="B3549" s="149" t="str">
        <f>IFERROR(VLOOKUP(Proc[[#This Row],[App]],Table2[],3,0),"open")</f>
        <v>ok</v>
      </c>
      <c r="C3549" s="128" t="s">
        <v>369</v>
      </c>
      <c r="D3549" t="s">
        <v>5636</v>
      </c>
      <c r="E3549" t="s">
        <v>5669</v>
      </c>
      <c r="F3549" s="129" t="s">
        <v>5669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4895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50</v>
      </c>
      <c r="R3549" s="115" t="s">
        <v>515</v>
      </c>
      <c r="S3549" s="129"/>
    </row>
    <row r="3550" spans="1:19" hidden="1">
      <c r="A3550" s="128" t="s">
        <v>5670</v>
      </c>
      <c r="B3550" s="149" t="str">
        <f>IFERROR(VLOOKUP(Proc[[#This Row],[App]],Table2[],3,0),"open")</f>
        <v>ok</v>
      </c>
      <c r="C3550" s="128" t="s">
        <v>369</v>
      </c>
      <c r="D3550" t="s">
        <v>5637</v>
      </c>
      <c r="E3550" t="s">
        <v>5669</v>
      </c>
      <c r="F3550" s="129" t="s">
        <v>5669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4895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50</v>
      </c>
      <c r="R3550" s="115" t="s">
        <v>515</v>
      </c>
      <c r="S3550" s="129"/>
    </row>
    <row r="3551" spans="1:19" hidden="1">
      <c r="A3551" s="128" t="s">
        <v>5670</v>
      </c>
      <c r="B3551" s="149" t="str">
        <f>IFERROR(VLOOKUP(Proc[[#This Row],[App]],Table2[],3,0),"open")</f>
        <v>ok</v>
      </c>
      <c r="C3551" s="128" t="s">
        <v>369</v>
      </c>
      <c r="D3551" t="s">
        <v>5638</v>
      </c>
      <c r="E3551" t="s">
        <v>5669</v>
      </c>
      <c r="F3551" s="129" t="s">
        <v>5669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4895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50</v>
      </c>
      <c r="R3551" s="115" t="s">
        <v>515</v>
      </c>
      <c r="S3551" s="129"/>
    </row>
    <row r="3552" spans="1:19" hidden="1">
      <c r="A3552" s="128" t="s">
        <v>5670</v>
      </c>
      <c r="B3552" s="149" t="str">
        <f>IFERROR(VLOOKUP(Proc[[#This Row],[App]],Table2[],3,0),"open")</f>
        <v>ok</v>
      </c>
      <c r="C3552" s="128" t="s">
        <v>369</v>
      </c>
      <c r="D3552" t="s">
        <v>5639</v>
      </c>
      <c r="E3552" t="s">
        <v>5669</v>
      </c>
      <c r="F3552" s="129" t="s">
        <v>5669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4895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50</v>
      </c>
      <c r="R3552" s="115" t="s">
        <v>515</v>
      </c>
      <c r="S3552" s="129"/>
    </row>
    <row r="3553" spans="1:19" hidden="1">
      <c r="A3553" s="128" t="s">
        <v>5670</v>
      </c>
      <c r="B3553" s="149" t="str">
        <f>IFERROR(VLOOKUP(Proc[[#This Row],[App]],Table2[],3,0),"open")</f>
        <v>ok</v>
      </c>
      <c r="C3553" s="128" t="s">
        <v>369</v>
      </c>
      <c r="D3553" t="s">
        <v>5640</v>
      </c>
      <c r="E3553" t="s">
        <v>5669</v>
      </c>
      <c r="F3553" s="129" t="s">
        <v>5669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4895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50</v>
      </c>
      <c r="R3553" s="115" t="s">
        <v>515</v>
      </c>
      <c r="S3553" s="129"/>
    </row>
    <row r="3554" spans="1:19" hidden="1">
      <c r="A3554" s="128" t="s">
        <v>5670</v>
      </c>
      <c r="B3554" s="149" t="str">
        <f>IFERROR(VLOOKUP(Proc[[#This Row],[App]],Table2[],3,0),"open")</f>
        <v>ok</v>
      </c>
      <c r="C3554" s="128" t="s">
        <v>369</v>
      </c>
      <c r="D3554" t="s">
        <v>5641</v>
      </c>
      <c r="E3554" t="s">
        <v>5669</v>
      </c>
      <c r="F3554" s="129" t="s">
        <v>5669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4895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50</v>
      </c>
      <c r="R3554" s="115" t="s">
        <v>515</v>
      </c>
      <c r="S3554" s="129"/>
    </row>
    <row r="3555" spans="1:19" hidden="1">
      <c r="A3555" s="128" t="s">
        <v>5670</v>
      </c>
      <c r="B3555" s="149" t="str">
        <f>IFERROR(VLOOKUP(Proc[[#This Row],[App]],Table2[],3,0),"open")</f>
        <v>ok</v>
      </c>
      <c r="C3555" s="128" t="s">
        <v>369</v>
      </c>
      <c r="D3555" t="s">
        <v>5642</v>
      </c>
      <c r="E3555" t="s">
        <v>5669</v>
      </c>
      <c r="F3555" s="129" t="s">
        <v>5669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4895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50</v>
      </c>
      <c r="R3555" s="115" t="s">
        <v>515</v>
      </c>
      <c r="S3555" s="129"/>
    </row>
    <row r="3556" spans="1:19" hidden="1">
      <c r="A3556" s="128" t="s">
        <v>5670</v>
      </c>
      <c r="B3556" s="149" t="str">
        <f>IFERROR(VLOOKUP(Proc[[#This Row],[App]],Table2[],3,0),"open")</f>
        <v>ok</v>
      </c>
      <c r="C3556" s="128" t="s">
        <v>369</v>
      </c>
      <c r="D3556" t="s">
        <v>5643</v>
      </c>
      <c r="E3556" t="s">
        <v>5669</v>
      </c>
      <c r="F3556" s="129" t="s">
        <v>5669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4895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50</v>
      </c>
      <c r="R3556" s="115" t="s">
        <v>515</v>
      </c>
      <c r="S3556" s="129"/>
    </row>
    <row r="3557" spans="1:19" hidden="1">
      <c r="A3557" s="128" t="s">
        <v>5670</v>
      </c>
      <c r="B3557" s="149" t="str">
        <f>IFERROR(VLOOKUP(Proc[[#This Row],[App]],Table2[],3,0),"open")</f>
        <v>ok</v>
      </c>
      <c r="C3557" s="128" t="s">
        <v>369</v>
      </c>
      <c r="D3557" t="s">
        <v>5644</v>
      </c>
      <c r="E3557" t="s">
        <v>5669</v>
      </c>
      <c r="F3557" s="129" t="s">
        <v>5669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4895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50</v>
      </c>
      <c r="R3557" s="115" t="s">
        <v>515</v>
      </c>
      <c r="S3557" s="129"/>
    </row>
    <row r="3558" spans="1:19" hidden="1">
      <c r="A3558" s="128" t="s">
        <v>5670</v>
      </c>
      <c r="B3558" s="149" t="str">
        <f>IFERROR(VLOOKUP(Proc[[#This Row],[App]],Table2[],3,0),"open")</f>
        <v>ok</v>
      </c>
      <c r="C3558" s="128" t="s">
        <v>369</v>
      </c>
      <c r="D3558" t="s">
        <v>5645</v>
      </c>
      <c r="E3558" t="s">
        <v>5669</v>
      </c>
      <c r="F3558" s="129" t="s">
        <v>5669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4895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50</v>
      </c>
      <c r="R3558" s="115" t="s">
        <v>515</v>
      </c>
      <c r="S3558" s="129"/>
    </row>
    <row r="3559" spans="1:19" hidden="1">
      <c r="A3559" s="128" t="s">
        <v>5670</v>
      </c>
      <c r="B3559" s="149" t="str">
        <f>IFERROR(VLOOKUP(Proc[[#This Row],[App]],Table2[],3,0),"open")</f>
        <v>ok</v>
      </c>
      <c r="C3559" s="128" t="s">
        <v>369</v>
      </c>
      <c r="D3559" t="s">
        <v>5646</v>
      </c>
      <c r="E3559" t="s">
        <v>5669</v>
      </c>
      <c r="F3559" s="129" t="s">
        <v>5669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4895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50</v>
      </c>
      <c r="R3559" s="115" t="s">
        <v>515</v>
      </c>
      <c r="S3559" s="129"/>
    </row>
    <row r="3560" spans="1:19" hidden="1">
      <c r="A3560" s="128" t="s">
        <v>5670</v>
      </c>
      <c r="B3560" s="149" t="str">
        <f>IFERROR(VLOOKUP(Proc[[#This Row],[App]],Table2[],3,0),"open")</f>
        <v>ok</v>
      </c>
      <c r="C3560" s="128" t="s">
        <v>369</v>
      </c>
      <c r="D3560" t="s">
        <v>5647</v>
      </c>
      <c r="E3560" t="s">
        <v>5669</v>
      </c>
      <c r="F3560" s="129" t="s">
        <v>5669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4895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50</v>
      </c>
      <c r="R3560" s="115" t="s">
        <v>515</v>
      </c>
      <c r="S3560" s="129"/>
    </row>
    <row r="3561" spans="1:19" hidden="1">
      <c r="A3561" s="128" t="s">
        <v>5670</v>
      </c>
      <c r="B3561" s="149" t="str">
        <f>IFERROR(VLOOKUP(Proc[[#This Row],[App]],Table2[],3,0),"open")</f>
        <v>ok</v>
      </c>
      <c r="C3561" s="128" t="s">
        <v>369</v>
      </c>
      <c r="D3561" t="s">
        <v>5648</v>
      </c>
      <c r="E3561" t="s">
        <v>5669</v>
      </c>
      <c r="F3561" s="129" t="s">
        <v>5669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4895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50</v>
      </c>
      <c r="R3561" s="115" t="s">
        <v>515</v>
      </c>
      <c r="S3561" s="129"/>
    </row>
    <row r="3562" spans="1:19" hidden="1">
      <c r="A3562" s="128" t="s">
        <v>5670</v>
      </c>
      <c r="B3562" s="149" t="str">
        <f>IFERROR(VLOOKUP(Proc[[#This Row],[App]],Table2[],3,0),"open")</f>
        <v>ok</v>
      </c>
      <c r="C3562" s="128" t="s">
        <v>369</v>
      </c>
      <c r="D3562" t="s">
        <v>5649</v>
      </c>
      <c r="E3562" t="s">
        <v>5669</v>
      </c>
      <c r="F3562" s="129" t="s">
        <v>5669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4895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50</v>
      </c>
      <c r="R3562" s="115" t="s">
        <v>515</v>
      </c>
      <c r="S3562" s="129"/>
    </row>
    <row r="3563" spans="1:19" hidden="1">
      <c r="A3563" s="128" t="s">
        <v>5670</v>
      </c>
      <c r="B3563" s="149" t="str">
        <f>IFERROR(VLOOKUP(Proc[[#This Row],[App]],Table2[],3,0),"open")</f>
        <v>ok</v>
      </c>
      <c r="C3563" s="128" t="s">
        <v>369</v>
      </c>
      <c r="D3563" t="s">
        <v>5650</v>
      </c>
      <c r="E3563" t="s">
        <v>5669</v>
      </c>
      <c r="F3563" s="129" t="s">
        <v>5669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4895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50</v>
      </c>
      <c r="R3563" s="115" t="s">
        <v>515</v>
      </c>
      <c r="S3563" s="129"/>
    </row>
    <row r="3564" spans="1:19" hidden="1">
      <c r="A3564" s="128" t="s">
        <v>5670</v>
      </c>
      <c r="B3564" s="149" t="str">
        <f>IFERROR(VLOOKUP(Proc[[#This Row],[App]],Table2[],3,0),"open")</f>
        <v>ok</v>
      </c>
      <c r="C3564" s="128" t="s">
        <v>369</v>
      </c>
      <c r="D3564" t="s">
        <v>5651</v>
      </c>
      <c r="E3564" t="s">
        <v>5669</v>
      </c>
      <c r="F3564" s="129" t="s">
        <v>5669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4895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50</v>
      </c>
      <c r="R3564" s="115" t="s">
        <v>515</v>
      </c>
      <c r="S3564" s="129"/>
    </row>
    <row r="3565" spans="1:19" hidden="1">
      <c r="A3565" s="128" t="s">
        <v>5670</v>
      </c>
      <c r="B3565" s="149" t="str">
        <f>IFERROR(VLOOKUP(Proc[[#This Row],[App]],Table2[],3,0),"open")</f>
        <v>ok</v>
      </c>
      <c r="C3565" s="128" t="s">
        <v>369</v>
      </c>
      <c r="D3565" t="s">
        <v>5652</v>
      </c>
      <c r="E3565" t="s">
        <v>5669</v>
      </c>
      <c r="F3565" s="129" t="s">
        <v>5669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4895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50</v>
      </c>
      <c r="R3565" s="115" t="s">
        <v>515</v>
      </c>
      <c r="S3565" s="129"/>
    </row>
    <row r="3566" spans="1:19" hidden="1">
      <c r="A3566" s="128" t="s">
        <v>5670</v>
      </c>
      <c r="B3566" s="149" t="str">
        <f>IFERROR(VLOOKUP(Proc[[#This Row],[App]],Table2[],3,0),"open")</f>
        <v>ok</v>
      </c>
      <c r="C3566" s="128" t="s">
        <v>369</v>
      </c>
      <c r="D3566" t="s">
        <v>5653</v>
      </c>
      <c r="E3566" t="s">
        <v>5669</v>
      </c>
      <c r="F3566" s="129" t="s">
        <v>5669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4895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50</v>
      </c>
      <c r="R3566" s="115" t="s">
        <v>515</v>
      </c>
      <c r="S3566" s="129"/>
    </row>
    <row r="3567" spans="1:19" hidden="1">
      <c r="A3567" s="128" t="s">
        <v>5670</v>
      </c>
      <c r="B3567" s="149" t="str">
        <f>IFERROR(VLOOKUP(Proc[[#This Row],[App]],Table2[],3,0),"open")</f>
        <v>ok</v>
      </c>
      <c r="C3567" s="128" t="s">
        <v>369</v>
      </c>
      <c r="D3567" t="s">
        <v>5654</v>
      </c>
      <c r="E3567" t="s">
        <v>5669</v>
      </c>
      <c r="F3567" s="129" t="s">
        <v>5669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4895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50</v>
      </c>
      <c r="R3567" s="115" t="s">
        <v>515</v>
      </c>
      <c r="S3567" s="129"/>
    </row>
    <row r="3568" spans="1:19" hidden="1">
      <c r="A3568" s="128" t="s">
        <v>5670</v>
      </c>
      <c r="B3568" s="149" t="str">
        <f>IFERROR(VLOOKUP(Proc[[#This Row],[App]],Table2[],3,0),"open")</f>
        <v>ok</v>
      </c>
      <c r="C3568" s="128" t="s">
        <v>369</v>
      </c>
      <c r="D3568" t="s">
        <v>5655</v>
      </c>
      <c r="E3568" t="s">
        <v>5669</v>
      </c>
      <c r="F3568" s="129" t="s">
        <v>5669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4895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50</v>
      </c>
      <c r="R3568" s="115" t="s">
        <v>515</v>
      </c>
      <c r="S3568" s="129"/>
    </row>
    <row r="3569" spans="1:19" hidden="1">
      <c r="A3569" s="128" t="s">
        <v>5670</v>
      </c>
      <c r="B3569" s="149" t="str">
        <f>IFERROR(VLOOKUP(Proc[[#This Row],[App]],Table2[],3,0),"open")</f>
        <v>ok</v>
      </c>
      <c r="C3569" s="128" t="s">
        <v>369</v>
      </c>
      <c r="D3569" t="s">
        <v>5656</v>
      </c>
      <c r="E3569" t="s">
        <v>5669</v>
      </c>
      <c r="F3569" s="129" t="s">
        <v>5669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4895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50</v>
      </c>
      <c r="R3569" s="115" t="s">
        <v>515</v>
      </c>
      <c r="S3569" s="129"/>
    </row>
    <row r="3570" spans="1:19" hidden="1">
      <c r="A3570" s="128" t="s">
        <v>5670</v>
      </c>
      <c r="B3570" s="149" t="str">
        <f>IFERROR(VLOOKUP(Proc[[#This Row],[App]],Table2[],3,0),"open")</f>
        <v>ok</v>
      </c>
      <c r="C3570" s="128" t="s">
        <v>369</v>
      </c>
      <c r="D3570" t="s">
        <v>5657</v>
      </c>
      <c r="E3570" t="s">
        <v>5669</v>
      </c>
      <c r="F3570" s="129" t="s">
        <v>5669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4895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50</v>
      </c>
      <c r="R3570" s="115" t="s">
        <v>515</v>
      </c>
      <c r="S3570" s="129"/>
    </row>
    <row r="3571" spans="1:19" hidden="1">
      <c r="A3571" s="128" t="s">
        <v>5670</v>
      </c>
      <c r="B3571" s="149" t="str">
        <f>IFERROR(VLOOKUP(Proc[[#This Row],[App]],Table2[],3,0),"open")</f>
        <v>ok</v>
      </c>
      <c r="C3571" s="128" t="s">
        <v>369</v>
      </c>
      <c r="D3571" t="s">
        <v>5658</v>
      </c>
      <c r="E3571" t="s">
        <v>5669</v>
      </c>
      <c r="F3571" s="129" t="s">
        <v>5669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4895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50</v>
      </c>
      <c r="R3571" s="115" t="s">
        <v>515</v>
      </c>
      <c r="S3571" s="129"/>
    </row>
    <row r="3572" spans="1:19" hidden="1">
      <c r="A3572" s="128" t="s">
        <v>5670</v>
      </c>
      <c r="B3572" s="149" t="str">
        <f>IFERROR(VLOOKUP(Proc[[#This Row],[App]],Table2[],3,0),"open")</f>
        <v>ok</v>
      </c>
      <c r="C3572" s="128" t="s">
        <v>369</v>
      </c>
      <c r="D3572" t="s">
        <v>5659</v>
      </c>
      <c r="E3572" t="s">
        <v>5669</v>
      </c>
      <c r="F3572" s="129" t="s">
        <v>5669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4895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50</v>
      </c>
      <c r="R3572" s="115" t="s">
        <v>515</v>
      </c>
      <c r="S3572" s="129"/>
    </row>
    <row r="3573" spans="1:19" hidden="1">
      <c r="A3573" s="128" t="s">
        <v>5670</v>
      </c>
      <c r="B3573" s="149" t="str">
        <f>IFERROR(VLOOKUP(Proc[[#This Row],[App]],Table2[],3,0),"open")</f>
        <v>ok</v>
      </c>
      <c r="C3573" s="128" t="s">
        <v>369</v>
      </c>
      <c r="D3573" t="s">
        <v>5660</v>
      </c>
      <c r="E3573" t="s">
        <v>5669</v>
      </c>
      <c r="F3573" s="129" t="s">
        <v>5669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4895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50</v>
      </c>
      <c r="R3573" s="115" t="s">
        <v>515</v>
      </c>
      <c r="S3573" s="129"/>
    </row>
    <row r="3574" spans="1:19" hidden="1">
      <c r="A3574" s="128" t="s">
        <v>5670</v>
      </c>
      <c r="B3574" s="149" t="str">
        <f>IFERROR(VLOOKUP(Proc[[#This Row],[App]],Table2[],3,0),"open")</f>
        <v>ok</v>
      </c>
      <c r="C3574" s="128" t="s">
        <v>369</v>
      </c>
      <c r="D3574" t="s">
        <v>5661</v>
      </c>
      <c r="E3574" t="s">
        <v>5669</v>
      </c>
      <c r="F3574" s="129" t="s">
        <v>5669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4895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50</v>
      </c>
      <c r="R3574" s="115" t="s">
        <v>515</v>
      </c>
      <c r="S3574" s="129"/>
    </row>
    <row r="3575" spans="1:19" hidden="1">
      <c r="A3575" s="128" t="s">
        <v>5670</v>
      </c>
      <c r="B3575" s="149" t="str">
        <f>IFERROR(VLOOKUP(Proc[[#This Row],[App]],Table2[],3,0),"open")</f>
        <v>ok</v>
      </c>
      <c r="C3575" s="128" t="s">
        <v>369</v>
      </c>
      <c r="D3575" t="s">
        <v>5662</v>
      </c>
      <c r="E3575" t="s">
        <v>5669</v>
      </c>
      <c r="F3575" s="129" t="s">
        <v>5669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4895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50</v>
      </c>
      <c r="R3575" s="115" t="s">
        <v>515</v>
      </c>
      <c r="S3575" s="129"/>
    </row>
    <row r="3576" spans="1:19" hidden="1">
      <c r="A3576" s="128" t="s">
        <v>5670</v>
      </c>
      <c r="B3576" s="149" t="str">
        <f>IFERROR(VLOOKUP(Proc[[#This Row],[App]],Table2[],3,0),"open")</f>
        <v>ok</v>
      </c>
      <c r="C3576" s="128" t="s">
        <v>369</v>
      </c>
      <c r="D3576" t="s">
        <v>5663</v>
      </c>
      <c r="E3576" t="s">
        <v>5669</v>
      </c>
      <c r="F3576" s="129" t="s">
        <v>5669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4895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50</v>
      </c>
      <c r="R3576" s="115" t="s">
        <v>515</v>
      </c>
      <c r="S3576" s="129"/>
    </row>
    <row r="3577" spans="1:19" hidden="1">
      <c r="A3577" s="128" t="s">
        <v>5670</v>
      </c>
      <c r="B3577" s="149" t="str">
        <f>IFERROR(VLOOKUP(Proc[[#This Row],[App]],Table2[],3,0),"open")</f>
        <v>ok</v>
      </c>
      <c r="C3577" s="128" t="s">
        <v>369</v>
      </c>
      <c r="D3577" t="s">
        <v>5664</v>
      </c>
      <c r="E3577" t="s">
        <v>5669</v>
      </c>
      <c r="F3577" s="129" t="s">
        <v>5669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4895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50</v>
      </c>
      <c r="R3577" s="115" t="s">
        <v>515</v>
      </c>
      <c r="S3577" s="129"/>
    </row>
    <row r="3578" spans="1:19" hidden="1">
      <c r="A3578" s="128" t="s">
        <v>5670</v>
      </c>
      <c r="B3578" s="149" t="str">
        <f>IFERROR(VLOOKUP(Proc[[#This Row],[App]],Table2[],3,0),"open")</f>
        <v>ok</v>
      </c>
      <c r="C3578" s="128" t="s">
        <v>369</v>
      </c>
      <c r="D3578" t="s">
        <v>5665</v>
      </c>
      <c r="E3578" t="s">
        <v>5669</v>
      </c>
      <c r="F3578" s="129" t="s">
        <v>5669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4895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50</v>
      </c>
      <c r="R3578" s="115" t="s">
        <v>515</v>
      </c>
      <c r="S3578" s="129"/>
    </row>
    <row r="3579" spans="1:19" hidden="1">
      <c r="A3579" s="128" t="s">
        <v>5670</v>
      </c>
      <c r="B3579" s="149" t="str">
        <f>IFERROR(VLOOKUP(Proc[[#This Row],[App]],Table2[],3,0),"open")</f>
        <v>ok</v>
      </c>
      <c r="C3579" s="128" t="s">
        <v>369</v>
      </c>
      <c r="D3579" t="s">
        <v>5666</v>
      </c>
      <c r="E3579" t="s">
        <v>5669</v>
      </c>
      <c r="F3579" s="129" t="s">
        <v>5669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4895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50</v>
      </c>
      <c r="R3579" s="115" t="s">
        <v>515</v>
      </c>
      <c r="S3579" s="129"/>
    </row>
    <row r="3580" spans="1:19" hidden="1">
      <c r="A3580" s="128" t="s">
        <v>5670</v>
      </c>
      <c r="B3580" s="149" t="str">
        <f>IFERROR(VLOOKUP(Proc[[#This Row],[App]],Table2[],3,0),"open")</f>
        <v>ok</v>
      </c>
      <c r="C3580" s="128" t="s">
        <v>369</v>
      </c>
      <c r="D3580" t="s">
        <v>5667</v>
      </c>
      <c r="E3580" t="s">
        <v>5669</v>
      </c>
      <c r="F3580" s="129" t="s">
        <v>5669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4895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50</v>
      </c>
      <c r="R3580" s="115" t="s">
        <v>515</v>
      </c>
      <c r="S3580" s="129"/>
    </row>
    <row r="3581" spans="1:19" hidden="1">
      <c r="A3581" s="128" t="s">
        <v>5670</v>
      </c>
      <c r="B3581" s="149" t="str">
        <f>IFERROR(VLOOKUP(Proc[[#This Row],[App]],Table2[],3,0),"open")</f>
        <v>ok</v>
      </c>
      <c r="C3581" s="128" t="s">
        <v>369</v>
      </c>
      <c r="D3581" t="s">
        <v>5668</v>
      </c>
      <c r="E3581" t="s">
        <v>5669</v>
      </c>
      <c r="F3581" s="129" t="s">
        <v>5669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4895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50</v>
      </c>
      <c r="R3581" s="115" t="s">
        <v>515</v>
      </c>
      <c r="S3581" s="129"/>
    </row>
    <row r="3582" spans="1:19" hidden="1">
      <c r="A3582" t="s">
        <v>5671</v>
      </c>
      <c r="B3582" s="149" t="str">
        <f>IFERROR(VLOOKUP(Proc[[#This Row],[App]],Table2[],3,0),"open")</f>
        <v>ok</v>
      </c>
      <c r="C3582" s="128" t="s">
        <v>369</v>
      </c>
      <c r="D3582" t="s">
        <v>5700</v>
      </c>
      <c r="E3582" t="s">
        <v>5672</v>
      </c>
      <c r="F3582" s="129" t="s">
        <v>5672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4895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50</v>
      </c>
      <c r="R3582" s="115" t="s">
        <v>1262</v>
      </c>
      <c r="S3582" s="129"/>
    </row>
    <row r="3583" spans="1:19" hidden="1">
      <c r="A3583" t="s">
        <v>5673</v>
      </c>
      <c r="B3583" s="149" t="str">
        <f>IFERROR(VLOOKUP(Proc[[#This Row],[App]],Table2[],3,0),"open")</f>
        <v>ok</v>
      </c>
      <c r="C3583" s="128" t="s">
        <v>369</v>
      </c>
      <c r="D3583" t="s">
        <v>5674</v>
      </c>
      <c r="E3583" t="s">
        <v>5680</v>
      </c>
      <c r="F3583" s="129" t="s">
        <v>5680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4895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49</v>
      </c>
      <c r="R3583" s="130" t="s">
        <v>5683</v>
      </c>
      <c r="S3583" s="129"/>
    </row>
    <row r="3584" spans="1:19" hidden="1">
      <c r="A3584" s="128" t="s">
        <v>5673</v>
      </c>
      <c r="B3584" s="149" t="str">
        <f>IFERROR(VLOOKUP(Proc[[#This Row],[App]],Table2[],3,0),"open")</f>
        <v>ok</v>
      </c>
      <c r="C3584" s="128" t="s">
        <v>369</v>
      </c>
      <c r="D3584" t="s">
        <v>5675</v>
      </c>
      <c r="E3584" t="s">
        <v>5681</v>
      </c>
      <c r="F3584" s="129" t="s">
        <v>5681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4895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49</v>
      </c>
      <c r="R3584" s="130" t="s">
        <v>5683</v>
      </c>
      <c r="S3584" s="129"/>
    </row>
    <row r="3585" spans="1:19" hidden="1">
      <c r="A3585" s="128" t="s">
        <v>5673</v>
      </c>
      <c r="B3585" s="149" t="str">
        <f>IFERROR(VLOOKUP(Proc[[#This Row],[App]],Table2[],3,0),"open")</f>
        <v>ok</v>
      </c>
      <c r="C3585" s="128" t="s">
        <v>369</v>
      </c>
      <c r="D3585" t="s">
        <v>5676</v>
      </c>
      <c r="E3585" t="s">
        <v>5681</v>
      </c>
      <c r="F3585" s="129" t="s">
        <v>5681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4895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49</v>
      </c>
      <c r="R3585" s="130" t="s">
        <v>5683</v>
      </c>
      <c r="S3585" s="129"/>
    </row>
    <row r="3586" spans="1:19" hidden="1">
      <c r="A3586" s="128" t="s">
        <v>5673</v>
      </c>
      <c r="B3586" s="149" t="str">
        <f>IFERROR(VLOOKUP(Proc[[#This Row],[App]],Table2[],3,0),"open")</f>
        <v>ok</v>
      </c>
      <c r="C3586" s="128" t="s">
        <v>369</v>
      </c>
      <c r="D3586" t="s">
        <v>5677</v>
      </c>
      <c r="E3586" t="s">
        <v>5682</v>
      </c>
      <c r="F3586" s="129" t="s">
        <v>5682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4895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49</v>
      </c>
      <c r="R3586" s="130" t="s">
        <v>5683</v>
      </c>
      <c r="S3586" s="129"/>
    </row>
    <row r="3587" spans="1:19" hidden="1">
      <c r="A3587" s="128" t="s">
        <v>5673</v>
      </c>
      <c r="B3587" s="149" t="str">
        <f>IFERROR(VLOOKUP(Proc[[#This Row],[App]],Table2[],3,0),"open")</f>
        <v>ok</v>
      </c>
      <c r="C3587" s="128" t="s">
        <v>369</v>
      </c>
      <c r="D3587" t="s">
        <v>5678</v>
      </c>
      <c r="E3587" t="s">
        <v>5680</v>
      </c>
      <c r="F3587" s="129" t="s">
        <v>5680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4895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49</v>
      </c>
      <c r="R3587" s="130" t="s">
        <v>5683</v>
      </c>
      <c r="S3587" s="129"/>
    </row>
    <row r="3588" spans="1:19" hidden="1">
      <c r="A3588" s="128" t="s">
        <v>5673</v>
      </c>
      <c r="B3588" s="149" t="str">
        <f>IFERROR(VLOOKUP(Proc[[#This Row],[App]],Table2[],3,0),"open")</f>
        <v>ok</v>
      </c>
      <c r="C3588" s="128" t="s">
        <v>369</v>
      </c>
      <c r="D3588" t="s">
        <v>5679</v>
      </c>
      <c r="E3588" t="s">
        <v>5680</v>
      </c>
      <c r="F3588" s="129" t="s">
        <v>5680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4895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49</v>
      </c>
      <c r="R3588" s="130" t="s">
        <v>5683</v>
      </c>
      <c r="S3588" s="129"/>
    </row>
    <row r="3589" spans="1:19" hidden="1">
      <c r="A3589" t="s">
        <v>5684</v>
      </c>
      <c r="B3589" s="149" t="str">
        <f>IFERROR(VLOOKUP(Proc[[#This Row],[App]],Table2[],3,0),"open")</f>
        <v>ok</v>
      </c>
      <c r="C3589" s="128" t="s">
        <v>369</v>
      </c>
      <c r="D3589" t="s">
        <v>5685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4895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49</v>
      </c>
      <c r="R3589" s="130" t="s">
        <v>5683</v>
      </c>
      <c r="S3589" s="129"/>
    </row>
    <row r="3590" spans="1:19" hidden="1">
      <c r="A3590" s="128" t="s">
        <v>5684</v>
      </c>
      <c r="B3590" s="149" t="str">
        <f>IFERROR(VLOOKUP(Proc[[#This Row],[App]],Table2[],3,0),"open")</f>
        <v>ok</v>
      </c>
      <c r="C3590" s="128" t="s">
        <v>369</v>
      </c>
      <c r="D3590" t="s">
        <v>5686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4895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49</v>
      </c>
      <c r="R3590" s="130" t="s">
        <v>5683</v>
      </c>
      <c r="S3590" s="129"/>
    </row>
    <row r="3591" spans="1:19" hidden="1">
      <c r="A3591" s="128" t="s">
        <v>5684</v>
      </c>
      <c r="B3591" s="149" t="str">
        <f>IFERROR(VLOOKUP(Proc[[#This Row],[App]],Table2[],3,0),"open")</f>
        <v>ok</v>
      </c>
      <c r="C3591" s="128" t="s">
        <v>369</v>
      </c>
      <c r="D3591" t="s">
        <v>5687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4895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49</v>
      </c>
      <c r="R3591" s="130" t="s">
        <v>5683</v>
      </c>
      <c r="S3591" s="129"/>
    </row>
    <row r="3592" spans="1:19" hidden="1">
      <c r="A3592" s="128" t="s">
        <v>5684</v>
      </c>
      <c r="B3592" s="149" t="str">
        <f>IFERROR(VLOOKUP(Proc[[#This Row],[App]],Table2[],3,0),"open")</f>
        <v>ok</v>
      </c>
      <c r="C3592" s="128" t="s">
        <v>369</v>
      </c>
      <c r="D3592" t="s">
        <v>5688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4895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49</v>
      </c>
      <c r="R3592" s="130" t="s">
        <v>5683</v>
      </c>
      <c r="S3592" s="129"/>
    </row>
    <row r="3593" spans="1:19" hidden="1">
      <c r="A3593" s="128" t="s">
        <v>5684</v>
      </c>
      <c r="B3593" s="149" t="str">
        <f>IFERROR(VLOOKUP(Proc[[#This Row],[App]],Table2[],3,0),"open")</f>
        <v>ok</v>
      </c>
      <c r="C3593" s="128" t="s">
        <v>369</v>
      </c>
      <c r="D3593" t="s">
        <v>5689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4895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49</v>
      </c>
      <c r="R3593" s="130" t="s">
        <v>5683</v>
      </c>
      <c r="S3593" s="129"/>
    </row>
    <row r="3594" spans="1:19" hidden="1">
      <c r="A3594" s="128" t="s">
        <v>5684</v>
      </c>
      <c r="B3594" s="149" t="str">
        <f>IFERROR(VLOOKUP(Proc[[#This Row],[App]],Table2[],3,0),"open")</f>
        <v>ok</v>
      </c>
      <c r="C3594" s="128" t="s">
        <v>369</v>
      </c>
      <c r="D3594" t="s">
        <v>5690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4895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49</v>
      </c>
      <c r="R3594" s="130" t="s">
        <v>5683</v>
      </c>
      <c r="S3594" s="129"/>
    </row>
    <row r="3595" spans="1:19" hidden="1">
      <c r="A3595" s="128" t="s">
        <v>5684</v>
      </c>
      <c r="B3595" s="149" t="str">
        <f>IFERROR(VLOOKUP(Proc[[#This Row],[App]],Table2[],3,0),"open")</f>
        <v>ok</v>
      </c>
      <c r="C3595" s="128" t="s">
        <v>369</v>
      </c>
      <c r="D3595" t="s">
        <v>5691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4895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49</v>
      </c>
      <c r="R3595" s="130" t="s">
        <v>5683</v>
      </c>
      <c r="S3595" s="129"/>
    </row>
    <row r="3596" spans="1:19" hidden="1">
      <c r="A3596" s="128" t="s">
        <v>5684</v>
      </c>
      <c r="B3596" s="149" t="str">
        <f>IFERROR(VLOOKUP(Proc[[#This Row],[App]],Table2[],3,0),"open")</f>
        <v>ok</v>
      </c>
      <c r="C3596" s="128" t="s">
        <v>369</v>
      </c>
      <c r="D3596" t="s">
        <v>5692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4895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49</v>
      </c>
      <c r="R3596" s="130" t="s">
        <v>5683</v>
      </c>
      <c r="S3596" s="129"/>
    </row>
    <row r="3597" spans="1:19" hidden="1">
      <c r="A3597" s="128" t="s">
        <v>5684</v>
      </c>
      <c r="B3597" s="149" t="str">
        <f>IFERROR(VLOOKUP(Proc[[#This Row],[App]],Table2[],3,0),"open")</f>
        <v>ok</v>
      </c>
      <c r="C3597" s="128" t="s">
        <v>369</v>
      </c>
      <c r="D3597" t="s">
        <v>5693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4895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49</v>
      </c>
      <c r="R3597" s="130" t="s">
        <v>5683</v>
      </c>
      <c r="S3597" s="129"/>
    </row>
    <row r="3598" spans="1:19" hidden="1">
      <c r="A3598" s="128" t="s">
        <v>5684</v>
      </c>
      <c r="B3598" s="149" t="str">
        <f>IFERROR(VLOOKUP(Proc[[#This Row],[App]],Table2[],3,0),"open")</f>
        <v>ok</v>
      </c>
      <c r="C3598" s="128" t="s">
        <v>369</v>
      </c>
      <c r="D3598" t="s">
        <v>5694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4895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49</v>
      </c>
      <c r="R3598" s="130" t="s">
        <v>5683</v>
      </c>
      <c r="S3598" s="129"/>
    </row>
    <row r="3599" spans="1:19" hidden="1">
      <c r="A3599" s="128" t="s">
        <v>5684</v>
      </c>
      <c r="B3599" s="149" t="str">
        <f>IFERROR(VLOOKUP(Proc[[#This Row],[App]],Table2[],3,0),"open")</f>
        <v>ok</v>
      </c>
      <c r="C3599" s="128" t="s">
        <v>369</v>
      </c>
      <c r="D3599" t="s">
        <v>5695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4895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49</v>
      </c>
      <c r="R3599" s="130" t="s">
        <v>5683</v>
      </c>
      <c r="S3599" s="129"/>
    </row>
    <row r="3600" spans="1:19" hidden="1">
      <c r="A3600" s="128" t="s">
        <v>5684</v>
      </c>
      <c r="B3600" s="149" t="str">
        <f>IFERROR(VLOOKUP(Proc[[#This Row],[App]],Table2[],3,0),"open")</f>
        <v>ok</v>
      </c>
      <c r="C3600" s="128" t="s">
        <v>369</v>
      </c>
      <c r="D3600" t="s">
        <v>5696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4895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49</v>
      </c>
      <c r="R3600" s="130" t="s">
        <v>5683</v>
      </c>
      <c r="S3600" s="129"/>
    </row>
    <row r="3601" spans="1:19" hidden="1">
      <c r="A3601" t="s">
        <v>5697</v>
      </c>
      <c r="B3601" s="149" t="str">
        <f>IFERROR(VLOOKUP(Proc[[#This Row],[App]],Table2[],3,0),"open")</f>
        <v>ok</v>
      </c>
      <c r="C3601" s="128" t="s">
        <v>369</v>
      </c>
      <c r="D3601" t="s">
        <v>5698</v>
      </c>
      <c r="E3601" t="s">
        <v>5699</v>
      </c>
      <c r="F3601" s="129" t="s">
        <v>5699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4895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49</v>
      </c>
      <c r="R3601" s="130" t="s">
        <v>5683</v>
      </c>
      <c r="S3601" s="129"/>
    </row>
    <row r="3602" spans="1:19" hidden="1">
      <c r="A3602" t="s">
        <v>5701</v>
      </c>
      <c r="B3602" s="149" t="str">
        <f>IFERROR(VLOOKUP(Proc[[#This Row],[App]],Table2[],3,0),"open")</f>
        <v>ok</v>
      </c>
      <c r="C3602" s="133" t="s">
        <v>369</v>
      </c>
      <c r="D3602" t="s">
        <v>5703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4895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48</v>
      </c>
      <c r="R3602" s="130" t="s">
        <v>780</v>
      </c>
      <c r="S3602" s="129"/>
    </row>
    <row r="3603" spans="1:19" hidden="1">
      <c r="A3603" s="128" t="s">
        <v>5701</v>
      </c>
      <c r="B3603" s="149" t="str">
        <f>IFERROR(VLOOKUP(Proc[[#This Row],[App]],Table2[],3,0),"open")</f>
        <v>ok</v>
      </c>
      <c r="C3603" s="133" t="s">
        <v>369</v>
      </c>
      <c r="D3603" t="s">
        <v>5704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4895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48</v>
      </c>
      <c r="R3603" s="130" t="s">
        <v>780</v>
      </c>
      <c r="S3603" s="129"/>
    </row>
    <row r="3604" spans="1:19" hidden="1">
      <c r="A3604" s="128" t="s">
        <v>5701</v>
      </c>
      <c r="B3604" s="149" t="str">
        <f>IFERROR(VLOOKUP(Proc[[#This Row],[App]],Table2[],3,0),"open")</f>
        <v>ok</v>
      </c>
      <c r="C3604" s="133" t="s">
        <v>369</v>
      </c>
      <c r="D3604" t="s">
        <v>5705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4895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48</v>
      </c>
      <c r="R3604" s="130" t="s">
        <v>780</v>
      </c>
      <c r="S3604" s="129"/>
    </row>
    <row r="3605" spans="1:19" hidden="1">
      <c r="A3605" s="128" t="s">
        <v>5701</v>
      </c>
      <c r="B3605" s="149" t="str">
        <f>IFERROR(VLOOKUP(Proc[[#This Row],[App]],Table2[],3,0),"open")</f>
        <v>ok</v>
      </c>
      <c r="C3605" s="133" t="s">
        <v>369</v>
      </c>
      <c r="D3605" t="s">
        <v>5706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4895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48</v>
      </c>
      <c r="R3605" s="130" t="s">
        <v>780</v>
      </c>
      <c r="S3605" s="129"/>
    </row>
    <row r="3606" spans="1:19" hidden="1">
      <c r="A3606" s="128" t="s">
        <v>5701</v>
      </c>
      <c r="B3606" s="149" t="str">
        <f>IFERROR(VLOOKUP(Proc[[#This Row],[App]],Table2[],3,0),"open")</f>
        <v>ok</v>
      </c>
      <c r="C3606" s="133" t="s">
        <v>369</v>
      </c>
      <c r="D3606" t="s">
        <v>5702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4895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48</v>
      </c>
      <c r="R3606" s="130" t="s">
        <v>780</v>
      </c>
      <c r="S3606" s="129"/>
    </row>
    <row r="3607" spans="1:19" hidden="1">
      <c r="A3607" t="s">
        <v>5709</v>
      </c>
      <c r="B3607" s="149" t="str">
        <f>IFERROR(VLOOKUP(Proc[[#This Row],[App]],Table2[],3,0),"open")</f>
        <v>ok</v>
      </c>
      <c r="C3607" t="s">
        <v>369</v>
      </c>
      <c r="D3607" t="s">
        <v>5707</v>
      </c>
      <c r="E3607" t="s">
        <v>5708</v>
      </c>
      <c r="F3607" s="129" t="s">
        <v>5708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4895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48</v>
      </c>
      <c r="R3607" s="130" t="s">
        <v>5710</v>
      </c>
      <c r="S3607" s="129"/>
    </row>
    <row r="3608" spans="1:19" hidden="1">
      <c r="A3608" t="s">
        <v>5711</v>
      </c>
      <c r="B3608" s="149" t="str">
        <f>IFERROR(VLOOKUP(Proc[[#This Row],[App]],Table2[],3,0),"open")</f>
        <v>ok</v>
      </c>
      <c r="C3608" t="s">
        <v>369</v>
      </c>
      <c r="D3608" t="s">
        <v>5712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4895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48</v>
      </c>
      <c r="R3608" s="130" t="s">
        <v>738</v>
      </c>
      <c r="S3608" s="129"/>
    </row>
    <row r="3609" spans="1:19" hidden="1">
      <c r="A3609" s="128" t="s">
        <v>5711</v>
      </c>
      <c r="B3609" s="149" t="str">
        <f>IFERROR(VLOOKUP(Proc[[#This Row],[App]],Table2[],3,0),"open")</f>
        <v>ok</v>
      </c>
      <c r="C3609" s="135" t="s">
        <v>369</v>
      </c>
      <c r="D3609" t="s">
        <v>5713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4895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48</v>
      </c>
      <c r="R3609" s="130" t="s">
        <v>738</v>
      </c>
      <c r="S3609" s="129"/>
    </row>
    <row r="3610" spans="1:19" hidden="1">
      <c r="A3610" s="128" t="s">
        <v>5711</v>
      </c>
      <c r="B3610" s="149" t="str">
        <f>IFERROR(VLOOKUP(Proc[[#This Row],[App]],Table2[],3,0),"open")</f>
        <v>ok</v>
      </c>
      <c r="C3610" s="135" t="s">
        <v>369</v>
      </c>
      <c r="D3610" t="s">
        <v>5714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4895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48</v>
      </c>
      <c r="R3610" s="130" t="s">
        <v>738</v>
      </c>
      <c r="S3610" s="129"/>
    </row>
    <row r="3611" spans="1:19" hidden="1">
      <c r="A3611" s="128" t="s">
        <v>5711</v>
      </c>
      <c r="B3611" s="149" t="str">
        <f>IFERROR(VLOOKUP(Proc[[#This Row],[App]],Table2[],3,0),"open")</f>
        <v>ok</v>
      </c>
      <c r="C3611" s="135" t="s">
        <v>369</v>
      </c>
      <c r="D3611" t="s">
        <v>5715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4895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48</v>
      </c>
      <c r="R3611" s="130" t="s">
        <v>738</v>
      </c>
      <c r="S3611" s="129"/>
    </row>
    <row r="3612" spans="1:19" hidden="1">
      <c r="A3612" s="128" t="s">
        <v>5711</v>
      </c>
      <c r="B3612" s="149" t="str">
        <f>IFERROR(VLOOKUP(Proc[[#This Row],[App]],Table2[],3,0),"open")</f>
        <v>ok</v>
      </c>
      <c r="C3612" s="135" t="s">
        <v>369</v>
      </c>
      <c r="D3612" t="s">
        <v>5716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4895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48</v>
      </c>
      <c r="R3612" s="130" t="s">
        <v>738</v>
      </c>
      <c r="S3612" s="129"/>
    </row>
    <row r="3613" spans="1:19" hidden="1">
      <c r="A3613" s="128" t="s">
        <v>5711</v>
      </c>
      <c r="B3613" s="149" t="str">
        <f>IFERROR(VLOOKUP(Proc[[#This Row],[App]],Table2[],3,0),"open")</f>
        <v>ok</v>
      </c>
      <c r="C3613" s="135" t="s">
        <v>369</v>
      </c>
      <c r="D3613" t="s">
        <v>5739</v>
      </c>
      <c r="E3613" t="s">
        <v>5721</v>
      </c>
      <c r="F3613" s="129" t="s">
        <v>5721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4895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48</v>
      </c>
      <c r="R3613" s="130" t="s">
        <v>738</v>
      </c>
      <c r="S3613" s="129"/>
    </row>
    <row r="3614" spans="1:19" hidden="1">
      <c r="A3614" s="128" t="s">
        <v>5711</v>
      </c>
      <c r="B3614" s="149" t="str">
        <f>IFERROR(VLOOKUP(Proc[[#This Row],[App]],Table2[],3,0),"open")</f>
        <v>ok</v>
      </c>
      <c r="C3614" s="135" t="s">
        <v>369</v>
      </c>
      <c r="D3614" t="s">
        <v>5717</v>
      </c>
      <c r="E3614" t="s">
        <v>5721</v>
      </c>
      <c r="F3614" s="129" t="s">
        <v>5721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4895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48</v>
      </c>
      <c r="R3614" s="130" t="s">
        <v>738</v>
      </c>
      <c r="S3614" s="129"/>
    </row>
    <row r="3615" spans="1:19" hidden="1">
      <c r="A3615" s="128" t="s">
        <v>5711</v>
      </c>
      <c r="B3615" s="149" t="str">
        <f>IFERROR(VLOOKUP(Proc[[#This Row],[App]],Table2[],3,0),"open")</f>
        <v>ok</v>
      </c>
      <c r="C3615" s="135" t="s">
        <v>369</v>
      </c>
      <c r="D3615" t="s">
        <v>5718</v>
      </c>
      <c r="E3615" t="s">
        <v>5721</v>
      </c>
      <c r="F3615" s="129" t="s">
        <v>5721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4895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48</v>
      </c>
      <c r="R3615" s="130" t="s">
        <v>738</v>
      </c>
      <c r="S3615" s="129"/>
    </row>
    <row r="3616" spans="1:19" hidden="1">
      <c r="A3616" s="128" t="s">
        <v>5711</v>
      </c>
      <c r="B3616" s="149" t="str">
        <f>IFERROR(VLOOKUP(Proc[[#This Row],[App]],Table2[],3,0),"open")</f>
        <v>ok</v>
      </c>
      <c r="C3616" s="135" t="s">
        <v>369</v>
      </c>
      <c r="D3616" t="s">
        <v>5719</v>
      </c>
      <c r="E3616" t="s">
        <v>5721</v>
      </c>
      <c r="F3616" s="129" t="s">
        <v>5721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4895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48</v>
      </c>
      <c r="R3616" s="130" t="s">
        <v>738</v>
      </c>
      <c r="S3616" s="129"/>
    </row>
    <row r="3617" spans="1:19" hidden="1">
      <c r="A3617" s="128" t="s">
        <v>5711</v>
      </c>
      <c r="B3617" s="149" t="str">
        <f>IFERROR(VLOOKUP(Proc[[#This Row],[App]],Table2[],3,0),"open")</f>
        <v>ok</v>
      </c>
      <c r="C3617" s="135" t="s">
        <v>369</v>
      </c>
      <c r="D3617" t="s">
        <v>5740</v>
      </c>
      <c r="E3617" t="s">
        <v>5721</v>
      </c>
      <c r="F3617" s="129" t="s">
        <v>5721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4895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48</v>
      </c>
      <c r="R3617" s="130" t="s">
        <v>738</v>
      </c>
      <c r="S3617" s="129"/>
    </row>
    <row r="3618" spans="1:19" hidden="1">
      <c r="A3618" s="128" t="s">
        <v>5711</v>
      </c>
      <c r="B3618" s="149" t="str">
        <f>IFERROR(VLOOKUP(Proc[[#This Row],[App]],Table2[],3,0),"open")</f>
        <v>ok</v>
      </c>
      <c r="C3618" s="135" t="s">
        <v>369</v>
      </c>
      <c r="D3618" t="s">
        <v>5720</v>
      </c>
      <c r="E3618" t="s">
        <v>5721</v>
      </c>
      <c r="F3618" s="129" t="s">
        <v>5721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4895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48</v>
      </c>
      <c r="R3618" s="130" t="s">
        <v>738</v>
      </c>
      <c r="S3618" s="129"/>
    </row>
    <row r="3619" spans="1:19" hidden="1">
      <c r="A3619" s="128" t="s">
        <v>5711</v>
      </c>
      <c r="B3619" s="149" t="str">
        <f>IFERROR(VLOOKUP(Proc[[#This Row],[App]],Table2[],3,0),"open")</f>
        <v>ok</v>
      </c>
      <c r="C3619" s="135" t="s">
        <v>369</v>
      </c>
      <c r="D3619" t="s">
        <v>5741</v>
      </c>
      <c r="E3619" t="s">
        <v>5721</v>
      </c>
      <c r="F3619" s="129" t="s">
        <v>5721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4895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48</v>
      </c>
      <c r="R3619" s="130" t="s">
        <v>738</v>
      </c>
      <c r="S3619" s="129"/>
    </row>
    <row r="3620" spans="1:19" hidden="1">
      <c r="A3620" t="s">
        <v>5722</v>
      </c>
      <c r="B3620" s="149" t="str">
        <f>IFERROR(VLOOKUP(Proc[[#This Row],[App]],Table2[],3,0),"open")</f>
        <v>ok</v>
      </c>
      <c r="C3620" s="135" t="s">
        <v>369</v>
      </c>
      <c r="D3620" t="s">
        <v>5723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4895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47</v>
      </c>
      <c r="R3620" s="130" t="s">
        <v>738</v>
      </c>
      <c r="S3620" s="129"/>
    </row>
    <row r="3621" spans="1:19" hidden="1">
      <c r="A3621" s="132" t="s">
        <v>5722</v>
      </c>
      <c r="B3621" s="149" t="str">
        <f>IFERROR(VLOOKUP(Proc[[#This Row],[App]],Table2[],3,0),"open")</f>
        <v>ok</v>
      </c>
      <c r="C3621" s="135" t="s">
        <v>369</v>
      </c>
      <c r="D3621" t="s">
        <v>5724</v>
      </c>
      <c r="E3621" t="s">
        <v>5725</v>
      </c>
      <c r="F3621" s="129" t="s">
        <v>5725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4895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47</v>
      </c>
      <c r="R3621" s="130" t="s">
        <v>738</v>
      </c>
      <c r="S3621" s="129"/>
    </row>
    <row r="3622" spans="1:19" hidden="1">
      <c r="A3622" s="132" t="s">
        <v>5722</v>
      </c>
      <c r="B3622" s="149" t="str">
        <f>IFERROR(VLOOKUP(Proc[[#This Row],[App]],Table2[],3,0),"open")</f>
        <v>ok</v>
      </c>
      <c r="C3622" s="135" t="s">
        <v>369</v>
      </c>
      <c r="D3622" t="s">
        <v>5726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4895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47</v>
      </c>
      <c r="R3622" s="130" t="s">
        <v>738</v>
      </c>
      <c r="S3622" s="129"/>
    </row>
    <row r="3623" spans="1:19" hidden="1">
      <c r="A3623" s="132" t="s">
        <v>5722</v>
      </c>
      <c r="B3623" s="149" t="str">
        <f>IFERROR(VLOOKUP(Proc[[#This Row],[App]],Table2[],3,0),"open")</f>
        <v>ok</v>
      </c>
      <c r="C3623" s="135" t="s">
        <v>369</v>
      </c>
      <c r="D3623" t="s">
        <v>5727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4895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47</v>
      </c>
      <c r="R3623" s="130" t="s">
        <v>738</v>
      </c>
      <c r="S3623" s="129"/>
    </row>
    <row r="3624" spans="1:19" hidden="1">
      <c r="A3624" s="132" t="s">
        <v>5722</v>
      </c>
      <c r="B3624" s="149" t="str">
        <f>IFERROR(VLOOKUP(Proc[[#This Row],[App]],Table2[],3,0),"open")</f>
        <v>ok</v>
      </c>
      <c r="C3624" s="135" t="s">
        <v>369</v>
      </c>
      <c r="D3624" t="s">
        <v>5728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4895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47</v>
      </c>
      <c r="R3624" s="130" t="s">
        <v>738</v>
      </c>
      <c r="S3624" s="129"/>
    </row>
    <row r="3625" spans="1:19" hidden="1">
      <c r="A3625" s="132" t="s">
        <v>5722</v>
      </c>
      <c r="B3625" s="149" t="str">
        <f>IFERROR(VLOOKUP(Proc[[#This Row],[App]],Table2[],3,0),"open")</f>
        <v>ok</v>
      </c>
      <c r="C3625" s="135" t="s">
        <v>369</v>
      </c>
      <c r="D3625" t="s">
        <v>5729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4895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47</v>
      </c>
      <c r="R3625" s="130" t="s">
        <v>738</v>
      </c>
      <c r="S3625" s="129"/>
    </row>
    <row r="3626" spans="1:19" hidden="1">
      <c r="A3626" s="132" t="s">
        <v>5722</v>
      </c>
      <c r="B3626" s="149" t="str">
        <f>IFERROR(VLOOKUP(Proc[[#This Row],[App]],Table2[],3,0),"open")</f>
        <v>ok</v>
      </c>
      <c r="C3626" s="135" t="s">
        <v>369</v>
      </c>
      <c r="D3626" t="s">
        <v>5730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4895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47</v>
      </c>
      <c r="R3626" s="130" t="s">
        <v>738</v>
      </c>
      <c r="S3626" s="129"/>
    </row>
    <row r="3627" spans="1:19" hidden="1">
      <c r="A3627" s="132" t="s">
        <v>5722</v>
      </c>
      <c r="B3627" s="149" t="str">
        <f>IFERROR(VLOOKUP(Proc[[#This Row],[App]],Table2[],3,0),"open")</f>
        <v>ok</v>
      </c>
      <c r="C3627" s="135" t="s">
        <v>369</v>
      </c>
      <c r="D3627" t="s">
        <v>5731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4895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47</v>
      </c>
      <c r="R3627" s="130" t="s">
        <v>738</v>
      </c>
      <c r="S3627" s="129"/>
    </row>
    <row r="3628" spans="1:19" hidden="1">
      <c r="A3628" t="s">
        <v>5732</v>
      </c>
      <c r="B3628" s="149" t="str">
        <f>IFERROR(VLOOKUP(Proc[[#This Row],[App]],Table2[],3,0),"open")</f>
        <v>ok</v>
      </c>
      <c r="C3628" s="135" t="s">
        <v>369</v>
      </c>
      <c r="D3628" t="s">
        <v>5733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4895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47</v>
      </c>
      <c r="R3628" s="130" t="s">
        <v>489</v>
      </c>
      <c r="S3628" s="129"/>
    </row>
    <row r="3629" spans="1:19" hidden="1">
      <c r="A3629" s="133" t="s">
        <v>5732</v>
      </c>
      <c r="B3629" s="149" t="str">
        <f>IFERROR(VLOOKUP(Proc[[#This Row],[App]],Table2[],3,0),"open")</f>
        <v>ok</v>
      </c>
      <c r="C3629" s="135" t="s">
        <v>369</v>
      </c>
      <c r="D3629" t="s">
        <v>5734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4895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47</v>
      </c>
      <c r="R3629" s="130" t="s">
        <v>489</v>
      </c>
      <c r="S3629" s="129"/>
    </row>
    <row r="3630" spans="1:19" hidden="1">
      <c r="A3630" t="s">
        <v>5735</v>
      </c>
      <c r="B3630" s="149" t="str">
        <f>IFERROR(VLOOKUP(Proc[[#This Row],[App]],Table2[],3,0),"open")</f>
        <v>ok</v>
      </c>
      <c r="C3630" s="135" t="s">
        <v>369</v>
      </c>
      <c r="D3630" t="s">
        <v>5576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4895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47</v>
      </c>
      <c r="R3630" s="130" t="s">
        <v>1262</v>
      </c>
      <c r="S3630" s="129"/>
    </row>
    <row r="3631" spans="1:19" hidden="1">
      <c r="A3631" t="s">
        <v>5738</v>
      </c>
      <c r="B3631" s="149" t="str">
        <f>IFERROR(VLOOKUP(Proc[[#This Row],[App]],Table2[],3,0),"open")</f>
        <v>ok</v>
      </c>
      <c r="C3631" s="135" t="s">
        <v>369</v>
      </c>
      <c r="D3631" s="135" t="s">
        <v>5737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4895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47</v>
      </c>
      <c r="R3631" s="130" t="s">
        <v>972</v>
      </c>
      <c r="S3631" s="129"/>
    </row>
    <row r="3632" spans="1:19" hidden="1">
      <c r="A3632" t="s">
        <v>5742</v>
      </c>
      <c r="B3632" s="149" t="str">
        <f>IFERROR(VLOOKUP(Proc[[#This Row],[App]],Table2[],3,0),"open")</f>
        <v>ok</v>
      </c>
      <c r="C3632" s="135" t="s">
        <v>369</v>
      </c>
      <c r="D3632" t="s">
        <v>5743</v>
      </c>
      <c r="E3632" t="s">
        <v>5271</v>
      </c>
      <c r="F3632" s="129" t="s">
        <v>5271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4895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44</v>
      </c>
      <c r="R3632" s="130" t="s">
        <v>489</v>
      </c>
      <c r="S3632" s="129"/>
    </row>
    <row r="3633" spans="1:19" hidden="1">
      <c r="A3633" s="135" t="s">
        <v>5742</v>
      </c>
      <c r="B3633" s="149" t="str">
        <f>IFERROR(VLOOKUP(Proc[[#This Row],[App]],Table2[],3,0),"open")</f>
        <v>ok</v>
      </c>
      <c r="C3633" s="135" t="s">
        <v>369</v>
      </c>
      <c r="D3633" t="s">
        <v>5744</v>
      </c>
      <c r="E3633" t="s">
        <v>5271</v>
      </c>
      <c r="F3633" s="129" t="s">
        <v>5271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4895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44</v>
      </c>
      <c r="R3633" s="130" t="s">
        <v>489</v>
      </c>
      <c r="S3633" s="129"/>
    </row>
    <row r="3634" spans="1:19" hidden="1">
      <c r="A3634" s="135" t="s">
        <v>5742</v>
      </c>
      <c r="B3634" s="149" t="str">
        <f>IFERROR(VLOOKUP(Proc[[#This Row],[App]],Table2[],3,0),"open")</f>
        <v>ok</v>
      </c>
      <c r="C3634" s="135" t="s">
        <v>369</v>
      </c>
      <c r="D3634" t="s">
        <v>5745</v>
      </c>
      <c r="E3634" t="s">
        <v>5271</v>
      </c>
      <c r="F3634" s="129" t="s">
        <v>5271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4895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44</v>
      </c>
      <c r="R3634" s="130" t="s">
        <v>489</v>
      </c>
      <c r="S3634" s="129"/>
    </row>
    <row r="3635" spans="1:19" hidden="1">
      <c r="A3635" s="135" t="s">
        <v>5742</v>
      </c>
      <c r="B3635" s="149" t="str">
        <f>IFERROR(VLOOKUP(Proc[[#This Row],[App]],Table2[],3,0),"open")</f>
        <v>ok</v>
      </c>
      <c r="C3635" s="135" t="s">
        <v>369</v>
      </c>
      <c r="D3635" t="s">
        <v>5746</v>
      </c>
      <c r="E3635" t="s">
        <v>5271</v>
      </c>
      <c r="F3635" s="129" t="s">
        <v>5271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4895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44</v>
      </c>
      <c r="R3635" s="130" t="s">
        <v>489</v>
      </c>
      <c r="S3635" s="129"/>
    </row>
    <row r="3636" spans="1:19" hidden="1">
      <c r="A3636" s="135" t="s">
        <v>5742</v>
      </c>
      <c r="B3636" s="149" t="str">
        <f>IFERROR(VLOOKUP(Proc[[#This Row],[App]],Table2[],3,0),"open")</f>
        <v>ok</v>
      </c>
      <c r="C3636" s="135" t="s">
        <v>369</v>
      </c>
      <c r="D3636" t="s">
        <v>5747</v>
      </c>
      <c r="E3636" t="s">
        <v>5271</v>
      </c>
      <c r="F3636" s="129" t="s">
        <v>5271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4895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44</v>
      </c>
      <c r="R3636" s="130" t="s">
        <v>489</v>
      </c>
      <c r="S3636" s="129"/>
    </row>
    <row r="3637" spans="1:19" hidden="1">
      <c r="A3637" s="135" t="s">
        <v>5742</v>
      </c>
      <c r="B3637" s="149" t="str">
        <f>IFERROR(VLOOKUP(Proc[[#This Row],[App]],Table2[],3,0),"open")</f>
        <v>ok</v>
      </c>
      <c r="C3637" s="135" t="s">
        <v>369</v>
      </c>
      <c r="D3637" t="s">
        <v>5748</v>
      </c>
      <c r="E3637" t="s">
        <v>5271</v>
      </c>
      <c r="F3637" s="129" t="s">
        <v>5271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4895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44</v>
      </c>
      <c r="R3637" s="130" t="s">
        <v>489</v>
      </c>
      <c r="S3637" s="129"/>
    </row>
    <row r="3638" spans="1:19" hidden="1">
      <c r="A3638" s="135" t="s">
        <v>5742</v>
      </c>
      <c r="B3638" s="149" t="str">
        <f>IFERROR(VLOOKUP(Proc[[#This Row],[App]],Table2[],3,0),"open")</f>
        <v>ok</v>
      </c>
      <c r="C3638" s="135" t="s">
        <v>369</v>
      </c>
      <c r="D3638" t="s">
        <v>5749</v>
      </c>
      <c r="E3638" t="s">
        <v>5271</v>
      </c>
      <c r="F3638" s="129" t="s">
        <v>5271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4895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44</v>
      </c>
      <c r="R3638" s="130" t="s">
        <v>489</v>
      </c>
      <c r="S3638" s="129"/>
    </row>
    <row r="3639" spans="1:19" hidden="1">
      <c r="A3639" s="135" t="s">
        <v>5742</v>
      </c>
      <c r="B3639" s="149" t="str">
        <f>IFERROR(VLOOKUP(Proc[[#This Row],[App]],Table2[],3,0),"open")</f>
        <v>ok</v>
      </c>
      <c r="C3639" s="135" t="s">
        <v>369</v>
      </c>
      <c r="D3639" t="s">
        <v>5750</v>
      </c>
      <c r="E3639" t="s">
        <v>5271</v>
      </c>
      <c r="F3639" s="129" t="s">
        <v>5271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4895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44</v>
      </c>
      <c r="R3639" s="130" t="s">
        <v>489</v>
      </c>
      <c r="S3639" s="129"/>
    </row>
    <row r="3640" spans="1:19" hidden="1">
      <c r="A3640" s="135" t="s">
        <v>5742</v>
      </c>
      <c r="B3640" s="149" t="str">
        <f>IFERROR(VLOOKUP(Proc[[#This Row],[App]],Table2[],3,0),"open")</f>
        <v>ok</v>
      </c>
      <c r="C3640" s="135" t="s">
        <v>369</v>
      </c>
      <c r="D3640" t="s">
        <v>5751</v>
      </c>
      <c r="E3640" t="s">
        <v>5271</v>
      </c>
      <c r="F3640" s="129" t="s">
        <v>5271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4895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44</v>
      </c>
      <c r="R3640" s="130" t="s">
        <v>489</v>
      </c>
      <c r="S3640" s="129"/>
    </row>
    <row r="3641" spans="1:19" hidden="1">
      <c r="A3641" s="135" t="s">
        <v>5742</v>
      </c>
      <c r="B3641" s="149" t="str">
        <f>IFERROR(VLOOKUP(Proc[[#This Row],[App]],Table2[],3,0),"open")</f>
        <v>ok</v>
      </c>
      <c r="C3641" s="135" t="s">
        <v>369</v>
      </c>
      <c r="D3641" t="s">
        <v>5752</v>
      </c>
      <c r="E3641" t="s">
        <v>5271</v>
      </c>
      <c r="F3641" s="129" t="s">
        <v>5271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4895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44</v>
      </c>
      <c r="R3641" s="130" t="s">
        <v>489</v>
      </c>
      <c r="S3641" s="129"/>
    </row>
    <row r="3642" spans="1:19" hidden="1">
      <c r="A3642" s="135" t="s">
        <v>5742</v>
      </c>
      <c r="B3642" s="149" t="str">
        <f>IFERROR(VLOOKUP(Proc[[#This Row],[App]],Table2[],3,0),"open")</f>
        <v>ok</v>
      </c>
      <c r="C3642" s="135" t="s">
        <v>369</v>
      </c>
      <c r="D3642" t="s">
        <v>5753</v>
      </c>
      <c r="E3642" t="s">
        <v>5271</v>
      </c>
      <c r="F3642" s="129" t="s">
        <v>5271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4895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44</v>
      </c>
      <c r="R3642" s="130" t="s">
        <v>489</v>
      </c>
      <c r="S3642" s="129"/>
    </row>
    <row r="3643" spans="1:19" hidden="1">
      <c r="A3643" s="135" t="s">
        <v>5742</v>
      </c>
      <c r="B3643" s="149" t="str">
        <f>IFERROR(VLOOKUP(Proc[[#This Row],[App]],Table2[],3,0),"open")</f>
        <v>ok</v>
      </c>
      <c r="C3643" s="135" t="s">
        <v>369</v>
      </c>
      <c r="D3643" t="s">
        <v>5754</v>
      </c>
      <c r="E3643" t="s">
        <v>5271</v>
      </c>
      <c r="F3643" s="129" t="s">
        <v>5271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4895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44</v>
      </c>
      <c r="R3643" s="130" t="s">
        <v>489</v>
      </c>
      <c r="S3643" s="129"/>
    </row>
    <row r="3644" spans="1:19" hidden="1">
      <c r="A3644" s="135" t="s">
        <v>5742</v>
      </c>
      <c r="B3644" s="149" t="str">
        <f>IFERROR(VLOOKUP(Proc[[#This Row],[App]],Table2[],3,0),"open")</f>
        <v>ok</v>
      </c>
      <c r="C3644" s="135" t="s">
        <v>369</v>
      </c>
      <c r="D3644" t="s">
        <v>5755</v>
      </c>
      <c r="E3644" t="s">
        <v>5271</v>
      </c>
      <c r="F3644" s="129" t="s">
        <v>5271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4895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44</v>
      </c>
      <c r="R3644" s="130" t="s">
        <v>489</v>
      </c>
      <c r="S3644" s="129"/>
    </row>
    <row r="3645" spans="1:19" hidden="1">
      <c r="A3645" s="135" t="s">
        <v>5742</v>
      </c>
      <c r="B3645" s="149" t="str">
        <f>IFERROR(VLOOKUP(Proc[[#This Row],[App]],Table2[],3,0),"open")</f>
        <v>ok</v>
      </c>
      <c r="C3645" s="135" t="s">
        <v>369</v>
      </c>
      <c r="D3645" t="s">
        <v>5756</v>
      </c>
      <c r="E3645" t="s">
        <v>5271</v>
      </c>
      <c r="F3645" s="129" t="s">
        <v>5271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4895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44</v>
      </c>
      <c r="R3645" s="130" t="s">
        <v>489</v>
      </c>
      <c r="S3645" s="129"/>
    </row>
    <row r="3646" spans="1:19" hidden="1">
      <c r="A3646" s="135" t="s">
        <v>5742</v>
      </c>
      <c r="B3646" s="149" t="str">
        <f>IFERROR(VLOOKUP(Proc[[#This Row],[App]],Table2[],3,0),"open")</f>
        <v>ok</v>
      </c>
      <c r="C3646" s="135" t="s">
        <v>369</v>
      </c>
      <c r="D3646" t="s">
        <v>5757</v>
      </c>
      <c r="E3646" t="s">
        <v>5271</v>
      </c>
      <c r="F3646" s="129" t="s">
        <v>5271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4895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44</v>
      </c>
      <c r="R3646" s="130" t="s">
        <v>489</v>
      </c>
      <c r="S3646" s="129"/>
    </row>
    <row r="3647" spans="1:19" hidden="1">
      <c r="A3647" s="135" t="s">
        <v>5742</v>
      </c>
      <c r="B3647" s="149" t="str">
        <f>IFERROR(VLOOKUP(Proc[[#This Row],[App]],Table2[],3,0),"open")</f>
        <v>ok</v>
      </c>
      <c r="C3647" s="135" t="s">
        <v>369</v>
      </c>
      <c r="D3647" t="s">
        <v>5758</v>
      </c>
      <c r="E3647" t="s">
        <v>5271</v>
      </c>
      <c r="F3647" s="129" t="s">
        <v>5271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4895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44</v>
      </c>
      <c r="R3647" s="130" t="s">
        <v>489</v>
      </c>
      <c r="S3647" s="129"/>
    </row>
    <row r="3648" spans="1:19" hidden="1">
      <c r="A3648" s="135" t="s">
        <v>5742</v>
      </c>
      <c r="B3648" s="149" t="str">
        <f>IFERROR(VLOOKUP(Proc[[#This Row],[App]],Table2[],3,0),"open")</f>
        <v>ok</v>
      </c>
      <c r="C3648" s="135" t="s">
        <v>369</v>
      </c>
      <c r="D3648" t="s">
        <v>5759</v>
      </c>
      <c r="E3648" t="s">
        <v>5271</v>
      </c>
      <c r="F3648" s="129" t="s">
        <v>5271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4895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44</v>
      </c>
      <c r="R3648" s="130" t="s">
        <v>489</v>
      </c>
      <c r="S3648" s="129"/>
    </row>
    <row r="3649" spans="1:19" hidden="1">
      <c r="A3649" s="135" t="s">
        <v>5742</v>
      </c>
      <c r="B3649" s="149" t="str">
        <f>IFERROR(VLOOKUP(Proc[[#This Row],[App]],Table2[],3,0),"open")</f>
        <v>ok</v>
      </c>
      <c r="C3649" s="135" t="s">
        <v>369</v>
      </c>
      <c r="D3649" t="s">
        <v>5760</v>
      </c>
      <c r="E3649" t="s">
        <v>5271</v>
      </c>
      <c r="F3649" s="129" t="s">
        <v>5271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4895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44</v>
      </c>
      <c r="R3649" s="130" t="s">
        <v>489</v>
      </c>
      <c r="S3649" s="129"/>
    </row>
    <row r="3650" spans="1:19" hidden="1">
      <c r="A3650" t="s">
        <v>5773</v>
      </c>
      <c r="B3650" s="149" t="str">
        <f>IFERROR(VLOOKUP(Proc[[#This Row],[App]],Table2[],3,0),"open")</f>
        <v>ok</v>
      </c>
      <c r="C3650" s="135" t="s">
        <v>377</v>
      </c>
      <c r="D3650" t="s">
        <v>6150</v>
      </c>
      <c r="E3650" t="s">
        <v>5771</v>
      </c>
      <c r="F3650" s="150" t="s">
        <v>6276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5774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4895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44</v>
      </c>
      <c r="R3650" s="130" t="s">
        <v>746</v>
      </c>
      <c r="S3650" s="129"/>
    </row>
    <row r="3651" spans="1:19" hidden="1">
      <c r="A3651" s="135" t="s">
        <v>5773</v>
      </c>
      <c r="B3651" s="149" t="str">
        <f>IFERROR(VLOOKUP(Proc[[#This Row],[App]],Table2[],3,0),"open")</f>
        <v>ok</v>
      </c>
      <c r="C3651" s="135" t="s">
        <v>369</v>
      </c>
      <c r="D3651" t="s">
        <v>5761</v>
      </c>
      <c r="E3651" t="s">
        <v>5771</v>
      </c>
      <c r="F3651" s="129" t="s">
        <v>5771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4895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44</v>
      </c>
      <c r="R3651" s="130" t="s">
        <v>746</v>
      </c>
      <c r="S3651" s="129"/>
    </row>
    <row r="3652" spans="1:19" hidden="1">
      <c r="A3652" s="135" t="s">
        <v>5773</v>
      </c>
      <c r="B3652" s="149" t="str">
        <f>IFERROR(VLOOKUP(Proc[[#This Row],[App]],Table2[],3,0),"open")</f>
        <v>ok</v>
      </c>
      <c r="C3652" s="138" t="s">
        <v>369</v>
      </c>
      <c r="D3652" t="s">
        <v>5762</v>
      </c>
      <c r="E3652" t="s">
        <v>5771</v>
      </c>
      <c r="F3652" s="129" t="s">
        <v>5771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4895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44</v>
      </c>
      <c r="R3652" s="130" t="s">
        <v>746</v>
      </c>
      <c r="S3652" s="129"/>
    </row>
    <row r="3653" spans="1:19" hidden="1">
      <c r="A3653" s="135" t="s">
        <v>5773</v>
      </c>
      <c r="B3653" s="149" t="str">
        <f>IFERROR(VLOOKUP(Proc[[#This Row],[App]],Table2[],3,0),"open")</f>
        <v>ok</v>
      </c>
      <c r="C3653" s="138" t="s">
        <v>369</v>
      </c>
      <c r="D3653" t="s">
        <v>5763</v>
      </c>
      <c r="E3653" t="s">
        <v>5771</v>
      </c>
      <c r="F3653" s="129" t="s">
        <v>5771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4895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44</v>
      </c>
      <c r="R3653" s="130" t="s">
        <v>746</v>
      </c>
      <c r="S3653" s="129"/>
    </row>
    <row r="3654" spans="1:19" hidden="1">
      <c r="A3654" s="135" t="s">
        <v>5773</v>
      </c>
      <c r="B3654" s="149" t="str">
        <f>IFERROR(VLOOKUP(Proc[[#This Row],[App]],Table2[],3,0),"open")</f>
        <v>ok</v>
      </c>
      <c r="C3654" s="138" t="s">
        <v>369</v>
      </c>
      <c r="D3654" t="s">
        <v>5764</v>
      </c>
      <c r="E3654" t="s">
        <v>5771</v>
      </c>
      <c r="F3654" s="129" t="s">
        <v>5771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4895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44</v>
      </c>
      <c r="R3654" s="130" t="s">
        <v>746</v>
      </c>
      <c r="S3654" s="129"/>
    </row>
    <row r="3655" spans="1:19" hidden="1">
      <c r="A3655" s="135" t="s">
        <v>5773</v>
      </c>
      <c r="B3655" s="149" t="str">
        <f>IFERROR(VLOOKUP(Proc[[#This Row],[App]],Table2[],3,0),"open")</f>
        <v>ok</v>
      </c>
      <c r="C3655" s="138" t="s">
        <v>369</v>
      </c>
      <c r="D3655" t="s">
        <v>5765</v>
      </c>
      <c r="E3655" t="s">
        <v>5771</v>
      </c>
      <c r="F3655" s="129" t="s">
        <v>5771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4895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44</v>
      </c>
      <c r="R3655" s="130" t="s">
        <v>746</v>
      </c>
      <c r="S3655" s="129"/>
    </row>
    <row r="3656" spans="1:19" hidden="1">
      <c r="A3656" s="135" t="s">
        <v>5773</v>
      </c>
      <c r="B3656" s="149" t="str">
        <f>IFERROR(VLOOKUP(Proc[[#This Row],[App]],Table2[],3,0),"open")</f>
        <v>ok</v>
      </c>
      <c r="C3656" s="138" t="s">
        <v>369</v>
      </c>
      <c r="D3656" t="s">
        <v>5766</v>
      </c>
      <c r="E3656" t="s">
        <v>5771</v>
      </c>
      <c r="F3656" s="129" t="s">
        <v>5771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4895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44</v>
      </c>
      <c r="R3656" s="130" t="s">
        <v>746</v>
      </c>
      <c r="S3656" s="129"/>
    </row>
    <row r="3657" spans="1:19" hidden="1">
      <c r="A3657" s="135" t="s">
        <v>5773</v>
      </c>
      <c r="B3657" s="149" t="str">
        <f>IFERROR(VLOOKUP(Proc[[#This Row],[App]],Table2[],3,0),"open")</f>
        <v>ok</v>
      </c>
      <c r="C3657" s="138" t="s">
        <v>369</v>
      </c>
      <c r="D3657" t="s">
        <v>5767</v>
      </c>
      <c r="E3657" t="s">
        <v>5771</v>
      </c>
      <c r="F3657" s="129" t="s">
        <v>5771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4895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44</v>
      </c>
      <c r="R3657" s="130" t="s">
        <v>746</v>
      </c>
      <c r="S3657" s="129"/>
    </row>
    <row r="3658" spans="1:19" hidden="1">
      <c r="A3658" s="135" t="s">
        <v>5773</v>
      </c>
      <c r="B3658" s="149" t="str">
        <f>IFERROR(VLOOKUP(Proc[[#This Row],[App]],Table2[],3,0),"open")</f>
        <v>ok</v>
      </c>
      <c r="C3658" s="135" t="s">
        <v>369</v>
      </c>
      <c r="D3658" t="s">
        <v>5768</v>
      </c>
      <c r="E3658" t="s">
        <v>5772</v>
      </c>
      <c r="F3658" s="129" t="s">
        <v>5772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4895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44</v>
      </c>
      <c r="R3658" s="130" t="s">
        <v>746</v>
      </c>
      <c r="S3658" s="129"/>
    </row>
    <row r="3659" spans="1:19" hidden="1">
      <c r="A3659" s="135" t="s">
        <v>5773</v>
      </c>
      <c r="B3659" s="149" t="str">
        <f>IFERROR(VLOOKUP(Proc[[#This Row],[App]],Table2[],3,0),"open")</f>
        <v>ok</v>
      </c>
      <c r="C3659" s="135" t="s">
        <v>369</v>
      </c>
      <c r="D3659" t="s">
        <v>5769</v>
      </c>
      <c r="E3659" t="s">
        <v>5772</v>
      </c>
      <c r="F3659" s="129" t="s">
        <v>5772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4895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44</v>
      </c>
      <c r="R3659" s="130" t="s">
        <v>746</v>
      </c>
      <c r="S3659" s="129"/>
    </row>
    <row r="3660" spans="1:19" hidden="1">
      <c r="A3660" s="135" t="s">
        <v>5773</v>
      </c>
      <c r="B3660" s="149" t="str">
        <f>IFERROR(VLOOKUP(Proc[[#This Row],[App]],Table2[],3,0),"open")</f>
        <v>ok</v>
      </c>
      <c r="C3660" s="135" t="s">
        <v>369</v>
      </c>
      <c r="D3660" t="s">
        <v>5770</v>
      </c>
      <c r="E3660" t="s">
        <v>5772</v>
      </c>
      <c r="F3660" s="129" t="s">
        <v>5772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4895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44</v>
      </c>
      <c r="R3660" s="130" t="s">
        <v>746</v>
      </c>
      <c r="S3660" s="129"/>
    </row>
    <row r="3661" spans="1:19" hidden="1">
      <c r="A3661" t="s">
        <v>5775</v>
      </c>
      <c r="B3661" s="149" t="str">
        <f>IFERROR(VLOOKUP(Proc[[#This Row],[App]],Table2[],3,0),"open")</f>
        <v>ok</v>
      </c>
      <c r="C3661" s="138" t="s">
        <v>369</v>
      </c>
      <c r="D3661" t="s">
        <v>5776</v>
      </c>
      <c r="E3661" t="s">
        <v>5552</v>
      </c>
      <c r="F3661" s="129" t="s">
        <v>5552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4895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43</v>
      </c>
      <c r="R3661" s="130" t="s">
        <v>489</v>
      </c>
      <c r="S3661" s="129"/>
    </row>
    <row r="3662" spans="1:19" hidden="1">
      <c r="A3662" s="135" t="s">
        <v>5775</v>
      </c>
      <c r="B3662" s="149" t="str">
        <f>IFERROR(VLOOKUP(Proc[[#This Row],[App]],Table2[],3,0),"open")</f>
        <v>ok</v>
      </c>
      <c r="C3662" s="138" t="s">
        <v>369</v>
      </c>
      <c r="D3662" t="s">
        <v>5777</v>
      </c>
      <c r="E3662" t="s">
        <v>5803</v>
      </c>
      <c r="F3662" s="129" t="s">
        <v>5803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4895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43</v>
      </c>
      <c r="R3662" s="131" t="s">
        <v>489</v>
      </c>
      <c r="S3662" s="129"/>
    </row>
    <row r="3663" spans="1:19" hidden="1">
      <c r="A3663" s="135" t="s">
        <v>5775</v>
      </c>
      <c r="B3663" s="149" t="str">
        <f>IFERROR(VLOOKUP(Proc[[#This Row],[App]],Table2[],3,0),"open")</f>
        <v>ok</v>
      </c>
      <c r="C3663" s="138" t="s">
        <v>369</v>
      </c>
      <c r="D3663" t="s">
        <v>5778</v>
      </c>
      <c r="E3663" t="s">
        <v>5804</v>
      </c>
      <c r="F3663" s="129" t="s">
        <v>5804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4895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43</v>
      </c>
      <c r="R3663" s="131" t="s">
        <v>489</v>
      </c>
      <c r="S3663" s="129"/>
    </row>
    <row r="3664" spans="1:19" hidden="1">
      <c r="A3664" s="135" t="s">
        <v>5775</v>
      </c>
      <c r="B3664" s="149" t="str">
        <f>IFERROR(VLOOKUP(Proc[[#This Row],[App]],Table2[],3,0),"open")</f>
        <v>ok</v>
      </c>
      <c r="C3664" s="138" t="s">
        <v>369</v>
      </c>
      <c r="D3664" t="s">
        <v>5779</v>
      </c>
      <c r="E3664" t="s">
        <v>5804</v>
      </c>
      <c r="F3664" s="129" t="s">
        <v>5804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4895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43</v>
      </c>
      <c r="R3664" s="131" t="s">
        <v>489</v>
      </c>
      <c r="S3664" s="129"/>
    </row>
    <row r="3665" spans="1:19" hidden="1">
      <c r="A3665" s="135" t="s">
        <v>5775</v>
      </c>
      <c r="B3665" s="149" t="str">
        <f>IFERROR(VLOOKUP(Proc[[#This Row],[App]],Table2[],3,0),"open")</f>
        <v>ok</v>
      </c>
      <c r="C3665" s="138" t="s">
        <v>369</v>
      </c>
      <c r="D3665" t="s">
        <v>5780</v>
      </c>
      <c r="E3665" t="s">
        <v>5804</v>
      </c>
      <c r="F3665" s="129" t="s">
        <v>5804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4895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43</v>
      </c>
      <c r="R3665" s="131" t="s">
        <v>489</v>
      </c>
      <c r="S3665" s="129"/>
    </row>
    <row r="3666" spans="1:19" hidden="1">
      <c r="A3666" s="135" t="s">
        <v>5775</v>
      </c>
      <c r="B3666" s="149" t="str">
        <f>IFERROR(VLOOKUP(Proc[[#This Row],[App]],Table2[],3,0),"open")</f>
        <v>ok</v>
      </c>
      <c r="C3666" s="138" t="s">
        <v>369</v>
      </c>
      <c r="D3666" t="s">
        <v>5781</v>
      </c>
      <c r="E3666" t="s">
        <v>5805</v>
      </c>
      <c r="F3666" s="129" t="s">
        <v>5805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4895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43</v>
      </c>
      <c r="R3666" s="131" t="s">
        <v>489</v>
      </c>
      <c r="S3666" s="129"/>
    </row>
    <row r="3667" spans="1:19" hidden="1">
      <c r="A3667" s="135" t="s">
        <v>5775</v>
      </c>
      <c r="B3667" s="149" t="str">
        <f>IFERROR(VLOOKUP(Proc[[#This Row],[App]],Table2[],3,0),"open")</f>
        <v>ok</v>
      </c>
      <c r="C3667" s="138" t="s">
        <v>369</v>
      </c>
      <c r="D3667" t="s">
        <v>5782</v>
      </c>
      <c r="E3667" t="s">
        <v>5805</v>
      </c>
      <c r="F3667" s="129" t="s">
        <v>5805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4895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43</v>
      </c>
      <c r="R3667" s="131" t="s">
        <v>489</v>
      </c>
      <c r="S3667" s="129"/>
    </row>
    <row r="3668" spans="1:19" hidden="1">
      <c r="A3668" s="135" t="s">
        <v>5775</v>
      </c>
      <c r="B3668" s="149" t="str">
        <f>IFERROR(VLOOKUP(Proc[[#This Row],[App]],Table2[],3,0),"open")</f>
        <v>ok</v>
      </c>
      <c r="C3668" s="138" t="s">
        <v>369</v>
      </c>
      <c r="D3668" t="s">
        <v>5783</v>
      </c>
      <c r="E3668" t="s">
        <v>5806</v>
      </c>
      <c r="F3668" s="129" t="s">
        <v>5806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4895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43</v>
      </c>
      <c r="R3668" s="131" t="s">
        <v>489</v>
      </c>
      <c r="S3668" s="129"/>
    </row>
    <row r="3669" spans="1:19" hidden="1">
      <c r="A3669" s="135" t="s">
        <v>5775</v>
      </c>
      <c r="B3669" s="149" t="str">
        <f>IFERROR(VLOOKUP(Proc[[#This Row],[App]],Table2[],3,0),"open")</f>
        <v>ok</v>
      </c>
      <c r="C3669" s="138" t="s">
        <v>369</v>
      </c>
      <c r="D3669" t="s">
        <v>5784</v>
      </c>
      <c r="E3669" t="s">
        <v>5806</v>
      </c>
      <c r="F3669" s="129" t="s">
        <v>5806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4895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43</v>
      </c>
      <c r="R3669" s="131" t="s">
        <v>489</v>
      </c>
      <c r="S3669" s="129"/>
    </row>
    <row r="3670" spans="1:19" hidden="1">
      <c r="A3670" s="135" t="s">
        <v>5775</v>
      </c>
      <c r="B3670" s="149" t="str">
        <f>IFERROR(VLOOKUP(Proc[[#This Row],[App]],Table2[],3,0),"open")</f>
        <v>ok</v>
      </c>
      <c r="C3670" s="138" t="s">
        <v>369</v>
      </c>
      <c r="D3670" t="s">
        <v>5785</v>
      </c>
      <c r="E3670" t="s">
        <v>5807</v>
      </c>
      <c r="F3670" s="129" t="s">
        <v>5807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4895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43</v>
      </c>
      <c r="R3670" s="131" t="s">
        <v>489</v>
      </c>
      <c r="S3670" s="129"/>
    </row>
    <row r="3671" spans="1:19" hidden="1">
      <c r="A3671" s="135" t="s">
        <v>5775</v>
      </c>
      <c r="B3671" s="149" t="str">
        <f>IFERROR(VLOOKUP(Proc[[#This Row],[App]],Table2[],3,0),"open")</f>
        <v>ok</v>
      </c>
      <c r="C3671" s="138" t="s">
        <v>369</v>
      </c>
      <c r="D3671" t="s">
        <v>5786</v>
      </c>
      <c r="E3671" t="s">
        <v>5808</v>
      </c>
      <c r="F3671" s="129" t="s">
        <v>5808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4895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43</v>
      </c>
      <c r="R3671" s="131" t="s">
        <v>489</v>
      </c>
      <c r="S3671" s="129"/>
    </row>
    <row r="3672" spans="1:19" hidden="1">
      <c r="A3672" s="135" t="s">
        <v>5775</v>
      </c>
      <c r="B3672" s="149" t="str">
        <f>IFERROR(VLOOKUP(Proc[[#This Row],[App]],Table2[],3,0),"open")</f>
        <v>ok</v>
      </c>
      <c r="C3672" s="138" t="s">
        <v>369</v>
      </c>
      <c r="D3672" t="s">
        <v>5787</v>
      </c>
      <c r="E3672" t="s">
        <v>4385</v>
      </c>
      <c r="F3672" s="129" t="s">
        <v>4385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4895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43</v>
      </c>
      <c r="R3672" s="131" t="s">
        <v>489</v>
      </c>
      <c r="S3672" s="129"/>
    </row>
    <row r="3673" spans="1:19" hidden="1">
      <c r="A3673" s="135" t="s">
        <v>5775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5809</v>
      </c>
      <c r="F3673" s="129" t="s">
        <v>5809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4895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43</v>
      </c>
      <c r="R3673" s="131" t="s">
        <v>489</v>
      </c>
      <c r="S3673" s="129"/>
    </row>
    <row r="3674" spans="1:19" hidden="1">
      <c r="A3674" s="135" t="s">
        <v>5775</v>
      </c>
      <c r="B3674" s="149" t="str">
        <f>IFERROR(VLOOKUP(Proc[[#This Row],[App]],Table2[],3,0),"open")</f>
        <v>ok</v>
      </c>
      <c r="C3674" s="138" t="s">
        <v>369</v>
      </c>
      <c r="D3674" t="s">
        <v>5788</v>
      </c>
      <c r="E3674" t="s">
        <v>5810</v>
      </c>
      <c r="F3674" s="129" t="s">
        <v>5810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4895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43</v>
      </c>
      <c r="R3674" s="131" t="s">
        <v>489</v>
      </c>
      <c r="S3674" s="129"/>
    </row>
    <row r="3675" spans="1:19" hidden="1">
      <c r="A3675" s="135" t="s">
        <v>5775</v>
      </c>
      <c r="B3675" s="149" t="str">
        <f>IFERROR(VLOOKUP(Proc[[#This Row],[App]],Table2[],3,0),"open")</f>
        <v>ok</v>
      </c>
      <c r="C3675" s="138" t="s">
        <v>369</v>
      </c>
      <c r="D3675" t="s">
        <v>5789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4895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43</v>
      </c>
      <c r="R3675" s="131" t="s">
        <v>489</v>
      </c>
      <c r="S3675" s="129"/>
    </row>
    <row r="3676" spans="1:19" hidden="1">
      <c r="A3676" s="135" t="s">
        <v>5775</v>
      </c>
      <c r="B3676" s="149" t="str">
        <f>IFERROR(VLOOKUP(Proc[[#This Row],[App]],Table2[],3,0),"open")</f>
        <v>ok</v>
      </c>
      <c r="C3676" s="138" t="s">
        <v>369</v>
      </c>
      <c r="D3676" t="s">
        <v>5790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4895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43</v>
      </c>
      <c r="R3676" s="131" t="s">
        <v>489</v>
      </c>
      <c r="S3676" s="129"/>
    </row>
    <row r="3677" spans="1:19" hidden="1">
      <c r="A3677" s="135" t="s">
        <v>5775</v>
      </c>
      <c r="B3677" s="149" t="str">
        <f>IFERROR(VLOOKUP(Proc[[#This Row],[App]],Table2[],3,0),"open")</f>
        <v>ok</v>
      </c>
      <c r="C3677" s="138" t="s">
        <v>369</v>
      </c>
      <c r="D3677" t="s">
        <v>5791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4895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43</v>
      </c>
      <c r="R3677" s="131" t="s">
        <v>489</v>
      </c>
      <c r="S3677" s="129"/>
    </row>
    <row r="3678" spans="1:19" hidden="1">
      <c r="A3678" s="135" t="s">
        <v>5775</v>
      </c>
      <c r="B3678" s="149" t="str">
        <f>IFERROR(VLOOKUP(Proc[[#This Row],[App]],Table2[],3,0),"open")</f>
        <v>ok</v>
      </c>
      <c r="C3678" s="138" t="s">
        <v>369</v>
      </c>
      <c r="D3678" t="s">
        <v>5792</v>
      </c>
      <c r="E3678" t="s">
        <v>5811</v>
      </c>
      <c r="F3678" s="129" t="s">
        <v>5811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4895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43</v>
      </c>
      <c r="R3678" s="131" t="s">
        <v>489</v>
      </c>
      <c r="S3678" s="129"/>
    </row>
    <row r="3679" spans="1:19" hidden="1">
      <c r="A3679" s="135" t="s">
        <v>5775</v>
      </c>
      <c r="B3679" s="149" t="str">
        <f>IFERROR(VLOOKUP(Proc[[#This Row],[App]],Table2[],3,0),"open")</f>
        <v>ok</v>
      </c>
      <c r="C3679" s="138" t="s">
        <v>369</v>
      </c>
      <c r="D3679" t="s">
        <v>5793</v>
      </c>
      <c r="E3679" t="s">
        <v>5811</v>
      </c>
      <c r="F3679" s="129" t="s">
        <v>5811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4895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43</v>
      </c>
      <c r="R3679" s="131" t="s">
        <v>489</v>
      </c>
      <c r="S3679" s="129"/>
    </row>
    <row r="3680" spans="1:19" hidden="1">
      <c r="A3680" s="135" t="s">
        <v>5775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4895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43</v>
      </c>
      <c r="R3680" s="131" t="s">
        <v>489</v>
      </c>
      <c r="S3680" s="129"/>
    </row>
    <row r="3681" spans="1:19" hidden="1">
      <c r="A3681" s="135" t="s">
        <v>5775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4895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43</v>
      </c>
      <c r="R3681" s="131" t="s">
        <v>489</v>
      </c>
      <c r="S3681" s="129"/>
    </row>
    <row r="3682" spans="1:19" hidden="1">
      <c r="A3682" s="135" t="s">
        <v>5775</v>
      </c>
      <c r="B3682" s="149" t="str">
        <f>IFERROR(VLOOKUP(Proc[[#This Row],[App]],Table2[],3,0),"open")</f>
        <v>ok</v>
      </c>
      <c r="C3682" s="138" t="s">
        <v>369</v>
      </c>
      <c r="D3682" t="s">
        <v>5794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4895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43</v>
      </c>
      <c r="R3682" s="131" t="s">
        <v>489</v>
      </c>
      <c r="S3682" s="129"/>
    </row>
    <row r="3683" spans="1:19" hidden="1">
      <c r="A3683" s="135" t="s">
        <v>5775</v>
      </c>
      <c r="B3683" s="149" t="str">
        <f>IFERROR(VLOOKUP(Proc[[#This Row],[App]],Table2[],3,0),"open")</f>
        <v>ok</v>
      </c>
      <c r="C3683" s="138" t="s">
        <v>369</v>
      </c>
      <c r="D3683" t="s">
        <v>5795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4895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43</v>
      </c>
      <c r="R3683" s="131" t="s">
        <v>489</v>
      </c>
      <c r="S3683" s="129"/>
    </row>
    <row r="3684" spans="1:19" hidden="1">
      <c r="A3684" s="135" t="s">
        <v>5775</v>
      </c>
      <c r="B3684" s="149" t="str">
        <f>IFERROR(VLOOKUP(Proc[[#This Row],[App]],Table2[],3,0),"open")</f>
        <v>ok</v>
      </c>
      <c r="C3684" s="138" t="s">
        <v>369</v>
      </c>
      <c r="D3684" t="s">
        <v>5796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4895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43</v>
      </c>
      <c r="R3684" s="131" t="s">
        <v>489</v>
      </c>
      <c r="S3684" s="129"/>
    </row>
    <row r="3685" spans="1:19" hidden="1">
      <c r="A3685" s="135" t="s">
        <v>5775</v>
      </c>
      <c r="B3685" s="149" t="str">
        <f>IFERROR(VLOOKUP(Proc[[#This Row],[App]],Table2[],3,0),"open")</f>
        <v>ok</v>
      </c>
      <c r="C3685" s="138" t="s">
        <v>369</v>
      </c>
      <c r="D3685" t="s">
        <v>5797</v>
      </c>
      <c r="E3685" t="s">
        <v>5812</v>
      </c>
      <c r="F3685" s="129" t="s">
        <v>5812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4895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43</v>
      </c>
      <c r="R3685" s="131" t="s">
        <v>489</v>
      </c>
      <c r="S3685" s="129"/>
    </row>
    <row r="3686" spans="1:19" hidden="1">
      <c r="A3686" s="135" t="s">
        <v>5775</v>
      </c>
      <c r="B3686" s="149" t="str">
        <f>IFERROR(VLOOKUP(Proc[[#This Row],[App]],Table2[],3,0),"open")</f>
        <v>ok</v>
      </c>
      <c r="C3686" s="138" t="s">
        <v>369</v>
      </c>
      <c r="D3686" t="s">
        <v>5798</v>
      </c>
      <c r="E3686" t="s">
        <v>5813</v>
      </c>
      <c r="F3686" s="129" t="s">
        <v>5813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4895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43</v>
      </c>
      <c r="R3686" s="131" t="s">
        <v>489</v>
      </c>
      <c r="S3686" s="129"/>
    </row>
    <row r="3687" spans="1:19" hidden="1">
      <c r="A3687" s="135" t="s">
        <v>5775</v>
      </c>
      <c r="B3687" s="149" t="str">
        <f>IFERROR(VLOOKUP(Proc[[#This Row],[App]],Table2[],3,0),"open")</f>
        <v>ok</v>
      </c>
      <c r="C3687" s="138" t="s">
        <v>369</v>
      </c>
      <c r="D3687" t="s">
        <v>5799</v>
      </c>
      <c r="E3687" t="s">
        <v>5813</v>
      </c>
      <c r="F3687" s="129" t="s">
        <v>5813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4895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43</v>
      </c>
      <c r="R3687" s="131" t="s">
        <v>489</v>
      </c>
      <c r="S3687" s="129"/>
    </row>
    <row r="3688" spans="1:19" hidden="1">
      <c r="A3688" s="135" t="s">
        <v>5775</v>
      </c>
      <c r="B3688" s="149" t="str">
        <f>IFERROR(VLOOKUP(Proc[[#This Row],[App]],Table2[],3,0),"open")</f>
        <v>ok</v>
      </c>
      <c r="C3688" s="138" t="s">
        <v>369</v>
      </c>
      <c r="D3688" t="s">
        <v>5800</v>
      </c>
      <c r="E3688" t="s">
        <v>5814</v>
      </c>
      <c r="F3688" s="129" t="s">
        <v>5814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4895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43</v>
      </c>
      <c r="R3688" s="131" t="s">
        <v>489</v>
      </c>
      <c r="S3688" s="129"/>
    </row>
    <row r="3689" spans="1:19" hidden="1">
      <c r="A3689" s="135" t="s">
        <v>5775</v>
      </c>
      <c r="B3689" s="149" t="str">
        <f>IFERROR(VLOOKUP(Proc[[#This Row],[App]],Table2[],3,0),"open")</f>
        <v>ok</v>
      </c>
      <c r="C3689" s="138" t="s">
        <v>369</v>
      </c>
      <c r="D3689" t="s">
        <v>5801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4895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43</v>
      </c>
      <c r="R3689" s="131" t="s">
        <v>489</v>
      </c>
      <c r="S3689" s="129"/>
    </row>
    <row r="3690" spans="1:19" hidden="1">
      <c r="A3690" s="135" t="s">
        <v>5775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5815</v>
      </c>
      <c r="F3690" s="129" t="s">
        <v>5815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4895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43</v>
      </c>
      <c r="R3690" s="131" t="s">
        <v>489</v>
      </c>
      <c r="S3690" s="129"/>
    </row>
    <row r="3691" spans="1:19" hidden="1">
      <c r="A3691" s="135" t="s">
        <v>5775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4895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43</v>
      </c>
      <c r="R3691" s="131" t="s">
        <v>489</v>
      </c>
      <c r="S3691" s="129"/>
    </row>
    <row r="3692" spans="1:19" hidden="1">
      <c r="A3692" s="135" t="s">
        <v>5775</v>
      </c>
      <c r="B3692" s="149" t="str">
        <f>IFERROR(VLOOKUP(Proc[[#This Row],[App]],Table2[],3,0),"open")</f>
        <v>ok</v>
      </c>
      <c r="C3692" s="138" t="s">
        <v>369</v>
      </c>
      <c r="D3692" t="s">
        <v>5802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4895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43</v>
      </c>
      <c r="R3692" s="131" t="s">
        <v>489</v>
      </c>
      <c r="S3692" s="129"/>
    </row>
    <row r="3693" spans="1:19" hidden="1">
      <c r="A3693" s="135" t="s">
        <v>5775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4895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43</v>
      </c>
      <c r="R3693" s="131" t="s">
        <v>489</v>
      </c>
      <c r="S3693" s="129"/>
    </row>
    <row r="3694" spans="1:19" hidden="1">
      <c r="A3694" s="135" t="s">
        <v>5775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4895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43</v>
      </c>
      <c r="R3694" s="131" t="s">
        <v>489</v>
      </c>
      <c r="S3694" s="129"/>
    </row>
    <row r="3695" spans="1:19" hidden="1">
      <c r="A3695" s="135" t="s">
        <v>5775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4895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43</v>
      </c>
      <c r="R3695" s="131" t="s">
        <v>489</v>
      </c>
      <c r="S3695" s="129"/>
    </row>
    <row r="3696" spans="1:19" hidden="1">
      <c r="A3696" t="s">
        <v>5816</v>
      </c>
      <c r="B3696" s="149" t="str">
        <f>IFERROR(VLOOKUP(Proc[[#This Row],[App]],Table2[],3,0),"open")</f>
        <v>ok</v>
      </c>
      <c r="C3696" s="138" t="s">
        <v>369</v>
      </c>
      <c r="D3696" t="s">
        <v>5817</v>
      </c>
      <c r="E3696" t="s">
        <v>5849</v>
      </c>
      <c r="F3696" s="129" t="s">
        <v>5849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4895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42</v>
      </c>
      <c r="R3696" s="131" t="s">
        <v>489</v>
      </c>
      <c r="S3696" s="129"/>
    </row>
    <row r="3697" spans="1:19" hidden="1">
      <c r="A3697" s="135" t="s">
        <v>5816</v>
      </c>
      <c r="B3697" s="149" t="str">
        <f>IFERROR(VLOOKUP(Proc[[#This Row],[App]],Table2[],3,0),"open")</f>
        <v>ok</v>
      </c>
      <c r="C3697" s="138" t="s">
        <v>369</v>
      </c>
      <c r="D3697" t="s">
        <v>5818</v>
      </c>
      <c r="E3697" t="s">
        <v>5849</v>
      </c>
      <c r="F3697" s="129" t="s">
        <v>5849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4895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42</v>
      </c>
      <c r="R3697" s="131" t="s">
        <v>489</v>
      </c>
      <c r="S3697" s="129"/>
    </row>
    <row r="3698" spans="1:19" hidden="1">
      <c r="A3698" s="135" t="s">
        <v>5816</v>
      </c>
      <c r="B3698" s="149" t="str">
        <f>IFERROR(VLOOKUP(Proc[[#This Row],[App]],Table2[],3,0),"open")</f>
        <v>ok</v>
      </c>
      <c r="C3698" s="138" t="s">
        <v>369</v>
      </c>
      <c r="D3698" t="s">
        <v>5819</v>
      </c>
      <c r="E3698" t="s">
        <v>5850</v>
      </c>
      <c r="F3698" s="129" t="s">
        <v>5850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4895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42</v>
      </c>
      <c r="R3698" s="131" t="s">
        <v>489</v>
      </c>
      <c r="S3698" s="129"/>
    </row>
    <row r="3699" spans="1:19" hidden="1">
      <c r="A3699" s="135" t="s">
        <v>5816</v>
      </c>
      <c r="B3699" s="149" t="str">
        <f>IFERROR(VLOOKUP(Proc[[#This Row],[App]],Table2[],3,0),"open")</f>
        <v>ok</v>
      </c>
      <c r="C3699" s="138" t="s">
        <v>369</v>
      </c>
      <c r="D3699" t="s">
        <v>5820</v>
      </c>
      <c r="E3699" t="s">
        <v>5851</v>
      </c>
      <c r="F3699" s="129" t="s">
        <v>5851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4895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42</v>
      </c>
      <c r="R3699" s="131" t="s">
        <v>489</v>
      </c>
      <c r="S3699" s="129"/>
    </row>
    <row r="3700" spans="1:19" hidden="1">
      <c r="A3700" s="135" t="s">
        <v>5816</v>
      </c>
      <c r="B3700" s="149" t="str">
        <f>IFERROR(VLOOKUP(Proc[[#This Row],[App]],Table2[],3,0),"open")</f>
        <v>ok</v>
      </c>
      <c r="C3700" s="138" t="s">
        <v>369</v>
      </c>
      <c r="D3700" t="s">
        <v>5821</v>
      </c>
      <c r="E3700" t="s">
        <v>5851</v>
      </c>
      <c r="F3700" s="129" t="s">
        <v>5851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4895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42</v>
      </c>
      <c r="R3700" s="131" t="s">
        <v>489</v>
      </c>
      <c r="S3700" s="129"/>
    </row>
    <row r="3701" spans="1:19" hidden="1">
      <c r="A3701" s="135" t="s">
        <v>5816</v>
      </c>
      <c r="B3701" s="149" t="str">
        <f>IFERROR(VLOOKUP(Proc[[#This Row],[App]],Table2[],3,0),"open")</f>
        <v>ok</v>
      </c>
      <c r="C3701" s="138" t="s">
        <v>369</v>
      </c>
      <c r="D3701" t="s">
        <v>5822</v>
      </c>
      <c r="E3701" t="s">
        <v>5851</v>
      </c>
      <c r="F3701" s="129" t="s">
        <v>5851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4895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42</v>
      </c>
      <c r="R3701" s="131" t="s">
        <v>489</v>
      </c>
      <c r="S3701" s="129"/>
    </row>
    <row r="3702" spans="1:19" hidden="1">
      <c r="A3702" s="135" t="s">
        <v>5816</v>
      </c>
      <c r="B3702" s="149" t="str">
        <f>IFERROR(VLOOKUP(Proc[[#This Row],[App]],Table2[],3,0),"open")</f>
        <v>ok</v>
      </c>
      <c r="C3702" s="138" t="s">
        <v>369</v>
      </c>
      <c r="D3702" t="s">
        <v>5823</v>
      </c>
      <c r="E3702" t="s">
        <v>5851</v>
      </c>
      <c r="F3702" s="129" t="s">
        <v>5851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4895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42</v>
      </c>
      <c r="R3702" s="131" t="s">
        <v>489</v>
      </c>
      <c r="S3702" s="129"/>
    </row>
    <row r="3703" spans="1:19" hidden="1">
      <c r="A3703" s="135" t="s">
        <v>5816</v>
      </c>
      <c r="B3703" s="149" t="str">
        <f>IFERROR(VLOOKUP(Proc[[#This Row],[App]],Table2[],3,0),"open")</f>
        <v>ok</v>
      </c>
      <c r="C3703" s="138" t="s">
        <v>369</v>
      </c>
      <c r="D3703" t="s">
        <v>5824</v>
      </c>
      <c r="E3703" t="s">
        <v>5851</v>
      </c>
      <c r="F3703" s="129" t="s">
        <v>5851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4895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42</v>
      </c>
      <c r="R3703" s="131" t="s">
        <v>489</v>
      </c>
      <c r="S3703" s="129"/>
    </row>
    <row r="3704" spans="1:19" hidden="1">
      <c r="A3704" s="135" t="s">
        <v>5816</v>
      </c>
      <c r="B3704" s="149" t="str">
        <f>IFERROR(VLOOKUP(Proc[[#This Row],[App]],Table2[],3,0),"open")</f>
        <v>ok</v>
      </c>
      <c r="C3704" s="138" t="s">
        <v>369</v>
      </c>
      <c r="D3704" t="s">
        <v>5825</v>
      </c>
      <c r="E3704" t="s">
        <v>5851</v>
      </c>
      <c r="F3704" s="129" t="s">
        <v>5851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4895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42</v>
      </c>
      <c r="R3704" s="131" t="s">
        <v>489</v>
      </c>
      <c r="S3704" s="129"/>
    </row>
    <row r="3705" spans="1:19" hidden="1">
      <c r="A3705" s="135" t="s">
        <v>5816</v>
      </c>
      <c r="B3705" s="149" t="str">
        <f>IFERROR(VLOOKUP(Proc[[#This Row],[App]],Table2[],3,0),"open")</f>
        <v>ok</v>
      </c>
      <c r="C3705" s="138" t="s">
        <v>369</v>
      </c>
      <c r="D3705" t="s">
        <v>5826</v>
      </c>
      <c r="E3705" t="s">
        <v>5851</v>
      </c>
      <c r="F3705" s="129" t="s">
        <v>5851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4895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42</v>
      </c>
      <c r="R3705" s="131" t="s">
        <v>489</v>
      </c>
      <c r="S3705" s="129"/>
    </row>
    <row r="3706" spans="1:19" hidden="1">
      <c r="A3706" s="135" t="s">
        <v>5816</v>
      </c>
      <c r="B3706" s="149" t="str">
        <f>IFERROR(VLOOKUP(Proc[[#This Row],[App]],Table2[],3,0),"open")</f>
        <v>ok</v>
      </c>
      <c r="C3706" s="138" t="s">
        <v>369</v>
      </c>
      <c r="D3706" t="s">
        <v>5827</v>
      </c>
      <c r="E3706" t="s">
        <v>5851</v>
      </c>
      <c r="F3706" s="129" t="s">
        <v>5851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4895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42</v>
      </c>
      <c r="R3706" s="131" t="s">
        <v>489</v>
      </c>
      <c r="S3706" s="129"/>
    </row>
    <row r="3707" spans="1:19" hidden="1">
      <c r="A3707" s="135" t="s">
        <v>5816</v>
      </c>
      <c r="B3707" s="149" t="str">
        <f>IFERROR(VLOOKUP(Proc[[#This Row],[App]],Table2[],3,0),"open")</f>
        <v>ok</v>
      </c>
      <c r="C3707" s="138" t="s">
        <v>369</v>
      </c>
      <c r="D3707" t="s">
        <v>5828</v>
      </c>
      <c r="E3707" t="s">
        <v>5851</v>
      </c>
      <c r="F3707" s="129" t="s">
        <v>5851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4895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42</v>
      </c>
      <c r="R3707" s="131" t="s">
        <v>489</v>
      </c>
      <c r="S3707" s="129"/>
    </row>
    <row r="3708" spans="1:19" hidden="1">
      <c r="A3708" s="135" t="s">
        <v>5816</v>
      </c>
      <c r="B3708" s="149" t="str">
        <f>IFERROR(VLOOKUP(Proc[[#This Row],[App]],Table2[],3,0),"open")</f>
        <v>ok</v>
      </c>
      <c r="C3708" s="138" t="s">
        <v>369</v>
      </c>
      <c r="D3708" t="s">
        <v>5829</v>
      </c>
      <c r="E3708" t="s">
        <v>5851</v>
      </c>
      <c r="F3708" s="129" t="s">
        <v>5851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4895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42</v>
      </c>
      <c r="R3708" s="131" t="s">
        <v>489</v>
      </c>
      <c r="S3708" s="129"/>
    </row>
    <row r="3709" spans="1:19" hidden="1">
      <c r="A3709" s="135" t="s">
        <v>5816</v>
      </c>
      <c r="B3709" s="149" t="str">
        <f>IFERROR(VLOOKUP(Proc[[#This Row],[App]],Table2[],3,0),"open")</f>
        <v>ok</v>
      </c>
      <c r="C3709" s="138" t="s">
        <v>369</v>
      </c>
      <c r="D3709" t="s">
        <v>5830</v>
      </c>
      <c r="E3709" t="s">
        <v>5851</v>
      </c>
      <c r="F3709" s="129" t="s">
        <v>5851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4895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42</v>
      </c>
      <c r="R3709" s="131" t="s">
        <v>489</v>
      </c>
      <c r="S3709" s="129"/>
    </row>
    <row r="3710" spans="1:19" hidden="1">
      <c r="A3710" s="135" t="s">
        <v>5816</v>
      </c>
      <c r="B3710" s="149" t="str">
        <f>IFERROR(VLOOKUP(Proc[[#This Row],[App]],Table2[],3,0),"open")</f>
        <v>ok</v>
      </c>
      <c r="C3710" s="138" t="s">
        <v>369</v>
      </c>
      <c r="D3710" t="s">
        <v>5831</v>
      </c>
      <c r="E3710" t="s">
        <v>5851</v>
      </c>
      <c r="F3710" s="129" t="s">
        <v>5851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4895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42</v>
      </c>
      <c r="R3710" s="131" t="s">
        <v>489</v>
      </c>
      <c r="S3710" s="129"/>
    </row>
    <row r="3711" spans="1:19" hidden="1">
      <c r="A3711" s="135" t="s">
        <v>5816</v>
      </c>
      <c r="B3711" s="149" t="str">
        <f>IFERROR(VLOOKUP(Proc[[#This Row],[App]],Table2[],3,0),"open")</f>
        <v>ok</v>
      </c>
      <c r="C3711" s="138" t="s">
        <v>369</v>
      </c>
      <c r="D3711" t="s">
        <v>5832</v>
      </c>
      <c r="E3711" t="s">
        <v>5851</v>
      </c>
      <c r="F3711" s="129" t="s">
        <v>5851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4895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42</v>
      </c>
      <c r="R3711" s="131" t="s">
        <v>489</v>
      </c>
      <c r="S3711" s="129"/>
    </row>
    <row r="3712" spans="1:19" hidden="1">
      <c r="A3712" s="135" t="s">
        <v>5816</v>
      </c>
      <c r="B3712" s="149" t="str">
        <f>IFERROR(VLOOKUP(Proc[[#This Row],[App]],Table2[],3,0),"open")</f>
        <v>ok</v>
      </c>
      <c r="C3712" s="138" t="s">
        <v>369</v>
      </c>
      <c r="D3712" t="s">
        <v>5833</v>
      </c>
      <c r="E3712" t="s">
        <v>5851</v>
      </c>
      <c r="F3712" s="129" t="s">
        <v>5851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4895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42</v>
      </c>
      <c r="R3712" s="131" t="s">
        <v>489</v>
      </c>
      <c r="S3712" s="129"/>
    </row>
    <row r="3713" spans="1:19" hidden="1">
      <c r="A3713" s="135" t="s">
        <v>5816</v>
      </c>
      <c r="B3713" s="149" t="str">
        <f>IFERROR(VLOOKUP(Proc[[#This Row],[App]],Table2[],3,0),"open")</f>
        <v>ok</v>
      </c>
      <c r="C3713" s="138" t="s">
        <v>369</v>
      </c>
      <c r="D3713" t="s">
        <v>5825</v>
      </c>
      <c r="E3713" t="s">
        <v>5851</v>
      </c>
      <c r="F3713" s="129" t="s">
        <v>5851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4895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42</v>
      </c>
      <c r="R3713" s="131" t="s">
        <v>489</v>
      </c>
      <c r="S3713" s="129"/>
    </row>
    <row r="3714" spans="1:19" hidden="1">
      <c r="A3714" s="135" t="s">
        <v>5816</v>
      </c>
      <c r="B3714" s="149" t="str">
        <f>IFERROR(VLOOKUP(Proc[[#This Row],[App]],Table2[],3,0),"open")</f>
        <v>ok</v>
      </c>
      <c r="C3714" s="138" t="s">
        <v>369</v>
      </c>
      <c r="D3714" t="s">
        <v>5834</v>
      </c>
      <c r="E3714" t="s">
        <v>5851</v>
      </c>
      <c r="F3714" s="129" t="s">
        <v>5851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4895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42</v>
      </c>
      <c r="R3714" s="131" t="s">
        <v>489</v>
      </c>
      <c r="S3714" s="129"/>
    </row>
    <row r="3715" spans="1:19" hidden="1">
      <c r="A3715" s="135" t="s">
        <v>5816</v>
      </c>
      <c r="B3715" s="149" t="str">
        <f>IFERROR(VLOOKUP(Proc[[#This Row],[App]],Table2[],3,0),"open")</f>
        <v>ok</v>
      </c>
      <c r="C3715" s="138" t="s">
        <v>369</v>
      </c>
      <c r="D3715" t="s">
        <v>5835</v>
      </c>
      <c r="E3715" t="s">
        <v>5851</v>
      </c>
      <c r="F3715" s="129" t="s">
        <v>5851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4895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42</v>
      </c>
      <c r="R3715" s="131" t="s">
        <v>489</v>
      </c>
      <c r="S3715" s="129"/>
    </row>
    <row r="3716" spans="1:19" hidden="1">
      <c r="A3716" s="135" t="s">
        <v>5816</v>
      </c>
      <c r="B3716" s="149" t="str">
        <f>IFERROR(VLOOKUP(Proc[[#This Row],[App]],Table2[],3,0),"open")</f>
        <v>ok</v>
      </c>
      <c r="C3716" s="138" t="s">
        <v>369</v>
      </c>
      <c r="D3716" t="s">
        <v>5836</v>
      </c>
      <c r="E3716" t="s">
        <v>5852</v>
      </c>
      <c r="F3716" s="129" t="s">
        <v>5852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4895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42</v>
      </c>
      <c r="R3716" s="131" t="s">
        <v>489</v>
      </c>
      <c r="S3716" s="129"/>
    </row>
    <row r="3717" spans="1:19" hidden="1">
      <c r="A3717" s="135" t="s">
        <v>5816</v>
      </c>
      <c r="B3717" s="149" t="str">
        <f>IFERROR(VLOOKUP(Proc[[#This Row],[App]],Table2[],3,0),"open")</f>
        <v>ok</v>
      </c>
      <c r="C3717" s="138" t="s">
        <v>369</v>
      </c>
      <c r="D3717" t="s">
        <v>5837</v>
      </c>
      <c r="E3717" t="s">
        <v>5853</v>
      </c>
      <c r="F3717" s="129" t="s">
        <v>5853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4895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42</v>
      </c>
      <c r="R3717" s="131" t="s">
        <v>489</v>
      </c>
      <c r="S3717" s="129"/>
    </row>
    <row r="3718" spans="1:19" hidden="1">
      <c r="A3718" s="135" t="s">
        <v>5816</v>
      </c>
      <c r="B3718" s="149" t="str">
        <f>IFERROR(VLOOKUP(Proc[[#This Row],[App]],Table2[],3,0),"open")</f>
        <v>ok</v>
      </c>
      <c r="C3718" s="138" t="s">
        <v>369</v>
      </c>
      <c r="D3718" t="s">
        <v>5838</v>
      </c>
      <c r="E3718" t="s">
        <v>5851</v>
      </c>
      <c r="F3718" s="129" t="s">
        <v>5851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4895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42</v>
      </c>
      <c r="R3718" s="131" t="s">
        <v>489</v>
      </c>
      <c r="S3718" s="129"/>
    </row>
    <row r="3719" spans="1:19" hidden="1">
      <c r="A3719" s="135" t="s">
        <v>5816</v>
      </c>
      <c r="B3719" s="149" t="str">
        <f>IFERROR(VLOOKUP(Proc[[#This Row],[App]],Table2[],3,0),"open")</f>
        <v>ok</v>
      </c>
      <c r="C3719" s="138" t="s">
        <v>369</v>
      </c>
      <c r="D3719" t="s">
        <v>5839</v>
      </c>
      <c r="E3719" t="s">
        <v>5851</v>
      </c>
      <c r="F3719" s="129" t="s">
        <v>5851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4895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42</v>
      </c>
      <c r="R3719" s="131" t="s">
        <v>489</v>
      </c>
      <c r="S3719" s="129"/>
    </row>
    <row r="3720" spans="1:19" hidden="1">
      <c r="A3720" s="135" t="s">
        <v>5816</v>
      </c>
      <c r="B3720" s="149" t="str">
        <f>IFERROR(VLOOKUP(Proc[[#This Row],[App]],Table2[],3,0),"open")</f>
        <v>ok</v>
      </c>
      <c r="C3720" s="138" t="s">
        <v>369</v>
      </c>
      <c r="D3720" t="s">
        <v>5829</v>
      </c>
      <c r="E3720" t="s">
        <v>5851</v>
      </c>
      <c r="F3720" s="129" t="s">
        <v>5851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4895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42</v>
      </c>
      <c r="R3720" s="131" t="s">
        <v>489</v>
      </c>
      <c r="S3720" s="129"/>
    </row>
    <row r="3721" spans="1:19" hidden="1">
      <c r="A3721" s="135" t="s">
        <v>5816</v>
      </c>
      <c r="B3721" s="149" t="str">
        <f>IFERROR(VLOOKUP(Proc[[#This Row],[App]],Table2[],3,0),"open")</f>
        <v>ok</v>
      </c>
      <c r="C3721" s="138" t="s">
        <v>369</v>
      </c>
      <c r="D3721" t="s">
        <v>5840</v>
      </c>
      <c r="E3721" t="s">
        <v>5851</v>
      </c>
      <c r="F3721" s="129" t="s">
        <v>5851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4895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42</v>
      </c>
      <c r="R3721" s="131" t="s">
        <v>489</v>
      </c>
      <c r="S3721" s="129"/>
    </row>
    <row r="3722" spans="1:19" hidden="1">
      <c r="A3722" s="135" t="s">
        <v>5816</v>
      </c>
      <c r="B3722" s="149" t="str">
        <f>IFERROR(VLOOKUP(Proc[[#This Row],[App]],Table2[],3,0),"open")</f>
        <v>ok</v>
      </c>
      <c r="C3722" s="138" t="s">
        <v>369</v>
      </c>
      <c r="D3722" t="s">
        <v>5841</v>
      </c>
      <c r="E3722" t="s">
        <v>5851</v>
      </c>
      <c r="F3722" s="129" t="s">
        <v>5851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4895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42</v>
      </c>
      <c r="R3722" s="131" t="s">
        <v>489</v>
      </c>
      <c r="S3722" s="129"/>
    </row>
    <row r="3723" spans="1:19" hidden="1">
      <c r="A3723" s="135" t="s">
        <v>5816</v>
      </c>
      <c r="B3723" s="149" t="str">
        <f>IFERROR(VLOOKUP(Proc[[#This Row],[App]],Table2[],3,0),"open")</f>
        <v>ok</v>
      </c>
      <c r="C3723" s="138" t="s">
        <v>369</v>
      </c>
      <c r="D3723" t="s">
        <v>5831</v>
      </c>
      <c r="E3723" t="s">
        <v>5851</v>
      </c>
      <c r="F3723" s="129" t="s">
        <v>5851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4895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42</v>
      </c>
      <c r="R3723" s="131" t="s">
        <v>489</v>
      </c>
      <c r="S3723" s="129"/>
    </row>
    <row r="3724" spans="1:19" hidden="1">
      <c r="A3724" s="135" t="s">
        <v>5816</v>
      </c>
      <c r="B3724" s="149" t="str">
        <f>IFERROR(VLOOKUP(Proc[[#This Row],[App]],Table2[],3,0),"open")</f>
        <v>ok</v>
      </c>
      <c r="C3724" s="138" t="s">
        <v>369</v>
      </c>
      <c r="D3724" t="s">
        <v>5842</v>
      </c>
      <c r="E3724" t="s">
        <v>5851</v>
      </c>
      <c r="F3724" s="129" t="s">
        <v>5851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4895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42</v>
      </c>
      <c r="R3724" s="131" t="s">
        <v>489</v>
      </c>
      <c r="S3724" s="129"/>
    </row>
    <row r="3725" spans="1:19" hidden="1">
      <c r="A3725" s="135" t="s">
        <v>5816</v>
      </c>
      <c r="B3725" s="149" t="str">
        <f>IFERROR(VLOOKUP(Proc[[#This Row],[App]],Table2[],3,0),"open")</f>
        <v>ok</v>
      </c>
      <c r="C3725" s="138" t="s">
        <v>369</v>
      </c>
      <c r="D3725" t="s">
        <v>5821</v>
      </c>
      <c r="E3725" t="s">
        <v>5851</v>
      </c>
      <c r="F3725" s="129" t="s">
        <v>5851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4895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42</v>
      </c>
      <c r="R3725" s="131" t="s">
        <v>489</v>
      </c>
      <c r="S3725" s="129"/>
    </row>
    <row r="3726" spans="1:19" hidden="1">
      <c r="A3726" s="135" t="s">
        <v>5816</v>
      </c>
      <c r="B3726" s="149" t="str">
        <f>IFERROR(VLOOKUP(Proc[[#This Row],[App]],Table2[],3,0),"open")</f>
        <v>ok</v>
      </c>
      <c r="C3726" s="138" t="s">
        <v>369</v>
      </c>
      <c r="D3726" t="s">
        <v>5843</v>
      </c>
      <c r="E3726" t="s">
        <v>5851</v>
      </c>
      <c r="F3726" s="129" t="s">
        <v>5851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4895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42</v>
      </c>
      <c r="R3726" s="131" t="s">
        <v>489</v>
      </c>
      <c r="S3726" s="129"/>
    </row>
    <row r="3727" spans="1:19" hidden="1">
      <c r="A3727" s="135" t="s">
        <v>5816</v>
      </c>
      <c r="B3727" s="149" t="str">
        <f>IFERROR(VLOOKUP(Proc[[#This Row],[App]],Table2[],3,0),"open")</f>
        <v>ok</v>
      </c>
      <c r="C3727" s="138" t="s">
        <v>369</v>
      </c>
      <c r="D3727" t="s">
        <v>5844</v>
      </c>
      <c r="E3727" t="s">
        <v>5851</v>
      </c>
      <c r="F3727" s="129" t="s">
        <v>5851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4895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42</v>
      </c>
      <c r="R3727" s="131" t="s">
        <v>489</v>
      </c>
      <c r="S3727" s="129"/>
    </row>
    <row r="3728" spans="1:19" hidden="1">
      <c r="A3728" s="135" t="s">
        <v>5816</v>
      </c>
      <c r="B3728" s="149" t="str">
        <f>IFERROR(VLOOKUP(Proc[[#This Row],[App]],Table2[],3,0),"open")</f>
        <v>ok</v>
      </c>
      <c r="C3728" s="138" t="s">
        <v>369</v>
      </c>
      <c r="D3728" t="s">
        <v>5845</v>
      </c>
      <c r="E3728" t="s">
        <v>5854</v>
      </c>
      <c r="F3728" s="129" t="s">
        <v>5854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4895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42</v>
      </c>
      <c r="R3728" s="131" t="s">
        <v>489</v>
      </c>
      <c r="S3728" s="129"/>
    </row>
    <row r="3729" spans="1:19" hidden="1">
      <c r="A3729" s="135" t="s">
        <v>5816</v>
      </c>
      <c r="B3729" s="149" t="str">
        <f>IFERROR(VLOOKUP(Proc[[#This Row],[App]],Table2[],3,0),"open")</f>
        <v>ok</v>
      </c>
      <c r="C3729" s="138" t="s">
        <v>369</v>
      </c>
      <c r="D3729" t="s">
        <v>5846</v>
      </c>
      <c r="E3729" t="s">
        <v>5851</v>
      </c>
      <c r="F3729" s="129" t="s">
        <v>5851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4895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42</v>
      </c>
      <c r="R3729" s="131" t="s">
        <v>489</v>
      </c>
      <c r="S3729" s="129"/>
    </row>
    <row r="3730" spans="1:19" hidden="1">
      <c r="A3730" s="135" t="s">
        <v>5816</v>
      </c>
      <c r="B3730" s="149" t="str">
        <f>IFERROR(VLOOKUP(Proc[[#This Row],[App]],Table2[],3,0),"open")</f>
        <v>ok</v>
      </c>
      <c r="C3730" s="138" t="s">
        <v>369</v>
      </c>
      <c r="D3730" t="s">
        <v>5847</v>
      </c>
      <c r="E3730" t="s">
        <v>5855</v>
      </c>
      <c r="F3730" s="129" t="s">
        <v>5855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4895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42</v>
      </c>
      <c r="R3730" s="131" t="s">
        <v>489</v>
      </c>
      <c r="S3730" s="129"/>
    </row>
    <row r="3731" spans="1:19" hidden="1">
      <c r="A3731" s="135" t="s">
        <v>5816</v>
      </c>
      <c r="B3731" s="149" t="str">
        <f>IFERROR(VLOOKUP(Proc[[#This Row],[App]],Table2[],3,0),"open")</f>
        <v>ok</v>
      </c>
      <c r="C3731" s="138" t="s">
        <v>369</v>
      </c>
      <c r="D3731" t="s">
        <v>5848</v>
      </c>
      <c r="E3731" t="s">
        <v>5855</v>
      </c>
      <c r="F3731" s="129" t="s">
        <v>5855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4895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42</v>
      </c>
      <c r="R3731" s="131" t="s">
        <v>489</v>
      </c>
      <c r="S3731" s="129"/>
    </row>
    <row r="3732" spans="1:19" hidden="1">
      <c r="A3732" t="s">
        <v>5856</v>
      </c>
      <c r="B3732" s="149" t="str">
        <f>IFERROR(VLOOKUP(Proc[[#This Row],[App]],Table2[],3,0),"open")</f>
        <v>ok</v>
      </c>
      <c r="C3732" s="135" t="s">
        <v>369</v>
      </c>
      <c r="D3732" s="45" t="s">
        <v>5757</v>
      </c>
      <c r="E3732" t="s">
        <v>5271</v>
      </c>
      <c r="F3732" s="129" t="s">
        <v>5271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4895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42</v>
      </c>
      <c r="R3732" s="131" t="s">
        <v>489</v>
      </c>
      <c r="S3732" s="129"/>
    </row>
    <row r="3733" spans="1:19" hidden="1">
      <c r="A3733" s="135" t="s">
        <v>5856</v>
      </c>
      <c r="B3733" s="149" t="str">
        <f>IFERROR(VLOOKUP(Proc[[#This Row],[App]],Table2[],3,0),"open")</f>
        <v>ok</v>
      </c>
      <c r="C3733" s="135" t="s">
        <v>369</v>
      </c>
      <c r="D3733" s="45" t="s">
        <v>5759</v>
      </c>
      <c r="E3733" t="s">
        <v>5271</v>
      </c>
      <c r="F3733" s="129" t="s">
        <v>5271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4895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42</v>
      </c>
      <c r="R3733" s="131" t="s">
        <v>489</v>
      </c>
      <c r="S3733" s="129"/>
    </row>
    <row r="3734" spans="1:19" hidden="1">
      <c r="A3734" t="s">
        <v>5857</v>
      </c>
      <c r="B3734" s="149" t="str">
        <f>IFERROR(VLOOKUP(Proc[[#This Row],[App]],Table2[],3,0),"open")</f>
        <v>ok</v>
      </c>
      <c r="C3734" s="138" t="s">
        <v>369</v>
      </c>
      <c r="D3734" t="s">
        <v>5858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4895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42</v>
      </c>
      <c r="R3734" s="136" t="s">
        <v>1013</v>
      </c>
      <c r="S3734" s="129"/>
    </row>
    <row r="3735" spans="1:19" hidden="1">
      <c r="A3735" s="135" t="s">
        <v>5857</v>
      </c>
      <c r="B3735" s="149" t="str">
        <f>IFERROR(VLOOKUP(Proc[[#This Row],[App]],Table2[],3,0),"open")</f>
        <v>ok</v>
      </c>
      <c r="C3735" s="138" t="s">
        <v>369</v>
      </c>
      <c r="D3735" t="s">
        <v>5859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4895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42</v>
      </c>
      <c r="R3735" s="136" t="s">
        <v>1013</v>
      </c>
      <c r="S3735" s="129"/>
    </row>
    <row r="3736" spans="1:19" hidden="1">
      <c r="A3736" s="135" t="s">
        <v>5857</v>
      </c>
      <c r="B3736" s="149" t="str">
        <f>IFERROR(VLOOKUP(Proc[[#This Row],[App]],Table2[],3,0),"open")</f>
        <v>ok</v>
      </c>
      <c r="C3736" s="138" t="s">
        <v>369</v>
      </c>
      <c r="D3736" t="s">
        <v>5860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4895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42</v>
      </c>
      <c r="R3736" s="136" t="s">
        <v>1013</v>
      </c>
      <c r="S3736" s="129"/>
    </row>
    <row r="3737" spans="1:19" hidden="1">
      <c r="A3737" s="135" t="s">
        <v>5857</v>
      </c>
      <c r="B3737" s="149" t="str">
        <f>IFERROR(VLOOKUP(Proc[[#This Row],[App]],Table2[],3,0),"open")</f>
        <v>ok</v>
      </c>
      <c r="C3737" s="138" t="s">
        <v>369</v>
      </c>
      <c r="D3737" t="s">
        <v>5861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4895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42</v>
      </c>
      <c r="R3737" s="136" t="s">
        <v>1013</v>
      </c>
      <c r="S3737" s="129"/>
    </row>
    <row r="3738" spans="1:19" hidden="1">
      <c r="A3738" s="135" t="s">
        <v>5857</v>
      </c>
      <c r="B3738" s="149" t="str">
        <f>IFERROR(VLOOKUP(Proc[[#This Row],[App]],Table2[],3,0),"open")</f>
        <v>ok</v>
      </c>
      <c r="C3738" s="138" t="s">
        <v>369</v>
      </c>
      <c r="D3738" t="s">
        <v>5862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4895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42</v>
      </c>
      <c r="R3738" s="136" t="s">
        <v>1013</v>
      </c>
      <c r="S3738" s="129"/>
    </row>
    <row r="3739" spans="1:19" hidden="1">
      <c r="A3739" s="135" t="s">
        <v>5857</v>
      </c>
      <c r="B3739" s="149" t="str">
        <f>IFERROR(VLOOKUP(Proc[[#This Row],[App]],Table2[],3,0),"open")</f>
        <v>ok</v>
      </c>
      <c r="C3739" s="138" t="s">
        <v>369</v>
      </c>
      <c r="D3739" t="s">
        <v>5863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4895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42</v>
      </c>
      <c r="R3739" s="136" t="s">
        <v>1013</v>
      </c>
      <c r="S3739" s="129"/>
    </row>
    <row r="3740" spans="1:19" hidden="1">
      <c r="A3740" s="135" t="s">
        <v>5857</v>
      </c>
      <c r="B3740" s="149" t="str">
        <f>IFERROR(VLOOKUP(Proc[[#This Row],[App]],Table2[],3,0),"open")</f>
        <v>ok</v>
      </c>
      <c r="C3740" s="138" t="s">
        <v>369</v>
      </c>
      <c r="D3740" t="s">
        <v>5864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4895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42</v>
      </c>
      <c r="R3740" s="136" t="s">
        <v>1013</v>
      </c>
      <c r="S3740" s="129"/>
    </row>
    <row r="3741" spans="1:19" hidden="1">
      <c r="A3741" s="135" t="s">
        <v>5857</v>
      </c>
      <c r="B3741" s="149" t="str">
        <f>IFERROR(VLOOKUP(Proc[[#This Row],[App]],Table2[],3,0),"open")</f>
        <v>ok</v>
      </c>
      <c r="C3741" s="138" t="s">
        <v>369</v>
      </c>
      <c r="D3741" t="s">
        <v>5865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4895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42</v>
      </c>
      <c r="R3741" s="136" t="s">
        <v>1013</v>
      </c>
      <c r="S3741" s="129"/>
    </row>
    <row r="3742" spans="1:19" hidden="1">
      <c r="A3742" s="135" t="s">
        <v>5857</v>
      </c>
      <c r="B3742" s="149" t="str">
        <f>IFERROR(VLOOKUP(Proc[[#This Row],[App]],Table2[],3,0),"open")</f>
        <v>ok</v>
      </c>
      <c r="C3742" s="138" t="s">
        <v>369</v>
      </c>
      <c r="D3742" t="s">
        <v>5866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4895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42</v>
      </c>
      <c r="R3742" s="136" t="s">
        <v>1013</v>
      </c>
      <c r="S3742" s="129"/>
    </row>
    <row r="3743" spans="1:19" hidden="1">
      <c r="A3743" s="135" t="s">
        <v>5857</v>
      </c>
      <c r="B3743" s="149" t="str">
        <f>IFERROR(VLOOKUP(Proc[[#This Row],[App]],Table2[],3,0),"open")</f>
        <v>ok</v>
      </c>
      <c r="C3743" s="138" t="s">
        <v>369</v>
      </c>
      <c r="D3743" t="s">
        <v>5867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4895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42</v>
      </c>
      <c r="R3743" s="136" t="s">
        <v>1013</v>
      </c>
      <c r="S3743" s="129"/>
    </row>
    <row r="3744" spans="1:19" hidden="1">
      <c r="A3744" s="135" t="s">
        <v>5857</v>
      </c>
      <c r="B3744" s="149" t="str">
        <f>IFERROR(VLOOKUP(Proc[[#This Row],[App]],Table2[],3,0),"open")</f>
        <v>ok</v>
      </c>
      <c r="C3744" s="138" t="s">
        <v>369</v>
      </c>
      <c r="D3744" t="s">
        <v>5868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4895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42</v>
      </c>
      <c r="R3744" s="136" t="s">
        <v>1013</v>
      </c>
      <c r="S3744" s="129"/>
    </row>
    <row r="3745" spans="1:19" hidden="1">
      <c r="A3745" s="135" t="s">
        <v>5857</v>
      </c>
      <c r="B3745" s="149" t="str">
        <f>IFERROR(VLOOKUP(Proc[[#This Row],[App]],Table2[],3,0),"open")</f>
        <v>ok</v>
      </c>
      <c r="C3745" s="138" t="s">
        <v>369</v>
      </c>
      <c r="D3745" t="s">
        <v>5869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4895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42</v>
      </c>
      <c r="R3745" s="136" t="s">
        <v>1013</v>
      </c>
      <c r="S3745" s="129"/>
    </row>
    <row r="3746" spans="1:19" hidden="1">
      <c r="A3746" s="135" t="s">
        <v>5857</v>
      </c>
      <c r="B3746" s="149" t="str">
        <f>IFERROR(VLOOKUP(Proc[[#This Row],[App]],Table2[],3,0),"open")</f>
        <v>ok</v>
      </c>
      <c r="C3746" s="138" t="s">
        <v>369</v>
      </c>
      <c r="D3746" t="s">
        <v>5870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4895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42</v>
      </c>
      <c r="R3746" s="136" t="s">
        <v>1013</v>
      </c>
      <c r="S3746" s="129"/>
    </row>
    <row r="3747" spans="1:19" hidden="1">
      <c r="A3747" s="135" t="s">
        <v>5857</v>
      </c>
      <c r="B3747" s="149" t="str">
        <f>IFERROR(VLOOKUP(Proc[[#This Row],[App]],Table2[],3,0),"open")</f>
        <v>ok</v>
      </c>
      <c r="C3747" s="138" t="s">
        <v>369</v>
      </c>
      <c r="D3747" t="s">
        <v>5871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4895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42</v>
      </c>
      <c r="R3747" s="136" t="s">
        <v>1013</v>
      </c>
      <c r="S3747" s="129"/>
    </row>
    <row r="3748" spans="1:19" hidden="1">
      <c r="A3748" s="135" t="s">
        <v>5857</v>
      </c>
      <c r="B3748" s="149" t="str">
        <f>IFERROR(VLOOKUP(Proc[[#This Row],[App]],Table2[],3,0),"open")</f>
        <v>ok</v>
      </c>
      <c r="C3748" s="138" t="s">
        <v>369</v>
      </c>
      <c r="D3748" t="s">
        <v>5872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4895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42</v>
      </c>
      <c r="R3748" s="136" t="s">
        <v>1013</v>
      </c>
      <c r="S3748" s="129"/>
    </row>
    <row r="3749" spans="1:19" hidden="1">
      <c r="A3749" s="135" t="s">
        <v>5857</v>
      </c>
      <c r="B3749" s="149" t="str">
        <f>IFERROR(VLOOKUP(Proc[[#This Row],[App]],Table2[],3,0),"open")</f>
        <v>ok</v>
      </c>
      <c r="C3749" s="138" t="s">
        <v>369</v>
      </c>
      <c r="D3749" t="s">
        <v>5873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4895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42</v>
      </c>
      <c r="R3749" s="136" t="s">
        <v>1013</v>
      </c>
      <c r="S3749" s="129"/>
    </row>
    <row r="3750" spans="1:19" hidden="1">
      <c r="A3750" s="135" t="s">
        <v>5857</v>
      </c>
      <c r="B3750" s="149" t="str">
        <f>IFERROR(VLOOKUP(Proc[[#This Row],[App]],Table2[],3,0),"open")</f>
        <v>ok</v>
      </c>
      <c r="C3750" s="138" t="s">
        <v>369</v>
      </c>
      <c r="D3750" t="s">
        <v>5874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4895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42</v>
      </c>
      <c r="R3750" s="136" t="s">
        <v>1013</v>
      </c>
      <c r="S3750" s="129"/>
    </row>
    <row r="3751" spans="1:19" hidden="1">
      <c r="A3751" s="135" t="s">
        <v>5857</v>
      </c>
      <c r="B3751" s="149" t="str">
        <f>IFERROR(VLOOKUP(Proc[[#This Row],[App]],Table2[],3,0),"open")</f>
        <v>ok</v>
      </c>
      <c r="C3751" s="138" t="s">
        <v>369</v>
      </c>
      <c r="D3751" t="s">
        <v>5875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4895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42</v>
      </c>
      <c r="R3751" s="136" t="s">
        <v>1013</v>
      </c>
      <c r="S3751" s="129"/>
    </row>
    <row r="3752" spans="1:19" hidden="1">
      <c r="A3752" s="135" t="s">
        <v>5857</v>
      </c>
      <c r="B3752" s="149" t="str">
        <f>IFERROR(VLOOKUP(Proc[[#This Row],[App]],Table2[],3,0),"open")</f>
        <v>ok</v>
      </c>
      <c r="C3752" s="138" t="s">
        <v>369</v>
      </c>
      <c r="D3752" t="s">
        <v>5876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4895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42</v>
      </c>
      <c r="R3752" s="136" t="s">
        <v>1013</v>
      </c>
      <c r="S3752" s="129"/>
    </row>
    <row r="3753" spans="1:19" hidden="1">
      <c r="A3753" s="135" t="s">
        <v>5857</v>
      </c>
      <c r="B3753" s="149" t="str">
        <f>IFERROR(VLOOKUP(Proc[[#This Row],[App]],Table2[],3,0),"open")</f>
        <v>ok</v>
      </c>
      <c r="C3753" s="138" t="s">
        <v>369</v>
      </c>
      <c r="D3753" t="s">
        <v>5877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4895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42</v>
      </c>
      <c r="R3753" s="136" t="s">
        <v>1013</v>
      </c>
      <c r="S3753" s="129"/>
    </row>
    <row r="3754" spans="1:19" hidden="1">
      <c r="A3754" s="135" t="s">
        <v>5857</v>
      </c>
      <c r="B3754" s="149" t="str">
        <f>IFERROR(VLOOKUP(Proc[[#This Row],[App]],Table2[],3,0),"open")</f>
        <v>ok</v>
      </c>
      <c r="C3754" s="138" t="s">
        <v>369</v>
      </c>
      <c r="D3754" t="s">
        <v>5878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4895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42</v>
      </c>
      <c r="R3754" s="136" t="s">
        <v>1013</v>
      </c>
      <c r="S3754" s="129"/>
    </row>
    <row r="3755" spans="1:19" hidden="1">
      <c r="A3755" s="135" t="s">
        <v>5857</v>
      </c>
      <c r="B3755" s="149" t="str">
        <f>IFERROR(VLOOKUP(Proc[[#This Row],[App]],Table2[],3,0),"open")</f>
        <v>ok</v>
      </c>
      <c r="C3755" s="138" t="s">
        <v>369</v>
      </c>
      <c r="D3755" t="s">
        <v>5879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4895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42</v>
      </c>
      <c r="R3755" s="136" t="s">
        <v>1013</v>
      </c>
      <c r="S3755" s="129"/>
    </row>
    <row r="3756" spans="1:19" hidden="1">
      <c r="A3756" s="135" t="s">
        <v>5857</v>
      </c>
      <c r="B3756" s="149" t="str">
        <f>IFERROR(VLOOKUP(Proc[[#This Row],[App]],Table2[],3,0),"open")</f>
        <v>ok</v>
      </c>
      <c r="C3756" s="138" t="s">
        <v>369</v>
      </c>
      <c r="D3756" t="s">
        <v>5880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4895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42</v>
      </c>
      <c r="R3756" s="136" t="s">
        <v>1013</v>
      </c>
      <c r="S3756" s="129"/>
    </row>
    <row r="3757" spans="1:19" hidden="1">
      <c r="A3757" s="135" t="s">
        <v>5857</v>
      </c>
      <c r="B3757" s="149" t="str">
        <f>IFERROR(VLOOKUP(Proc[[#This Row],[App]],Table2[],3,0),"open")</f>
        <v>ok</v>
      </c>
      <c r="C3757" s="138" t="s">
        <v>369</v>
      </c>
      <c r="D3757" t="s">
        <v>5881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4895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42</v>
      </c>
      <c r="R3757" s="136" t="s">
        <v>1013</v>
      </c>
      <c r="S3757" s="129"/>
    </row>
    <row r="3758" spans="1:19" hidden="1">
      <c r="A3758" s="135" t="s">
        <v>5857</v>
      </c>
      <c r="B3758" s="149" t="str">
        <f>IFERROR(VLOOKUP(Proc[[#This Row],[App]],Table2[],3,0),"open")</f>
        <v>ok</v>
      </c>
      <c r="C3758" s="138" t="s">
        <v>369</v>
      </c>
      <c r="D3758" t="s">
        <v>5882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4895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42</v>
      </c>
      <c r="R3758" s="136" t="s">
        <v>1013</v>
      </c>
      <c r="S3758" s="129"/>
    </row>
    <row r="3759" spans="1:19" hidden="1">
      <c r="A3759" s="135" t="s">
        <v>5857</v>
      </c>
      <c r="B3759" s="149" t="str">
        <f>IFERROR(VLOOKUP(Proc[[#This Row],[App]],Table2[],3,0),"open")</f>
        <v>ok</v>
      </c>
      <c r="C3759" s="138" t="s">
        <v>369</v>
      </c>
      <c r="D3759" t="s">
        <v>5883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4895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42</v>
      </c>
      <c r="R3759" s="136" t="s">
        <v>1013</v>
      </c>
      <c r="S3759" s="129"/>
    </row>
    <row r="3760" spans="1:19" hidden="1">
      <c r="A3760" s="135" t="s">
        <v>5857</v>
      </c>
      <c r="B3760" s="149" t="str">
        <f>IFERROR(VLOOKUP(Proc[[#This Row],[App]],Table2[],3,0),"open")</f>
        <v>ok</v>
      </c>
      <c r="C3760" s="138" t="s">
        <v>369</v>
      </c>
      <c r="D3760" t="s">
        <v>5884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4895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42</v>
      </c>
      <c r="R3760" s="136" t="s">
        <v>1013</v>
      </c>
      <c r="S3760" s="129"/>
    </row>
    <row r="3761" spans="1:19" hidden="1">
      <c r="A3761" s="135" t="s">
        <v>5857</v>
      </c>
      <c r="B3761" s="149" t="str">
        <f>IFERROR(VLOOKUP(Proc[[#This Row],[App]],Table2[],3,0),"open")</f>
        <v>ok</v>
      </c>
      <c r="C3761" s="138" t="s">
        <v>369</v>
      </c>
      <c r="D3761" t="s">
        <v>5885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4895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42</v>
      </c>
      <c r="R3761" s="136" t="s">
        <v>1013</v>
      </c>
      <c r="S3761" s="129"/>
    </row>
    <row r="3762" spans="1:19" hidden="1">
      <c r="A3762" s="135" t="s">
        <v>5857</v>
      </c>
      <c r="B3762" s="149" t="str">
        <f>IFERROR(VLOOKUP(Proc[[#This Row],[App]],Table2[],3,0),"open")</f>
        <v>ok</v>
      </c>
      <c r="C3762" s="138" t="s">
        <v>369</v>
      </c>
      <c r="D3762" t="s">
        <v>5886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4895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42</v>
      </c>
      <c r="R3762" s="136" t="s">
        <v>1013</v>
      </c>
      <c r="S3762" s="129"/>
    </row>
    <row r="3763" spans="1:19" hidden="1">
      <c r="A3763" s="135" t="s">
        <v>5857</v>
      </c>
      <c r="B3763" s="149" t="str">
        <f>IFERROR(VLOOKUP(Proc[[#This Row],[App]],Table2[],3,0),"open")</f>
        <v>ok</v>
      </c>
      <c r="C3763" s="138" t="s">
        <v>369</v>
      </c>
      <c r="D3763" t="s">
        <v>5887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4895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42</v>
      </c>
      <c r="R3763" s="136" t="s">
        <v>1013</v>
      </c>
      <c r="S3763" s="129"/>
    </row>
    <row r="3764" spans="1:19" hidden="1">
      <c r="A3764" s="135" t="s">
        <v>5857</v>
      </c>
      <c r="B3764" s="149" t="str">
        <f>IFERROR(VLOOKUP(Proc[[#This Row],[App]],Table2[],3,0),"open")</f>
        <v>ok</v>
      </c>
      <c r="C3764" s="138" t="s">
        <v>369</v>
      </c>
      <c r="D3764" t="s">
        <v>5888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4895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42</v>
      </c>
      <c r="R3764" s="136" t="s">
        <v>1013</v>
      </c>
      <c r="S3764" s="129"/>
    </row>
    <row r="3765" spans="1:19" hidden="1">
      <c r="A3765" s="135" t="s">
        <v>5857</v>
      </c>
      <c r="B3765" s="149" t="str">
        <f>IFERROR(VLOOKUP(Proc[[#This Row],[App]],Table2[],3,0),"open")</f>
        <v>ok</v>
      </c>
      <c r="C3765" s="138" t="s">
        <v>369</v>
      </c>
      <c r="D3765" t="s">
        <v>5889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4895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42</v>
      </c>
      <c r="R3765" s="136" t="s">
        <v>1013</v>
      </c>
      <c r="S3765" s="129"/>
    </row>
    <row r="3766" spans="1:19" hidden="1">
      <c r="A3766" s="135" t="s">
        <v>5857</v>
      </c>
      <c r="B3766" s="149" t="str">
        <f>IFERROR(VLOOKUP(Proc[[#This Row],[App]],Table2[],3,0),"open")</f>
        <v>ok</v>
      </c>
      <c r="C3766" s="138" t="s">
        <v>369</v>
      </c>
      <c r="D3766" t="s">
        <v>5890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4895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42</v>
      </c>
      <c r="R3766" s="136" t="s">
        <v>1013</v>
      </c>
      <c r="S3766" s="129"/>
    </row>
    <row r="3767" spans="1:19" hidden="1">
      <c r="A3767" s="135" t="s">
        <v>5857</v>
      </c>
      <c r="B3767" s="149" t="str">
        <f>IFERROR(VLOOKUP(Proc[[#This Row],[App]],Table2[],3,0),"open")</f>
        <v>ok</v>
      </c>
      <c r="C3767" s="138" t="s">
        <v>369</v>
      </c>
      <c r="D3767" t="s">
        <v>5891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4895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42</v>
      </c>
      <c r="R3767" s="136" t="s">
        <v>1013</v>
      </c>
      <c r="S3767" s="129"/>
    </row>
    <row r="3768" spans="1:19" hidden="1">
      <c r="A3768" s="135" t="s">
        <v>5857</v>
      </c>
      <c r="B3768" s="149" t="str">
        <f>IFERROR(VLOOKUP(Proc[[#This Row],[App]],Table2[],3,0),"open")</f>
        <v>ok</v>
      </c>
      <c r="C3768" s="138" t="s">
        <v>369</v>
      </c>
      <c r="D3768" t="s">
        <v>5892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4895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42</v>
      </c>
      <c r="R3768" s="136" t="s">
        <v>1013</v>
      </c>
      <c r="S3768" s="129"/>
    </row>
    <row r="3769" spans="1:19" hidden="1">
      <c r="A3769" s="135" t="s">
        <v>5857</v>
      </c>
      <c r="B3769" s="149" t="str">
        <f>IFERROR(VLOOKUP(Proc[[#This Row],[App]],Table2[],3,0),"open")</f>
        <v>ok</v>
      </c>
      <c r="C3769" s="138" t="s">
        <v>369</v>
      </c>
      <c r="D3769" t="s">
        <v>5893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4895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42</v>
      </c>
      <c r="R3769" s="136" t="s">
        <v>1013</v>
      </c>
      <c r="S3769" s="129"/>
    </row>
    <row r="3770" spans="1:19" hidden="1">
      <c r="A3770" s="135" t="s">
        <v>5857</v>
      </c>
      <c r="B3770" s="149" t="str">
        <f>IFERROR(VLOOKUP(Proc[[#This Row],[App]],Table2[],3,0),"open")</f>
        <v>ok</v>
      </c>
      <c r="C3770" s="138" t="s">
        <v>369</v>
      </c>
      <c r="D3770" t="s">
        <v>5894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4895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42</v>
      </c>
      <c r="R3770" s="136" t="s">
        <v>1013</v>
      </c>
      <c r="S3770" s="129"/>
    </row>
    <row r="3771" spans="1:19" hidden="1">
      <c r="A3771" s="135" t="s">
        <v>5857</v>
      </c>
      <c r="B3771" s="149" t="str">
        <f>IFERROR(VLOOKUP(Proc[[#This Row],[App]],Table2[],3,0),"open")</f>
        <v>ok</v>
      </c>
      <c r="C3771" s="138" t="s">
        <v>369</v>
      </c>
      <c r="D3771" t="s">
        <v>5895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4895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42</v>
      </c>
      <c r="R3771" s="136" t="s">
        <v>1013</v>
      </c>
      <c r="S3771" s="129"/>
    </row>
    <row r="3772" spans="1:19" hidden="1">
      <c r="A3772" s="135" t="s">
        <v>5857</v>
      </c>
      <c r="B3772" s="149" t="str">
        <f>IFERROR(VLOOKUP(Proc[[#This Row],[App]],Table2[],3,0),"open")</f>
        <v>ok</v>
      </c>
      <c r="C3772" s="138" t="s">
        <v>369</v>
      </c>
      <c r="D3772" t="s">
        <v>5896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4895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42</v>
      </c>
      <c r="R3772" s="136" t="s">
        <v>1013</v>
      </c>
      <c r="S3772" s="129"/>
    </row>
    <row r="3773" spans="1:19" hidden="1">
      <c r="A3773" s="135" t="s">
        <v>5857</v>
      </c>
      <c r="B3773" s="149" t="str">
        <f>IFERROR(VLOOKUP(Proc[[#This Row],[App]],Table2[],3,0),"open")</f>
        <v>ok</v>
      </c>
      <c r="C3773" s="138" t="s">
        <v>369</v>
      </c>
      <c r="D3773" t="s">
        <v>5897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4895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42</v>
      </c>
      <c r="R3773" s="136" t="s">
        <v>1013</v>
      </c>
      <c r="S3773" s="129"/>
    </row>
    <row r="3774" spans="1:19" hidden="1">
      <c r="A3774" s="135" t="s">
        <v>5857</v>
      </c>
      <c r="B3774" s="149" t="str">
        <f>IFERROR(VLOOKUP(Proc[[#This Row],[App]],Table2[],3,0),"open")</f>
        <v>ok</v>
      </c>
      <c r="C3774" s="138" t="s">
        <v>369</v>
      </c>
      <c r="D3774" t="s">
        <v>5898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4895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42</v>
      </c>
      <c r="R3774" s="136" t="s">
        <v>1013</v>
      </c>
      <c r="S3774" s="129"/>
    </row>
    <row r="3775" spans="1:19" hidden="1">
      <c r="A3775" s="135" t="s">
        <v>5857</v>
      </c>
      <c r="B3775" s="149" t="str">
        <f>IFERROR(VLOOKUP(Proc[[#This Row],[App]],Table2[],3,0),"open")</f>
        <v>ok</v>
      </c>
      <c r="C3775" s="138" t="s">
        <v>369</v>
      </c>
      <c r="D3775" t="s">
        <v>5899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4895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42</v>
      </c>
      <c r="R3775" s="136" t="s">
        <v>1013</v>
      </c>
      <c r="S3775" s="129"/>
    </row>
    <row r="3776" spans="1:19" hidden="1">
      <c r="A3776" s="135" t="s">
        <v>5857</v>
      </c>
      <c r="B3776" s="149" t="str">
        <f>IFERROR(VLOOKUP(Proc[[#This Row],[App]],Table2[],3,0),"open")</f>
        <v>ok</v>
      </c>
      <c r="C3776" s="138" t="s">
        <v>369</v>
      </c>
      <c r="D3776" t="s">
        <v>5900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4895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42</v>
      </c>
      <c r="R3776" s="136" t="s">
        <v>1013</v>
      </c>
      <c r="S3776" s="129"/>
    </row>
    <row r="3777" spans="1:19" hidden="1">
      <c r="A3777" s="135" t="s">
        <v>5857</v>
      </c>
      <c r="B3777" s="149" t="str">
        <f>IFERROR(VLOOKUP(Proc[[#This Row],[App]],Table2[],3,0),"open")</f>
        <v>ok</v>
      </c>
      <c r="C3777" s="138" t="s">
        <v>369</v>
      </c>
      <c r="D3777" t="s">
        <v>5901</v>
      </c>
      <c r="E3777" t="s">
        <v>5918</v>
      </c>
      <c r="F3777" s="129" t="s">
        <v>5918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4895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42</v>
      </c>
      <c r="R3777" s="136" t="s">
        <v>1013</v>
      </c>
      <c r="S3777" s="129"/>
    </row>
    <row r="3778" spans="1:19" hidden="1">
      <c r="A3778" s="135" t="s">
        <v>5857</v>
      </c>
      <c r="B3778" s="149" t="str">
        <f>IFERROR(VLOOKUP(Proc[[#This Row],[App]],Table2[],3,0),"open")</f>
        <v>ok</v>
      </c>
      <c r="C3778" s="138" t="s">
        <v>369</v>
      </c>
      <c r="D3778" t="s">
        <v>5902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4895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42</v>
      </c>
      <c r="R3778" s="136" t="s">
        <v>1013</v>
      </c>
      <c r="S3778" s="129"/>
    </row>
    <row r="3779" spans="1:19" hidden="1">
      <c r="A3779" s="135" t="s">
        <v>5857</v>
      </c>
      <c r="B3779" s="149" t="str">
        <f>IFERROR(VLOOKUP(Proc[[#This Row],[App]],Table2[],3,0),"open")</f>
        <v>ok</v>
      </c>
      <c r="C3779" s="138" t="s">
        <v>369</v>
      </c>
      <c r="D3779" t="s">
        <v>5903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4895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42</v>
      </c>
      <c r="R3779" s="136" t="s">
        <v>1013</v>
      </c>
      <c r="S3779" s="129"/>
    </row>
    <row r="3780" spans="1:19" hidden="1">
      <c r="A3780" s="135" t="s">
        <v>5857</v>
      </c>
      <c r="B3780" s="149" t="str">
        <f>IFERROR(VLOOKUP(Proc[[#This Row],[App]],Table2[],3,0),"open")</f>
        <v>ok</v>
      </c>
      <c r="C3780" s="138" t="s">
        <v>369</v>
      </c>
      <c r="D3780" t="s">
        <v>5904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4895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42</v>
      </c>
      <c r="R3780" s="136" t="s">
        <v>1013</v>
      </c>
      <c r="S3780" s="129"/>
    </row>
    <row r="3781" spans="1:19" hidden="1">
      <c r="A3781" s="135" t="s">
        <v>5857</v>
      </c>
      <c r="B3781" s="149" t="str">
        <f>IFERROR(VLOOKUP(Proc[[#This Row],[App]],Table2[],3,0),"open")</f>
        <v>ok</v>
      </c>
      <c r="C3781" s="138" t="s">
        <v>369</v>
      </c>
      <c r="D3781" t="s">
        <v>5905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4895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42</v>
      </c>
      <c r="R3781" s="136" t="s">
        <v>1013</v>
      </c>
      <c r="S3781" s="129"/>
    </row>
    <row r="3782" spans="1:19" hidden="1">
      <c r="A3782" s="135" t="s">
        <v>5857</v>
      </c>
      <c r="B3782" s="149" t="str">
        <f>IFERROR(VLOOKUP(Proc[[#This Row],[App]],Table2[],3,0),"open")</f>
        <v>ok</v>
      </c>
      <c r="C3782" s="138" t="s">
        <v>369</v>
      </c>
      <c r="D3782" t="s">
        <v>5906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4895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42</v>
      </c>
      <c r="R3782" s="136" t="s">
        <v>1013</v>
      </c>
      <c r="S3782" s="129"/>
    </row>
    <row r="3783" spans="1:19" hidden="1">
      <c r="A3783" s="135" t="s">
        <v>5857</v>
      </c>
      <c r="B3783" s="149" t="str">
        <f>IFERROR(VLOOKUP(Proc[[#This Row],[App]],Table2[],3,0),"open")</f>
        <v>ok</v>
      </c>
      <c r="C3783" s="138" t="s">
        <v>369</v>
      </c>
      <c r="D3783" t="s">
        <v>5907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4895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42</v>
      </c>
      <c r="R3783" s="136" t="s">
        <v>1013</v>
      </c>
      <c r="S3783" s="129"/>
    </row>
    <row r="3784" spans="1:19" hidden="1">
      <c r="A3784" s="135" t="s">
        <v>5857</v>
      </c>
      <c r="B3784" s="149" t="str">
        <f>IFERROR(VLOOKUP(Proc[[#This Row],[App]],Table2[],3,0),"open")</f>
        <v>ok</v>
      </c>
      <c r="C3784" s="138" t="s">
        <v>369</v>
      </c>
      <c r="D3784" t="s">
        <v>5908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4895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42</v>
      </c>
      <c r="R3784" s="136" t="s">
        <v>1013</v>
      </c>
      <c r="S3784" s="129"/>
    </row>
    <row r="3785" spans="1:19" hidden="1">
      <c r="A3785" s="135" t="s">
        <v>5857</v>
      </c>
      <c r="B3785" s="149" t="str">
        <f>IFERROR(VLOOKUP(Proc[[#This Row],[App]],Table2[],3,0),"open")</f>
        <v>ok</v>
      </c>
      <c r="C3785" s="138" t="s">
        <v>369</v>
      </c>
      <c r="D3785" t="s">
        <v>5909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4895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42</v>
      </c>
      <c r="R3785" s="136" t="s">
        <v>1013</v>
      </c>
      <c r="S3785" s="129"/>
    </row>
    <row r="3786" spans="1:19" hidden="1">
      <c r="A3786" s="135" t="s">
        <v>5857</v>
      </c>
      <c r="B3786" s="149" t="str">
        <f>IFERROR(VLOOKUP(Proc[[#This Row],[App]],Table2[],3,0),"open")</f>
        <v>ok</v>
      </c>
      <c r="C3786" s="138" t="s">
        <v>369</v>
      </c>
      <c r="D3786" t="s">
        <v>5910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4895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42</v>
      </c>
      <c r="R3786" s="136" t="s">
        <v>1013</v>
      </c>
      <c r="S3786" s="129"/>
    </row>
    <row r="3787" spans="1:19" hidden="1">
      <c r="A3787" s="135" t="s">
        <v>5857</v>
      </c>
      <c r="B3787" s="149" t="str">
        <f>IFERROR(VLOOKUP(Proc[[#This Row],[App]],Table2[],3,0),"open")</f>
        <v>ok</v>
      </c>
      <c r="C3787" s="138" t="s">
        <v>369</v>
      </c>
      <c r="D3787" t="s">
        <v>5911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4895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42</v>
      </c>
      <c r="R3787" s="136" t="s">
        <v>1013</v>
      </c>
      <c r="S3787" s="129"/>
    </row>
    <row r="3788" spans="1:19" hidden="1">
      <c r="A3788" s="135" t="s">
        <v>5857</v>
      </c>
      <c r="B3788" s="149" t="str">
        <f>IFERROR(VLOOKUP(Proc[[#This Row],[App]],Table2[],3,0),"open")</f>
        <v>ok</v>
      </c>
      <c r="C3788" s="138" t="s">
        <v>369</v>
      </c>
      <c r="D3788" t="s">
        <v>5912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4895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42</v>
      </c>
      <c r="R3788" s="136" t="s">
        <v>1013</v>
      </c>
      <c r="S3788" s="129"/>
    </row>
    <row r="3789" spans="1:19" hidden="1">
      <c r="A3789" s="135" t="s">
        <v>5857</v>
      </c>
      <c r="B3789" s="149" t="str">
        <f>IFERROR(VLOOKUP(Proc[[#This Row],[App]],Table2[],3,0),"open")</f>
        <v>ok</v>
      </c>
      <c r="C3789" s="138" t="s">
        <v>369</v>
      </c>
      <c r="D3789" t="s">
        <v>5913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4895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42</v>
      </c>
      <c r="R3789" s="136" t="s">
        <v>1013</v>
      </c>
      <c r="S3789" s="129"/>
    </row>
    <row r="3790" spans="1:19" hidden="1">
      <c r="A3790" s="135" t="s">
        <v>5857</v>
      </c>
      <c r="B3790" s="149" t="str">
        <f>IFERROR(VLOOKUP(Proc[[#This Row],[App]],Table2[],3,0),"open")</f>
        <v>ok</v>
      </c>
      <c r="C3790" s="138" t="s">
        <v>369</v>
      </c>
      <c r="D3790" t="s">
        <v>5914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4895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42</v>
      </c>
      <c r="R3790" s="136" t="s">
        <v>1013</v>
      </c>
      <c r="S3790" s="129"/>
    </row>
    <row r="3791" spans="1:19" hidden="1">
      <c r="A3791" s="135" t="s">
        <v>5857</v>
      </c>
      <c r="B3791" s="149" t="str">
        <f>IFERROR(VLOOKUP(Proc[[#This Row],[App]],Table2[],3,0),"open")</f>
        <v>ok</v>
      </c>
      <c r="C3791" s="138" t="s">
        <v>369</v>
      </c>
      <c r="D3791" t="s">
        <v>5915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4895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42</v>
      </c>
      <c r="R3791" s="136" t="s">
        <v>1013</v>
      </c>
      <c r="S3791" s="129"/>
    </row>
    <row r="3792" spans="1:19" hidden="1">
      <c r="A3792" s="135" t="s">
        <v>5857</v>
      </c>
      <c r="B3792" s="149" t="str">
        <f>IFERROR(VLOOKUP(Proc[[#This Row],[App]],Table2[],3,0),"open")</f>
        <v>ok</v>
      </c>
      <c r="C3792" s="138" t="s">
        <v>369</v>
      </c>
      <c r="D3792" t="s">
        <v>5916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4895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42</v>
      </c>
      <c r="R3792" s="136" t="s">
        <v>1013</v>
      </c>
      <c r="S3792" s="129"/>
    </row>
    <row r="3793" spans="1:19" hidden="1">
      <c r="A3793" s="135" t="s">
        <v>5857</v>
      </c>
      <c r="B3793" s="149" t="str">
        <f>IFERROR(VLOOKUP(Proc[[#This Row],[App]],Table2[],3,0),"open")</f>
        <v>ok</v>
      </c>
      <c r="C3793" s="138" t="s">
        <v>369</v>
      </c>
      <c r="D3793" t="s">
        <v>5917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4895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42</v>
      </c>
      <c r="R3793" s="136" t="s">
        <v>1013</v>
      </c>
      <c r="S3793" s="129"/>
    </row>
    <row r="3794" spans="1:19" hidden="1">
      <c r="A3794" s="135" t="s">
        <v>5919</v>
      </c>
      <c r="B3794" s="149" t="str">
        <f>IFERROR(VLOOKUP(Proc[[#This Row],[App]],Table2[],3,0),"open")</f>
        <v>ok</v>
      </c>
      <c r="C3794" s="138" t="s">
        <v>369</v>
      </c>
      <c r="D3794" s="135" t="s">
        <v>5924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4895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42</v>
      </c>
      <c r="R3794" s="136" t="s">
        <v>452</v>
      </c>
      <c r="S3794" s="129"/>
    </row>
    <row r="3795" spans="1:19" hidden="1">
      <c r="A3795" s="135" t="s">
        <v>5919</v>
      </c>
      <c r="B3795" s="149" t="str">
        <f>IFERROR(VLOOKUP(Proc[[#This Row],[App]],Table2[],3,0),"open")</f>
        <v>ok</v>
      </c>
      <c r="C3795" s="138" t="s">
        <v>369</v>
      </c>
      <c r="D3795" s="135" t="s">
        <v>5925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4895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42</v>
      </c>
      <c r="R3795" s="136" t="s">
        <v>452</v>
      </c>
      <c r="S3795" s="129"/>
    </row>
    <row r="3796" spans="1:19" hidden="1">
      <c r="A3796" s="135" t="s">
        <v>5919</v>
      </c>
      <c r="B3796" s="149" t="str">
        <f>IFERROR(VLOOKUP(Proc[[#This Row],[App]],Table2[],3,0),"open")</f>
        <v>ok</v>
      </c>
      <c r="C3796" s="138" t="s">
        <v>369</v>
      </c>
      <c r="D3796" s="135" t="s">
        <v>5926</v>
      </c>
      <c r="E3796" t="s">
        <v>5920</v>
      </c>
      <c r="F3796" s="129" t="s">
        <v>5920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4895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42</v>
      </c>
      <c r="R3796" s="136" t="s">
        <v>452</v>
      </c>
      <c r="S3796" s="129"/>
    </row>
    <row r="3797" spans="1:19" hidden="1">
      <c r="A3797" s="135" t="s">
        <v>5919</v>
      </c>
      <c r="B3797" s="149" t="str">
        <f>IFERROR(VLOOKUP(Proc[[#This Row],[App]],Table2[],3,0),"open")</f>
        <v>ok</v>
      </c>
      <c r="C3797" s="138" t="s">
        <v>369</v>
      </c>
      <c r="D3797" s="135" t="s">
        <v>5927</v>
      </c>
      <c r="E3797" t="s">
        <v>5920</v>
      </c>
      <c r="F3797" s="129" t="s">
        <v>5920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4895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42</v>
      </c>
      <c r="R3797" s="136" t="s">
        <v>452</v>
      </c>
      <c r="S3797" s="129"/>
    </row>
    <row r="3798" spans="1:19" hidden="1">
      <c r="A3798" s="135" t="s">
        <v>5919</v>
      </c>
      <c r="B3798" s="149" t="str">
        <f>IFERROR(VLOOKUP(Proc[[#This Row],[App]],Table2[],3,0),"open")</f>
        <v>ok</v>
      </c>
      <c r="C3798" s="138" t="s">
        <v>369</v>
      </c>
      <c r="D3798" s="135" t="s">
        <v>5928</v>
      </c>
      <c r="E3798" t="s">
        <v>5920</v>
      </c>
      <c r="F3798" s="129" t="s">
        <v>5920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4895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42</v>
      </c>
      <c r="R3798" s="136" t="s">
        <v>452</v>
      </c>
      <c r="S3798" s="129"/>
    </row>
    <row r="3799" spans="1:19" hidden="1">
      <c r="A3799" t="s">
        <v>5921</v>
      </c>
      <c r="B3799" s="149" t="str">
        <f>IFERROR(VLOOKUP(Proc[[#This Row],[App]],Table2[],3,0),"open")</f>
        <v>ok</v>
      </c>
      <c r="C3799" s="138" t="s">
        <v>369</v>
      </c>
      <c r="D3799" t="s">
        <v>5929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4895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42</v>
      </c>
      <c r="R3799" s="136" t="s">
        <v>1013</v>
      </c>
      <c r="S3799" s="129"/>
    </row>
    <row r="3800" spans="1:19" hidden="1">
      <c r="A3800" s="135" t="s">
        <v>5921</v>
      </c>
      <c r="B3800" s="149" t="str">
        <f>IFERROR(VLOOKUP(Proc[[#This Row],[App]],Table2[],3,0),"open")</f>
        <v>ok</v>
      </c>
      <c r="C3800" s="138" t="s">
        <v>369</v>
      </c>
      <c r="D3800" t="s">
        <v>5930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4895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42</v>
      </c>
      <c r="R3800" s="136" t="s">
        <v>1013</v>
      </c>
      <c r="S3800" s="129"/>
    </row>
    <row r="3801" spans="1:19" hidden="1">
      <c r="A3801" s="135" t="s">
        <v>5921</v>
      </c>
      <c r="B3801" s="149" t="str">
        <f>IFERROR(VLOOKUP(Proc[[#This Row],[App]],Table2[],3,0),"open")</f>
        <v>ok</v>
      </c>
      <c r="C3801" s="138" t="s">
        <v>369</v>
      </c>
      <c r="D3801" t="s">
        <v>5931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4895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42</v>
      </c>
      <c r="R3801" s="136" t="s">
        <v>1013</v>
      </c>
      <c r="S3801" s="129"/>
    </row>
    <row r="3802" spans="1:19" hidden="1">
      <c r="A3802" s="135" t="s">
        <v>5921</v>
      </c>
      <c r="B3802" s="149" t="str">
        <f>IFERROR(VLOOKUP(Proc[[#This Row],[App]],Table2[],3,0),"open")</f>
        <v>ok</v>
      </c>
      <c r="C3802" s="138" t="s">
        <v>369</v>
      </c>
      <c r="D3802" t="s">
        <v>5932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4895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42</v>
      </c>
      <c r="R3802" s="136" t="s">
        <v>1013</v>
      </c>
      <c r="S3802" s="129"/>
    </row>
    <row r="3803" spans="1:19" hidden="1">
      <c r="A3803" s="135" t="s">
        <v>5921</v>
      </c>
      <c r="B3803" s="149" t="str">
        <f>IFERROR(VLOOKUP(Proc[[#This Row],[App]],Table2[],3,0),"open")</f>
        <v>ok</v>
      </c>
      <c r="C3803" s="138" t="s">
        <v>369</v>
      </c>
      <c r="D3803" t="s">
        <v>5933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4895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42</v>
      </c>
      <c r="R3803" s="136" t="s">
        <v>1013</v>
      </c>
      <c r="S3803" s="129"/>
    </row>
    <row r="3804" spans="1:19" hidden="1">
      <c r="A3804" s="135" t="s">
        <v>5921</v>
      </c>
      <c r="B3804" s="149" t="str">
        <f>IFERROR(VLOOKUP(Proc[[#This Row],[App]],Table2[],3,0),"open")</f>
        <v>ok</v>
      </c>
      <c r="C3804" s="138" t="s">
        <v>369</v>
      </c>
      <c r="D3804" t="s">
        <v>5934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4895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42</v>
      </c>
      <c r="R3804" s="136" t="s">
        <v>1013</v>
      </c>
      <c r="S3804" s="129"/>
    </row>
    <row r="3805" spans="1:19" hidden="1">
      <c r="A3805" s="135" t="s">
        <v>5921</v>
      </c>
      <c r="B3805" s="149" t="str">
        <f>IFERROR(VLOOKUP(Proc[[#This Row],[App]],Table2[],3,0),"open")</f>
        <v>ok</v>
      </c>
      <c r="C3805" s="138" t="s">
        <v>369</v>
      </c>
      <c r="D3805" t="s">
        <v>5935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4895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42</v>
      </c>
      <c r="R3805" s="136" t="s">
        <v>1013</v>
      </c>
      <c r="S3805" s="129"/>
    </row>
    <row r="3806" spans="1:19" hidden="1">
      <c r="A3806" s="135" t="s">
        <v>5921</v>
      </c>
      <c r="B3806" s="149" t="str">
        <f>IFERROR(VLOOKUP(Proc[[#This Row],[App]],Table2[],3,0),"open")</f>
        <v>ok</v>
      </c>
      <c r="C3806" s="138" t="s">
        <v>369</v>
      </c>
      <c r="D3806" t="s">
        <v>5936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4895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42</v>
      </c>
      <c r="R3806" s="136" t="s">
        <v>1013</v>
      </c>
      <c r="S3806" s="129"/>
    </row>
    <row r="3807" spans="1:19" hidden="1">
      <c r="A3807" s="135" t="s">
        <v>5921</v>
      </c>
      <c r="B3807" s="149" t="str">
        <f>IFERROR(VLOOKUP(Proc[[#This Row],[App]],Table2[],3,0),"open")</f>
        <v>ok</v>
      </c>
      <c r="C3807" s="138" t="s">
        <v>369</v>
      </c>
      <c r="D3807" t="s">
        <v>5937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4895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42</v>
      </c>
      <c r="R3807" s="136" t="s">
        <v>1013</v>
      </c>
      <c r="S3807" s="129"/>
    </row>
    <row r="3808" spans="1:19" hidden="1">
      <c r="A3808" s="135" t="s">
        <v>5921</v>
      </c>
      <c r="B3808" s="149" t="str">
        <f>IFERROR(VLOOKUP(Proc[[#This Row],[App]],Table2[],3,0),"open")</f>
        <v>ok</v>
      </c>
      <c r="C3808" s="138" t="s">
        <v>369</v>
      </c>
      <c r="D3808" t="s">
        <v>5938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4895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42</v>
      </c>
      <c r="R3808" s="136" t="s">
        <v>1013</v>
      </c>
      <c r="S3808" s="129"/>
    </row>
    <row r="3809" spans="1:19" hidden="1">
      <c r="A3809" s="135" t="s">
        <v>5921</v>
      </c>
      <c r="B3809" s="149" t="str">
        <f>IFERROR(VLOOKUP(Proc[[#This Row],[App]],Table2[],3,0),"open")</f>
        <v>ok</v>
      </c>
      <c r="C3809" s="138" t="s">
        <v>369</v>
      </c>
      <c r="D3809" t="s">
        <v>5939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4895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42</v>
      </c>
      <c r="R3809" s="136" t="s">
        <v>1013</v>
      </c>
      <c r="S3809" s="129"/>
    </row>
    <row r="3810" spans="1:19" hidden="1">
      <c r="A3810" s="135" t="s">
        <v>5921</v>
      </c>
      <c r="B3810" s="149" t="str">
        <f>IFERROR(VLOOKUP(Proc[[#This Row],[App]],Table2[],3,0),"open")</f>
        <v>ok</v>
      </c>
      <c r="C3810" s="138" t="s">
        <v>369</v>
      </c>
      <c r="D3810" t="s">
        <v>5940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4895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42</v>
      </c>
      <c r="R3810" s="136" t="s">
        <v>1013</v>
      </c>
      <c r="S3810" s="129"/>
    </row>
    <row r="3811" spans="1:19" hidden="1">
      <c r="A3811" s="135" t="s">
        <v>5921</v>
      </c>
      <c r="B3811" s="149" t="str">
        <f>IFERROR(VLOOKUP(Proc[[#This Row],[App]],Table2[],3,0),"open")</f>
        <v>ok</v>
      </c>
      <c r="C3811" s="138" t="s">
        <v>369</v>
      </c>
      <c r="D3811" t="s">
        <v>5941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4895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42</v>
      </c>
      <c r="R3811" s="136" t="s">
        <v>1013</v>
      </c>
      <c r="S3811" s="129"/>
    </row>
    <row r="3812" spans="1:19" hidden="1">
      <c r="A3812" s="135" t="s">
        <v>5921</v>
      </c>
      <c r="B3812" s="149" t="str">
        <f>IFERROR(VLOOKUP(Proc[[#This Row],[App]],Table2[],3,0),"open")</f>
        <v>ok</v>
      </c>
      <c r="C3812" s="138" t="s">
        <v>369</v>
      </c>
      <c r="D3812" t="s">
        <v>5942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4895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42</v>
      </c>
      <c r="R3812" s="136" t="s">
        <v>1013</v>
      </c>
      <c r="S3812" s="129"/>
    </row>
    <row r="3813" spans="1:19" hidden="1">
      <c r="A3813" s="135" t="s">
        <v>5921</v>
      </c>
      <c r="B3813" s="149" t="str">
        <f>IFERROR(VLOOKUP(Proc[[#This Row],[App]],Table2[],3,0),"open")</f>
        <v>ok</v>
      </c>
      <c r="C3813" s="138" t="s">
        <v>369</v>
      </c>
      <c r="D3813" t="s">
        <v>5943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4895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42</v>
      </c>
      <c r="R3813" s="136" t="s">
        <v>1013</v>
      </c>
      <c r="S3813" s="129"/>
    </row>
    <row r="3814" spans="1:19" hidden="1">
      <c r="A3814" s="135" t="s">
        <v>5921</v>
      </c>
      <c r="B3814" s="149" t="str">
        <f>IFERROR(VLOOKUP(Proc[[#This Row],[App]],Table2[],3,0),"open")</f>
        <v>ok</v>
      </c>
      <c r="C3814" s="138" t="s">
        <v>369</v>
      </c>
      <c r="D3814" t="s">
        <v>5944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4895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42</v>
      </c>
      <c r="R3814" s="136" t="s">
        <v>1013</v>
      </c>
      <c r="S3814" s="129"/>
    </row>
    <row r="3815" spans="1:19" hidden="1">
      <c r="A3815" s="135" t="s">
        <v>5921</v>
      </c>
      <c r="B3815" s="149" t="str">
        <f>IFERROR(VLOOKUP(Proc[[#This Row],[App]],Table2[],3,0),"open")</f>
        <v>ok</v>
      </c>
      <c r="C3815" s="138" t="s">
        <v>369</v>
      </c>
      <c r="D3815" t="s">
        <v>5945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4895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42</v>
      </c>
      <c r="R3815" s="136" t="s">
        <v>1013</v>
      </c>
      <c r="S3815" s="129"/>
    </row>
    <row r="3816" spans="1:19" hidden="1">
      <c r="A3816" s="135" t="s">
        <v>5921</v>
      </c>
      <c r="B3816" s="149" t="str">
        <f>IFERROR(VLOOKUP(Proc[[#This Row],[App]],Table2[],3,0),"open")</f>
        <v>ok</v>
      </c>
      <c r="C3816" s="138" t="s">
        <v>369</v>
      </c>
      <c r="D3816" t="s">
        <v>5922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4895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42</v>
      </c>
      <c r="R3816" s="136" t="s">
        <v>1013</v>
      </c>
      <c r="S3816" s="129"/>
    </row>
    <row r="3817" spans="1:19" hidden="1">
      <c r="A3817" s="135" t="s">
        <v>5921</v>
      </c>
      <c r="B3817" s="149" t="str">
        <f>IFERROR(VLOOKUP(Proc[[#This Row],[App]],Table2[],3,0),"open")</f>
        <v>ok</v>
      </c>
      <c r="C3817" s="135" t="s">
        <v>369</v>
      </c>
      <c r="D3817" t="s">
        <v>5923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4895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42</v>
      </c>
      <c r="R3817" s="136" t="s">
        <v>1013</v>
      </c>
      <c r="S3817" s="129"/>
    </row>
    <row r="3818" spans="1:19" hidden="1">
      <c r="A3818" s="135" t="s">
        <v>6087</v>
      </c>
      <c r="B3818" s="149" t="str">
        <f>IFERROR(VLOOKUP(Proc[[#This Row],[App]],Table2[],3,0),"open")</f>
        <v>ok</v>
      </c>
      <c r="C3818" s="138" t="s">
        <v>369</v>
      </c>
      <c r="D3818" t="s">
        <v>5946</v>
      </c>
      <c r="E3818" t="s">
        <v>6060</v>
      </c>
      <c r="F3818" s="129" t="s">
        <v>6060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4895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42</v>
      </c>
      <c r="R3818" s="136" t="s">
        <v>6088</v>
      </c>
      <c r="S3818" s="129"/>
    </row>
    <row r="3819" spans="1:19" hidden="1">
      <c r="A3819" s="135" t="s">
        <v>6087</v>
      </c>
      <c r="B3819" s="149" t="str">
        <f>IFERROR(VLOOKUP(Proc[[#This Row],[App]],Table2[],3,0),"open")</f>
        <v>ok</v>
      </c>
      <c r="C3819" s="138" t="s">
        <v>369</v>
      </c>
      <c r="D3819" t="s">
        <v>5947</v>
      </c>
      <c r="E3819" t="s">
        <v>6060</v>
      </c>
      <c r="F3819" s="129" t="s">
        <v>6060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4895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42</v>
      </c>
      <c r="R3819" s="136" t="s">
        <v>6088</v>
      </c>
      <c r="S3819" s="129"/>
    </row>
    <row r="3820" spans="1:19" hidden="1">
      <c r="A3820" s="135" t="s">
        <v>6087</v>
      </c>
      <c r="B3820" s="149" t="str">
        <f>IFERROR(VLOOKUP(Proc[[#This Row],[App]],Table2[],3,0),"open")</f>
        <v>ok</v>
      </c>
      <c r="C3820" s="138" t="s">
        <v>369</v>
      </c>
      <c r="D3820" t="s">
        <v>5948</v>
      </c>
      <c r="E3820" t="s">
        <v>6060</v>
      </c>
      <c r="F3820" s="129" t="s">
        <v>6060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4895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42</v>
      </c>
      <c r="R3820" s="136" t="s">
        <v>6088</v>
      </c>
      <c r="S3820" s="129"/>
    </row>
    <row r="3821" spans="1:19" hidden="1">
      <c r="A3821" s="135" t="s">
        <v>6087</v>
      </c>
      <c r="B3821" s="149" t="str">
        <f>IFERROR(VLOOKUP(Proc[[#This Row],[App]],Table2[],3,0),"open")</f>
        <v>ok</v>
      </c>
      <c r="C3821" s="138" t="s">
        <v>369</v>
      </c>
      <c r="D3821" t="s">
        <v>5949</v>
      </c>
      <c r="E3821" t="s">
        <v>6061</v>
      </c>
      <c r="F3821" s="129" t="s">
        <v>6061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4895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42</v>
      </c>
      <c r="R3821" s="136" t="s">
        <v>6088</v>
      </c>
      <c r="S3821" s="129"/>
    </row>
    <row r="3822" spans="1:19" hidden="1">
      <c r="A3822" s="135" t="s">
        <v>6087</v>
      </c>
      <c r="B3822" s="149" t="str">
        <f>IFERROR(VLOOKUP(Proc[[#This Row],[App]],Table2[],3,0),"open")</f>
        <v>ok</v>
      </c>
      <c r="C3822" s="138" t="s">
        <v>369</v>
      </c>
      <c r="D3822" t="s">
        <v>5950</v>
      </c>
      <c r="E3822" t="s">
        <v>6062</v>
      </c>
      <c r="F3822" s="129" t="s">
        <v>6062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4895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42</v>
      </c>
      <c r="R3822" s="136" t="s">
        <v>6088</v>
      </c>
      <c r="S3822" s="129"/>
    </row>
    <row r="3823" spans="1:19" hidden="1">
      <c r="A3823" s="135" t="s">
        <v>6087</v>
      </c>
      <c r="B3823" s="149" t="str">
        <f>IFERROR(VLOOKUP(Proc[[#This Row],[App]],Table2[],3,0),"open")</f>
        <v>ok</v>
      </c>
      <c r="C3823" s="138" t="s">
        <v>369</v>
      </c>
      <c r="D3823" t="s">
        <v>5951</v>
      </c>
      <c r="E3823" t="s">
        <v>6062</v>
      </c>
      <c r="F3823" s="129" t="s">
        <v>6062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4895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42</v>
      </c>
      <c r="R3823" s="136" t="s">
        <v>6088</v>
      </c>
      <c r="S3823" s="129"/>
    </row>
    <row r="3824" spans="1:19" hidden="1">
      <c r="A3824" s="135" t="s">
        <v>6087</v>
      </c>
      <c r="B3824" s="149" t="str">
        <f>IFERROR(VLOOKUP(Proc[[#This Row],[App]],Table2[],3,0),"open")</f>
        <v>ok</v>
      </c>
      <c r="C3824" s="138" t="s">
        <v>369</v>
      </c>
      <c r="D3824" t="s">
        <v>5952</v>
      </c>
      <c r="E3824" t="s">
        <v>6063</v>
      </c>
      <c r="F3824" s="129" t="s">
        <v>6063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4895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42</v>
      </c>
      <c r="R3824" s="136" t="s">
        <v>6088</v>
      </c>
      <c r="S3824" s="129"/>
    </row>
    <row r="3825" spans="1:19" hidden="1">
      <c r="A3825" s="135" t="s">
        <v>6087</v>
      </c>
      <c r="B3825" s="149" t="str">
        <f>IFERROR(VLOOKUP(Proc[[#This Row],[App]],Table2[],3,0),"open")</f>
        <v>ok</v>
      </c>
      <c r="C3825" s="138" t="s">
        <v>369</v>
      </c>
      <c r="D3825" t="s">
        <v>5953</v>
      </c>
      <c r="E3825" t="s">
        <v>6063</v>
      </c>
      <c r="F3825" s="129" t="s">
        <v>6063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4895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42</v>
      </c>
      <c r="R3825" s="136" t="s">
        <v>6088</v>
      </c>
      <c r="S3825" s="129"/>
    </row>
    <row r="3826" spans="1:19" hidden="1">
      <c r="A3826" s="135" t="s">
        <v>6087</v>
      </c>
      <c r="B3826" s="149" t="str">
        <f>IFERROR(VLOOKUP(Proc[[#This Row],[App]],Table2[],3,0),"open")</f>
        <v>ok</v>
      </c>
      <c r="C3826" s="144" t="s">
        <v>369</v>
      </c>
      <c r="D3826" t="s">
        <v>5954</v>
      </c>
      <c r="E3826" t="s">
        <v>6064</v>
      </c>
      <c r="F3826" s="150" t="s">
        <v>6064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4895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42</v>
      </c>
      <c r="R3826" s="136" t="s">
        <v>6088</v>
      </c>
      <c r="S3826" s="129"/>
    </row>
    <row r="3827" spans="1:19" hidden="1">
      <c r="A3827" s="135" t="s">
        <v>6087</v>
      </c>
      <c r="B3827" s="149" t="str">
        <f>IFERROR(VLOOKUP(Proc[[#This Row],[App]],Table2[],3,0),"open")</f>
        <v>ok</v>
      </c>
      <c r="C3827" s="138" t="s">
        <v>369</v>
      </c>
      <c r="D3827" t="s">
        <v>5955</v>
      </c>
      <c r="E3827" t="s">
        <v>6065</v>
      </c>
      <c r="F3827" s="138" t="s">
        <v>6065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4895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42</v>
      </c>
      <c r="R3827" s="136" t="s">
        <v>6088</v>
      </c>
      <c r="S3827" s="129"/>
    </row>
    <row r="3828" spans="1:19" hidden="1">
      <c r="A3828" s="135" t="s">
        <v>6087</v>
      </c>
      <c r="B3828" s="149" t="str">
        <f>IFERROR(VLOOKUP(Proc[[#This Row],[App]],Table2[],3,0),"open")</f>
        <v>ok</v>
      </c>
      <c r="C3828" s="138" t="s">
        <v>369</v>
      </c>
      <c r="D3828" t="s">
        <v>5956</v>
      </c>
      <c r="E3828" t="s">
        <v>6066</v>
      </c>
      <c r="F3828" s="129" t="s">
        <v>6066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4895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42</v>
      </c>
      <c r="R3828" s="136" t="s">
        <v>6088</v>
      </c>
      <c r="S3828" s="129"/>
    </row>
    <row r="3829" spans="1:19" hidden="1">
      <c r="A3829" s="135" t="s">
        <v>6087</v>
      </c>
      <c r="B3829" s="149" t="str">
        <f>IFERROR(VLOOKUP(Proc[[#This Row],[App]],Table2[],3,0),"open")</f>
        <v>ok</v>
      </c>
      <c r="C3829" s="138" t="s">
        <v>369</v>
      </c>
      <c r="D3829" t="s">
        <v>5957</v>
      </c>
      <c r="E3829" t="s">
        <v>6063</v>
      </c>
      <c r="F3829" s="129" t="s">
        <v>6063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4895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42</v>
      </c>
      <c r="R3829" s="136" t="s">
        <v>6088</v>
      </c>
      <c r="S3829" s="129"/>
    </row>
    <row r="3830" spans="1:19" hidden="1">
      <c r="A3830" s="135" t="s">
        <v>6087</v>
      </c>
      <c r="B3830" s="149" t="str">
        <f>IFERROR(VLOOKUP(Proc[[#This Row],[App]],Table2[],3,0),"open")</f>
        <v>ok</v>
      </c>
      <c r="C3830" s="138" t="s">
        <v>369</v>
      </c>
      <c r="D3830" t="s">
        <v>5958</v>
      </c>
      <c r="E3830" t="s">
        <v>6067</v>
      </c>
      <c r="F3830" s="129" t="s">
        <v>6067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4895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42</v>
      </c>
      <c r="R3830" s="136" t="s">
        <v>6088</v>
      </c>
      <c r="S3830" s="129"/>
    </row>
    <row r="3831" spans="1:19" hidden="1">
      <c r="A3831" s="135" t="s">
        <v>6087</v>
      </c>
      <c r="B3831" s="149" t="str">
        <f>IFERROR(VLOOKUP(Proc[[#This Row],[App]],Table2[],3,0),"open")</f>
        <v>ok</v>
      </c>
      <c r="C3831" s="138" t="s">
        <v>369</v>
      </c>
      <c r="D3831" t="s">
        <v>5959</v>
      </c>
      <c r="E3831" t="s">
        <v>6067</v>
      </c>
      <c r="F3831" s="129" t="s">
        <v>6067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4895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42</v>
      </c>
      <c r="R3831" s="136" t="s">
        <v>6088</v>
      </c>
      <c r="S3831" s="129"/>
    </row>
    <row r="3832" spans="1:19" hidden="1">
      <c r="A3832" s="135" t="s">
        <v>6087</v>
      </c>
      <c r="B3832" s="149" t="str">
        <f>IFERROR(VLOOKUP(Proc[[#This Row],[App]],Table2[],3,0),"open")</f>
        <v>ok</v>
      </c>
      <c r="C3832" s="138" t="s">
        <v>369</v>
      </c>
      <c r="D3832" t="s">
        <v>5960</v>
      </c>
      <c r="E3832" t="s">
        <v>6067</v>
      </c>
      <c r="F3832" s="129" t="s">
        <v>6067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4895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42</v>
      </c>
      <c r="R3832" s="136" t="s">
        <v>6088</v>
      </c>
      <c r="S3832" s="129"/>
    </row>
    <row r="3833" spans="1:19" hidden="1">
      <c r="A3833" s="135" t="s">
        <v>6087</v>
      </c>
      <c r="B3833" s="149" t="str">
        <f>IFERROR(VLOOKUP(Proc[[#This Row],[App]],Table2[],3,0),"open")</f>
        <v>ok</v>
      </c>
      <c r="C3833" s="138" t="s">
        <v>369</v>
      </c>
      <c r="D3833" t="s">
        <v>5961</v>
      </c>
      <c r="E3833" t="s">
        <v>6067</v>
      </c>
      <c r="F3833" s="129" t="s">
        <v>6067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4895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42</v>
      </c>
      <c r="R3833" s="136" t="s">
        <v>6088</v>
      </c>
      <c r="S3833" s="129"/>
    </row>
    <row r="3834" spans="1:19" hidden="1">
      <c r="A3834" s="135" t="s">
        <v>6087</v>
      </c>
      <c r="B3834" s="149" t="str">
        <f>IFERROR(VLOOKUP(Proc[[#This Row],[App]],Table2[],3,0),"open")</f>
        <v>ok</v>
      </c>
      <c r="C3834" s="138" t="s">
        <v>369</v>
      </c>
      <c r="D3834" t="s">
        <v>5962</v>
      </c>
      <c r="E3834" t="s">
        <v>6068</v>
      </c>
      <c r="F3834" s="129" t="s">
        <v>6068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4895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42</v>
      </c>
      <c r="R3834" s="136" t="s">
        <v>6088</v>
      </c>
      <c r="S3834" s="129"/>
    </row>
    <row r="3835" spans="1:19" hidden="1">
      <c r="A3835" s="135" t="s">
        <v>6087</v>
      </c>
      <c r="B3835" s="149" t="str">
        <f>IFERROR(VLOOKUP(Proc[[#This Row],[App]],Table2[],3,0),"open")</f>
        <v>ok</v>
      </c>
      <c r="C3835" s="138" t="s">
        <v>369</v>
      </c>
      <c r="D3835" t="s">
        <v>5963</v>
      </c>
      <c r="E3835" t="s">
        <v>6069</v>
      </c>
      <c r="F3835" s="129" t="s">
        <v>6069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4895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42</v>
      </c>
      <c r="R3835" s="136" t="s">
        <v>6088</v>
      </c>
      <c r="S3835" s="129"/>
    </row>
    <row r="3836" spans="1:19" hidden="1">
      <c r="A3836" s="135" t="s">
        <v>6087</v>
      </c>
      <c r="B3836" s="149" t="str">
        <f>IFERROR(VLOOKUP(Proc[[#This Row],[App]],Table2[],3,0),"open")</f>
        <v>ok</v>
      </c>
      <c r="C3836" s="138" t="s">
        <v>369</v>
      </c>
      <c r="D3836" t="s">
        <v>5964</v>
      </c>
      <c r="E3836" t="s">
        <v>6068</v>
      </c>
      <c r="F3836" s="129" t="s">
        <v>6068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4895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42</v>
      </c>
      <c r="R3836" s="136" t="s">
        <v>6088</v>
      </c>
      <c r="S3836" s="129"/>
    </row>
    <row r="3837" spans="1:19" hidden="1">
      <c r="A3837" s="135" t="s">
        <v>6087</v>
      </c>
      <c r="B3837" s="149" t="str">
        <f>IFERROR(VLOOKUP(Proc[[#This Row],[App]],Table2[],3,0),"open")</f>
        <v>ok</v>
      </c>
      <c r="C3837" s="138" t="s">
        <v>369</v>
      </c>
      <c r="D3837" t="s">
        <v>5965</v>
      </c>
      <c r="E3837" t="s">
        <v>6068</v>
      </c>
      <c r="F3837" s="129" t="s">
        <v>6068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4895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42</v>
      </c>
      <c r="R3837" s="136" t="s">
        <v>6088</v>
      </c>
      <c r="S3837" s="129"/>
    </row>
    <row r="3838" spans="1:19" hidden="1">
      <c r="A3838" s="135" t="s">
        <v>6087</v>
      </c>
      <c r="B3838" s="149" t="str">
        <f>IFERROR(VLOOKUP(Proc[[#This Row],[App]],Table2[],3,0),"open")</f>
        <v>ok</v>
      </c>
      <c r="C3838" s="138" t="s">
        <v>369</v>
      </c>
      <c r="D3838" t="s">
        <v>5966</v>
      </c>
      <c r="E3838" t="s">
        <v>6070</v>
      </c>
      <c r="F3838" s="129" t="s">
        <v>6070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4895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42</v>
      </c>
      <c r="R3838" s="136" t="s">
        <v>6088</v>
      </c>
      <c r="S3838" s="129"/>
    </row>
    <row r="3839" spans="1:19" hidden="1">
      <c r="A3839" s="135" t="s">
        <v>6087</v>
      </c>
      <c r="B3839" s="149" t="str">
        <f>IFERROR(VLOOKUP(Proc[[#This Row],[App]],Table2[],3,0),"open")</f>
        <v>ok</v>
      </c>
      <c r="C3839" s="138" t="s">
        <v>369</v>
      </c>
      <c r="D3839" t="s">
        <v>5967</v>
      </c>
      <c r="E3839" t="s">
        <v>6070</v>
      </c>
      <c r="F3839" s="129" t="s">
        <v>6070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4895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42</v>
      </c>
      <c r="R3839" s="136" t="s">
        <v>6088</v>
      </c>
      <c r="S3839" s="129"/>
    </row>
    <row r="3840" spans="1:19" hidden="1">
      <c r="A3840" s="135" t="s">
        <v>6087</v>
      </c>
      <c r="B3840" s="149" t="str">
        <f>IFERROR(VLOOKUP(Proc[[#This Row],[App]],Table2[],3,0),"open")</f>
        <v>ok</v>
      </c>
      <c r="C3840" s="138" t="s">
        <v>369</v>
      </c>
      <c r="D3840" t="s">
        <v>5968</v>
      </c>
      <c r="E3840" t="s">
        <v>6067</v>
      </c>
      <c r="F3840" s="129" t="s">
        <v>6067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4895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42</v>
      </c>
      <c r="R3840" s="136" t="s">
        <v>6088</v>
      </c>
      <c r="S3840" s="129"/>
    </row>
    <row r="3841" spans="1:19" hidden="1">
      <c r="A3841" s="135" t="s">
        <v>6087</v>
      </c>
      <c r="B3841" s="149" t="str">
        <f>IFERROR(VLOOKUP(Proc[[#This Row],[App]],Table2[],3,0),"open")</f>
        <v>ok</v>
      </c>
      <c r="C3841" s="138" t="s">
        <v>369</v>
      </c>
      <c r="D3841" t="s">
        <v>5969</v>
      </c>
      <c r="E3841" t="s">
        <v>6071</v>
      </c>
      <c r="F3841" s="129" t="s">
        <v>6071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4895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42</v>
      </c>
      <c r="R3841" s="136" t="s">
        <v>6088</v>
      </c>
      <c r="S3841" s="129"/>
    </row>
    <row r="3842" spans="1:19" hidden="1">
      <c r="A3842" s="135" t="s">
        <v>6087</v>
      </c>
      <c r="B3842" s="149" t="str">
        <f>IFERROR(VLOOKUP(Proc[[#This Row],[App]],Table2[],3,0),"open")</f>
        <v>ok</v>
      </c>
      <c r="C3842" s="138" t="s">
        <v>369</v>
      </c>
      <c r="D3842" t="s">
        <v>5970</v>
      </c>
      <c r="E3842" t="s">
        <v>6071</v>
      </c>
      <c r="F3842" s="129" t="s">
        <v>6071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4895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42</v>
      </c>
      <c r="R3842" s="136" t="s">
        <v>6088</v>
      </c>
      <c r="S3842" s="129"/>
    </row>
    <row r="3843" spans="1:19" hidden="1">
      <c r="A3843" s="135" t="s">
        <v>6087</v>
      </c>
      <c r="B3843" s="149" t="str">
        <f>IFERROR(VLOOKUP(Proc[[#This Row],[App]],Table2[],3,0),"open")</f>
        <v>ok</v>
      </c>
      <c r="C3843" s="138" t="s">
        <v>369</v>
      </c>
      <c r="D3843" t="s">
        <v>5971</v>
      </c>
      <c r="E3843" t="s">
        <v>6060</v>
      </c>
      <c r="F3843" s="129" t="s">
        <v>6060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4895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42</v>
      </c>
      <c r="R3843" s="136" t="s">
        <v>6088</v>
      </c>
      <c r="S3843" s="129"/>
    </row>
    <row r="3844" spans="1:19" hidden="1">
      <c r="A3844" s="135" t="s">
        <v>6087</v>
      </c>
      <c r="B3844" s="149" t="str">
        <f>IFERROR(VLOOKUP(Proc[[#This Row],[App]],Table2[],3,0),"open")</f>
        <v>ok</v>
      </c>
      <c r="C3844" s="138" t="s">
        <v>369</v>
      </c>
      <c r="D3844" t="s">
        <v>5972</v>
      </c>
      <c r="E3844" t="s">
        <v>6060</v>
      </c>
      <c r="F3844" s="129" t="s">
        <v>6060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4895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42</v>
      </c>
      <c r="R3844" s="136" t="s">
        <v>6088</v>
      </c>
      <c r="S3844" s="129"/>
    </row>
    <row r="3845" spans="1:19" hidden="1">
      <c r="A3845" s="135" t="s">
        <v>6087</v>
      </c>
      <c r="B3845" s="149" t="str">
        <f>IFERROR(VLOOKUP(Proc[[#This Row],[App]],Table2[],3,0),"open")</f>
        <v>ok</v>
      </c>
      <c r="C3845" s="138" t="s">
        <v>369</v>
      </c>
      <c r="D3845" t="s">
        <v>5973</v>
      </c>
      <c r="E3845" t="s">
        <v>6060</v>
      </c>
      <c r="F3845" s="129" t="s">
        <v>6060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4895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42</v>
      </c>
      <c r="R3845" s="136" t="s">
        <v>6088</v>
      </c>
      <c r="S3845" s="129"/>
    </row>
    <row r="3846" spans="1:19" hidden="1">
      <c r="A3846" s="135" t="s">
        <v>6087</v>
      </c>
      <c r="B3846" s="149" t="str">
        <f>IFERROR(VLOOKUP(Proc[[#This Row],[App]],Table2[],3,0),"open")</f>
        <v>ok</v>
      </c>
      <c r="C3846" s="138" t="s">
        <v>369</v>
      </c>
      <c r="D3846" t="s">
        <v>5974</v>
      </c>
      <c r="E3846" t="s">
        <v>6068</v>
      </c>
      <c r="F3846" s="129" t="s">
        <v>6068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4895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42</v>
      </c>
      <c r="R3846" s="136" t="s">
        <v>6088</v>
      </c>
      <c r="S3846" s="129"/>
    </row>
    <row r="3847" spans="1:19" hidden="1">
      <c r="A3847" s="135" t="s">
        <v>6087</v>
      </c>
      <c r="B3847" s="149" t="str">
        <f>IFERROR(VLOOKUP(Proc[[#This Row],[App]],Table2[],3,0),"open")</f>
        <v>ok</v>
      </c>
      <c r="C3847" s="138" t="s">
        <v>369</v>
      </c>
      <c r="D3847" t="s">
        <v>5975</v>
      </c>
      <c r="E3847" t="s">
        <v>6060</v>
      </c>
      <c r="F3847" s="129" t="s">
        <v>6060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4895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42</v>
      </c>
      <c r="R3847" s="136" t="s">
        <v>6088</v>
      </c>
      <c r="S3847" s="129"/>
    </row>
    <row r="3848" spans="1:19" hidden="1">
      <c r="A3848" s="135" t="s">
        <v>6087</v>
      </c>
      <c r="B3848" s="149" t="str">
        <f>IFERROR(VLOOKUP(Proc[[#This Row],[App]],Table2[],3,0),"open")</f>
        <v>ok</v>
      </c>
      <c r="C3848" s="138" t="s">
        <v>369</v>
      </c>
      <c r="D3848" t="s">
        <v>5976</v>
      </c>
      <c r="E3848" t="s">
        <v>6060</v>
      </c>
      <c r="F3848" s="129" t="s">
        <v>6060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4895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42</v>
      </c>
      <c r="R3848" s="136" t="s">
        <v>6088</v>
      </c>
      <c r="S3848" s="129"/>
    </row>
    <row r="3849" spans="1:19" hidden="1">
      <c r="A3849" s="135" t="s">
        <v>6087</v>
      </c>
      <c r="B3849" s="149" t="str">
        <f>IFERROR(VLOOKUP(Proc[[#This Row],[App]],Table2[],3,0),"open")</f>
        <v>ok</v>
      </c>
      <c r="C3849" s="138" t="s">
        <v>369</v>
      </c>
      <c r="D3849" t="s">
        <v>5977</v>
      </c>
      <c r="E3849" t="s">
        <v>6060</v>
      </c>
      <c r="F3849" s="129" t="s">
        <v>6060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4895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42</v>
      </c>
      <c r="R3849" s="136" t="s">
        <v>6088</v>
      </c>
      <c r="S3849" s="129"/>
    </row>
    <row r="3850" spans="1:19" hidden="1">
      <c r="A3850" s="135" t="s">
        <v>6087</v>
      </c>
      <c r="B3850" s="149" t="str">
        <f>IFERROR(VLOOKUP(Proc[[#This Row],[App]],Table2[],3,0),"open")</f>
        <v>ok</v>
      </c>
      <c r="C3850" s="138" t="s">
        <v>369</v>
      </c>
      <c r="D3850" t="s">
        <v>5978</v>
      </c>
      <c r="E3850" t="s">
        <v>6072</v>
      </c>
      <c r="F3850" s="129" t="s">
        <v>6072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4895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42</v>
      </c>
      <c r="R3850" s="136" t="s">
        <v>6088</v>
      </c>
      <c r="S3850" s="129"/>
    </row>
    <row r="3851" spans="1:19" hidden="1">
      <c r="A3851" s="135" t="s">
        <v>6087</v>
      </c>
      <c r="B3851" s="149" t="str">
        <f>IFERROR(VLOOKUP(Proc[[#This Row],[App]],Table2[],3,0),"open")</f>
        <v>ok</v>
      </c>
      <c r="C3851" s="138" t="s">
        <v>369</v>
      </c>
      <c r="D3851" t="s">
        <v>5979</v>
      </c>
      <c r="E3851" t="s">
        <v>6072</v>
      </c>
      <c r="F3851" s="129" t="s">
        <v>6072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4895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42</v>
      </c>
      <c r="R3851" s="136" t="s">
        <v>6088</v>
      </c>
      <c r="S3851" s="129"/>
    </row>
    <row r="3852" spans="1:19" hidden="1">
      <c r="A3852" s="135" t="s">
        <v>6087</v>
      </c>
      <c r="B3852" s="149" t="str">
        <f>IFERROR(VLOOKUP(Proc[[#This Row],[App]],Table2[],3,0),"open")</f>
        <v>ok</v>
      </c>
      <c r="C3852" s="138" t="s">
        <v>369</v>
      </c>
      <c r="D3852" t="s">
        <v>5980</v>
      </c>
      <c r="E3852" t="s">
        <v>6068</v>
      </c>
      <c r="F3852" s="129" t="s">
        <v>6068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4895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42</v>
      </c>
      <c r="R3852" s="136" t="s">
        <v>6088</v>
      </c>
      <c r="S3852" s="129"/>
    </row>
    <row r="3853" spans="1:19" hidden="1">
      <c r="A3853" s="135" t="s">
        <v>6087</v>
      </c>
      <c r="B3853" s="149" t="str">
        <f>IFERROR(VLOOKUP(Proc[[#This Row],[App]],Table2[],3,0),"open")</f>
        <v>ok</v>
      </c>
      <c r="C3853" s="138" t="s">
        <v>369</v>
      </c>
      <c r="D3853" t="s">
        <v>5981</v>
      </c>
      <c r="E3853" t="s">
        <v>6073</v>
      </c>
      <c r="F3853" s="129" t="s">
        <v>6073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4895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42</v>
      </c>
      <c r="R3853" s="136" t="s">
        <v>6088</v>
      </c>
      <c r="S3853" s="129"/>
    </row>
    <row r="3854" spans="1:19" hidden="1">
      <c r="A3854" s="135" t="s">
        <v>6087</v>
      </c>
      <c r="B3854" s="149" t="str">
        <f>IFERROR(VLOOKUP(Proc[[#This Row],[App]],Table2[],3,0),"open")</f>
        <v>ok</v>
      </c>
      <c r="C3854" s="138" t="s">
        <v>369</v>
      </c>
      <c r="D3854" t="s">
        <v>5982</v>
      </c>
      <c r="E3854" t="s">
        <v>6067</v>
      </c>
      <c r="F3854" s="129" t="s">
        <v>6067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4895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42</v>
      </c>
      <c r="R3854" s="136" t="s">
        <v>6088</v>
      </c>
      <c r="S3854" s="129"/>
    </row>
    <row r="3855" spans="1:19" hidden="1">
      <c r="A3855" s="135" t="s">
        <v>6087</v>
      </c>
      <c r="B3855" s="149" t="str">
        <f>IFERROR(VLOOKUP(Proc[[#This Row],[App]],Table2[],3,0),"open")</f>
        <v>ok</v>
      </c>
      <c r="C3855" s="138" t="s">
        <v>369</v>
      </c>
      <c r="D3855" t="s">
        <v>5983</v>
      </c>
      <c r="E3855" t="s">
        <v>6068</v>
      </c>
      <c r="F3855" s="129" t="s">
        <v>6068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4895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42</v>
      </c>
      <c r="R3855" s="136" t="s">
        <v>6088</v>
      </c>
      <c r="S3855" s="129"/>
    </row>
    <row r="3856" spans="1:19" hidden="1">
      <c r="A3856" s="135" t="s">
        <v>6087</v>
      </c>
      <c r="B3856" s="149" t="str">
        <f>IFERROR(VLOOKUP(Proc[[#This Row],[App]],Table2[],3,0),"open")</f>
        <v>ok</v>
      </c>
      <c r="C3856" s="138" t="s">
        <v>369</v>
      </c>
      <c r="D3856" t="s">
        <v>5984</v>
      </c>
      <c r="E3856" t="s">
        <v>6068</v>
      </c>
      <c r="F3856" s="129" t="s">
        <v>6068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4895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42</v>
      </c>
      <c r="R3856" s="136" t="s">
        <v>6088</v>
      </c>
      <c r="S3856" s="129"/>
    </row>
    <row r="3857" spans="1:19" hidden="1">
      <c r="A3857" s="135" t="s">
        <v>6087</v>
      </c>
      <c r="B3857" s="149" t="str">
        <f>IFERROR(VLOOKUP(Proc[[#This Row],[App]],Table2[],3,0),"open")</f>
        <v>ok</v>
      </c>
      <c r="C3857" s="138" t="s">
        <v>369</v>
      </c>
      <c r="D3857" t="s">
        <v>5985</v>
      </c>
      <c r="E3857" t="s">
        <v>6068</v>
      </c>
      <c r="F3857" s="129" t="s">
        <v>6068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4895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42</v>
      </c>
      <c r="R3857" s="136" t="s">
        <v>6088</v>
      </c>
      <c r="S3857" s="129"/>
    </row>
    <row r="3858" spans="1:19" hidden="1">
      <c r="A3858" s="135" t="s">
        <v>6087</v>
      </c>
      <c r="B3858" s="149" t="str">
        <f>IFERROR(VLOOKUP(Proc[[#This Row],[App]],Table2[],3,0),"open")</f>
        <v>ok</v>
      </c>
      <c r="C3858" s="138" t="s">
        <v>369</v>
      </c>
      <c r="D3858" t="s">
        <v>5986</v>
      </c>
      <c r="E3858" t="s">
        <v>6068</v>
      </c>
      <c r="F3858" s="129" t="s">
        <v>6068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4895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42</v>
      </c>
      <c r="R3858" s="136" t="s">
        <v>6088</v>
      </c>
      <c r="S3858" s="129"/>
    </row>
    <row r="3859" spans="1:19" hidden="1">
      <c r="A3859" s="135" t="s">
        <v>6087</v>
      </c>
      <c r="B3859" s="149" t="str">
        <f>IFERROR(VLOOKUP(Proc[[#This Row],[App]],Table2[],3,0),"open")</f>
        <v>ok</v>
      </c>
      <c r="C3859" s="138" t="s">
        <v>369</v>
      </c>
      <c r="D3859" t="s">
        <v>5987</v>
      </c>
      <c r="E3859" t="s">
        <v>6068</v>
      </c>
      <c r="F3859" s="129" t="s">
        <v>6068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4895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42</v>
      </c>
      <c r="R3859" s="136" t="s">
        <v>6088</v>
      </c>
      <c r="S3859" s="129"/>
    </row>
    <row r="3860" spans="1:19" hidden="1">
      <c r="A3860" s="135" t="s">
        <v>6087</v>
      </c>
      <c r="B3860" s="149" t="str">
        <f>IFERROR(VLOOKUP(Proc[[#This Row],[App]],Table2[],3,0),"open")</f>
        <v>ok</v>
      </c>
      <c r="C3860" s="138" t="s">
        <v>369</v>
      </c>
      <c r="D3860" t="s">
        <v>5988</v>
      </c>
      <c r="E3860" t="s">
        <v>6068</v>
      </c>
      <c r="F3860" s="129" t="s">
        <v>6068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4895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42</v>
      </c>
      <c r="R3860" s="136" t="s">
        <v>6088</v>
      </c>
      <c r="S3860" s="129"/>
    </row>
    <row r="3861" spans="1:19" hidden="1">
      <c r="A3861" s="135" t="s">
        <v>6087</v>
      </c>
      <c r="B3861" s="149" t="str">
        <f>IFERROR(VLOOKUP(Proc[[#This Row],[App]],Table2[],3,0),"open")</f>
        <v>ok</v>
      </c>
      <c r="C3861" s="138" t="s">
        <v>369</v>
      </c>
      <c r="D3861" t="s">
        <v>5989</v>
      </c>
      <c r="E3861" t="s">
        <v>6070</v>
      </c>
      <c r="F3861" s="129" t="s">
        <v>6070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4895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42</v>
      </c>
      <c r="R3861" s="136" t="s">
        <v>6088</v>
      </c>
      <c r="S3861" s="129"/>
    </row>
    <row r="3862" spans="1:19" hidden="1">
      <c r="A3862" s="135" t="s">
        <v>6087</v>
      </c>
      <c r="B3862" s="149" t="str">
        <f>IFERROR(VLOOKUP(Proc[[#This Row],[App]],Table2[],3,0),"open")</f>
        <v>ok</v>
      </c>
      <c r="C3862" s="138" t="s">
        <v>369</v>
      </c>
      <c r="D3862" t="s">
        <v>5990</v>
      </c>
      <c r="E3862" t="s">
        <v>6068</v>
      </c>
      <c r="F3862" s="129" t="s">
        <v>6068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4895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42</v>
      </c>
      <c r="R3862" s="136" t="s">
        <v>6088</v>
      </c>
      <c r="S3862" s="129"/>
    </row>
    <row r="3863" spans="1:19" hidden="1">
      <c r="A3863" s="135" t="s">
        <v>6087</v>
      </c>
      <c r="B3863" s="149" t="str">
        <f>IFERROR(VLOOKUP(Proc[[#This Row],[App]],Table2[],3,0),"open")</f>
        <v>ok</v>
      </c>
      <c r="C3863" s="138" t="s">
        <v>369</v>
      </c>
      <c r="D3863" t="s">
        <v>5991</v>
      </c>
      <c r="E3863" t="s">
        <v>6068</v>
      </c>
      <c r="F3863" s="129" t="s">
        <v>6068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4895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42</v>
      </c>
      <c r="R3863" s="136" t="s">
        <v>6088</v>
      </c>
      <c r="S3863" s="129"/>
    </row>
    <row r="3864" spans="1:19" hidden="1">
      <c r="A3864" s="135" t="s">
        <v>6087</v>
      </c>
      <c r="B3864" s="149" t="str">
        <f>IFERROR(VLOOKUP(Proc[[#This Row],[App]],Table2[],3,0),"open")</f>
        <v>ok</v>
      </c>
      <c r="C3864" s="138" t="s">
        <v>369</v>
      </c>
      <c r="D3864" t="s">
        <v>5992</v>
      </c>
      <c r="E3864" t="s">
        <v>6068</v>
      </c>
      <c r="F3864" s="129" t="s">
        <v>6068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4895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42</v>
      </c>
      <c r="R3864" s="136" t="s">
        <v>6088</v>
      </c>
      <c r="S3864" s="129"/>
    </row>
    <row r="3865" spans="1:19" hidden="1">
      <c r="A3865" s="135" t="s">
        <v>6087</v>
      </c>
      <c r="B3865" s="149" t="str">
        <f>IFERROR(VLOOKUP(Proc[[#This Row],[App]],Table2[],3,0),"open")</f>
        <v>ok</v>
      </c>
      <c r="C3865" s="138" t="s">
        <v>369</v>
      </c>
      <c r="D3865" t="s">
        <v>5993</v>
      </c>
      <c r="E3865" t="s">
        <v>6068</v>
      </c>
      <c r="F3865" s="129" t="s">
        <v>6068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4895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42</v>
      </c>
      <c r="R3865" s="136" t="s">
        <v>6088</v>
      </c>
      <c r="S3865" s="129"/>
    </row>
    <row r="3866" spans="1:19" hidden="1">
      <c r="A3866" s="135" t="s">
        <v>6087</v>
      </c>
      <c r="B3866" s="149" t="str">
        <f>IFERROR(VLOOKUP(Proc[[#This Row],[App]],Table2[],3,0),"open")</f>
        <v>ok</v>
      </c>
      <c r="C3866" s="138" t="s">
        <v>369</v>
      </c>
      <c r="D3866" t="s">
        <v>5994</v>
      </c>
      <c r="E3866" t="s">
        <v>6068</v>
      </c>
      <c r="F3866" s="129" t="s">
        <v>6068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4895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42</v>
      </c>
      <c r="R3866" s="136" t="s">
        <v>6088</v>
      </c>
      <c r="S3866" s="129"/>
    </row>
    <row r="3867" spans="1:19" hidden="1">
      <c r="A3867" s="135" t="s">
        <v>6087</v>
      </c>
      <c r="B3867" s="149" t="str">
        <f>IFERROR(VLOOKUP(Proc[[#This Row],[App]],Table2[],3,0),"open")</f>
        <v>ok</v>
      </c>
      <c r="C3867" s="138" t="s">
        <v>369</v>
      </c>
      <c r="D3867" t="s">
        <v>5995</v>
      </c>
      <c r="E3867" t="s">
        <v>6067</v>
      </c>
      <c r="F3867" s="129" t="s">
        <v>6067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4895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42</v>
      </c>
      <c r="R3867" s="136" t="s">
        <v>6088</v>
      </c>
      <c r="S3867" s="129"/>
    </row>
    <row r="3868" spans="1:19" hidden="1">
      <c r="A3868" s="135" t="s">
        <v>6087</v>
      </c>
      <c r="B3868" s="149" t="str">
        <f>IFERROR(VLOOKUP(Proc[[#This Row],[App]],Table2[],3,0),"open")</f>
        <v>ok</v>
      </c>
      <c r="C3868" s="138" t="s">
        <v>369</v>
      </c>
      <c r="D3868" t="s">
        <v>5996</v>
      </c>
      <c r="E3868" t="s">
        <v>6067</v>
      </c>
      <c r="F3868" s="129" t="s">
        <v>6067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4895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42</v>
      </c>
      <c r="R3868" s="136" t="s">
        <v>6088</v>
      </c>
      <c r="S3868" s="129"/>
    </row>
    <row r="3869" spans="1:19" hidden="1">
      <c r="A3869" s="135" t="s">
        <v>6087</v>
      </c>
      <c r="B3869" s="149" t="str">
        <f>IFERROR(VLOOKUP(Proc[[#This Row],[App]],Table2[],3,0),"open")</f>
        <v>ok</v>
      </c>
      <c r="C3869" s="138" t="s">
        <v>369</v>
      </c>
      <c r="D3869" t="s">
        <v>5997</v>
      </c>
      <c r="E3869" t="s">
        <v>6067</v>
      </c>
      <c r="F3869" s="129" t="s">
        <v>6067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4895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42</v>
      </c>
      <c r="R3869" s="136" t="s">
        <v>6088</v>
      </c>
      <c r="S3869" s="129"/>
    </row>
    <row r="3870" spans="1:19" hidden="1">
      <c r="A3870" s="135" t="s">
        <v>6087</v>
      </c>
      <c r="B3870" s="149" t="str">
        <f>IFERROR(VLOOKUP(Proc[[#This Row],[App]],Table2[],3,0),"open")</f>
        <v>ok</v>
      </c>
      <c r="C3870" s="138" t="s">
        <v>369</v>
      </c>
      <c r="D3870" t="s">
        <v>5998</v>
      </c>
      <c r="E3870" t="s">
        <v>6067</v>
      </c>
      <c r="F3870" s="129" t="s">
        <v>6067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4895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42</v>
      </c>
      <c r="R3870" s="136" t="s">
        <v>6088</v>
      </c>
      <c r="S3870" s="129"/>
    </row>
    <row r="3871" spans="1:19" hidden="1">
      <c r="A3871" s="135" t="s">
        <v>6087</v>
      </c>
      <c r="B3871" s="149" t="str">
        <f>IFERROR(VLOOKUP(Proc[[#This Row],[App]],Table2[],3,0),"open")</f>
        <v>ok</v>
      </c>
      <c r="C3871" s="138" t="s">
        <v>369</v>
      </c>
      <c r="D3871" t="s">
        <v>5999</v>
      </c>
      <c r="E3871" t="s">
        <v>6067</v>
      </c>
      <c r="F3871" s="129" t="s">
        <v>6067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4895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42</v>
      </c>
      <c r="R3871" s="136" t="s">
        <v>6088</v>
      </c>
      <c r="S3871" s="129"/>
    </row>
    <row r="3872" spans="1:19" hidden="1">
      <c r="A3872" s="135" t="s">
        <v>6087</v>
      </c>
      <c r="B3872" s="149" t="str">
        <f>IFERROR(VLOOKUP(Proc[[#This Row],[App]],Table2[],3,0),"open")</f>
        <v>ok</v>
      </c>
      <c r="C3872" s="138" t="s">
        <v>369</v>
      </c>
      <c r="D3872" t="s">
        <v>6000</v>
      </c>
      <c r="E3872" t="s">
        <v>6073</v>
      </c>
      <c r="F3872" s="129" t="s">
        <v>6073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4895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42</v>
      </c>
      <c r="R3872" s="136" t="s">
        <v>6088</v>
      </c>
      <c r="S3872" s="129"/>
    </row>
    <row r="3873" spans="1:19" hidden="1">
      <c r="A3873" s="135" t="s">
        <v>6087</v>
      </c>
      <c r="B3873" s="149" t="str">
        <f>IFERROR(VLOOKUP(Proc[[#This Row],[App]],Table2[],3,0),"open")</f>
        <v>ok</v>
      </c>
      <c r="C3873" s="138" t="s">
        <v>369</v>
      </c>
      <c r="D3873" t="s">
        <v>6001</v>
      </c>
      <c r="E3873" t="s">
        <v>6066</v>
      </c>
      <c r="F3873" s="129" t="s">
        <v>6066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4895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42</v>
      </c>
      <c r="R3873" s="136" t="s">
        <v>6088</v>
      </c>
      <c r="S3873" s="129"/>
    </row>
    <row r="3874" spans="1:19" hidden="1">
      <c r="A3874" s="135" t="s">
        <v>6087</v>
      </c>
      <c r="B3874" s="149" t="str">
        <f>IFERROR(VLOOKUP(Proc[[#This Row],[App]],Table2[],3,0),"open")</f>
        <v>ok</v>
      </c>
      <c r="C3874" s="138" t="s">
        <v>369</v>
      </c>
      <c r="D3874" t="s">
        <v>6002</v>
      </c>
      <c r="E3874" t="s">
        <v>6074</v>
      </c>
      <c r="F3874" s="129" t="s">
        <v>6074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4895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42</v>
      </c>
      <c r="R3874" s="136" t="s">
        <v>6088</v>
      </c>
      <c r="S3874" s="129"/>
    </row>
    <row r="3875" spans="1:19" hidden="1">
      <c r="A3875" s="135" t="s">
        <v>6087</v>
      </c>
      <c r="B3875" s="149" t="str">
        <f>IFERROR(VLOOKUP(Proc[[#This Row],[App]],Table2[],3,0),"open")</f>
        <v>ok</v>
      </c>
      <c r="C3875" s="138" t="s">
        <v>369</v>
      </c>
      <c r="D3875" t="s">
        <v>6003</v>
      </c>
      <c r="E3875" t="s">
        <v>6074</v>
      </c>
      <c r="F3875" s="129" t="s">
        <v>6074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4895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42</v>
      </c>
      <c r="R3875" s="136" t="s">
        <v>6088</v>
      </c>
      <c r="S3875" s="129"/>
    </row>
    <row r="3876" spans="1:19" hidden="1">
      <c r="A3876" s="135" t="s">
        <v>6087</v>
      </c>
      <c r="B3876" s="149" t="str">
        <f>IFERROR(VLOOKUP(Proc[[#This Row],[App]],Table2[],3,0),"open")</f>
        <v>ok</v>
      </c>
      <c r="C3876" s="138" t="s">
        <v>369</v>
      </c>
      <c r="D3876" t="s">
        <v>6004</v>
      </c>
      <c r="E3876" t="s">
        <v>6074</v>
      </c>
      <c r="F3876" s="129" t="s">
        <v>6074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4895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42</v>
      </c>
      <c r="R3876" s="136" t="s">
        <v>6088</v>
      </c>
      <c r="S3876" s="129"/>
    </row>
    <row r="3877" spans="1:19" hidden="1">
      <c r="A3877" s="135" t="s">
        <v>6087</v>
      </c>
      <c r="B3877" s="149" t="str">
        <f>IFERROR(VLOOKUP(Proc[[#This Row],[App]],Table2[],3,0),"open")</f>
        <v>ok</v>
      </c>
      <c r="C3877" s="138" t="s">
        <v>369</v>
      </c>
      <c r="D3877" t="s">
        <v>6005</v>
      </c>
      <c r="E3877" t="s">
        <v>6074</v>
      </c>
      <c r="F3877" s="129" t="s">
        <v>6074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4895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42</v>
      </c>
      <c r="R3877" s="136" t="s">
        <v>6088</v>
      </c>
      <c r="S3877" s="129"/>
    </row>
    <row r="3878" spans="1:19" hidden="1">
      <c r="A3878" s="135" t="s">
        <v>6087</v>
      </c>
      <c r="B3878" s="149" t="str">
        <f>IFERROR(VLOOKUP(Proc[[#This Row],[App]],Table2[],3,0),"open")</f>
        <v>ok</v>
      </c>
      <c r="C3878" s="138" t="s">
        <v>369</v>
      </c>
      <c r="D3878" t="s">
        <v>6006</v>
      </c>
      <c r="E3878" t="s">
        <v>6074</v>
      </c>
      <c r="F3878" s="129" t="s">
        <v>6074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4895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42</v>
      </c>
      <c r="R3878" s="136" t="s">
        <v>6088</v>
      </c>
      <c r="S3878" s="129"/>
    </row>
    <row r="3879" spans="1:19" hidden="1">
      <c r="A3879" s="135" t="s">
        <v>6087</v>
      </c>
      <c r="B3879" s="149" t="str">
        <f>IFERROR(VLOOKUP(Proc[[#This Row],[App]],Table2[],3,0),"open")</f>
        <v>ok</v>
      </c>
      <c r="C3879" s="138" t="s">
        <v>369</v>
      </c>
      <c r="D3879" t="s">
        <v>6007</v>
      </c>
      <c r="E3879" t="s">
        <v>6074</v>
      </c>
      <c r="F3879" s="129" t="s">
        <v>6074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4895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42</v>
      </c>
      <c r="R3879" s="136" t="s">
        <v>6088</v>
      </c>
      <c r="S3879" s="129"/>
    </row>
    <row r="3880" spans="1:19" hidden="1">
      <c r="A3880" s="135" t="s">
        <v>6087</v>
      </c>
      <c r="B3880" s="149" t="str">
        <f>IFERROR(VLOOKUP(Proc[[#This Row],[App]],Table2[],3,0),"open")</f>
        <v>ok</v>
      </c>
      <c r="C3880" s="138" t="s">
        <v>369</v>
      </c>
      <c r="D3880" t="s">
        <v>6008</v>
      </c>
      <c r="E3880" t="s">
        <v>6074</v>
      </c>
      <c r="F3880" s="129" t="s">
        <v>6074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4895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42</v>
      </c>
      <c r="R3880" s="136" t="s">
        <v>6088</v>
      </c>
      <c r="S3880" s="129"/>
    </row>
    <row r="3881" spans="1:19" hidden="1">
      <c r="A3881" s="135" t="s">
        <v>6087</v>
      </c>
      <c r="B3881" s="149" t="str">
        <f>IFERROR(VLOOKUP(Proc[[#This Row],[App]],Table2[],3,0),"open")</f>
        <v>ok</v>
      </c>
      <c r="C3881" s="138" t="s">
        <v>369</v>
      </c>
      <c r="D3881" t="s">
        <v>6009</v>
      </c>
      <c r="E3881" t="s">
        <v>6074</v>
      </c>
      <c r="F3881" s="129" t="s">
        <v>6074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4895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42</v>
      </c>
      <c r="R3881" s="136" t="s">
        <v>6088</v>
      </c>
      <c r="S3881" s="129"/>
    </row>
    <row r="3882" spans="1:19" hidden="1">
      <c r="A3882" s="135" t="s">
        <v>6087</v>
      </c>
      <c r="B3882" s="149" t="str">
        <f>IFERROR(VLOOKUP(Proc[[#This Row],[App]],Table2[],3,0),"open")</f>
        <v>ok</v>
      </c>
      <c r="C3882" s="138" t="s">
        <v>369</v>
      </c>
      <c r="D3882" t="s">
        <v>6010</v>
      </c>
      <c r="E3882" t="s">
        <v>6074</v>
      </c>
      <c r="F3882" s="129" t="s">
        <v>6074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4895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42</v>
      </c>
      <c r="R3882" s="136" t="s">
        <v>6088</v>
      </c>
      <c r="S3882" s="129"/>
    </row>
    <row r="3883" spans="1:19" hidden="1">
      <c r="A3883" s="135" t="s">
        <v>6087</v>
      </c>
      <c r="B3883" s="149" t="str">
        <f>IFERROR(VLOOKUP(Proc[[#This Row],[App]],Table2[],3,0),"open")</f>
        <v>ok</v>
      </c>
      <c r="C3883" s="138" t="s">
        <v>369</v>
      </c>
      <c r="D3883" t="s">
        <v>6011</v>
      </c>
      <c r="E3883" t="s">
        <v>6074</v>
      </c>
      <c r="F3883" s="129" t="s">
        <v>6074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4895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42</v>
      </c>
      <c r="R3883" s="136" t="s">
        <v>6088</v>
      </c>
      <c r="S3883" s="129"/>
    </row>
    <row r="3884" spans="1:19" hidden="1">
      <c r="A3884" s="135" t="s">
        <v>6087</v>
      </c>
      <c r="B3884" s="149" t="str">
        <f>IFERROR(VLOOKUP(Proc[[#This Row],[App]],Table2[],3,0),"open")</f>
        <v>ok</v>
      </c>
      <c r="C3884" s="138" t="s">
        <v>369</v>
      </c>
      <c r="D3884" t="s">
        <v>6012</v>
      </c>
      <c r="E3884" t="s">
        <v>6074</v>
      </c>
      <c r="F3884" s="129" t="s">
        <v>6074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4895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42</v>
      </c>
      <c r="R3884" s="136" t="s">
        <v>6088</v>
      </c>
      <c r="S3884" s="129"/>
    </row>
    <row r="3885" spans="1:19" hidden="1">
      <c r="A3885" s="135" t="s">
        <v>6087</v>
      </c>
      <c r="B3885" s="149" t="str">
        <f>IFERROR(VLOOKUP(Proc[[#This Row],[App]],Table2[],3,0),"open")</f>
        <v>ok</v>
      </c>
      <c r="C3885" s="138" t="s">
        <v>369</v>
      </c>
      <c r="D3885" t="s">
        <v>6013</v>
      </c>
      <c r="E3885" t="s">
        <v>6074</v>
      </c>
      <c r="F3885" s="129" t="s">
        <v>6074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4895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42</v>
      </c>
      <c r="R3885" s="136" t="s">
        <v>6088</v>
      </c>
      <c r="S3885" s="129"/>
    </row>
    <row r="3886" spans="1:19" hidden="1">
      <c r="A3886" s="135" t="s">
        <v>6087</v>
      </c>
      <c r="B3886" s="149" t="str">
        <f>IFERROR(VLOOKUP(Proc[[#This Row],[App]],Table2[],3,0),"open")</f>
        <v>ok</v>
      </c>
      <c r="C3886" s="138" t="s">
        <v>369</v>
      </c>
      <c r="D3886" t="s">
        <v>6014</v>
      </c>
      <c r="E3886" t="s">
        <v>6074</v>
      </c>
      <c r="F3886" s="129" t="s">
        <v>6074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4895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42</v>
      </c>
      <c r="R3886" s="136" t="s">
        <v>6088</v>
      </c>
      <c r="S3886" s="129"/>
    </row>
    <row r="3887" spans="1:19" hidden="1">
      <c r="A3887" s="135" t="s">
        <v>6087</v>
      </c>
      <c r="B3887" s="149" t="str">
        <f>IFERROR(VLOOKUP(Proc[[#This Row],[App]],Table2[],3,0),"open")</f>
        <v>ok</v>
      </c>
      <c r="C3887" s="138" t="s">
        <v>369</v>
      </c>
      <c r="D3887" t="s">
        <v>6015</v>
      </c>
      <c r="E3887" t="s">
        <v>6074</v>
      </c>
      <c r="F3887" s="129" t="s">
        <v>6074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4895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42</v>
      </c>
      <c r="R3887" s="136" t="s">
        <v>6088</v>
      </c>
      <c r="S3887" s="129"/>
    </row>
    <row r="3888" spans="1:19" hidden="1">
      <c r="A3888" s="135" t="s">
        <v>6087</v>
      </c>
      <c r="B3888" s="149" t="str">
        <f>IFERROR(VLOOKUP(Proc[[#This Row],[App]],Table2[],3,0),"open")</f>
        <v>ok</v>
      </c>
      <c r="C3888" s="138" t="s">
        <v>369</v>
      </c>
      <c r="D3888" t="s">
        <v>6016</v>
      </c>
      <c r="E3888" t="s">
        <v>6074</v>
      </c>
      <c r="F3888" s="129" t="s">
        <v>6074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4895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42</v>
      </c>
      <c r="R3888" s="136" t="s">
        <v>6088</v>
      </c>
      <c r="S3888" s="129"/>
    </row>
    <row r="3889" spans="1:19" hidden="1">
      <c r="A3889" s="135" t="s">
        <v>6087</v>
      </c>
      <c r="B3889" s="149" t="str">
        <f>IFERROR(VLOOKUP(Proc[[#This Row],[App]],Table2[],3,0),"open")</f>
        <v>ok</v>
      </c>
      <c r="C3889" s="138" t="s">
        <v>369</v>
      </c>
      <c r="D3889" t="s">
        <v>6017</v>
      </c>
      <c r="E3889" t="s">
        <v>6074</v>
      </c>
      <c r="F3889" s="129" t="s">
        <v>6074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4895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42</v>
      </c>
      <c r="R3889" s="136" t="s">
        <v>6088</v>
      </c>
      <c r="S3889" s="129"/>
    </row>
    <row r="3890" spans="1:19" hidden="1">
      <c r="A3890" s="135" t="s">
        <v>6087</v>
      </c>
      <c r="B3890" s="149" t="str">
        <f>IFERROR(VLOOKUP(Proc[[#This Row],[App]],Table2[],3,0),"open")</f>
        <v>ok</v>
      </c>
      <c r="C3890" s="138" t="s">
        <v>369</v>
      </c>
      <c r="D3890" t="s">
        <v>6018</v>
      </c>
      <c r="E3890" t="s">
        <v>6074</v>
      </c>
      <c r="F3890" s="129" t="s">
        <v>6074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4895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42</v>
      </c>
      <c r="R3890" s="136" t="s">
        <v>6088</v>
      </c>
      <c r="S3890" s="129"/>
    </row>
    <row r="3891" spans="1:19" hidden="1">
      <c r="A3891" s="135" t="s">
        <v>6087</v>
      </c>
      <c r="B3891" s="149" t="str">
        <f>IFERROR(VLOOKUP(Proc[[#This Row],[App]],Table2[],3,0),"open")</f>
        <v>ok</v>
      </c>
      <c r="C3891" s="138" t="s">
        <v>369</v>
      </c>
      <c r="D3891" t="s">
        <v>6019</v>
      </c>
      <c r="E3891" t="s">
        <v>6074</v>
      </c>
      <c r="F3891" s="129" t="s">
        <v>6074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4895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42</v>
      </c>
      <c r="R3891" s="136" t="s">
        <v>6088</v>
      </c>
      <c r="S3891" s="129"/>
    </row>
    <row r="3892" spans="1:19" hidden="1">
      <c r="A3892" s="135" t="s">
        <v>6087</v>
      </c>
      <c r="B3892" s="149" t="str">
        <f>IFERROR(VLOOKUP(Proc[[#This Row],[App]],Table2[],3,0),"open")</f>
        <v>ok</v>
      </c>
      <c r="C3892" s="138" t="s">
        <v>369</v>
      </c>
      <c r="D3892" t="s">
        <v>6020</v>
      </c>
      <c r="E3892" t="s">
        <v>6074</v>
      </c>
      <c r="F3892" s="129" t="s">
        <v>6074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4895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42</v>
      </c>
      <c r="R3892" s="136" t="s">
        <v>6088</v>
      </c>
      <c r="S3892" s="129"/>
    </row>
    <row r="3893" spans="1:19" hidden="1">
      <c r="A3893" s="135" t="s">
        <v>6087</v>
      </c>
      <c r="B3893" s="149" t="str">
        <f>IFERROR(VLOOKUP(Proc[[#This Row],[App]],Table2[],3,0),"open")</f>
        <v>ok</v>
      </c>
      <c r="C3893" s="138" t="s">
        <v>369</v>
      </c>
      <c r="D3893" t="s">
        <v>6021</v>
      </c>
      <c r="E3893" t="s">
        <v>6074</v>
      </c>
      <c r="F3893" s="129" t="s">
        <v>6074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4895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42</v>
      </c>
      <c r="R3893" s="136" t="s">
        <v>6088</v>
      </c>
      <c r="S3893" s="129"/>
    </row>
    <row r="3894" spans="1:19" hidden="1">
      <c r="A3894" s="135" t="s">
        <v>6087</v>
      </c>
      <c r="B3894" s="149" t="str">
        <f>IFERROR(VLOOKUP(Proc[[#This Row],[App]],Table2[],3,0),"open")</f>
        <v>ok</v>
      </c>
      <c r="C3894" s="138" t="s">
        <v>369</v>
      </c>
      <c r="D3894" t="s">
        <v>6022</v>
      </c>
      <c r="E3894" t="s">
        <v>6074</v>
      </c>
      <c r="F3894" s="129" t="s">
        <v>6074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4895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42</v>
      </c>
      <c r="R3894" s="136" t="s">
        <v>6088</v>
      </c>
      <c r="S3894" s="129"/>
    </row>
    <row r="3895" spans="1:19" hidden="1">
      <c r="A3895" s="135" t="s">
        <v>6087</v>
      </c>
      <c r="B3895" s="149" t="str">
        <f>IFERROR(VLOOKUP(Proc[[#This Row],[App]],Table2[],3,0),"open")</f>
        <v>ok</v>
      </c>
      <c r="C3895" s="138" t="s">
        <v>369</v>
      </c>
      <c r="D3895" t="s">
        <v>6023</v>
      </c>
      <c r="E3895" t="s">
        <v>6074</v>
      </c>
      <c r="F3895" s="129" t="s">
        <v>6074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4895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42</v>
      </c>
      <c r="R3895" s="136" t="s">
        <v>6088</v>
      </c>
      <c r="S3895" s="129"/>
    </row>
    <row r="3896" spans="1:19" hidden="1">
      <c r="A3896" s="135" t="s">
        <v>6087</v>
      </c>
      <c r="B3896" s="149" t="str">
        <f>IFERROR(VLOOKUP(Proc[[#This Row],[App]],Table2[],3,0),"open")</f>
        <v>ok</v>
      </c>
      <c r="C3896" s="138" t="s">
        <v>369</v>
      </c>
      <c r="D3896" t="s">
        <v>6024</v>
      </c>
      <c r="E3896" t="s">
        <v>6074</v>
      </c>
      <c r="F3896" s="129" t="s">
        <v>6074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4895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42</v>
      </c>
      <c r="R3896" s="136" t="s">
        <v>6088</v>
      </c>
      <c r="S3896" s="129"/>
    </row>
    <row r="3897" spans="1:19" hidden="1">
      <c r="A3897" s="135" t="s">
        <v>6087</v>
      </c>
      <c r="B3897" s="149" t="str">
        <f>IFERROR(VLOOKUP(Proc[[#This Row],[App]],Table2[],3,0),"open")</f>
        <v>ok</v>
      </c>
      <c r="C3897" s="138" t="s">
        <v>369</v>
      </c>
      <c r="D3897" t="s">
        <v>6025</v>
      </c>
      <c r="E3897" t="s">
        <v>6075</v>
      </c>
      <c r="F3897" s="129" t="s">
        <v>6075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4895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42</v>
      </c>
      <c r="R3897" s="136" t="s">
        <v>6088</v>
      </c>
      <c r="S3897" s="129"/>
    </row>
    <row r="3898" spans="1:19" hidden="1">
      <c r="A3898" s="135" t="s">
        <v>6087</v>
      </c>
      <c r="B3898" s="149" t="str">
        <f>IFERROR(VLOOKUP(Proc[[#This Row],[App]],Table2[],3,0),"open")</f>
        <v>ok</v>
      </c>
      <c r="C3898" s="138" t="s">
        <v>369</v>
      </c>
      <c r="D3898" t="s">
        <v>6026</v>
      </c>
      <c r="E3898" t="s">
        <v>6074</v>
      </c>
      <c r="F3898" s="129" t="s">
        <v>6074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4895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42</v>
      </c>
      <c r="R3898" s="136" t="s">
        <v>6088</v>
      </c>
      <c r="S3898" s="129"/>
    </row>
    <row r="3899" spans="1:19" hidden="1">
      <c r="A3899" s="135" t="s">
        <v>6087</v>
      </c>
      <c r="B3899" s="149" t="str">
        <f>IFERROR(VLOOKUP(Proc[[#This Row],[App]],Table2[],3,0),"open")</f>
        <v>ok</v>
      </c>
      <c r="C3899" s="138" t="s">
        <v>369</v>
      </c>
      <c r="D3899" t="s">
        <v>6027</v>
      </c>
      <c r="E3899" t="s">
        <v>6076</v>
      </c>
      <c r="F3899" s="129" t="s">
        <v>6076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4895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42</v>
      </c>
      <c r="R3899" s="136" t="s">
        <v>6088</v>
      </c>
      <c r="S3899" s="129"/>
    </row>
    <row r="3900" spans="1:19" hidden="1">
      <c r="A3900" s="135" t="s">
        <v>6087</v>
      </c>
      <c r="B3900" s="149" t="str">
        <f>IFERROR(VLOOKUP(Proc[[#This Row],[App]],Table2[],3,0),"open")</f>
        <v>ok</v>
      </c>
      <c r="C3900" s="138" t="s">
        <v>369</v>
      </c>
      <c r="D3900" t="s">
        <v>6028</v>
      </c>
      <c r="E3900" t="s">
        <v>6077</v>
      </c>
      <c r="F3900" s="129" t="s">
        <v>6077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4895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42</v>
      </c>
      <c r="R3900" s="136" t="s">
        <v>6088</v>
      </c>
      <c r="S3900" s="129"/>
    </row>
    <row r="3901" spans="1:19" hidden="1">
      <c r="A3901" s="135" t="s">
        <v>6087</v>
      </c>
      <c r="B3901" s="149" t="str">
        <f>IFERROR(VLOOKUP(Proc[[#This Row],[App]],Table2[],3,0),"open")</f>
        <v>ok</v>
      </c>
      <c r="C3901" s="138" t="s">
        <v>369</v>
      </c>
      <c r="D3901" t="s">
        <v>6029</v>
      </c>
      <c r="E3901" t="s">
        <v>6078</v>
      </c>
      <c r="F3901" s="129" t="s">
        <v>6078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4895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42</v>
      </c>
      <c r="R3901" s="136" t="s">
        <v>6088</v>
      </c>
      <c r="S3901" s="129"/>
    </row>
    <row r="3902" spans="1:19" hidden="1">
      <c r="A3902" s="135" t="s">
        <v>6087</v>
      </c>
      <c r="B3902" s="149" t="str">
        <f>IFERROR(VLOOKUP(Proc[[#This Row],[App]],Table2[],3,0),"open")</f>
        <v>ok</v>
      </c>
      <c r="C3902" s="138" t="s">
        <v>369</v>
      </c>
      <c r="D3902" t="s">
        <v>6030</v>
      </c>
      <c r="E3902" t="s">
        <v>6079</v>
      </c>
      <c r="F3902" s="129" t="s">
        <v>6079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4895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42</v>
      </c>
      <c r="R3902" s="136" t="s">
        <v>6088</v>
      </c>
      <c r="S3902" s="129"/>
    </row>
    <row r="3903" spans="1:19" hidden="1">
      <c r="A3903" s="135" t="s">
        <v>6087</v>
      </c>
      <c r="B3903" s="149" t="str">
        <f>IFERROR(VLOOKUP(Proc[[#This Row],[App]],Table2[],3,0),"open")</f>
        <v>ok</v>
      </c>
      <c r="C3903" s="138" t="s">
        <v>369</v>
      </c>
      <c r="D3903" t="s">
        <v>6031</v>
      </c>
      <c r="E3903" t="s">
        <v>6079</v>
      </c>
      <c r="F3903" s="129" t="s">
        <v>6079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4895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42</v>
      </c>
      <c r="R3903" s="136" t="s">
        <v>6088</v>
      </c>
      <c r="S3903" s="129"/>
    </row>
    <row r="3904" spans="1:19" hidden="1">
      <c r="A3904" s="135" t="s">
        <v>6087</v>
      </c>
      <c r="B3904" s="149" t="str">
        <f>IFERROR(VLOOKUP(Proc[[#This Row],[App]],Table2[],3,0),"open")</f>
        <v>ok</v>
      </c>
      <c r="C3904" s="138" t="s">
        <v>369</v>
      </c>
      <c r="D3904" t="s">
        <v>6032</v>
      </c>
      <c r="E3904" t="s">
        <v>6079</v>
      </c>
      <c r="F3904" s="129" t="s">
        <v>6079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4895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42</v>
      </c>
      <c r="R3904" s="136" t="s">
        <v>6088</v>
      </c>
      <c r="S3904" s="129"/>
    </row>
    <row r="3905" spans="1:19" hidden="1">
      <c r="A3905" s="135" t="s">
        <v>6087</v>
      </c>
      <c r="B3905" s="149" t="str">
        <f>IFERROR(VLOOKUP(Proc[[#This Row],[App]],Table2[],3,0),"open")</f>
        <v>ok</v>
      </c>
      <c r="C3905" s="138" t="s">
        <v>369</v>
      </c>
      <c r="D3905" t="s">
        <v>6033</v>
      </c>
      <c r="E3905" t="s">
        <v>6079</v>
      </c>
      <c r="F3905" s="129" t="s">
        <v>6079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4895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42</v>
      </c>
      <c r="R3905" s="136" t="s">
        <v>6088</v>
      </c>
      <c r="S3905" s="129"/>
    </row>
    <row r="3906" spans="1:19" hidden="1">
      <c r="A3906" s="135" t="s">
        <v>6087</v>
      </c>
      <c r="B3906" s="149" t="str">
        <f>IFERROR(VLOOKUP(Proc[[#This Row],[App]],Table2[],3,0),"open")</f>
        <v>ok</v>
      </c>
      <c r="C3906" s="138" t="s">
        <v>369</v>
      </c>
      <c r="D3906" t="s">
        <v>6034</v>
      </c>
      <c r="E3906" t="s">
        <v>6079</v>
      </c>
      <c r="F3906" s="129" t="s">
        <v>6079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4895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42</v>
      </c>
      <c r="R3906" s="136" t="s">
        <v>6088</v>
      </c>
      <c r="S3906" s="129"/>
    </row>
    <row r="3907" spans="1:19" hidden="1">
      <c r="A3907" s="135" t="s">
        <v>6087</v>
      </c>
      <c r="B3907" s="149" t="str">
        <f>IFERROR(VLOOKUP(Proc[[#This Row],[App]],Table2[],3,0),"open")</f>
        <v>ok</v>
      </c>
      <c r="C3907" s="138" t="s">
        <v>369</v>
      </c>
      <c r="D3907" t="s">
        <v>6035</v>
      </c>
      <c r="E3907" t="s">
        <v>6079</v>
      </c>
      <c r="F3907" s="129" t="s">
        <v>6079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4895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42</v>
      </c>
      <c r="R3907" s="136" t="s">
        <v>6088</v>
      </c>
      <c r="S3907" s="129"/>
    </row>
    <row r="3908" spans="1:19" hidden="1">
      <c r="A3908" s="135" t="s">
        <v>6087</v>
      </c>
      <c r="B3908" s="149" t="str">
        <f>IFERROR(VLOOKUP(Proc[[#This Row],[App]],Table2[],3,0),"open")</f>
        <v>ok</v>
      </c>
      <c r="C3908" s="138" t="s">
        <v>369</v>
      </c>
      <c r="D3908" t="s">
        <v>6036</v>
      </c>
      <c r="E3908" t="s">
        <v>6080</v>
      </c>
      <c r="F3908" s="129" t="s">
        <v>6080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4895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42</v>
      </c>
      <c r="R3908" s="136" t="s">
        <v>6088</v>
      </c>
      <c r="S3908" s="129"/>
    </row>
    <row r="3909" spans="1:19" hidden="1">
      <c r="A3909" s="135" t="s">
        <v>6087</v>
      </c>
      <c r="B3909" s="149" t="str">
        <f>IFERROR(VLOOKUP(Proc[[#This Row],[App]],Table2[],3,0),"open")</f>
        <v>ok</v>
      </c>
      <c r="C3909" s="138" t="s">
        <v>369</v>
      </c>
      <c r="D3909" t="s">
        <v>6037</v>
      </c>
      <c r="E3909" t="s">
        <v>6075</v>
      </c>
      <c r="F3909" s="129" t="s">
        <v>6075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4895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42</v>
      </c>
      <c r="R3909" s="136" t="s">
        <v>6088</v>
      </c>
      <c r="S3909" s="129"/>
    </row>
    <row r="3910" spans="1:19" hidden="1">
      <c r="A3910" s="135" t="s">
        <v>6087</v>
      </c>
      <c r="B3910" s="149" t="str">
        <f>IFERROR(VLOOKUP(Proc[[#This Row],[App]],Table2[],3,0),"open")</f>
        <v>ok</v>
      </c>
      <c r="C3910" s="138" t="s">
        <v>369</v>
      </c>
      <c r="D3910" t="s">
        <v>6038</v>
      </c>
      <c r="E3910" t="s">
        <v>6075</v>
      </c>
      <c r="F3910" s="129" t="s">
        <v>6075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4895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42</v>
      </c>
      <c r="R3910" s="136" t="s">
        <v>6088</v>
      </c>
      <c r="S3910" s="129"/>
    </row>
    <row r="3911" spans="1:19" hidden="1">
      <c r="A3911" s="135" t="s">
        <v>6087</v>
      </c>
      <c r="B3911" s="149" t="str">
        <f>IFERROR(VLOOKUP(Proc[[#This Row],[App]],Table2[],3,0),"open")</f>
        <v>ok</v>
      </c>
      <c r="C3911" s="138" t="s">
        <v>369</v>
      </c>
      <c r="D3911" t="s">
        <v>6039</v>
      </c>
      <c r="E3911" t="s">
        <v>6075</v>
      </c>
      <c r="F3911" s="129" t="s">
        <v>6075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4895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42</v>
      </c>
      <c r="R3911" s="136" t="s">
        <v>6088</v>
      </c>
      <c r="S3911" s="129"/>
    </row>
    <row r="3912" spans="1:19" hidden="1">
      <c r="A3912" s="135" t="s">
        <v>6087</v>
      </c>
      <c r="B3912" s="149" t="str">
        <f>IFERROR(VLOOKUP(Proc[[#This Row],[App]],Table2[],3,0),"open")</f>
        <v>ok</v>
      </c>
      <c r="C3912" s="138" t="s">
        <v>369</v>
      </c>
      <c r="D3912" t="s">
        <v>6040</v>
      </c>
      <c r="E3912" t="s">
        <v>6081</v>
      </c>
      <c r="F3912" s="129" t="s">
        <v>6081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4895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42</v>
      </c>
      <c r="R3912" s="136" t="s">
        <v>6088</v>
      </c>
      <c r="S3912" s="129"/>
    </row>
    <row r="3913" spans="1:19" hidden="1">
      <c r="A3913" s="135" t="s">
        <v>6087</v>
      </c>
      <c r="B3913" s="149" t="str">
        <f>IFERROR(VLOOKUP(Proc[[#This Row],[App]],Table2[],3,0),"open")</f>
        <v>ok</v>
      </c>
      <c r="C3913" s="138" t="s">
        <v>369</v>
      </c>
      <c r="D3913" t="s">
        <v>6041</v>
      </c>
      <c r="E3913" t="s">
        <v>6082</v>
      </c>
      <c r="F3913" s="129" t="s">
        <v>6082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4895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42</v>
      </c>
      <c r="R3913" s="136" t="s">
        <v>6088</v>
      </c>
      <c r="S3913" s="129"/>
    </row>
    <row r="3914" spans="1:19" hidden="1">
      <c r="A3914" s="135" t="s">
        <v>6087</v>
      </c>
      <c r="B3914" s="149" t="str">
        <f>IFERROR(VLOOKUP(Proc[[#This Row],[App]],Table2[],3,0),"open")</f>
        <v>ok</v>
      </c>
      <c r="C3914" s="138" t="s">
        <v>369</v>
      </c>
      <c r="D3914" t="s">
        <v>6042</v>
      </c>
      <c r="E3914" t="s">
        <v>6083</v>
      </c>
      <c r="F3914" s="129" t="s">
        <v>6083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4895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42</v>
      </c>
      <c r="R3914" s="136" t="s">
        <v>6088</v>
      </c>
      <c r="S3914" s="129"/>
    </row>
    <row r="3915" spans="1:19" hidden="1">
      <c r="A3915" s="135" t="s">
        <v>6087</v>
      </c>
      <c r="B3915" s="149" t="str">
        <f>IFERROR(VLOOKUP(Proc[[#This Row],[App]],Table2[],3,0),"open")</f>
        <v>ok</v>
      </c>
      <c r="C3915" s="138" t="s">
        <v>369</v>
      </c>
      <c r="D3915" t="s">
        <v>6043</v>
      </c>
      <c r="E3915" t="s">
        <v>6084</v>
      </c>
      <c r="F3915" s="129" t="s">
        <v>6084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4895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42</v>
      </c>
      <c r="R3915" s="136" t="s">
        <v>6088</v>
      </c>
      <c r="S3915" s="129"/>
    </row>
    <row r="3916" spans="1:19" hidden="1">
      <c r="A3916" s="135" t="s">
        <v>6087</v>
      </c>
      <c r="B3916" s="149" t="str">
        <f>IFERROR(VLOOKUP(Proc[[#This Row],[App]],Table2[],3,0),"open")</f>
        <v>ok</v>
      </c>
      <c r="C3916" s="138" t="s">
        <v>369</v>
      </c>
      <c r="D3916" t="s">
        <v>6044</v>
      </c>
      <c r="E3916" t="s">
        <v>6085</v>
      </c>
      <c r="F3916" s="129" t="s">
        <v>6085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4895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42</v>
      </c>
      <c r="R3916" s="136" t="s">
        <v>6088</v>
      </c>
      <c r="S3916" s="129"/>
    </row>
    <row r="3917" spans="1:19" hidden="1">
      <c r="A3917" s="135" t="s">
        <v>6087</v>
      </c>
      <c r="B3917" s="149" t="str">
        <f>IFERROR(VLOOKUP(Proc[[#This Row],[App]],Table2[],3,0),"open")</f>
        <v>ok</v>
      </c>
      <c r="C3917" s="138" t="s">
        <v>369</v>
      </c>
      <c r="D3917" t="s">
        <v>6045</v>
      </c>
      <c r="E3917" t="s">
        <v>6086</v>
      </c>
      <c r="F3917" s="129" t="s">
        <v>6086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4895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42</v>
      </c>
      <c r="R3917" s="136" t="s">
        <v>6088</v>
      </c>
      <c r="S3917" s="129"/>
    </row>
    <row r="3918" spans="1:19" hidden="1">
      <c r="A3918" s="135" t="s">
        <v>6087</v>
      </c>
      <c r="B3918" s="149" t="str">
        <f>IFERROR(VLOOKUP(Proc[[#This Row],[App]],Table2[],3,0),"open")</f>
        <v>ok</v>
      </c>
      <c r="C3918" s="138" t="s">
        <v>369</v>
      </c>
      <c r="D3918" t="s">
        <v>6046</v>
      </c>
      <c r="E3918" t="s">
        <v>6086</v>
      </c>
      <c r="F3918" s="129" t="s">
        <v>6086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4895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42</v>
      </c>
      <c r="R3918" s="136" t="s">
        <v>6088</v>
      </c>
      <c r="S3918" s="129"/>
    </row>
    <row r="3919" spans="1:19" hidden="1">
      <c r="A3919" s="135" t="s">
        <v>6087</v>
      </c>
      <c r="B3919" s="149" t="str">
        <f>IFERROR(VLOOKUP(Proc[[#This Row],[App]],Table2[],3,0),"open")</f>
        <v>ok</v>
      </c>
      <c r="C3919" s="138" t="s">
        <v>369</v>
      </c>
      <c r="D3919" t="s">
        <v>6047</v>
      </c>
      <c r="E3919" t="s">
        <v>6060</v>
      </c>
      <c r="F3919" s="129" t="s">
        <v>6060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4895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42</v>
      </c>
      <c r="R3919" s="136" t="s">
        <v>6088</v>
      </c>
      <c r="S3919" s="129"/>
    </row>
    <row r="3920" spans="1:19" hidden="1">
      <c r="A3920" s="135" t="s">
        <v>6087</v>
      </c>
      <c r="B3920" s="149" t="str">
        <f>IFERROR(VLOOKUP(Proc[[#This Row],[App]],Table2[],3,0),"open")</f>
        <v>ok</v>
      </c>
      <c r="C3920" s="138" t="s">
        <v>369</v>
      </c>
      <c r="D3920" t="s">
        <v>6048</v>
      </c>
      <c r="E3920" t="s">
        <v>6060</v>
      </c>
      <c r="F3920" s="129" t="s">
        <v>6060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4895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42</v>
      </c>
      <c r="R3920" s="136" t="s">
        <v>6088</v>
      </c>
      <c r="S3920" s="129"/>
    </row>
    <row r="3921" spans="1:19" hidden="1">
      <c r="A3921" s="135" t="s">
        <v>6087</v>
      </c>
      <c r="B3921" s="149" t="str">
        <f>IFERROR(VLOOKUP(Proc[[#This Row],[App]],Table2[],3,0),"open")</f>
        <v>ok</v>
      </c>
      <c r="C3921" s="138" t="s">
        <v>369</v>
      </c>
      <c r="D3921" t="s">
        <v>6049</v>
      </c>
      <c r="E3921" t="s">
        <v>6060</v>
      </c>
      <c r="F3921" s="129" t="s">
        <v>6060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4895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42</v>
      </c>
      <c r="R3921" s="136" t="s">
        <v>6088</v>
      </c>
      <c r="S3921" s="129"/>
    </row>
    <row r="3922" spans="1:19" hidden="1">
      <c r="A3922" s="135" t="s">
        <v>6087</v>
      </c>
      <c r="B3922" s="149" t="str">
        <f>IFERROR(VLOOKUP(Proc[[#This Row],[App]],Table2[],3,0),"open")</f>
        <v>ok</v>
      </c>
      <c r="C3922" s="138" t="s">
        <v>369</v>
      </c>
      <c r="D3922" t="s">
        <v>6050</v>
      </c>
      <c r="E3922" t="s">
        <v>6060</v>
      </c>
      <c r="F3922" s="129" t="s">
        <v>6060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4895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42</v>
      </c>
      <c r="R3922" s="136" t="s">
        <v>6088</v>
      </c>
      <c r="S3922" s="129"/>
    </row>
    <row r="3923" spans="1:19" hidden="1">
      <c r="A3923" s="135" t="s">
        <v>6087</v>
      </c>
      <c r="B3923" s="149" t="str">
        <f>IFERROR(VLOOKUP(Proc[[#This Row],[App]],Table2[],3,0),"open")</f>
        <v>ok</v>
      </c>
      <c r="C3923" s="138" t="s">
        <v>369</v>
      </c>
      <c r="D3923" t="s">
        <v>6051</v>
      </c>
      <c r="E3923" t="s">
        <v>6060</v>
      </c>
      <c r="F3923" s="129" t="s">
        <v>6060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4895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42</v>
      </c>
      <c r="R3923" s="136" t="s">
        <v>6088</v>
      </c>
      <c r="S3923" s="129"/>
    </row>
    <row r="3924" spans="1:19" hidden="1">
      <c r="A3924" s="135" t="s">
        <v>6087</v>
      </c>
      <c r="B3924" s="149" t="str">
        <f>IFERROR(VLOOKUP(Proc[[#This Row],[App]],Table2[],3,0),"open")</f>
        <v>ok</v>
      </c>
      <c r="C3924" s="138" t="s">
        <v>369</v>
      </c>
      <c r="D3924" t="s">
        <v>6052</v>
      </c>
      <c r="E3924" t="s">
        <v>6060</v>
      </c>
      <c r="F3924" s="129" t="s">
        <v>6060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4895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42</v>
      </c>
      <c r="R3924" s="136" t="s">
        <v>6088</v>
      </c>
      <c r="S3924" s="129"/>
    </row>
    <row r="3925" spans="1:19" hidden="1">
      <c r="A3925" s="135" t="s">
        <v>6087</v>
      </c>
      <c r="B3925" s="149" t="str">
        <f>IFERROR(VLOOKUP(Proc[[#This Row],[App]],Table2[],3,0),"open")</f>
        <v>ok</v>
      </c>
      <c r="C3925" s="138" t="s">
        <v>369</v>
      </c>
      <c r="D3925" t="s">
        <v>6053</v>
      </c>
      <c r="E3925" t="s">
        <v>6060</v>
      </c>
      <c r="F3925" s="129" t="s">
        <v>6060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4895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42</v>
      </c>
      <c r="R3925" s="136" t="s">
        <v>6088</v>
      </c>
      <c r="S3925" s="129"/>
    </row>
    <row r="3926" spans="1:19" hidden="1">
      <c r="A3926" s="135" t="s">
        <v>6087</v>
      </c>
      <c r="B3926" s="149" t="str">
        <f>IFERROR(VLOOKUP(Proc[[#This Row],[App]],Table2[],3,0),"open")</f>
        <v>ok</v>
      </c>
      <c r="C3926" s="138" t="s">
        <v>369</v>
      </c>
      <c r="D3926" t="s">
        <v>6054</v>
      </c>
      <c r="E3926" t="s">
        <v>6060</v>
      </c>
      <c r="F3926" s="129" t="s">
        <v>6060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4895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42</v>
      </c>
      <c r="R3926" s="136" t="s">
        <v>6088</v>
      </c>
      <c r="S3926" s="129"/>
    </row>
    <row r="3927" spans="1:19" hidden="1">
      <c r="A3927" s="135" t="s">
        <v>6087</v>
      </c>
      <c r="B3927" s="149" t="str">
        <f>IFERROR(VLOOKUP(Proc[[#This Row],[App]],Table2[],3,0),"open")</f>
        <v>ok</v>
      </c>
      <c r="C3927" s="138" t="s">
        <v>369</v>
      </c>
      <c r="D3927" t="s">
        <v>6055</v>
      </c>
      <c r="E3927" t="s">
        <v>6070</v>
      </c>
      <c r="F3927" s="129" t="s">
        <v>6070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4895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42</v>
      </c>
      <c r="R3927" s="136" t="s">
        <v>6088</v>
      </c>
      <c r="S3927" s="129"/>
    </row>
    <row r="3928" spans="1:19" hidden="1">
      <c r="A3928" s="135" t="s">
        <v>6087</v>
      </c>
      <c r="B3928" s="149" t="str">
        <f>IFERROR(VLOOKUP(Proc[[#This Row],[App]],Table2[],3,0),"open")</f>
        <v>ok</v>
      </c>
      <c r="C3928" s="138" t="s">
        <v>369</v>
      </c>
      <c r="D3928" t="s">
        <v>6056</v>
      </c>
      <c r="E3928" t="s">
        <v>6060</v>
      </c>
      <c r="F3928" s="129" t="s">
        <v>6060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4895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42</v>
      </c>
      <c r="R3928" s="136" t="s">
        <v>6088</v>
      </c>
      <c r="S3928" s="129"/>
    </row>
    <row r="3929" spans="1:19" hidden="1">
      <c r="A3929" s="135" t="s">
        <v>6087</v>
      </c>
      <c r="B3929" s="149" t="str">
        <f>IFERROR(VLOOKUP(Proc[[#This Row],[App]],Table2[],3,0),"open")</f>
        <v>ok</v>
      </c>
      <c r="C3929" s="138" t="s">
        <v>369</v>
      </c>
      <c r="D3929" t="s">
        <v>6057</v>
      </c>
      <c r="E3929" t="s">
        <v>6060</v>
      </c>
      <c r="F3929" s="129" t="s">
        <v>6060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4895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42</v>
      </c>
      <c r="R3929" s="136" t="s">
        <v>6088</v>
      </c>
      <c r="S3929" s="129"/>
    </row>
    <row r="3930" spans="1:19" hidden="1">
      <c r="A3930" s="135" t="s">
        <v>6087</v>
      </c>
      <c r="B3930" s="149" t="str">
        <f>IFERROR(VLOOKUP(Proc[[#This Row],[App]],Table2[],3,0),"open")</f>
        <v>ok</v>
      </c>
      <c r="C3930" s="138" t="s">
        <v>369</v>
      </c>
      <c r="D3930" t="s">
        <v>6058</v>
      </c>
      <c r="E3930" t="s">
        <v>6060</v>
      </c>
      <c r="F3930" s="129" t="s">
        <v>6060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4895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42</v>
      </c>
      <c r="R3930" s="136" t="s">
        <v>6088</v>
      </c>
      <c r="S3930" s="129"/>
    </row>
    <row r="3931" spans="1:19" hidden="1">
      <c r="A3931" s="135" t="s">
        <v>6087</v>
      </c>
      <c r="B3931" s="149" t="str">
        <f>IFERROR(VLOOKUP(Proc[[#This Row],[App]],Table2[],3,0),"open")</f>
        <v>ok</v>
      </c>
      <c r="C3931" s="138" t="s">
        <v>369</v>
      </c>
      <c r="D3931" t="s">
        <v>6059</v>
      </c>
      <c r="E3931" t="s">
        <v>6060</v>
      </c>
      <c r="F3931" s="129" t="s">
        <v>6060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4895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42</v>
      </c>
      <c r="R3931" s="136" t="s">
        <v>6088</v>
      </c>
      <c r="S3931" s="129"/>
    </row>
    <row r="3932" spans="1:19" hidden="1">
      <c r="A3932" t="s">
        <v>6090</v>
      </c>
      <c r="B3932" s="149" t="str">
        <f>IFERROR(VLOOKUP(Proc[[#This Row],[App]],Table2[],3,0),"open")</f>
        <v>ok</v>
      </c>
      <c r="C3932" t="s">
        <v>369</v>
      </c>
      <c r="D3932" t="s">
        <v>5338</v>
      </c>
      <c r="E3932" t="s">
        <v>6089</v>
      </c>
      <c r="F3932" s="129" t="s">
        <v>6089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4895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40</v>
      </c>
      <c r="R3932" s="136" t="s">
        <v>1459</v>
      </c>
      <c r="S3932" s="129"/>
    </row>
    <row r="3933" spans="1:19" hidden="1">
      <c r="A3933" s="135" t="s">
        <v>6090</v>
      </c>
      <c r="B3933" s="149" t="str">
        <f>IFERROR(VLOOKUP(Proc[[#This Row],[App]],Table2[],3,0),"open")</f>
        <v>ok</v>
      </c>
      <c r="C3933" s="138" t="s">
        <v>369</v>
      </c>
      <c r="D3933" t="s">
        <v>5337</v>
      </c>
      <c r="E3933" t="s">
        <v>6089</v>
      </c>
      <c r="F3933" s="129" t="s">
        <v>6089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4895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40</v>
      </c>
      <c r="R3933" s="136" t="s">
        <v>1459</v>
      </c>
      <c r="S3933" s="129"/>
    </row>
    <row r="3934" spans="1:19" hidden="1">
      <c r="A3934" s="135" t="s">
        <v>6090</v>
      </c>
      <c r="B3934" s="149" t="str">
        <f>IFERROR(VLOOKUP(Proc[[#This Row],[App]],Table2[],3,0),"open")</f>
        <v>ok</v>
      </c>
      <c r="C3934" s="138" t="s">
        <v>369</v>
      </c>
      <c r="D3934" t="s">
        <v>5335</v>
      </c>
      <c r="E3934" t="s">
        <v>6089</v>
      </c>
      <c r="F3934" s="129" t="s">
        <v>6089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4895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40</v>
      </c>
      <c r="R3934" s="136" t="s">
        <v>1459</v>
      </c>
      <c r="S3934" s="129"/>
    </row>
    <row r="3935" spans="1:19" hidden="1">
      <c r="A3935" s="135" t="s">
        <v>6090</v>
      </c>
      <c r="B3935" s="149" t="str">
        <f>IFERROR(VLOOKUP(Proc[[#This Row],[App]],Table2[],3,0),"open")</f>
        <v>ok</v>
      </c>
      <c r="C3935" s="138" t="s">
        <v>369</v>
      </c>
      <c r="D3935" t="s">
        <v>5369</v>
      </c>
      <c r="E3935" t="s">
        <v>6089</v>
      </c>
      <c r="F3935" s="129" t="s">
        <v>6089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4895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40</v>
      </c>
      <c r="R3935" s="136" t="s">
        <v>1459</v>
      </c>
      <c r="S3935" s="129"/>
    </row>
    <row r="3936" spans="1:19" hidden="1">
      <c r="A3936" s="135" t="s">
        <v>6090</v>
      </c>
      <c r="B3936" s="149" t="str">
        <f>IFERROR(VLOOKUP(Proc[[#This Row],[App]],Table2[],3,0),"open")</f>
        <v>ok</v>
      </c>
      <c r="C3936" s="138" t="s">
        <v>369</v>
      </c>
      <c r="D3936" t="s">
        <v>5336</v>
      </c>
      <c r="E3936" t="s">
        <v>6089</v>
      </c>
      <c r="F3936" s="129" t="s">
        <v>6089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4895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40</v>
      </c>
      <c r="R3936" s="136" t="s">
        <v>1459</v>
      </c>
      <c r="S3936" s="129"/>
    </row>
    <row r="3937" spans="1:19" hidden="1">
      <c r="A3937" t="s">
        <v>6099</v>
      </c>
      <c r="B3937" s="149" t="str">
        <f>IFERROR(VLOOKUP(Proc[[#This Row],[App]],Table2[],3,0),"open")</f>
        <v>ok</v>
      </c>
      <c r="C3937" s="138" t="s">
        <v>369</v>
      </c>
      <c r="D3937" t="s">
        <v>6091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4895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40</v>
      </c>
      <c r="R3937" s="136" t="s">
        <v>972</v>
      </c>
      <c r="S3937" s="129"/>
    </row>
    <row r="3938" spans="1:19" hidden="1">
      <c r="A3938" s="135" t="s">
        <v>6099</v>
      </c>
      <c r="B3938" s="149" t="str">
        <f>IFERROR(VLOOKUP(Proc[[#This Row],[App]],Table2[],3,0),"open")</f>
        <v>ok</v>
      </c>
      <c r="C3938" s="138" t="s">
        <v>369</v>
      </c>
      <c r="D3938" t="s">
        <v>6092</v>
      </c>
      <c r="E3938" t="s">
        <v>6098</v>
      </c>
      <c r="F3938" s="129" t="s">
        <v>6098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4895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40</v>
      </c>
      <c r="R3938" s="136" t="s">
        <v>972</v>
      </c>
      <c r="S3938" s="129"/>
    </row>
    <row r="3939" spans="1:19" hidden="1">
      <c r="A3939" s="135" t="s">
        <v>6099</v>
      </c>
      <c r="B3939" s="149" t="str">
        <f>IFERROR(VLOOKUP(Proc[[#This Row],[App]],Table2[],3,0),"open")</f>
        <v>ok</v>
      </c>
      <c r="C3939" s="138" t="s">
        <v>369</v>
      </c>
      <c r="D3939" t="s">
        <v>6093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4895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40</v>
      </c>
      <c r="R3939" s="136" t="s">
        <v>972</v>
      </c>
      <c r="S3939" s="129"/>
    </row>
    <row r="3940" spans="1:19" hidden="1">
      <c r="A3940" s="135" t="s">
        <v>6099</v>
      </c>
      <c r="B3940" s="149" t="str">
        <f>IFERROR(VLOOKUP(Proc[[#This Row],[App]],Table2[],3,0),"open")</f>
        <v>ok</v>
      </c>
      <c r="C3940" s="138" t="s">
        <v>369</v>
      </c>
      <c r="D3940" t="s">
        <v>6094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4895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40</v>
      </c>
      <c r="R3940" s="136" t="s">
        <v>972</v>
      </c>
      <c r="S3940" s="129"/>
    </row>
    <row r="3941" spans="1:19" hidden="1">
      <c r="A3941" s="135" t="s">
        <v>6099</v>
      </c>
      <c r="B3941" s="149" t="str">
        <f>IFERROR(VLOOKUP(Proc[[#This Row],[App]],Table2[],3,0),"open")</f>
        <v>ok</v>
      </c>
      <c r="C3941" s="138" t="s">
        <v>369</v>
      </c>
      <c r="D3941" t="s">
        <v>6095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4895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40</v>
      </c>
      <c r="R3941" s="136" t="s">
        <v>972</v>
      </c>
      <c r="S3941" s="129"/>
    </row>
    <row r="3942" spans="1:19" hidden="1">
      <c r="A3942" s="135" t="s">
        <v>6099</v>
      </c>
      <c r="B3942" s="149" t="str">
        <f>IFERROR(VLOOKUP(Proc[[#This Row],[App]],Table2[],3,0),"open")</f>
        <v>ok</v>
      </c>
      <c r="C3942" s="138" t="s">
        <v>369</v>
      </c>
      <c r="D3942" t="s">
        <v>6096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4895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40</v>
      </c>
      <c r="R3942" s="136" t="s">
        <v>972</v>
      </c>
      <c r="S3942" s="129"/>
    </row>
    <row r="3943" spans="1:19" hidden="1">
      <c r="A3943" s="135" t="s">
        <v>6099</v>
      </c>
      <c r="B3943" s="149" t="str">
        <f>IFERROR(VLOOKUP(Proc[[#This Row],[App]],Table2[],3,0),"open")</f>
        <v>ok</v>
      </c>
      <c r="C3943" s="138" t="s">
        <v>369</v>
      </c>
      <c r="D3943" t="s">
        <v>6097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4895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40</v>
      </c>
      <c r="R3943" s="136" t="s">
        <v>972</v>
      </c>
      <c r="S3943" s="129"/>
    </row>
    <row r="3944" spans="1:19" hidden="1">
      <c r="A3944" t="s">
        <v>6100</v>
      </c>
      <c r="B3944" s="149" t="str">
        <f>IFERROR(VLOOKUP(Proc[[#This Row],[App]],Table2[],3,0),"open")</f>
        <v>ok</v>
      </c>
      <c r="C3944" s="138" t="s">
        <v>369</v>
      </c>
      <c r="D3944" t="s">
        <v>6101</v>
      </c>
      <c r="E3944" t="s">
        <v>5669</v>
      </c>
      <c r="F3944" s="142" t="s">
        <v>5669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4895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40</v>
      </c>
      <c r="R3944" s="136" t="s">
        <v>515</v>
      </c>
      <c r="S3944" s="129"/>
    </row>
    <row r="3945" spans="1:19" hidden="1">
      <c r="A3945" s="138" t="s">
        <v>6100</v>
      </c>
      <c r="B3945" s="149" t="str">
        <f>IFERROR(VLOOKUP(Proc[[#This Row],[App]],Table2[],3,0),"open")</f>
        <v>ok</v>
      </c>
      <c r="C3945" s="138" t="s">
        <v>369</v>
      </c>
      <c r="D3945" t="s">
        <v>6102</v>
      </c>
      <c r="E3945" t="s">
        <v>5669</v>
      </c>
      <c r="F3945" s="129" t="s">
        <v>5669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4895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40</v>
      </c>
      <c r="R3945" s="136" t="s">
        <v>515</v>
      </c>
      <c r="S3945" s="129"/>
    </row>
    <row r="3946" spans="1:19" hidden="1">
      <c r="A3946" s="138" t="s">
        <v>6100</v>
      </c>
      <c r="B3946" s="149" t="str">
        <f>IFERROR(VLOOKUP(Proc[[#This Row],[App]],Table2[],3,0),"open")</f>
        <v>ok</v>
      </c>
      <c r="C3946" s="142" t="s">
        <v>369</v>
      </c>
      <c r="D3946" t="s">
        <v>6103</v>
      </c>
      <c r="E3946" t="s">
        <v>5669</v>
      </c>
      <c r="F3946" s="142" t="s">
        <v>5669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4895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40</v>
      </c>
      <c r="R3946" s="136" t="s">
        <v>515</v>
      </c>
      <c r="S3946" s="129"/>
    </row>
    <row r="3947" spans="1:19" hidden="1">
      <c r="A3947" t="s">
        <v>6106</v>
      </c>
      <c r="B3947" s="149" t="str">
        <f>IFERROR(VLOOKUP(Proc[[#This Row],[App]],Table2[],3,0),"open")</f>
        <v>ok</v>
      </c>
      <c r="C3947" s="149" t="s">
        <v>369</v>
      </c>
      <c r="D3947" s="138" t="s">
        <v>5954</v>
      </c>
      <c r="E3947" s="138" t="s">
        <v>6064</v>
      </c>
      <c r="F3947" s="150" t="s">
        <v>6064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4895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40</v>
      </c>
      <c r="R3947" s="136" t="s">
        <v>6088</v>
      </c>
      <c r="S3947" s="129"/>
    </row>
    <row r="3948" spans="1:19" hidden="1">
      <c r="A3948" t="s">
        <v>6107</v>
      </c>
      <c r="B3948" s="149" t="str">
        <f>IFERROR(VLOOKUP(Proc[[#This Row],[App]],Table2[],3,0),"open")</f>
        <v>ok</v>
      </c>
      <c r="C3948" s="138" t="s">
        <v>369</v>
      </c>
      <c r="D3948" t="s">
        <v>6108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4895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39</v>
      </c>
      <c r="R3948" s="136" t="s">
        <v>1013</v>
      </c>
      <c r="S3948" s="129"/>
    </row>
    <row r="3949" spans="1:19" hidden="1">
      <c r="A3949" s="138" t="s">
        <v>6107</v>
      </c>
      <c r="B3949" s="149" t="str">
        <f>IFERROR(VLOOKUP(Proc[[#This Row],[App]],Table2[],3,0),"open")</f>
        <v>ok</v>
      </c>
      <c r="C3949" s="138" t="s">
        <v>369</v>
      </c>
      <c r="D3949" t="s">
        <v>6109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4895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39</v>
      </c>
      <c r="R3949" s="136" t="s">
        <v>1013</v>
      </c>
      <c r="S3949" s="129"/>
    </row>
    <row r="3950" spans="1:19" hidden="1">
      <c r="A3950" s="138" t="s">
        <v>6107</v>
      </c>
      <c r="B3950" s="149" t="str">
        <f>IFERROR(VLOOKUP(Proc[[#This Row],[App]],Table2[],3,0),"open")</f>
        <v>ok</v>
      </c>
      <c r="C3950" s="138" t="s">
        <v>369</v>
      </c>
      <c r="D3950" t="s">
        <v>6110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4895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39</v>
      </c>
      <c r="R3950" s="136" t="s">
        <v>1013</v>
      </c>
      <c r="S3950" s="129"/>
    </row>
    <row r="3951" spans="1:19" hidden="1">
      <c r="A3951" s="138" t="s">
        <v>6107</v>
      </c>
      <c r="B3951" s="149" t="str">
        <f>IFERROR(VLOOKUP(Proc[[#This Row],[App]],Table2[],3,0),"open")</f>
        <v>ok</v>
      </c>
      <c r="C3951" s="138" t="s">
        <v>369</v>
      </c>
      <c r="D3951" t="s">
        <v>6111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4895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39</v>
      </c>
      <c r="R3951" s="136" t="s">
        <v>1013</v>
      </c>
      <c r="S3951" s="129"/>
    </row>
    <row r="3952" spans="1:19" hidden="1">
      <c r="A3952" s="138" t="s">
        <v>6107</v>
      </c>
      <c r="B3952" s="149" t="str">
        <f>IFERROR(VLOOKUP(Proc[[#This Row],[App]],Table2[],3,0),"open")</f>
        <v>ok</v>
      </c>
      <c r="C3952" s="138" t="s">
        <v>369</v>
      </c>
      <c r="D3952" t="s">
        <v>6112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4895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39</v>
      </c>
      <c r="R3952" s="136" t="s">
        <v>1013</v>
      </c>
      <c r="S3952" s="129"/>
    </row>
    <row r="3953" spans="1:19" hidden="1">
      <c r="A3953" s="138" t="s">
        <v>6107</v>
      </c>
      <c r="B3953" s="149" t="str">
        <f>IFERROR(VLOOKUP(Proc[[#This Row],[App]],Table2[],3,0),"open")</f>
        <v>ok</v>
      </c>
      <c r="C3953" s="138" t="s">
        <v>369</v>
      </c>
      <c r="D3953" t="s">
        <v>6113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4895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39</v>
      </c>
      <c r="R3953" s="136" t="s">
        <v>1013</v>
      </c>
      <c r="S3953" s="129"/>
    </row>
    <row r="3954" spans="1:19" hidden="1">
      <c r="A3954" s="138" t="s">
        <v>6107</v>
      </c>
      <c r="B3954" s="149" t="str">
        <f>IFERROR(VLOOKUP(Proc[[#This Row],[App]],Table2[],3,0),"open")</f>
        <v>ok</v>
      </c>
      <c r="C3954" s="138" t="s">
        <v>369</v>
      </c>
      <c r="D3954" t="s">
        <v>6114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4895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39</v>
      </c>
      <c r="R3954" s="136" t="s">
        <v>1013</v>
      </c>
      <c r="S3954" s="129"/>
    </row>
    <row r="3955" spans="1:19" hidden="1">
      <c r="A3955" s="138" t="s">
        <v>6107</v>
      </c>
      <c r="B3955" s="149" t="str">
        <f>IFERROR(VLOOKUP(Proc[[#This Row],[App]],Table2[],3,0),"open")</f>
        <v>ok</v>
      </c>
      <c r="C3955" s="138" t="s">
        <v>369</v>
      </c>
      <c r="D3955" t="s">
        <v>6115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4895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39</v>
      </c>
      <c r="R3955" s="136" t="s">
        <v>1013</v>
      </c>
      <c r="S3955" s="129"/>
    </row>
    <row r="3956" spans="1:19" hidden="1">
      <c r="A3956" s="138" t="s">
        <v>6107</v>
      </c>
      <c r="B3956" s="149" t="str">
        <f>IFERROR(VLOOKUP(Proc[[#This Row],[App]],Table2[],3,0),"open")</f>
        <v>ok</v>
      </c>
      <c r="C3956" s="138" t="s">
        <v>369</v>
      </c>
      <c r="D3956" t="s">
        <v>6116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4895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39</v>
      </c>
      <c r="R3956" s="136" t="s">
        <v>1013</v>
      </c>
      <c r="S3956" s="129"/>
    </row>
    <row r="3957" spans="1:19" hidden="1">
      <c r="A3957" s="138" t="s">
        <v>6107</v>
      </c>
      <c r="B3957" s="149" t="str">
        <f>IFERROR(VLOOKUP(Proc[[#This Row],[App]],Table2[],3,0),"open")</f>
        <v>ok</v>
      </c>
      <c r="C3957" s="138" t="s">
        <v>369</v>
      </c>
      <c r="D3957" t="s">
        <v>6117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4895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39</v>
      </c>
      <c r="R3957" s="136" t="s">
        <v>1013</v>
      </c>
      <c r="S3957" s="129"/>
    </row>
    <row r="3958" spans="1:19" hidden="1">
      <c r="A3958" s="138" t="s">
        <v>6107</v>
      </c>
      <c r="B3958" s="149" t="str">
        <f>IFERROR(VLOOKUP(Proc[[#This Row],[App]],Table2[],3,0),"open")</f>
        <v>ok</v>
      </c>
      <c r="C3958" s="138" t="s">
        <v>369</v>
      </c>
      <c r="D3958" t="s">
        <v>6118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4895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39</v>
      </c>
      <c r="R3958" s="136" t="s">
        <v>1013</v>
      </c>
      <c r="S3958" s="129"/>
    </row>
    <row r="3959" spans="1:19" hidden="1">
      <c r="A3959" s="138" t="s">
        <v>6107</v>
      </c>
      <c r="B3959" s="149" t="str">
        <f>IFERROR(VLOOKUP(Proc[[#This Row],[App]],Table2[],3,0),"open")</f>
        <v>ok</v>
      </c>
      <c r="C3959" s="138" t="s">
        <v>369</v>
      </c>
      <c r="D3959" t="s">
        <v>6119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4895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39</v>
      </c>
      <c r="R3959" s="136" t="s">
        <v>1013</v>
      </c>
      <c r="S3959" s="129"/>
    </row>
    <row r="3960" spans="1:19" hidden="1">
      <c r="A3960" s="138" t="s">
        <v>6107</v>
      </c>
      <c r="B3960" s="149" t="str">
        <f>IFERROR(VLOOKUP(Proc[[#This Row],[App]],Table2[],3,0),"open")</f>
        <v>ok</v>
      </c>
      <c r="C3960" s="138" t="s">
        <v>369</v>
      </c>
      <c r="D3960" t="s">
        <v>6120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4895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39</v>
      </c>
      <c r="R3960" s="136" t="s">
        <v>1013</v>
      </c>
      <c r="S3960" s="129"/>
    </row>
    <row r="3961" spans="1:19" hidden="1">
      <c r="A3961" s="138" t="s">
        <v>6107</v>
      </c>
      <c r="B3961" s="149" t="str">
        <f>IFERROR(VLOOKUP(Proc[[#This Row],[App]],Table2[],3,0),"open")</f>
        <v>ok</v>
      </c>
      <c r="C3961" s="138" t="s">
        <v>369</v>
      </c>
      <c r="D3961" t="s">
        <v>6121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4895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39</v>
      </c>
      <c r="R3961" s="136" t="s">
        <v>1013</v>
      </c>
      <c r="S3961" s="129"/>
    </row>
    <row r="3962" spans="1:19" hidden="1">
      <c r="A3962" s="138" t="s">
        <v>6107</v>
      </c>
      <c r="B3962" s="149" t="str">
        <f>IFERROR(VLOOKUP(Proc[[#This Row],[App]],Table2[],3,0),"open")</f>
        <v>ok</v>
      </c>
      <c r="C3962" s="138" t="s">
        <v>369</v>
      </c>
      <c r="D3962" t="s">
        <v>6122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4895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39</v>
      </c>
      <c r="R3962" s="136" t="s">
        <v>1013</v>
      </c>
      <c r="S3962" s="129"/>
    </row>
    <row r="3963" spans="1:19" hidden="1">
      <c r="A3963" s="138" t="s">
        <v>6107</v>
      </c>
      <c r="B3963" s="149" t="str">
        <f>IFERROR(VLOOKUP(Proc[[#This Row],[App]],Table2[],3,0),"open")</f>
        <v>ok</v>
      </c>
      <c r="C3963" s="138" t="s">
        <v>369</v>
      </c>
      <c r="D3963" t="s">
        <v>6123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4895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39</v>
      </c>
      <c r="R3963" s="136" t="s">
        <v>1013</v>
      </c>
      <c r="S3963" s="129"/>
    </row>
    <row r="3964" spans="1:19" hidden="1">
      <c r="A3964" s="138" t="s">
        <v>6107</v>
      </c>
      <c r="B3964" s="149" t="str">
        <f>IFERROR(VLOOKUP(Proc[[#This Row],[App]],Table2[],3,0),"open")</f>
        <v>ok</v>
      </c>
      <c r="C3964" s="138" t="s">
        <v>369</v>
      </c>
      <c r="D3964" t="s">
        <v>6124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4895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39</v>
      </c>
      <c r="R3964" s="136" t="s">
        <v>1013</v>
      </c>
      <c r="S3964" s="129"/>
    </row>
    <row r="3965" spans="1:19" hidden="1">
      <c r="A3965" s="138" t="s">
        <v>6107</v>
      </c>
      <c r="B3965" s="149" t="str">
        <f>IFERROR(VLOOKUP(Proc[[#This Row],[App]],Table2[],3,0),"open")</f>
        <v>ok</v>
      </c>
      <c r="C3965" s="138" t="s">
        <v>369</v>
      </c>
      <c r="D3965" t="s">
        <v>6125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4895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39</v>
      </c>
      <c r="R3965" s="136" t="s">
        <v>1013</v>
      </c>
      <c r="S3965" s="129"/>
    </row>
    <row r="3966" spans="1:19" hidden="1">
      <c r="A3966" s="138" t="s">
        <v>6107</v>
      </c>
      <c r="B3966" s="149" t="str">
        <f>IFERROR(VLOOKUP(Proc[[#This Row],[App]],Table2[],3,0),"open")</f>
        <v>ok</v>
      </c>
      <c r="C3966" s="138" t="s">
        <v>369</v>
      </c>
      <c r="D3966" t="s">
        <v>6126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4895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39</v>
      </c>
      <c r="R3966" s="136" t="s">
        <v>1013</v>
      </c>
      <c r="S3966" s="129"/>
    </row>
    <row r="3967" spans="1:19" hidden="1">
      <c r="A3967" s="138" t="s">
        <v>6107</v>
      </c>
      <c r="B3967" s="149" t="str">
        <f>IFERROR(VLOOKUP(Proc[[#This Row],[App]],Table2[],3,0),"open")</f>
        <v>ok</v>
      </c>
      <c r="C3967" s="138" t="s">
        <v>369</v>
      </c>
      <c r="D3967" t="s">
        <v>6127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4895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39</v>
      </c>
      <c r="R3967" s="136" t="s">
        <v>1013</v>
      </c>
      <c r="S3967" s="129"/>
    </row>
    <row r="3968" spans="1:19" hidden="1">
      <c r="A3968" s="138" t="s">
        <v>6107</v>
      </c>
      <c r="B3968" s="149" t="str">
        <f>IFERROR(VLOOKUP(Proc[[#This Row],[App]],Table2[],3,0),"open")</f>
        <v>ok</v>
      </c>
      <c r="C3968" s="138" t="s">
        <v>369</v>
      </c>
      <c r="D3968" t="s">
        <v>6128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4895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39</v>
      </c>
      <c r="R3968" s="136" t="s">
        <v>1013</v>
      </c>
      <c r="S3968" s="129"/>
    </row>
    <row r="3969" spans="1:19" hidden="1">
      <c r="A3969" s="138" t="s">
        <v>6107</v>
      </c>
      <c r="B3969" s="149" t="str">
        <f>IFERROR(VLOOKUP(Proc[[#This Row],[App]],Table2[],3,0),"open")</f>
        <v>ok</v>
      </c>
      <c r="C3969" s="138" t="s">
        <v>369</v>
      </c>
      <c r="D3969" t="s">
        <v>6129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4895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39</v>
      </c>
      <c r="R3969" s="136" t="s">
        <v>1013</v>
      </c>
      <c r="S3969" s="129"/>
    </row>
    <row r="3970" spans="1:19" hidden="1">
      <c r="A3970" s="138" t="s">
        <v>6107</v>
      </c>
      <c r="B3970" s="149" t="str">
        <f>IFERROR(VLOOKUP(Proc[[#This Row],[App]],Table2[],3,0),"open")</f>
        <v>ok</v>
      </c>
      <c r="C3970" s="138" t="s">
        <v>369</v>
      </c>
      <c r="D3970" t="s">
        <v>6130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4895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39</v>
      </c>
      <c r="R3970" s="136" t="s">
        <v>1013</v>
      </c>
      <c r="S3970" s="129"/>
    </row>
    <row r="3971" spans="1:19" hidden="1">
      <c r="A3971" s="138" t="s">
        <v>6107</v>
      </c>
      <c r="B3971" s="149" t="str">
        <f>IFERROR(VLOOKUP(Proc[[#This Row],[App]],Table2[],3,0),"open")</f>
        <v>ok</v>
      </c>
      <c r="C3971" s="138" t="s">
        <v>369</v>
      </c>
      <c r="D3971" t="s">
        <v>6131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4895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39</v>
      </c>
      <c r="R3971" s="136" t="s">
        <v>1013</v>
      </c>
      <c r="S3971" s="129"/>
    </row>
    <row r="3972" spans="1:19" hidden="1">
      <c r="A3972" s="138" t="s">
        <v>6107</v>
      </c>
      <c r="B3972" s="149" t="str">
        <f>IFERROR(VLOOKUP(Proc[[#This Row],[App]],Table2[],3,0),"open")</f>
        <v>ok</v>
      </c>
      <c r="C3972" s="138" t="s">
        <v>369</v>
      </c>
      <c r="D3972" t="s">
        <v>6132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4895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39</v>
      </c>
      <c r="R3972" s="136" t="s">
        <v>1013</v>
      </c>
      <c r="S3972" s="129"/>
    </row>
    <row r="3973" spans="1:19" hidden="1">
      <c r="A3973" s="138" t="s">
        <v>6107</v>
      </c>
      <c r="B3973" s="149" t="str">
        <f>IFERROR(VLOOKUP(Proc[[#This Row],[App]],Table2[],3,0),"open")</f>
        <v>ok</v>
      </c>
      <c r="C3973" s="138" t="s">
        <v>369</v>
      </c>
      <c r="D3973" t="s">
        <v>6133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4895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39</v>
      </c>
      <c r="R3973" s="136" t="s">
        <v>1013</v>
      </c>
      <c r="S3973" s="129"/>
    </row>
    <row r="3974" spans="1:19" hidden="1">
      <c r="A3974" s="138" t="s">
        <v>6107</v>
      </c>
      <c r="B3974" s="149" t="str">
        <f>IFERROR(VLOOKUP(Proc[[#This Row],[App]],Table2[],3,0),"open")</f>
        <v>ok</v>
      </c>
      <c r="C3974" s="138" t="s">
        <v>369</v>
      </c>
      <c r="D3974" t="s">
        <v>6134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4895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39</v>
      </c>
      <c r="R3974" s="136" t="s">
        <v>1013</v>
      </c>
      <c r="S3974" s="129"/>
    </row>
    <row r="3975" spans="1:19" hidden="1">
      <c r="A3975" s="138" t="s">
        <v>6107</v>
      </c>
      <c r="B3975" s="149" t="str">
        <f>IFERROR(VLOOKUP(Proc[[#This Row],[App]],Table2[],3,0),"open")</f>
        <v>ok</v>
      </c>
      <c r="C3975" s="138" t="s">
        <v>369</v>
      </c>
      <c r="D3975" t="s">
        <v>6135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4895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39</v>
      </c>
      <c r="R3975" s="136" t="s">
        <v>1013</v>
      </c>
      <c r="S3975" s="129"/>
    </row>
    <row r="3976" spans="1:19" hidden="1">
      <c r="A3976" s="138" t="s">
        <v>6107</v>
      </c>
      <c r="B3976" s="149" t="str">
        <f>IFERROR(VLOOKUP(Proc[[#This Row],[App]],Table2[],3,0),"open")</f>
        <v>ok</v>
      </c>
      <c r="C3976" s="138" t="s">
        <v>369</v>
      </c>
      <c r="D3976" t="s">
        <v>6136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4895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39</v>
      </c>
      <c r="R3976" s="136" t="s">
        <v>1013</v>
      </c>
      <c r="S3976" s="129"/>
    </row>
    <row r="3977" spans="1:19" hidden="1">
      <c r="A3977" s="138" t="s">
        <v>6107</v>
      </c>
      <c r="B3977" s="149" t="str">
        <f>IFERROR(VLOOKUP(Proc[[#This Row],[App]],Table2[],3,0),"open")</f>
        <v>ok</v>
      </c>
      <c r="C3977" s="138" t="s">
        <v>369</v>
      </c>
      <c r="D3977" t="s">
        <v>6137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4895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39</v>
      </c>
      <c r="R3977" s="136" t="s">
        <v>1013</v>
      </c>
      <c r="S3977" s="129"/>
    </row>
    <row r="3978" spans="1:19" hidden="1">
      <c r="A3978" s="138" t="s">
        <v>6107</v>
      </c>
      <c r="B3978" s="149" t="str">
        <f>IFERROR(VLOOKUP(Proc[[#This Row],[App]],Table2[],3,0),"open")</f>
        <v>ok</v>
      </c>
      <c r="C3978" s="138" t="s">
        <v>369</v>
      </c>
      <c r="D3978" t="s">
        <v>6138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4895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39</v>
      </c>
      <c r="R3978" s="136" t="s">
        <v>1013</v>
      </c>
      <c r="S3978" s="129"/>
    </row>
    <row r="3979" spans="1:19" hidden="1">
      <c r="A3979" s="138" t="s">
        <v>6107</v>
      </c>
      <c r="B3979" s="149" t="str">
        <f>IFERROR(VLOOKUP(Proc[[#This Row],[App]],Table2[],3,0),"open")</f>
        <v>ok</v>
      </c>
      <c r="C3979" s="138" t="s">
        <v>369</v>
      </c>
      <c r="D3979" t="s">
        <v>6139</v>
      </c>
      <c r="E3979" t="s">
        <v>6147</v>
      </c>
      <c r="F3979" s="129" t="s">
        <v>6147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4895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39</v>
      </c>
      <c r="R3979" s="136" t="s">
        <v>1013</v>
      </c>
      <c r="S3979" s="129"/>
    </row>
    <row r="3980" spans="1:19" hidden="1">
      <c r="A3980" s="138" t="s">
        <v>6107</v>
      </c>
      <c r="B3980" s="149" t="str">
        <f>IFERROR(VLOOKUP(Proc[[#This Row],[App]],Table2[],3,0),"open")</f>
        <v>ok</v>
      </c>
      <c r="C3980" s="138" t="s">
        <v>369</v>
      </c>
      <c r="D3980" t="s">
        <v>6140</v>
      </c>
      <c r="E3980" t="s">
        <v>6147</v>
      </c>
      <c r="F3980" s="129" t="s">
        <v>6147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4895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39</v>
      </c>
      <c r="R3980" s="136" t="s">
        <v>1013</v>
      </c>
      <c r="S3980" s="129"/>
    </row>
    <row r="3981" spans="1:19" hidden="1">
      <c r="A3981" s="138" t="s">
        <v>6107</v>
      </c>
      <c r="B3981" s="149" t="str">
        <f>IFERROR(VLOOKUP(Proc[[#This Row],[App]],Table2[],3,0),"open")</f>
        <v>ok</v>
      </c>
      <c r="C3981" s="138" t="s">
        <v>369</v>
      </c>
      <c r="D3981" t="s">
        <v>6141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4895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39</v>
      </c>
      <c r="R3981" s="136" t="s">
        <v>1013</v>
      </c>
      <c r="S3981" s="129"/>
    </row>
    <row r="3982" spans="1:19" hidden="1">
      <c r="A3982" s="138" t="s">
        <v>6107</v>
      </c>
      <c r="B3982" s="149" t="str">
        <f>IFERROR(VLOOKUP(Proc[[#This Row],[App]],Table2[],3,0),"open")</f>
        <v>ok</v>
      </c>
      <c r="C3982" s="138" t="s">
        <v>369</v>
      </c>
      <c r="D3982" t="s">
        <v>6142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4895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39</v>
      </c>
      <c r="R3982" s="136" t="s">
        <v>1013</v>
      </c>
      <c r="S3982" s="129"/>
    </row>
    <row r="3983" spans="1:19" hidden="1">
      <c r="A3983" s="138" t="s">
        <v>6107</v>
      </c>
      <c r="B3983" s="149" t="str">
        <f>IFERROR(VLOOKUP(Proc[[#This Row],[App]],Table2[],3,0),"open")</f>
        <v>ok</v>
      </c>
      <c r="C3983" s="138" t="s">
        <v>369</v>
      </c>
      <c r="D3983" t="s">
        <v>6143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4895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39</v>
      </c>
      <c r="R3983" s="136" t="s">
        <v>1013</v>
      </c>
      <c r="S3983" s="129"/>
    </row>
    <row r="3984" spans="1:19" hidden="1">
      <c r="A3984" s="138" t="s">
        <v>6107</v>
      </c>
      <c r="B3984" s="149" t="str">
        <f>IFERROR(VLOOKUP(Proc[[#This Row],[App]],Table2[],3,0),"open")</f>
        <v>ok</v>
      </c>
      <c r="C3984" s="138" t="s">
        <v>369</v>
      </c>
      <c r="D3984" t="s">
        <v>6144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4895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39</v>
      </c>
      <c r="R3984" s="136" t="s">
        <v>1013</v>
      </c>
      <c r="S3984" s="129"/>
    </row>
    <row r="3985" spans="1:19" hidden="1">
      <c r="A3985" s="138" t="s">
        <v>6107</v>
      </c>
      <c r="B3985" s="149" t="str">
        <f>IFERROR(VLOOKUP(Proc[[#This Row],[App]],Table2[],3,0),"open")</f>
        <v>ok</v>
      </c>
      <c r="C3985" s="138" t="s">
        <v>369</v>
      </c>
      <c r="D3985" t="s">
        <v>6145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4895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39</v>
      </c>
      <c r="R3985" s="136" t="s">
        <v>1013</v>
      </c>
      <c r="S3985" s="129"/>
    </row>
    <row r="3986" spans="1:19" hidden="1">
      <c r="A3986" s="138" t="s">
        <v>6107</v>
      </c>
      <c r="B3986" s="149" t="str">
        <f>IFERROR(VLOOKUP(Proc[[#This Row],[App]],Table2[],3,0),"open")</f>
        <v>ok</v>
      </c>
      <c r="C3986" s="138" t="s">
        <v>369</v>
      </c>
      <c r="D3986" t="s">
        <v>6146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4895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39</v>
      </c>
      <c r="R3986" s="136" t="s">
        <v>1013</v>
      </c>
      <c r="S3986" s="129"/>
    </row>
    <row r="3987" spans="1:19" hidden="1">
      <c r="A3987" t="s">
        <v>6148</v>
      </c>
      <c r="B3987" s="149" t="str">
        <f>IFERROR(VLOOKUP(Proc[[#This Row],[App]],Table2[],3,0),"open")</f>
        <v>ok</v>
      </c>
      <c r="C3987" s="139" t="s">
        <v>369</v>
      </c>
      <c r="D3987" t="s">
        <v>6149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4895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38</v>
      </c>
      <c r="R3987" s="136" t="s">
        <v>1262</v>
      </c>
      <c r="S3987" s="129"/>
    </row>
    <row r="3988" spans="1:19" hidden="1">
      <c r="A3988" t="s">
        <v>6161</v>
      </c>
      <c r="B3988" s="149" t="str">
        <f>IFERROR(VLOOKUP(Proc[[#This Row],[App]],Table2[],3,0),"open")</f>
        <v>open</v>
      </c>
      <c r="C3988" s="142" t="s">
        <v>369</v>
      </c>
      <c r="D3988" t="s">
        <v>5278</v>
      </c>
      <c r="E3988" t="s">
        <v>6159</v>
      </c>
      <c r="F3988" s="140" t="s">
        <v>6159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4895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38</v>
      </c>
      <c r="R3988" s="136" t="s">
        <v>1459</v>
      </c>
      <c r="S3988" s="140"/>
    </row>
    <row r="3989" spans="1:19" hidden="1">
      <c r="A3989" s="139" t="s">
        <v>6161</v>
      </c>
      <c r="B3989" s="149" t="str">
        <f>IFERROR(VLOOKUP(Proc[[#This Row],[App]],Table2[],3,0),"open")</f>
        <v>open</v>
      </c>
      <c r="C3989" s="142" t="s">
        <v>369</v>
      </c>
      <c r="D3989" t="s">
        <v>6151</v>
      </c>
      <c r="E3989" t="s">
        <v>4412</v>
      </c>
      <c r="F3989" s="140" t="s">
        <v>4412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4895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38</v>
      </c>
      <c r="R3989" s="136" t="s">
        <v>1459</v>
      </c>
      <c r="S3989" s="140"/>
    </row>
    <row r="3990" spans="1:19" hidden="1">
      <c r="A3990" s="139" t="s">
        <v>6161</v>
      </c>
      <c r="B3990" s="149" t="str">
        <f>IFERROR(VLOOKUP(Proc[[#This Row],[App]],Table2[],3,0),"open")</f>
        <v>open</v>
      </c>
      <c r="C3990" s="142" t="s">
        <v>369</v>
      </c>
      <c r="D3990" t="s">
        <v>6152</v>
      </c>
      <c r="E3990" t="s">
        <v>5453</v>
      </c>
      <c r="F3990" s="140" t="s">
        <v>5453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4895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38</v>
      </c>
      <c r="R3990" s="136" t="s">
        <v>1459</v>
      </c>
      <c r="S3990" s="140"/>
    </row>
    <row r="3991" spans="1:19">
      <c r="A3991" s="139" t="s">
        <v>6161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5570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4833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4895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38</v>
      </c>
      <c r="R3991" s="136" t="s">
        <v>1459</v>
      </c>
      <c r="S3991" s="140"/>
    </row>
    <row r="3992" spans="1:19">
      <c r="A3992" s="139" t="s">
        <v>6161</v>
      </c>
      <c r="B3992" s="149" t="str">
        <f>IFERROR(VLOOKUP(Proc[[#This Row],[App]],Table2[],3,0),"open")</f>
        <v>open</v>
      </c>
      <c r="C3992" s="149" t="s">
        <v>692</v>
      </c>
      <c r="D3992" t="s">
        <v>6153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4833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4895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38</v>
      </c>
      <c r="R3992" s="136" t="s">
        <v>1459</v>
      </c>
      <c r="S3992" s="140"/>
    </row>
    <row r="3993" spans="1:19" hidden="1">
      <c r="A3993" s="139" t="s">
        <v>6161</v>
      </c>
      <c r="B3993" s="149" t="str">
        <f>IFERROR(VLOOKUP(Proc[[#This Row],[App]],Table2[],3,0),"open")</f>
        <v>open</v>
      </c>
      <c r="C3993" s="142" t="s">
        <v>369</v>
      </c>
      <c r="D3993" t="s">
        <v>5968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4895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38</v>
      </c>
      <c r="R3993" s="136" t="s">
        <v>1459</v>
      </c>
      <c r="S3993" s="140"/>
    </row>
    <row r="3994" spans="1:19" hidden="1">
      <c r="A3994" s="139" t="s">
        <v>6161</v>
      </c>
      <c r="B3994" s="149" t="str">
        <f>IFERROR(VLOOKUP(Proc[[#This Row],[App]],Table2[],3,0),"open")</f>
        <v>open</v>
      </c>
      <c r="C3994" s="142" t="s">
        <v>369</v>
      </c>
      <c r="D3994" t="s">
        <v>6154</v>
      </c>
      <c r="E3994" t="s">
        <v>5453</v>
      </c>
      <c r="F3994" s="140" t="s">
        <v>5453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4895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38</v>
      </c>
      <c r="R3994" s="136" t="s">
        <v>1459</v>
      </c>
      <c r="S3994" s="140"/>
    </row>
    <row r="3995" spans="1:19" hidden="1">
      <c r="A3995" s="139" t="s">
        <v>6161</v>
      </c>
      <c r="B3995" s="149" t="str">
        <f>IFERROR(VLOOKUP(Proc[[#This Row],[App]],Table2[],3,0),"open")</f>
        <v>open</v>
      </c>
      <c r="C3995" s="142" t="s">
        <v>369</v>
      </c>
      <c r="D3995" t="s">
        <v>4401</v>
      </c>
      <c r="E3995" t="s">
        <v>4410</v>
      </c>
      <c r="F3995" s="140" t="s">
        <v>4410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4895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38</v>
      </c>
      <c r="R3995" s="136" t="s">
        <v>1459</v>
      </c>
      <c r="S3995" s="140"/>
    </row>
    <row r="3996" spans="1:19" hidden="1">
      <c r="A3996" s="139" t="s">
        <v>6161</v>
      </c>
      <c r="B3996" s="149" t="str">
        <f>IFERROR(VLOOKUP(Proc[[#This Row],[App]],Table2[],3,0),"open")</f>
        <v>open</v>
      </c>
      <c r="C3996" s="142" t="s">
        <v>369</v>
      </c>
      <c r="D3996" t="s">
        <v>5327</v>
      </c>
      <c r="E3996" t="s">
        <v>4411</v>
      </c>
      <c r="F3996" s="140" t="s">
        <v>4411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4895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38</v>
      </c>
      <c r="R3996" s="136" t="s">
        <v>1459</v>
      </c>
      <c r="S3996" s="140"/>
    </row>
    <row r="3997" spans="1:19" hidden="1">
      <c r="A3997" s="139" t="s">
        <v>6161</v>
      </c>
      <c r="B3997" s="149" t="str">
        <f>IFERROR(VLOOKUP(Proc[[#This Row],[App]],Table2[],3,0),"open")</f>
        <v>open</v>
      </c>
      <c r="C3997" s="142" t="s">
        <v>369</v>
      </c>
      <c r="D3997" t="s">
        <v>5399</v>
      </c>
      <c r="E3997" t="s">
        <v>6159</v>
      </c>
      <c r="F3997" s="140" t="s">
        <v>6159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4895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38</v>
      </c>
      <c r="R3997" s="136" t="s">
        <v>1459</v>
      </c>
      <c r="S3997" s="140"/>
    </row>
    <row r="3998" spans="1:19" hidden="1">
      <c r="A3998" s="139" t="s">
        <v>6161</v>
      </c>
      <c r="B3998" s="149" t="str">
        <f>IFERROR(VLOOKUP(Proc[[#This Row],[App]],Table2[],3,0),"open")</f>
        <v>open</v>
      </c>
      <c r="C3998" s="142" t="s">
        <v>369</v>
      </c>
      <c r="D3998" t="s">
        <v>6155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4895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38</v>
      </c>
      <c r="R3998" s="136" t="s">
        <v>1459</v>
      </c>
      <c r="S3998" s="140"/>
    </row>
    <row r="3999" spans="1:19" hidden="1">
      <c r="A3999" s="139" t="s">
        <v>6161</v>
      </c>
      <c r="B3999" s="149" t="str">
        <f>IFERROR(VLOOKUP(Proc[[#This Row],[App]],Table2[],3,0),"open")</f>
        <v>open</v>
      </c>
      <c r="C3999" s="142" t="s">
        <v>369</v>
      </c>
      <c r="D3999" t="s">
        <v>5400</v>
      </c>
      <c r="E3999" t="s">
        <v>6159</v>
      </c>
      <c r="F3999" s="140" t="s">
        <v>6159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4895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38</v>
      </c>
      <c r="R3999" s="136" t="s">
        <v>1459</v>
      </c>
      <c r="S3999" s="140"/>
    </row>
    <row r="4000" spans="1:19" hidden="1">
      <c r="A4000" s="139" t="s">
        <v>6161</v>
      </c>
      <c r="B4000" s="149" t="str">
        <f>IFERROR(VLOOKUP(Proc[[#This Row],[App]],Table2[],3,0),"open")</f>
        <v>open</v>
      </c>
      <c r="C4000" s="142" t="s">
        <v>369</v>
      </c>
      <c r="D4000" t="s">
        <v>5419</v>
      </c>
      <c r="E4000" t="s">
        <v>6159</v>
      </c>
      <c r="F4000" s="140" t="s">
        <v>6159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4895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38</v>
      </c>
      <c r="R4000" s="136" t="s">
        <v>1459</v>
      </c>
      <c r="S4000" s="140"/>
    </row>
    <row r="4001" spans="1:19">
      <c r="A4001" s="139" t="s">
        <v>6161</v>
      </c>
      <c r="B4001" s="149" t="str">
        <f>IFERROR(VLOOKUP(Proc[[#This Row],[App]],Table2[],3,0),"open")</f>
        <v>open</v>
      </c>
      <c r="C4001" s="149" t="s">
        <v>692</v>
      </c>
      <c r="D4001" t="s">
        <v>6156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4833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4895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38</v>
      </c>
      <c r="R4001" s="136" t="s">
        <v>1459</v>
      </c>
      <c r="S4001" s="140"/>
    </row>
    <row r="4002" spans="1:19" hidden="1">
      <c r="A4002" s="139" t="s">
        <v>6161</v>
      </c>
      <c r="B4002" s="149" t="str">
        <f>IFERROR(VLOOKUP(Proc[[#This Row],[App]],Table2[],3,0),"open")</f>
        <v>open</v>
      </c>
      <c r="C4002" s="142" t="s">
        <v>369</v>
      </c>
      <c r="D4002" t="s">
        <v>5435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4895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38</v>
      </c>
      <c r="R4002" s="136" t="s">
        <v>1459</v>
      </c>
      <c r="S4002" s="140"/>
    </row>
    <row r="4003" spans="1:19" hidden="1">
      <c r="A4003" s="139" t="s">
        <v>6161</v>
      </c>
      <c r="B4003" s="149" t="str">
        <f>IFERROR(VLOOKUP(Proc[[#This Row],[App]],Table2[],3,0),"open")</f>
        <v>open</v>
      </c>
      <c r="C4003" s="142" t="s">
        <v>369</v>
      </c>
      <c r="D4003" t="s">
        <v>6157</v>
      </c>
      <c r="E4003" t="s">
        <v>6160</v>
      </c>
      <c r="F4003" s="140" t="s">
        <v>6160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4895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38</v>
      </c>
      <c r="R4003" s="136" t="s">
        <v>1459</v>
      </c>
      <c r="S4003" s="140"/>
    </row>
    <row r="4004" spans="1:19" hidden="1">
      <c r="A4004" s="139" t="s">
        <v>6161</v>
      </c>
      <c r="B4004" s="149" t="str">
        <f>IFERROR(VLOOKUP(Proc[[#This Row],[App]],Table2[],3,0),"open")</f>
        <v>open</v>
      </c>
      <c r="C4004" s="142" t="s">
        <v>369</v>
      </c>
      <c r="D4004" t="s">
        <v>6158</v>
      </c>
      <c r="E4004" t="s">
        <v>5453</v>
      </c>
      <c r="F4004" s="140" t="s">
        <v>5453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4895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38</v>
      </c>
      <c r="R4004" s="136" t="s">
        <v>1459</v>
      </c>
      <c r="S4004" s="140"/>
    </row>
    <row r="4005" spans="1:19" hidden="1">
      <c r="A4005" t="s">
        <v>6162</v>
      </c>
      <c r="B4005" s="149" t="str">
        <f>IFERROR(VLOOKUP(Proc[[#This Row],[App]],Table2[],3,0),"open")</f>
        <v>ok</v>
      </c>
      <c r="C4005" s="142" t="s">
        <v>369</v>
      </c>
      <c r="D4005" s="141" t="s">
        <v>6091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4895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37</v>
      </c>
      <c r="R4005" s="136" t="s">
        <v>972</v>
      </c>
      <c r="S4005" s="140"/>
    </row>
    <row r="4006" spans="1:19" hidden="1">
      <c r="A4006" t="s">
        <v>6202</v>
      </c>
      <c r="B4006" s="149" t="str">
        <f>IFERROR(VLOOKUP(Proc[[#This Row],[App]],Table2[],3,0),"open")</f>
        <v>ok</v>
      </c>
      <c r="C4006" s="142" t="s">
        <v>369</v>
      </c>
      <c r="D4006" t="s">
        <v>5949</v>
      </c>
      <c r="E4006" t="s">
        <v>6163</v>
      </c>
      <c r="F4006" s="140" t="s">
        <v>6163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4895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37</v>
      </c>
      <c r="R4006" s="136" t="s">
        <v>6088</v>
      </c>
      <c r="S4006" s="140"/>
    </row>
    <row r="4007" spans="1:19" hidden="1">
      <c r="A4007" s="142" t="s">
        <v>6202</v>
      </c>
      <c r="B4007" s="149" t="str">
        <f>IFERROR(VLOOKUP(Proc[[#This Row],[App]],Table2[],3,0),"open")</f>
        <v>ok</v>
      </c>
      <c r="C4007" s="142" t="s">
        <v>369</v>
      </c>
      <c r="D4007" t="s">
        <v>6046</v>
      </c>
      <c r="E4007" t="s">
        <v>6164</v>
      </c>
      <c r="F4007" s="140" t="s">
        <v>6164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4895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37</v>
      </c>
      <c r="R4007" s="136" t="s">
        <v>6088</v>
      </c>
      <c r="S4007" s="140"/>
    </row>
    <row r="4008" spans="1:19" hidden="1">
      <c r="A4008" s="142" t="s">
        <v>6202</v>
      </c>
      <c r="B4008" s="149" t="str">
        <f>IFERROR(VLOOKUP(Proc[[#This Row],[App]],Table2[],3,0),"open")</f>
        <v>ok</v>
      </c>
      <c r="C4008" s="142" t="s">
        <v>369</v>
      </c>
      <c r="D4008" t="s">
        <v>5956</v>
      </c>
      <c r="E4008" t="s">
        <v>6165</v>
      </c>
      <c r="F4008" s="140" t="s">
        <v>6165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4895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37</v>
      </c>
      <c r="R4008" s="136" t="s">
        <v>6088</v>
      </c>
      <c r="S4008" s="140"/>
    </row>
    <row r="4009" spans="1:19" hidden="1">
      <c r="A4009" s="142" t="s">
        <v>6202</v>
      </c>
      <c r="B4009" s="149" t="str">
        <f>IFERROR(VLOOKUP(Proc[[#This Row],[App]],Table2[],3,0),"open")</f>
        <v>ok</v>
      </c>
      <c r="C4009" s="142" t="s">
        <v>369</v>
      </c>
      <c r="D4009" t="s">
        <v>6001</v>
      </c>
      <c r="E4009" t="s">
        <v>6165</v>
      </c>
      <c r="F4009" s="140" t="s">
        <v>6165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4895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37</v>
      </c>
      <c r="R4009" s="136" t="s">
        <v>6088</v>
      </c>
      <c r="S4009" s="140"/>
    </row>
    <row r="4010" spans="1:19" hidden="1">
      <c r="A4010" s="142" t="s">
        <v>6202</v>
      </c>
      <c r="B4010" s="149" t="str">
        <f>IFERROR(VLOOKUP(Proc[[#This Row],[App]],Table2[],3,0),"open")</f>
        <v>ok</v>
      </c>
      <c r="C4010" s="142" t="s">
        <v>369</v>
      </c>
      <c r="D4010" t="s">
        <v>5951</v>
      </c>
      <c r="E4010" t="s">
        <v>6166</v>
      </c>
      <c r="F4010" s="140" t="s">
        <v>6166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4895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37</v>
      </c>
      <c r="R4010" s="136" t="s">
        <v>6088</v>
      </c>
      <c r="S4010" s="140"/>
    </row>
    <row r="4011" spans="1:19" hidden="1">
      <c r="A4011" s="142" t="s">
        <v>6202</v>
      </c>
      <c r="B4011" s="149" t="str">
        <f>IFERROR(VLOOKUP(Proc[[#This Row],[App]],Table2[],3,0),"open")</f>
        <v>ok</v>
      </c>
      <c r="C4011" s="142" t="s">
        <v>369</v>
      </c>
      <c r="D4011" t="s">
        <v>5950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4895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37</v>
      </c>
      <c r="R4011" s="136" t="s">
        <v>6088</v>
      </c>
      <c r="S4011" s="140"/>
    </row>
    <row r="4012" spans="1:19" hidden="1">
      <c r="A4012" s="142" t="s">
        <v>6202</v>
      </c>
      <c r="B4012" s="149" t="str">
        <f>IFERROR(VLOOKUP(Proc[[#This Row],[App]],Table2[],3,0),"open")</f>
        <v>ok</v>
      </c>
      <c r="C4012" s="149" t="s">
        <v>369</v>
      </c>
      <c r="D4012" t="s">
        <v>5975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4895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37</v>
      </c>
      <c r="R4012" s="136" t="s">
        <v>6088</v>
      </c>
      <c r="S4012" s="140"/>
    </row>
    <row r="4013" spans="1:19" hidden="1">
      <c r="A4013" s="142" t="s">
        <v>6202</v>
      </c>
      <c r="B4013" s="149" t="str">
        <f>IFERROR(VLOOKUP(Proc[[#This Row],[App]],Table2[],3,0),"open")</f>
        <v>ok</v>
      </c>
      <c r="C4013" s="142" t="s">
        <v>369</v>
      </c>
      <c r="D4013" t="s">
        <v>5965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4895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37</v>
      </c>
      <c r="R4013" s="136" t="s">
        <v>6088</v>
      </c>
      <c r="S4013" s="140"/>
    </row>
    <row r="4014" spans="1:19" hidden="1">
      <c r="A4014" s="142" t="s">
        <v>6202</v>
      </c>
      <c r="B4014" s="149" t="str">
        <f>IFERROR(VLOOKUP(Proc[[#This Row],[App]],Table2[],3,0),"open")</f>
        <v>ok</v>
      </c>
      <c r="C4014" s="142" t="s">
        <v>369</v>
      </c>
      <c r="D4014" t="s">
        <v>5969</v>
      </c>
      <c r="E4014" t="s">
        <v>6167</v>
      </c>
      <c r="F4014" s="140" t="s">
        <v>6167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4895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37</v>
      </c>
      <c r="R4014" s="136" t="s">
        <v>6088</v>
      </c>
      <c r="S4014" s="140"/>
    </row>
    <row r="4015" spans="1:19" hidden="1">
      <c r="A4015" s="142" t="s">
        <v>6202</v>
      </c>
      <c r="B4015" s="149" t="str">
        <f>IFERROR(VLOOKUP(Proc[[#This Row],[App]],Table2[],3,0),"open")</f>
        <v>ok</v>
      </c>
      <c r="C4015" s="142" t="s">
        <v>369</v>
      </c>
      <c r="D4015" t="s">
        <v>5962</v>
      </c>
      <c r="E4015" t="s">
        <v>6168</v>
      </c>
      <c r="F4015" s="140" t="s">
        <v>6168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4895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37</v>
      </c>
      <c r="R4015" s="136" t="s">
        <v>6088</v>
      </c>
      <c r="S4015" s="140"/>
    </row>
    <row r="4016" spans="1:19" hidden="1">
      <c r="A4016" s="142" t="s">
        <v>6202</v>
      </c>
      <c r="B4016" s="149" t="str">
        <f>IFERROR(VLOOKUP(Proc[[#This Row],[App]],Table2[],3,0),"open")</f>
        <v>ok</v>
      </c>
      <c r="C4016" s="142" t="s">
        <v>369</v>
      </c>
      <c r="D4016" t="s">
        <v>5963</v>
      </c>
      <c r="E4016" t="s">
        <v>6169</v>
      </c>
      <c r="F4016" s="140" t="s">
        <v>6169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4895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37</v>
      </c>
      <c r="R4016" s="136" t="s">
        <v>6088</v>
      </c>
      <c r="S4016" s="140"/>
    </row>
    <row r="4017" spans="1:19" hidden="1">
      <c r="A4017" s="142" t="s">
        <v>6202</v>
      </c>
      <c r="B4017" s="149" t="str">
        <f>IFERROR(VLOOKUP(Proc[[#This Row],[App]],Table2[],3,0),"open")</f>
        <v>ok</v>
      </c>
      <c r="C4017" s="142" t="s">
        <v>369</v>
      </c>
      <c r="D4017" t="s">
        <v>5991</v>
      </c>
      <c r="E4017" t="s">
        <v>6170</v>
      </c>
      <c r="F4017" s="140" t="s">
        <v>6170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4895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37</v>
      </c>
      <c r="R4017" s="136" t="s">
        <v>6088</v>
      </c>
      <c r="S4017" s="140"/>
    </row>
    <row r="4018" spans="1:19" hidden="1">
      <c r="A4018" s="142" t="s">
        <v>6202</v>
      </c>
      <c r="B4018" s="149" t="str">
        <f>IFERROR(VLOOKUP(Proc[[#This Row],[App]],Table2[],3,0),"open")</f>
        <v>ok</v>
      </c>
      <c r="C4018" s="142" t="s">
        <v>369</v>
      </c>
      <c r="D4018" t="s">
        <v>5972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4895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37</v>
      </c>
      <c r="R4018" s="136" t="s">
        <v>6088</v>
      </c>
      <c r="S4018" s="140"/>
    </row>
    <row r="4019" spans="1:19" hidden="1">
      <c r="A4019" s="142" t="s">
        <v>6202</v>
      </c>
      <c r="B4019" s="149" t="str">
        <f>IFERROR(VLOOKUP(Proc[[#This Row],[App]],Table2[],3,0),"open")</f>
        <v>ok</v>
      </c>
      <c r="C4019" s="149" t="s">
        <v>369</v>
      </c>
      <c r="D4019" t="s">
        <v>5973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4895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37</v>
      </c>
      <c r="R4019" s="136" t="s">
        <v>6088</v>
      </c>
      <c r="S4019" s="140"/>
    </row>
    <row r="4020" spans="1:19" hidden="1">
      <c r="A4020" s="142" t="s">
        <v>6202</v>
      </c>
      <c r="B4020" s="149" t="str">
        <f>IFERROR(VLOOKUP(Proc[[#This Row],[App]],Table2[],3,0),"open")</f>
        <v>ok</v>
      </c>
      <c r="C4020" s="142" t="s">
        <v>369</v>
      </c>
      <c r="D4020" t="s">
        <v>5989</v>
      </c>
      <c r="E4020" t="s">
        <v>6171</v>
      </c>
      <c r="F4020" s="140" t="s">
        <v>6171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4895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37</v>
      </c>
      <c r="R4020" s="136" t="s">
        <v>6088</v>
      </c>
      <c r="S4020" s="140"/>
    </row>
    <row r="4021" spans="1:19" hidden="1">
      <c r="A4021" s="142" t="s">
        <v>6202</v>
      </c>
      <c r="B4021" s="149" t="str">
        <f>IFERROR(VLOOKUP(Proc[[#This Row],[App]],Table2[],3,0),"open")</f>
        <v>ok</v>
      </c>
      <c r="C4021" s="142" t="s">
        <v>369</v>
      </c>
      <c r="D4021" t="s">
        <v>5996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4895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37</v>
      </c>
      <c r="R4021" s="136" t="s">
        <v>6088</v>
      </c>
      <c r="S4021" s="140"/>
    </row>
    <row r="4022" spans="1:19" hidden="1">
      <c r="A4022" s="142" t="s">
        <v>6202</v>
      </c>
      <c r="B4022" s="149" t="str">
        <f>IFERROR(VLOOKUP(Proc[[#This Row],[App]],Table2[],3,0),"open")</f>
        <v>ok</v>
      </c>
      <c r="C4022" s="142" t="s">
        <v>369</v>
      </c>
      <c r="D4022" t="s">
        <v>5994</v>
      </c>
      <c r="E4022" t="s">
        <v>6172</v>
      </c>
      <c r="F4022" s="140" t="s">
        <v>6172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4895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37</v>
      </c>
      <c r="R4022" s="136" t="s">
        <v>6088</v>
      </c>
      <c r="S4022" s="140"/>
    </row>
    <row r="4023" spans="1:19" hidden="1">
      <c r="A4023" s="142" t="s">
        <v>6202</v>
      </c>
      <c r="B4023" s="149" t="str">
        <f>IFERROR(VLOOKUP(Proc[[#This Row],[App]],Table2[],3,0),"open")</f>
        <v>ok</v>
      </c>
      <c r="C4023" s="142" t="s">
        <v>369</v>
      </c>
      <c r="D4023" t="s">
        <v>6043</v>
      </c>
      <c r="E4023" t="s">
        <v>6164</v>
      </c>
      <c r="F4023" s="140" t="s">
        <v>6164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4895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37</v>
      </c>
      <c r="R4023" s="136" t="s">
        <v>6088</v>
      </c>
      <c r="S4023" s="140"/>
    </row>
    <row r="4024" spans="1:19" hidden="1">
      <c r="A4024" s="142" t="s">
        <v>6202</v>
      </c>
      <c r="B4024" s="149" t="str">
        <f>IFERROR(VLOOKUP(Proc[[#This Row],[App]],Table2[],3,0),"open")</f>
        <v>ok</v>
      </c>
      <c r="C4024" s="142" t="s">
        <v>369</v>
      </c>
      <c r="D4024" t="s">
        <v>6045</v>
      </c>
      <c r="E4024" t="s">
        <v>6164</v>
      </c>
      <c r="F4024" s="140" t="s">
        <v>6164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4895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37</v>
      </c>
      <c r="R4024" s="136" t="s">
        <v>6088</v>
      </c>
      <c r="S4024" s="140"/>
    </row>
    <row r="4025" spans="1:19" hidden="1">
      <c r="A4025" s="142" t="s">
        <v>6202</v>
      </c>
      <c r="B4025" s="149" t="str">
        <f>IFERROR(VLOOKUP(Proc[[#This Row],[App]],Table2[],3,0),"open")</f>
        <v>ok</v>
      </c>
      <c r="C4025" s="142" t="s">
        <v>369</v>
      </c>
      <c r="D4025" t="s">
        <v>5954</v>
      </c>
      <c r="E4025" t="s">
        <v>6104</v>
      </c>
      <c r="F4025" s="140" t="s">
        <v>6104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4895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37</v>
      </c>
      <c r="R4025" s="136" t="s">
        <v>6088</v>
      </c>
      <c r="S4025" s="140"/>
    </row>
    <row r="4026" spans="1:19" hidden="1">
      <c r="A4026" s="142" t="s">
        <v>6202</v>
      </c>
      <c r="B4026" s="149" t="str">
        <f>IFERROR(VLOOKUP(Proc[[#This Row],[App]],Table2[],3,0),"open")</f>
        <v>ok</v>
      </c>
      <c r="C4026" s="142" t="s">
        <v>369</v>
      </c>
      <c r="D4026" t="s">
        <v>6037</v>
      </c>
      <c r="E4026" t="s">
        <v>6173</v>
      </c>
      <c r="F4026" s="140" t="s">
        <v>6173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4895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37</v>
      </c>
      <c r="R4026" s="136" t="s">
        <v>6088</v>
      </c>
      <c r="S4026" s="140"/>
    </row>
    <row r="4027" spans="1:19" hidden="1">
      <c r="A4027" s="142" t="s">
        <v>6202</v>
      </c>
      <c r="B4027" s="149" t="str">
        <f>IFERROR(VLOOKUP(Proc[[#This Row],[App]],Table2[],3,0),"open")</f>
        <v>ok</v>
      </c>
      <c r="C4027" s="142" t="s">
        <v>369</v>
      </c>
      <c r="D4027" t="s">
        <v>6038</v>
      </c>
      <c r="E4027" t="s">
        <v>6173</v>
      </c>
      <c r="F4027" s="140" t="s">
        <v>6173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4895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37</v>
      </c>
      <c r="R4027" s="136" t="s">
        <v>6088</v>
      </c>
      <c r="S4027" s="140"/>
    </row>
    <row r="4028" spans="1:19" hidden="1">
      <c r="A4028" s="142" t="s">
        <v>6202</v>
      </c>
      <c r="B4028" s="149" t="str">
        <f>IFERROR(VLOOKUP(Proc[[#This Row],[App]],Table2[],3,0),"open")</f>
        <v>ok</v>
      </c>
      <c r="C4028" s="142" t="s">
        <v>369</v>
      </c>
      <c r="D4028" t="s">
        <v>6039</v>
      </c>
      <c r="E4028" t="s">
        <v>6173</v>
      </c>
      <c r="F4028" s="140" t="s">
        <v>6173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4895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37</v>
      </c>
      <c r="R4028" s="136" t="s">
        <v>6088</v>
      </c>
      <c r="S4028" s="140"/>
    </row>
    <row r="4029" spans="1:19" hidden="1">
      <c r="A4029" s="142" t="s">
        <v>6202</v>
      </c>
      <c r="B4029" s="149" t="str">
        <f>IFERROR(VLOOKUP(Proc[[#This Row],[App]],Table2[],3,0),"open")</f>
        <v>ok</v>
      </c>
      <c r="C4029" s="142" t="s">
        <v>369</v>
      </c>
      <c r="D4029" t="s">
        <v>6059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4895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37</v>
      </c>
      <c r="R4029" s="136" t="s">
        <v>6088</v>
      </c>
      <c r="S4029" s="140"/>
    </row>
    <row r="4030" spans="1:19" hidden="1">
      <c r="A4030" s="142" t="s">
        <v>6202</v>
      </c>
      <c r="B4030" s="149" t="str">
        <f>IFERROR(VLOOKUP(Proc[[#This Row],[App]],Table2[],3,0),"open")</f>
        <v>ok</v>
      </c>
      <c r="C4030" s="142" t="s">
        <v>369</v>
      </c>
      <c r="D4030" t="s">
        <v>6056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4895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37</v>
      </c>
      <c r="R4030" s="136" t="s">
        <v>6088</v>
      </c>
      <c r="S4030" s="140"/>
    </row>
    <row r="4031" spans="1:19" hidden="1">
      <c r="A4031" s="142" t="s">
        <v>6202</v>
      </c>
      <c r="B4031" s="149" t="str">
        <f>IFERROR(VLOOKUP(Proc[[#This Row],[App]],Table2[],3,0),"open")</f>
        <v>ok</v>
      </c>
      <c r="C4031" s="142" t="s">
        <v>369</v>
      </c>
      <c r="D4031" t="s">
        <v>6057</v>
      </c>
      <c r="E4031" t="s">
        <v>6174</v>
      </c>
      <c r="F4031" s="140" t="s">
        <v>6174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4895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37</v>
      </c>
      <c r="R4031" s="136" t="s">
        <v>6088</v>
      </c>
      <c r="S4031" s="140"/>
    </row>
    <row r="4032" spans="1:19" hidden="1">
      <c r="A4032" s="142" t="s">
        <v>6202</v>
      </c>
      <c r="B4032" s="149" t="str">
        <f>IFERROR(VLOOKUP(Proc[[#This Row],[App]],Table2[],3,0),"open")</f>
        <v>ok</v>
      </c>
      <c r="C4032" s="142" t="s">
        <v>369</v>
      </c>
      <c r="D4032" t="s">
        <v>5946</v>
      </c>
      <c r="E4032" t="s">
        <v>6175</v>
      </c>
      <c r="F4032" s="140" t="s">
        <v>6175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4895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37</v>
      </c>
      <c r="R4032" s="136" t="s">
        <v>6088</v>
      </c>
      <c r="S4032" s="140"/>
    </row>
    <row r="4033" spans="1:19" hidden="1">
      <c r="A4033" s="142" t="s">
        <v>6202</v>
      </c>
      <c r="B4033" s="149" t="str">
        <f>IFERROR(VLOOKUP(Proc[[#This Row],[App]],Table2[],3,0),"open")</f>
        <v>ok</v>
      </c>
      <c r="C4033" s="142" t="s">
        <v>369</v>
      </c>
      <c r="D4033" t="s">
        <v>5947</v>
      </c>
      <c r="E4033" t="s">
        <v>6176</v>
      </c>
      <c r="F4033" s="140" t="s">
        <v>6176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4895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37</v>
      </c>
      <c r="R4033" s="136" t="s">
        <v>6088</v>
      </c>
      <c r="S4033" s="140"/>
    </row>
    <row r="4034" spans="1:19" hidden="1">
      <c r="A4034" s="142" t="s">
        <v>6202</v>
      </c>
      <c r="B4034" s="149" t="str">
        <f>IFERROR(VLOOKUP(Proc[[#This Row],[App]],Table2[],3,0),"open")</f>
        <v>ok</v>
      </c>
      <c r="C4034" s="142" t="s">
        <v>369</v>
      </c>
      <c r="D4034" t="s">
        <v>5948</v>
      </c>
      <c r="E4034" t="s">
        <v>6176</v>
      </c>
      <c r="F4034" s="140" t="s">
        <v>6176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4895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37</v>
      </c>
      <c r="R4034" s="136" t="s">
        <v>6088</v>
      </c>
      <c r="S4034" s="140"/>
    </row>
    <row r="4035" spans="1:19" hidden="1">
      <c r="A4035" s="142" t="s">
        <v>6202</v>
      </c>
      <c r="B4035" s="149" t="str">
        <f>IFERROR(VLOOKUP(Proc[[#This Row],[App]],Table2[],3,0),"open")</f>
        <v>ok</v>
      </c>
      <c r="C4035" s="142" t="s">
        <v>369</v>
      </c>
      <c r="D4035" t="s">
        <v>5977</v>
      </c>
      <c r="E4035" t="s">
        <v>6177</v>
      </c>
      <c r="F4035" s="140" t="s">
        <v>6177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4895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37</v>
      </c>
      <c r="R4035" s="136" t="s">
        <v>6088</v>
      </c>
      <c r="S4035" s="140"/>
    </row>
    <row r="4036" spans="1:19" hidden="1">
      <c r="A4036" s="142" t="s">
        <v>6202</v>
      </c>
      <c r="B4036" s="149" t="str">
        <f>IFERROR(VLOOKUP(Proc[[#This Row],[App]],Table2[],3,0),"open")</f>
        <v>ok</v>
      </c>
      <c r="C4036" s="142" t="s">
        <v>369</v>
      </c>
      <c r="D4036" t="s">
        <v>5995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4895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37</v>
      </c>
      <c r="R4036" s="136" t="s">
        <v>6088</v>
      </c>
      <c r="S4036" s="140"/>
    </row>
    <row r="4037" spans="1:19" hidden="1">
      <c r="A4037" s="142" t="s">
        <v>6202</v>
      </c>
      <c r="B4037" s="149" t="str">
        <f>IFERROR(VLOOKUP(Proc[[#This Row],[App]],Table2[],3,0),"open")</f>
        <v>ok</v>
      </c>
      <c r="C4037" s="142" t="s">
        <v>369</v>
      </c>
      <c r="D4037" t="s">
        <v>5997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4895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37</v>
      </c>
      <c r="R4037" s="136" t="s">
        <v>6088</v>
      </c>
      <c r="S4037" s="140"/>
    </row>
    <row r="4038" spans="1:19" hidden="1">
      <c r="A4038" s="142" t="s">
        <v>6202</v>
      </c>
      <c r="B4038" s="149" t="str">
        <f>IFERROR(VLOOKUP(Proc[[#This Row],[App]],Table2[],3,0),"open")</f>
        <v>ok</v>
      </c>
      <c r="C4038" s="142" t="s">
        <v>369</v>
      </c>
      <c r="D4038" t="s">
        <v>5998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4895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37</v>
      </c>
      <c r="R4038" s="136" t="s">
        <v>6088</v>
      </c>
      <c r="S4038" s="140"/>
    </row>
    <row r="4039" spans="1:19" hidden="1">
      <c r="A4039" s="142" t="s">
        <v>6202</v>
      </c>
      <c r="B4039" s="149" t="str">
        <f>IFERROR(VLOOKUP(Proc[[#This Row],[App]],Table2[],3,0),"open")</f>
        <v>ok</v>
      </c>
      <c r="C4039" s="142" t="s">
        <v>369</v>
      </c>
      <c r="D4039" t="s">
        <v>5999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4895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37</v>
      </c>
      <c r="R4039" s="136" t="s">
        <v>6088</v>
      </c>
      <c r="S4039" s="140"/>
    </row>
    <row r="4040" spans="1:19" hidden="1">
      <c r="A4040" s="142" t="s">
        <v>6202</v>
      </c>
      <c r="B4040" s="149" t="str">
        <f>IFERROR(VLOOKUP(Proc[[#This Row],[App]],Table2[],3,0),"open")</f>
        <v>ok</v>
      </c>
      <c r="C4040" s="149" t="s">
        <v>369</v>
      </c>
      <c r="D4040" t="s">
        <v>6047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4895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37</v>
      </c>
      <c r="R4040" s="136" t="s">
        <v>6088</v>
      </c>
      <c r="S4040" s="140"/>
    </row>
    <row r="4041" spans="1:19" hidden="1">
      <c r="A4041" s="142" t="s">
        <v>6202</v>
      </c>
      <c r="B4041" s="149" t="str">
        <f>IFERROR(VLOOKUP(Proc[[#This Row],[App]],Table2[],3,0),"open")</f>
        <v>ok</v>
      </c>
      <c r="C4041" s="142" t="s">
        <v>369</v>
      </c>
      <c r="D4041" t="s">
        <v>6048</v>
      </c>
      <c r="E4041" t="s">
        <v>6178</v>
      </c>
      <c r="F4041" s="140" t="s">
        <v>6178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4895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37</v>
      </c>
      <c r="R4041" s="136" t="s">
        <v>6088</v>
      </c>
      <c r="S4041" s="140"/>
    </row>
    <row r="4042" spans="1:19" hidden="1">
      <c r="A4042" s="142" t="s">
        <v>6202</v>
      </c>
      <c r="B4042" s="149" t="str">
        <f>IFERROR(VLOOKUP(Proc[[#This Row],[App]],Table2[],3,0),"open")</f>
        <v>ok</v>
      </c>
      <c r="C4042" s="142" t="s">
        <v>369</v>
      </c>
      <c r="D4042" t="s">
        <v>6049</v>
      </c>
      <c r="E4042" t="s">
        <v>6179</v>
      </c>
      <c r="F4042" s="140" t="s">
        <v>6179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4895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37</v>
      </c>
      <c r="R4042" s="136" t="s">
        <v>6088</v>
      </c>
      <c r="S4042" s="140"/>
    </row>
    <row r="4043" spans="1:19" hidden="1">
      <c r="A4043" s="142" t="s">
        <v>6202</v>
      </c>
      <c r="B4043" s="149" t="str">
        <f>IFERROR(VLOOKUP(Proc[[#This Row],[App]],Table2[],3,0),"open")</f>
        <v>ok</v>
      </c>
      <c r="C4043" s="142" t="s">
        <v>369</v>
      </c>
      <c r="D4043" t="s">
        <v>6050</v>
      </c>
      <c r="E4043" t="s">
        <v>6180</v>
      </c>
      <c r="F4043" s="140" t="s">
        <v>6180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4895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37</v>
      </c>
      <c r="R4043" s="136" t="s">
        <v>6088</v>
      </c>
      <c r="S4043" s="140"/>
    </row>
    <row r="4044" spans="1:19" hidden="1">
      <c r="A4044" s="142" t="s">
        <v>6202</v>
      </c>
      <c r="B4044" s="149" t="str">
        <f>IFERROR(VLOOKUP(Proc[[#This Row],[App]],Table2[],3,0),"open")</f>
        <v>ok</v>
      </c>
      <c r="C4044" s="142" t="s">
        <v>369</v>
      </c>
      <c r="D4044" t="s">
        <v>6051</v>
      </c>
      <c r="E4044" t="s">
        <v>6180</v>
      </c>
      <c r="F4044" s="140" t="s">
        <v>6180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4895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37</v>
      </c>
      <c r="R4044" s="136" t="s">
        <v>6088</v>
      </c>
      <c r="S4044" s="140"/>
    </row>
    <row r="4045" spans="1:19" hidden="1">
      <c r="A4045" s="142" t="s">
        <v>6202</v>
      </c>
      <c r="B4045" s="149" t="str">
        <f>IFERROR(VLOOKUP(Proc[[#This Row],[App]],Table2[],3,0),"open")</f>
        <v>ok</v>
      </c>
      <c r="C4045" s="142" t="s">
        <v>369</v>
      </c>
      <c r="D4045" t="s">
        <v>6052</v>
      </c>
      <c r="E4045" t="s">
        <v>6180</v>
      </c>
      <c r="F4045" s="140" t="s">
        <v>6180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4895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37</v>
      </c>
      <c r="R4045" s="136" t="s">
        <v>6088</v>
      </c>
      <c r="S4045" s="140"/>
    </row>
    <row r="4046" spans="1:19" hidden="1">
      <c r="A4046" s="142" t="s">
        <v>6202</v>
      </c>
      <c r="B4046" s="149" t="str">
        <f>IFERROR(VLOOKUP(Proc[[#This Row],[App]],Table2[],3,0),"open")</f>
        <v>ok</v>
      </c>
      <c r="C4046" s="142" t="s">
        <v>369</v>
      </c>
      <c r="D4046" t="s">
        <v>6053</v>
      </c>
      <c r="E4046" t="s">
        <v>6180</v>
      </c>
      <c r="F4046" s="140" t="s">
        <v>6180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4895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37</v>
      </c>
      <c r="R4046" s="136" t="s">
        <v>6088</v>
      </c>
      <c r="S4046" s="140"/>
    </row>
    <row r="4047" spans="1:19" hidden="1">
      <c r="A4047" s="142" t="s">
        <v>6202</v>
      </c>
      <c r="B4047" s="149" t="str">
        <f>IFERROR(VLOOKUP(Proc[[#This Row],[App]],Table2[],3,0),"open")</f>
        <v>ok</v>
      </c>
      <c r="C4047" s="142" t="s">
        <v>369</v>
      </c>
      <c r="D4047" t="s">
        <v>6054</v>
      </c>
      <c r="E4047" t="s">
        <v>6181</v>
      </c>
      <c r="F4047" s="140" t="s">
        <v>6181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4895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37</v>
      </c>
      <c r="R4047" s="136" t="s">
        <v>6088</v>
      </c>
      <c r="S4047" s="140"/>
    </row>
    <row r="4048" spans="1:19" hidden="1">
      <c r="A4048" s="142" t="s">
        <v>6202</v>
      </c>
      <c r="B4048" s="149" t="str">
        <f>IFERROR(VLOOKUP(Proc[[#This Row],[App]],Table2[],3,0),"open")</f>
        <v>ok</v>
      </c>
      <c r="C4048" s="142" t="s">
        <v>369</v>
      </c>
      <c r="D4048" t="s">
        <v>6058</v>
      </c>
      <c r="E4048" t="s">
        <v>6182</v>
      </c>
      <c r="F4048" s="140" t="s">
        <v>6182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4895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37</v>
      </c>
      <c r="R4048" s="136" t="s">
        <v>6088</v>
      </c>
      <c r="S4048" s="140"/>
    </row>
    <row r="4049" spans="1:19" hidden="1">
      <c r="A4049" s="142" t="s">
        <v>6202</v>
      </c>
      <c r="B4049" s="149" t="str">
        <f>IFERROR(VLOOKUP(Proc[[#This Row],[App]],Table2[],3,0),"open")</f>
        <v>ok</v>
      </c>
      <c r="C4049" s="142" t="s">
        <v>369</v>
      </c>
      <c r="D4049" t="s">
        <v>5981</v>
      </c>
      <c r="E4049" t="s">
        <v>6183</v>
      </c>
      <c r="F4049" s="140" t="s">
        <v>6183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4895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37</v>
      </c>
      <c r="R4049" s="136" t="s">
        <v>6088</v>
      </c>
      <c r="S4049" s="140"/>
    </row>
    <row r="4050" spans="1:19" hidden="1">
      <c r="A4050" s="142" t="s">
        <v>6202</v>
      </c>
      <c r="B4050" s="149" t="str">
        <f>IFERROR(VLOOKUP(Proc[[#This Row],[App]],Table2[],3,0),"open")</f>
        <v>ok</v>
      </c>
      <c r="C4050" s="142" t="s">
        <v>369</v>
      </c>
      <c r="D4050" t="s">
        <v>5978</v>
      </c>
      <c r="E4050" t="s">
        <v>6184</v>
      </c>
      <c r="F4050" s="140" t="s">
        <v>6184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4895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37</v>
      </c>
      <c r="R4050" s="136" t="s">
        <v>6088</v>
      </c>
      <c r="S4050" s="140"/>
    </row>
    <row r="4051" spans="1:19" hidden="1">
      <c r="A4051" s="142" t="s">
        <v>6202</v>
      </c>
      <c r="B4051" s="149" t="str">
        <f>IFERROR(VLOOKUP(Proc[[#This Row],[App]],Table2[],3,0),"open")</f>
        <v>ok</v>
      </c>
      <c r="C4051" s="142" t="s">
        <v>369</v>
      </c>
      <c r="D4051" t="s">
        <v>5979</v>
      </c>
      <c r="E4051" t="s">
        <v>6105</v>
      </c>
      <c r="F4051" s="140" t="s">
        <v>6105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4895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37</v>
      </c>
      <c r="R4051" s="136" t="s">
        <v>6088</v>
      </c>
      <c r="S4051" s="140"/>
    </row>
    <row r="4052" spans="1:19" hidden="1">
      <c r="A4052" s="142" t="s">
        <v>6202</v>
      </c>
      <c r="B4052" s="149" t="str">
        <f>IFERROR(VLOOKUP(Proc[[#This Row],[App]],Table2[],3,0),"open")</f>
        <v>ok</v>
      </c>
      <c r="C4052" s="142" t="s">
        <v>369</v>
      </c>
      <c r="D4052" t="s">
        <v>5968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4895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37</v>
      </c>
      <c r="R4052" s="136" t="s">
        <v>6088</v>
      </c>
      <c r="S4052" s="140"/>
    </row>
    <row r="4053" spans="1:19" hidden="1">
      <c r="A4053" s="142" t="s">
        <v>6202</v>
      </c>
      <c r="B4053" s="149" t="str">
        <f>IFERROR(VLOOKUP(Proc[[#This Row],[App]],Table2[],3,0),"open")</f>
        <v>ok</v>
      </c>
      <c r="C4053" s="142" t="s">
        <v>369</v>
      </c>
      <c r="D4053" t="s">
        <v>6022</v>
      </c>
      <c r="E4053" t="s">
        <v>6185</v>
      </c>
      <c r="F4053" s="140" t="s">
        <v>6185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4895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37</v>
      </c>
      <c r="R4053" s="136" t="s">
        <v>6088</v>
      </c>
      <c r="S4053" s="140"/>
    </row>
    <row r="4054" spans="1:19" hidden="1">
      <c r="A4054" s="142" t="s">
        <v>6202</v>
      </c>
      <c r="B4054" s="149" t="str">
        <f>IFERROR(VLOOKUP(Proc[[#This Row],[App]],Table2[],3,0),"open")</f>
        <v>ok</v>
      </c>
      <c r="C4054" s="142" t="s">
        <v>369</v>
      </c>
      <c r="D4054" t="s">
        <v>6025</v>
      </c>
      <c r="E4054" t="s">
        <v>6185</v>
      </c>
      <c r="F4054" s="140" t="s">
        <v>6185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4895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37</v>
      </c>
      <c r="R4054" s="136" t="s">
        <v>6088</v>
      </c>
      <c r="S4054" s="140"/>
    </row>
    <row r="4055" spans="1:19" hidden="1">
      <c r="A4055" s="142" t="s">
        <v>6202</v>
      </c>
      <c r="B4055" s="149" t="str">
        <f>IFERROR(VLOOKUP(Proc[[#This Row],[App]],Table2[],3,0),"open")</f>
        <v>ok</v>
      </c>
      <c r="C4055" s="142" t="s">
        <v>369</v>
      </c>
      <c r="D4055" t="s">
        <v>5967</v>
      </c>
      <c r="E4055" t="s">
        <v>6186</v>
      </c>
      <c r="F4055" s="140" t="s">
        <v>6186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4895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37</v>
      </c>
      <c r="R4055" s="136" t="s">
        <v>6088</v>
      </c>
      <c r="S4055" s="140"/>
    </row>
    <row r="4056" spans="1:19" hidden="1">
      <c r="A4056" s="142" t="s">
        <v>6202</v>
      </c>
      <c r="B4056" s="149" t="str">
        <f>IFERROR(VLOOKUP(Proc[[#This Row],[App]],Table2[],3,0),"open")</f>
        <v>ok</v>
      </c>
      <c r="C4056" s="142" t="s">
        <v>369</v>
      </c>
      <c r="D4056" t="s">
        <v>6055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4895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37</v>
      </c>
      <c r="R4056" s="136" t="s">
        <v>6088</v>
      </c>
      <c r="S4056" s="140"/>
    </row>
    <row r="4057" spans="1:19" hidden="1">
      <c r="A4057" s="142" t="s">
        <v>6202</v>
      </c>
      <c r="B4057" s="149" t="str">
        <f>IFERROR(VLOOKUP(Proc[[#This Row],[App]],Table2[],3,0),"open")</f>
        <v>ok</v>
      </c>
      <c r="C4057" s="142" t="s">
        <v>369</v>
      </c>
      <c r="D4057" t="s">
        <v>6009</v>
      </c>
      <c r="E4057" t="s">
        <v>6185</v>
      </c>
      <c r="F4057" s="140" t="s">
        <v>6185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4895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37</v>
      </c>
      <c r="R4057" s="136" t="s">
        <v>6088</v>
      </c>
      <c r="S4057" s="140"/>
    </row>
    <row r="4058" spans="1:19" hidden="1">
      <c r="A4058" s="142" t="s">
        <v>6202</v>
      </c>
      <c r="B4058" s="149" t="str">
        <f>IFERROR(VLOOKUP(Proc[[#This Row],[App]],Table2[],3,0),"open")</f>
        <v>ok</v>
      </c>
      <c r="C4058" s="142" t="s">
        <v>369</v>
      </c>
      <c r="D4058" t="s">
        <v>6010</v>
      </c>
      <c r="E4058" t="s">
        <v>6185</v>
      </c>
      <c r="F4058" s="140" t="s">
        <v>6185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4895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37</v>
      </c>
      <c r="R4058" s="136" t="s">
        <v>6088</v>
      </c>
      <c r="S4058" s="140"/>
    </row>
    <row r="4059" spans="1:19" hidden="1">
      <c r="A4059" s="142" t="s">
        <v>6202</v>
      </c>
      <c r="B4059" s="149" t="str">
        <f>IFERROR(VLOOKUP(Proc[[#This Row],[App]],Table2[],3,0),"open")</f>
        <v>ok</v>
      </c>
      <c r="C4059" s="142" t="s">
        <v>369</v>
      </c>
      <c r="D4059" t="s">
        <v>6012</v>
      </c>
      <c r="E4059" t="s">
        <v>6185</v>
      </c>
      <c r="F4059" s="140" t="s">
        <v>6185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4895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37</v>
      </c>
      <c r="R4059" s="136" t="s">
        <v>6088</v>
      </c>
      <c r="S4059" s="140"/>
    </row>
    <row r="4060" spans="1:19" hidden="1">
      <c r="A4060" s="142" t="s">
        <v>6202</v>
      </c>
      <c r="B4060" s="149" t="str">
        <f>IFERROR(VLOOKUP(Proc[[#This Row],[App]],Table2[],3,0),"open")</f>
        <v>ok</v>
      </c>
      <c r="C4060" s="142" t="s">
        <v>369</v>
      </c>
      <c r="D4060" t="s">
        <v>6013</v>
      </c>
      <c r="E4060" t="s">
        <v>6185</v>
      </c>
      <c r="F4060" s="140" t="s">
        <v>6185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4895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37</v>
      </c>
      <c r="R4060" s="136" t="s">
        <v>6088</v>
      </c>
      <c r="S4060" s="140"/>
    </row>
    <row r="4061" spans="1:19" hidden="1">
      <c r="A4061" s="142" t="s">
        <v>6202</v>
      </c>
      <c r="B4061" s="149" t="str">
        <f>IFERROR(VLOOKUP(Proc[[#This Row],[App]],Table2[],3,0),"open")</f>
        <v>ok</v>
      </c>
      <c r="C4061" s="142" t="s">
        <v>369</v>
      </c>
      <c r="D4061" t="s">
        <v>6014</v>
      </c>
      <c r="E4061" t="s">
        <v>6185</v>
      </c>
      <c r="F4061" s="140" t="s">
        <v>6185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4895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37</v>
      </c>
      <c r="R4061" s="136" t="s">
        <v>6088</v>
      </c>
      <c r="S4061" s="140"/>
    </row>
    <row r="4062" spans="1:19" hidden="1">
      <c r="A4062" s="142" t="s">
        <v>6202</v>
      </c>
      <c r="B4062" s="149" t="str">
        <f>IFERROR(VLOOKUP(Proc[[#This Row],[App]],Table2[],3,0),"open")</f>
        <v>ok</v>
      </c>
      <c r="C4062" s="142" t="s">
        <v>369</v>
      </c>
      <c r="D4062" t="s">
        <v>6015</v>
      </c>
      <c r="E4062" t="s">
        <v>6185</v>
      </c>
      <c r="F4062" s="140" t="s">
        <v>6185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4895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37</v>
      </c>
      <c r="R4062" s="136" t="s">
        <v>6088</v>
      </c>
      <c r="S4062" s="140"/>
    </row>
    <row r="4063" spans="1:19" hidden="1">
      <c r="A4063" s="142" t="s">
        <v>6202</v>
      </c>
      <c r="B4063" s="149" t="str">
        <f>IFERROR(VLOOKUP(Proc[[#This Row],[App]],Table2[],3,0),"open")</f>
        <v>ok</v>
      </c>
      <c r="C4063" s="142" t="s">
        <v>369</v>
      </c>
      <c r="D4063" t="s">
        <v>6017</v>
      </c>
      <c r="E4063" t="s">
        <v>6185</v>
      </c>
      <c r="F4063" s="140" t="s">
        <v>6185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4895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37</v>
      </c>
      <c r="R4063" s="136" t="s">
        <v>6088</v>
      </c>
      <c r="S4063" s="140"/>
    </row>
    <row r="4064" spans="1:19" hidden="1">
      <c r="A4064" s="142" t="s">
        <v>6202</v>
      </c>
      <c r="B4064" s="149" t="str">
        <f>IFERROR(VLOOKUP(Proc[[#This Row],[App]],Table2[],3,0),"open")</f>
        <v>ok</v>
      </c>
      <c r="C4064" s="142" t="s">
        <v>369</v>
      </c>
      <c r="D4064" t="s">
        <v>6023</v>
      </c>
      <c r="E4064" t="s">
        <v>6185</v>
      </c>
      <c r="F4064" s="140" t="s">
        <v>6185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4895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37</v>
      </c>
      <c r="R4064" s="136" t="s">
        <v>6088</v>
      </c>
      <c r="S4064" s="140"/>
    </row>
    <row r="4065" spans="1:19" hidden="1">
      <c r="A4065" s="142" t="s">
        <v>6202</v>
      </c>
      <c r="B4065" s="149" t="str">
        <f>IFERROR(VLOOKUP(Proc[[#This Row],[App]],Table2[],3,0),"open")</f>
        <v>ok</v>
      </c>
      <c r="C4065" s="142" t="s">
        <v>369</v>
      </c>
      <c r="D4065" t="s">
        <v>6030</v>
      </c>
      <c r="E4065" t="s">
        <v>6187</v>
      </c>
      <c r="F4065" s="140" t="s">
        <v>6187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4895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37</v>
      </c>
      <c r="R4065" s="136" t="s">
        <v>6088</v>
      </c>
      <c r="S4065" s="140"/>
    </row>
    <row r="4066" spans="1:19" hidden="1">
      <c r="A4066" s="142" t="s">
        <v>6202</v>
      </c>
      <c r="B4066" s="149" t="str">
        <f>IFERROR(VLOOKUP(Proc[[#This Row],[App]],Table2[],3,0),"open")</f>
        <v>ok</v>
      </c>
      <c r="C4066" s="142" t="s">
        <v>369</v>
      </c>
      <c r="D4066" t="s">
        <v>6031</v>
      </c>
      <c r="E4066" t="s">
        <v>6187</v>
      </c>
      <c r="F4066" s="140" t="s">
        <v>6187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4895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37</v>
      </c>
      <c r="R4066" s="136" t="s">
        <v>6088</v>
      </c>
      <c r="S4066" s="140"/>
    </row>
    <row r="4067" spans="1:19" hidden="1">
      <c r="A4067" s="142" t="s">
        <v>6202</v>
      </c>
      <c r="B4067" s="149" t="str">
        <f>IFERROR(VLOOKUP(Proc[[#This Row],[App]],Table2[],3,0),"open")</f>
        <v>ok</v>
      </c>
      <c r="C4067" s="142" t="s">
        <v>369</v>
      </c>
      <c r="D4067" t="s">
        <v>6032</v>
      </c>
      <c r="E4067" t="s">
        <v>6187</v>
      </c>
      <c r="F4067" s="140" t="s">
        <v>6187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4895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37</v>
      </c>
      <c r="R4067" s="136" t="s">
        <v>6088</v>
      </c>
      <c r="S4067" s="140"/>
    </row>
    <row r="4068" spans="1:19" hidden="1">
      <c r="A4068" s="142" t="s">
        <v>6202</v>
      </c>
      <c r="B4068" s="149" t="str">
        <f>IFERROR(VLOOKUP(Proc[[#This Row],[App]],Table2[],3,0),"open")</f>
        <v>ok</v>
      </c>
      <c r="C4068" s="142" t="s">
        <v>369</v>
      </c>
      <c r="D4068" t="s">
        <v>6033</v>
      </c>
      <c r="E4068" t="s">
        <v>6187</v>
      </c>
      <c r="F4068" s="140" t="s">
        <v>6187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4895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37</v>
      </c>
      <c r="R4068" s="136" t="s">
        <v>6088</v>
      </c>
      <c r="S4068" s="140"/>
    </row>
    <row r="4069" spans="1:19" hidden="1">
      <c r="A4069" s="142" t="s">
        <v>6202</v>
      </c>
      <c r="B4069" s="149" t="str">
        <f>IFERROR(VLOOKUP(Proc[[#This Row],[App]],Table2[],3,0),"open")</f>
        <v>ok</v>
      </c>
      <c r="C4069" s="142" t="s">
        <v>369</v>
      </c>
      <c r="D4069" t="s">
        <v>6034</v>
      </c>
      <c r="E4069" t="s">
        <v>6187</v>
      </c>
      <c r="F4069" s="140" t="s">
        <v>6187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4895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37</v>
      </c>
      <c r="R4069" s="136" t="s">
        <v>6088</v>
      </c>
      <c r="S4069" s="140"/>
    </row>
    <row r="4070" spans="1:19" hidden="1">
      <c r="A4070" s="142" t="s">
        <v>6202</v>
      </c>
      <c r="B4070" s="149" t="str">
        <f>IFERROR(VLOOKUP(Proc[[#This Row],[App]],Table2[],3,0),"open")</f>
        <v>ok</v>
      </c>
      <c r="C4070" s="142" t="s">
        <v>369</v>
      </c>
      <c r="D4070" t="s">
        <v>6035</v>
      </c>
      <c r="E4070" t="s">
        <v>6187</v>
      </c>
      <c r="F4070" s="140" t="s">
        <v>6187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4895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37</v>
      </c>
      <c r="R4070" s="136" t="s">
        <v>6088</v>
      </c>
      <c r="S4070" s="140"/>
    </row>
    <row r="4071" spans="1:19" hidden="1">
      <c r="A4071" s="142" t="s">
        <v>6202</v>
      </c>
      <c r="B4071" s="149" t="str">
        <f>IFERROR(VLOOKUP(Proc[[#This Row],[App]],Table2[],3,0),"open")</f>
        <v>ok</v>
      </c>
      <c r="C4071" s="142" t="s">
        <v>369</v>
      </c>
      <c r="D4071" t="s">
        <v>6036</v>
      </c>
      <c r="E4071" t="s">
        <v>6188</v>
      </c>
      <c r="F4071" s="140" t="s">
        <v>6188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4895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37</v>
      </c>
      <c r="R4071" s="136" t="s">
        <v>6088</v>
      </c>
      <c r="S4071" s="140"/>
    </row>
    <row r="4072" spans="1:19" hidden="1">
      <c r="A4072" s="142" t="s">
        <v>6202</v>
      </c>
      <c r="B4072" s="149" t="str">
        <f>IFERROR(VLOOKUP(Proc[[#This Row],[App]],Table2[],3,0),"open")</f>
        <v>ok</v>
      </c>
      <c r="C4072" s="142" t="s">
        <v>369</v>
      </c>
      <c r="D4072" t="s">
        <v>6005</v>
      </c>
      <c r="E4072" t="s">
        <v>6185</v>
      </c>
      <c r="F4072" s="140" t="s">
        <v>6185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4895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37</v>
      </c>
      <c r="R4072" s="136" t="s">
        <v>6088</v>
      </c>
      <c r="S4072" s="140"/>
    </row>
    <row r="4073" spans="1:19" hidden="1">
      <c r="A4073" s="142" t="s">
        <v>6202</v>
      </c>
      <c r="B4073" s="149" t="str">
        <f>IFERROR(VLOOKUP(Proc[[#This Row],[App]],Table2[],3,0),"open")</f>
        <v>ok</v>
      </c>
      <c r="C4073" s="142" t="s">
        <v>369</v>
      </c>
      <c r="D4073" t="s">
        <v>6006</v>
      </c>
      <c r="E4073" t="s">
        <v>6185</v>
      </c>
      <c r="F4073" s="140" t="s">
        <v>6185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4895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37</v>
      </c>
      <c r="R4073" s="136" t="s">
        <v>6088</v>
      </c>
      <c r="S4073" s="140"/>
    </row>
    <row r="4074" spans="1:19" hidden="1">
      <c r="A4074" s="142" t="s">
        <v>6202</v>
      </c>
      <c r="B4074" s="149" t="str">
        <f>IFERROR(VLOOKUP(Proc[[#This Row],[App]],Table2[],3,0),"open")</f>
        <v>ok</v>
      </c>
      <c r="C4074" s="142" t="s">
        <v>369</v>
      </c>
      <c r="D4074" t="s">
        <v>6007</v>
      </c>
      <c r="E4074" t="s">
        <v>6185</v>
      </c>
      <c r="F4074" s="140" t="s">
        <v>6185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4895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37</v>
      </c>
      <c r="R4074" s="136" t="s">
        <v>6088</v>
      </c>
      <c r="S4074" s="140"/>
    </row>
    <row r="4075" spans="1:19" hidden="1">
      <c r="A4075" s="142" t="s">
        <v>6202</v>
      </c>
      <c r="B4075" s="149" t="str">
        <f>IFERROR(VLOOKUP(Proc[[#This Row],[App]],Table2[],3,0),"open")</f>
        <v>ok</v>
      </c>
      <c r="C4075" s="142" t="s">
        <v>369</v>
      </c>
      <c r="D4075" t="s">
        <v>6008</v>
      </c>
      <c r="E4075" t="s">
        <v>6185</v>
      </c>
      <c r="F4075" s="140" t="s">
        <v>6185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4895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37</v>
      </c>
      <c r="R4075" s="136" t="s">
        <v>6088</v>
      </c>
      <c r="S4075" s="140"/>
    </row>
    <row r="4076" spans="1:19" hidden="1">
      <c r="A4076" s="142" t="s">
        <v>6202</v>
      </c>
      <c r="B4076" s="149" t="str">
        <f>IFERROR(VLOOKUP(Proc[[#This Row],[App]],Table2[],3,0),"open")</f>
        <v>ok</v>
      </c>
      <c r="C4076" s="142" t="s">
        <v>369</v>
      </c>
      <c r="D4076" t="s">
        <v>6011</v>
      </c>
      <c r="E4076" t="s">
        <v>6185</v>
      </c>
      <c r="F4076" s="140" t="s">
        <v>6185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4895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37</v>
      </c>
      <c r="R4076" s="136" t="s">
        <v>6088</v>
      </c>
      <c r="S4076" s="140"/>
    </row>
    <row r="4077" spans="1:19" hidden="1">
      <c r="A4077" s="142" t="s">
        <v>6202</v>
      </c>
      <c r="B4077" s="149" t="str">
        <f>IFERROR(VLOOKUP(Proc[[#This Row],[App]],Table2[],3,0),"open")</f>
        <v>ok</v>
      </c>
      <c r="C4077" s="142" t="s">
        <v>369</v>
      </c>
      <c r="D4077" t="s">
        <v>6018</v>
      </c>
      <c r="E4077" t="s">
        <v>6185</v>
      </c>
      <c r="F4077" s="140" t="s">
        <v>6185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4895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37</v>
      </c>
      <c r="R4077" s="136" t="s">
        <v>6088</v>
      </c>
      <c r="S4077" s="140"/>
    </row>
    <row r="4078" spans="1:19" hidden="1">
      <c r="A4078" s="142" t="s">
        <v>6202</v>
      </c>
      <c r="B4078" s="149" t="str">
        <f>IFERROR(VLOOKUP(Proc[[#This Row],[App]],Table2[],3,0),"open")</f>
        <v>ok</v>
      </c>
      <c r="C4078" s="142" t="s">
        <v>369</v>
      </c>
      <c r="D4078" t="s">
        <v>6019</v>
      </c>
      <c r="E4078" t="s">
        <v>6185</v>
      </c>
      <c r="F4078" s="140" t="s">
        <v>6185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4895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37</v>
      </c>
      <c r="R4078" s="136" t="s">
        <v>6088</v>
      </c>
      <c r="S4078" s="140"/>
    </row>
    <row r="4079" spans="1:19" hidden="1">
      <c r="A4079" s="142" t="s">
        <v>6202</v>
      </c>
      <c r="B4079" s="149" t="str">
        <f>IFERROR(VLOOKUP(Proc[[#This Row],[App]],Table2[],3,0),"open")</f>
        <v>ok</v>
      </c>
      <c r="C4079" s="142" t="s">
        <v>369</v>
      </c>
      <c r="D4079" t="s">
        <v>6020</v>
      </c>
      <c r="E4079" t="s">
        <v>6185</v>
      </c>
      <c r="F4079" s="140" t="s">
        <v>6185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4895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37</v>
      </c>
      <c r="R4079" s="136" t="s">
        <v>6088</v>
      </c>
      <c r="S4079" s="140"/>
    </row>
    <row r="4080" spans="1:19" hidden="1">
      <c r="A4080" s="142" t="s">
        <v>6202</v>
      </c>
      <c r="B4080" s="149" t="str">
        <f>IFERROR(VLOOKUP(Proc[[#This Row],[App]],Table2[],3,0),"open")</f>
        <v>ok</v>
      </c>
      <c r="C4080" s="142" t="s">
        <v>369</v>
      </c>
      <c r="D4080" t="s">
        <v>6002</v>
      </c>
      <c r="E4080" t="s">
        <v>6185</v>
      </c>
      <c r="F4080" s="140" t="s">
        <v>6185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4895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37</v>
      </c>
      <c r="R4080" s="136" t="s">
        <v>6088</v>
      </c>
      <c r="S4080" s="140"/>
    </row>
    <row r="4081" spans="1:19" hidden="1">
      <c r="A4081" s="142" t="s">
        <v>6202</v>
      </c>
      <c r="B4081" s="149" t="str">
        <f>IFERROR(VLOOKUP(Proc[[#This Row],[App]],Table2[],3,0),"open")</f>
        <v>ok</v>
      </c>
      <c r="C4081" s="142" t="s">
        <v>369</v>
      </c>
      <c r="D4081" t="s">
        <v>6003</v>
      </c>
      <c r="E4081" t="s">
        <v>6185</v>
      </c>
      <c r="F4081" s="140" t="s">
        <v>6185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4895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37</v>
      </c>
      <c r="R4081" s="136" t="s">
        <v>6088</v>
      </c>
      <c r="S4081" s="140"/>
    </row>
    <row r="4082" spans="1:19" hidden="1">
      <c r="A4082" s="142" t="s">
        <v>6202</v>
      </c>
      <c r="B4082" s="149" t="str">
        <f>IFERROR(VLOOKUP(Proc[[#This Row],[App]],Table2[],3,0),"open")</f>
        <v>ok</v>
      </c>
      <c r="C4082" s="142" t="s">
        <v>369</v>
      </c>
      <c r="D4082" t="s">
        <v>6004</v>
      </c>
      <c r="E4082" t="s">
        <v>6185</v>
      </c>
      <c r="F4082" s="140" t="s">
        <v>6185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4895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37</v>
      </c>
      <c r="R4082" s="136" t="s">
        <v>6088</v>
      </c>
      <c r="S4082" s="140"/>
    </row>
    <row r="4083" spans="1:19" hidden="1">
      <c r="A4083" s="142" t="s">
        <v>6202</v>
      </c>
      <c r="B4083" s="149" t="str">
        <f>IFERROR(VLOOKUP(Proc[[#This Row],[App]],Table2[],3,0),"open")</f>
        <v>ok</v>
      </c>
      <c r="C4083" s="142" t="s">
        <v>369</v>
      </c>
      <c r="D4083" t="s">
        <v>6016</v>
      </c>
      <c r="E4083" t="s">
        <v>6185</v>
      </c>
      <c r="F4083" s="140" t="s">
        <v>6185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4895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37</v>
      </c>
      <c r="R4083" s="136" t="s">
        <v>6088</v>
      </c>
      <c r="S4083" s="140"/>
    </row>
    <row r="4084" spans="1:19" hidden="1">
      <c r="A4084" s="142" t="s">
        <v>6202</v>
      </c>
      <c r="B4084" s="149" t="str">
        <f>IFERROR(VLOOKUP(Proc[[#This Row],[App]],Table2[],3,0),"open")</f>
        <v>ok</v>
      </c>
      <c r="C4084" s="142" t="s">
        <v>369</v>
      </c>
      <c r="D4084" t="s">
        <v>6026</v>
      </c>
      <c r="E4084" t="s">
        <v>6185</v>
      </c>
      <c r="F4084" s="140" t="s">
        <v>6185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4895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37</v>
      </c>
      <c r="R4084" s="136" t="s">
        <v>6088</v>
      </c>
      <c r="S4084" s="140"/>
    </row>
    <row r="4085" spans="1:19" hidden="1">
      <c r="A4085" s="142" t="s">
        <v>6202</v>
      </c>
      <c r="B4085" s="149" t="str">
        <f>IFERROR(VLOOKUP(Proc[[#This Row],[App]],Table2[],3,0),"open")</f>
        <v>ok</v>
      </c>
      <c r="C4085" s="142" t="s">
        <v>369</v>
      </c>
      <c r="D4085" t="s">
        <v>5982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4895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37</v>
      </c>
      <c r="R4085" s="136" t="s">
        <v>6088</v>
      </c>
      <c r="S4085" s="140"/>
    </row>
    <row r="4086" spans="1:19" hidden="1">
      <c r="A4086" s="142" t="s">
        <v>6202</v>
      </c>
      <c r="B4086" s="149" t="str">
        <f>IFERROR(VLOOKUP(Proc[[#This Row],[App]],Table2[],3,0),"open")</f>
        <v>ok</v>
      </c>
      <c r="C4086" s="142" t="s">
        <v>369</v>
      </c>
      <c r="D4086" t="s">
        <v>6021</v>
      </c>
      <c r="E4086" t="s">
        <v>6185</v>
      </c>
      <c r="F4086" s="140" t="s">
        <v>6185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4895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37</v>
      </c>
      <c r="R4086" s="136" t="s">
        <v>6088</v>
      </c>
      <c r="S4086" s="140"/>
    </row>
    <row r="4087" spans="1:19" hidden="1">
      <c r="A4087" s="142" t="s">
        <v>6202</v>
      </c>
      <c r="B4087" s="149" t="str">
        <f>IFERROR(VLOOKUP(Proc[[#This Row],[App]],Table2[],3,0),"open")</f>
        <v>ok</v>
      </c>
      <c r="C4087" s="142" t="s">
        <v>369</v>
      </c>
      <c r="D4087" t="s">
        <v>6041</v>
      </c>
      <c r="E4087" t="s">
        <v>6189</v>
      </c>
      <c r="F4087" s="140" t="s">
        <v>6189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4895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37</v>
      </c>
      <c r="R4087" s="136" t="s">
        <v>6088</v>
      </c>
      <c r="S4087" s="140"/>
    </row>
    <row r="4088" spans="1:19" hidden="1">
      <c r="A4088" s="142" t="s">
        <v>6202</v>
      </c>
      <c r="B4088" s="149" t="str">
        <f>IFERROR(VLOOKUP(Proc[[#This Row],[App]],Table2[],3,0),"open")</f>
        <v>ok</v>
      </c>
      <c r="C4088" s="142" t="s">
        <v>369</v>
      </c>
      <c r="D4088" t="s">
        <v>6042</v>
      </c>
      <c r="E4088" t="s">
        <v>6190</v>
      </c>
      <c r="F4088" s="140" t="s">
        <v>6190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4895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37</v>
      </c>
      <c r="R4088" s="136" t="s">
        <v>6088</v>
      </c>
      <c r="S4088" s="140"/>
    </row>
    <row r="4089" spans="1:19" hidden="1">
      <c r="A4089" s="142" t="s">
        <v>6202</v>
      </c>
      <c r="B4089" s="149" t="str">
        <f>IFERROR(VLOOKUP(Proc[[#This Row],[App]],Table2[],3,0),"open")</f>
        <v>ok</v>
      </c>
      <c r="C4089" s="142" t="s">
        <v>369</v>
      </c>
      <c r="D4089" t="s">
        <v>6024</v>
      </c>
      <c r="E4089" t="s">
        <v>6185</v>
      </c>
      <c r="F4089" s="140" t="s">
        <v>6185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4895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37</v>
      </c>
      <c r="R4089" s="136" t="s">
        <v>6088</v>
      </c>
      <c r="S4089" s="140"/>
    </row>
    <row r="4090" spans="1:19" hidden="1">
      <c r="A4090" s="142" t="s">
        <v>6202</v>
      </c>
      <c r="B4090" s="149" t="str">
        <f>IFERROR(VLOOKUP(Proc[[#This Row],[App]],Table2[],3,0),"open")</f>
        <v>ok</v>
      </c>
      <c r="C4090" s="142" t="s">
        <v>369</v>
      </c>
      <c r="D4090" t="s">
        <v>6040</v>
      </c>
      <c r="E4090" t="s">
        <v>6191</v>
      </c>
      <c r="F4090" s="140" t="s">
        <v>6191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4895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37</v>
      </c>
      <c r="R4090" s="136" t="s">
        <v>6088</v>
      </c>
      <c r="S4090" s="140"/>
    </row>
    <row r="4091" spans="1:19" hidden="1">
      <c r="A4091" s="142" t="s">
        <v>6202</v>
      </c>
      <c r="B4091" s="149" t="str">
        <f>IFERROR(VLOOKUP(Proc[[#This Row],[App]],Table2[],3,0),"open")</f>
        <v>ok</v>
      </c>
      <c r="C4091" s="142" t="s">
        <v>369</v>
      </c>
      <c r="D4091" t="s">
        <v>6027</v>
      </c>
      <c r="E4091" t="s">
        <v>6192</v>
      </c>
      <c r="F4091" s="140" t="s">
        <v>6192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4895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37</v>
      </c>
      <c r="R4091" s="136" t="s">
        <v>6088</v>
      </c>
      <c r="S4091" s="140"/>
    </row>
    <row r="4092" spans="1:19" hidden="1">
      <c r="A4092" s="142" t="s">
        <v>6202</v>
      </c>
      <c r="B4092" s="149" t="str">
        <f>IFERROR(VLOOKUP(Proc[[#This Row],[App]],Table2[],3,0),"open")</f>
        <v>ok</v>
      </c>
      <c r="C4092" s="142" t="s">
        <v>369</v>
      </c>
      <c r="D4092" t="s">
        <v>6044</v>
      </c>
      <c r="E4092" t="s">
        <v>6164</v>
      </c>
      <c r="F4092" s="140" t="s">
        <v>6164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4895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37</v>
      </c>
      <c r="R4092" s="136" t="s">
        <v>6088</v>
      </c>
      <c r="S4092" s="140"/>
    </row>
    <row r="4093" spans="1:19" hidden="1">
      <c r="A4093" s="142" t="s">
        <v>6202</v>
      </c>
      <c r="B4093" s="149" t="str">
        <f>IFERROR(VLOOKUP(Proc[[#This Row],[App]],Table2[],3,0),"open")</f>
        <v>ok</v>
      </c>
      <c r="C4093" s="142" t="s">
        <v>369</v>
      </c>
      <c r="D4093" t="s">
        <v>6028</v>
      </c>
      <c r="E4093" t="s">
        <v>6193</v>
      </c>
      <c r="F4093" s="140" t="s">
        <v>6193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4895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37</v>
      </c>
      <c r="R4093" s="136" t="s">
        <v>6088</v>
      </c>
      <c r="S4093" s="140"/>
    </row>
    <row r="4094" spans="1:19" hidden="1">
      <c r="A4094" s="142" t="s">
        <v>6202</v>
      </c>
      <c r="B4094" s="149" t="str">
        <f>IFERROR(VLOOKUP(Proc[[#This Row],[App]],Table2[],3,0),"open")</f>
        <v>ok</v>
      </c>
      <c r="C4094" s="142" t="s">
        <v>369</v>
      </c>
      <c r="D4094" t="s">
        <v>6029</v>
      </c>
      <c r="E4094" t="s">
        <v>6194</v>
      </c>
      <c r="F4094" s="140" t="s">
        <v>6194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4895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37</v>
      </c>
      <c r="R4094" s="136" t="s">
        <v>6088</v>
      </c>
      <c r="S4094" s="140"/>
    </row>
    <row r="4095" spans="1:19" hidden="1">
      <c r="A4095" s="142" t="s">
        <v>6202</v>
      </c>
      <c r="B4095" s="149" t="str">
        <f>IFERROR(VLOOKUP(Proc[[#This Row],[App]],Table2[],3,0),"open")</f>
        <v>ok</v>
      </c>
      <c r="C4095" s="142" t="s">
        <v>369</v>
      </c>
      <c r="D4095" t="s">
        <v>5952</v>
      </c>
      <c r="E4095" t="s">
        <v>6195</v>
      </c>
      <c r="F4095" s="140" t="s">
        <v>6195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4895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37</v>
      </c>
      <c r="R4095" s="136" t="s">
        <v>6088</v>
      </c>
      <c r="S4095" s="140"/>
    </row>
    <row r="4096" spans="1:19" hidden="1">
      <c r="A4096" s="142" t="s">
        <v>6202</v>
      </c>
      <c r="B4096" s="149" t="str">
        <f>IFERROR(VLOOKUP(Proc[[#This Row],[App]],Table2[],3,0),"open")</f>
        <v>ok</v>
      </c>
      <c r="C4096" s="144" t="s">
        <v>369</v>
      </c>
      <c r="D4096" t="s">
        <v>5955</v>
      </c>
      <c r="E4096" t="s">
        <v>6196</v>
      </c>
      <c r="F4096" s="140" t="s">
        <v>6196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4895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37</v>
      </c>
      <c r="R4096" s="136" t="s">
        <v>6088</v>
      </c>
      <c r="S4096" s="140"/>
    </row>
    <row r="4097" spans="1:19" hidden="1">
      <c r="A4097" s="142" t="s">
        <v>6202</v>
      </c>
      <c r="B4097" s="149" t="str">
        <f>IFERROR(VLOOKUP(Proc[[#This Row],[App]],Table2[],3,0),"open")</f>
        <v>ok</v>
      </c>
      <c r="C4097" s="142" t="s">
        <v>369</v>
      </c>
      <c r="D4097" t="s">
        <v>5953</v>
      </c>
      <c r="E4097" t="s">
        <v>6197</v>
      </c>
      <c r="F4097" s="140" t="s">
        <v>6197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4895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37</v>
      </c>
      <c r="R4097" s="136" t="s">
        <v>6088</v>
      </c>
      <c r="S4097" s="140"/>
    </row>
    <row r="4098" spans="1:19" hidden="1">
      <c r="A4098" s="142" t="s">
        <v>6202</v>
      </c>
      <c r="B4098" s="149" t="str">
        <f>IFERROR(VLOOKUP(Proc[[#This Row],[App]],Table2[],3,0),"open")</f>
        <v>ok</v>
      </c>
      <c r="C4098" s="142" t="s">
        <v>369</v>
      </c>
      <c r="D4098" t="s">
        <v>5957</v>
      </c>
      <c r="E4098" t="s">
        <v>6198</v>
      </c>
      <c r="F4098" s="140" t="s">
        <v>6198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4895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37</v>
      </c>
      <c r="R4098" s="136" t="s">
        <v>6088</v>
      </c>
      <c r="S4098" s="140"/>
    </row>
    <row r="4099" spans="1:19" hidden="1">
      <c r="A4099" s="142" t="s">
        <v>6202</v>
      </c>
      <c r="B4099" s="149" t="str">
        <f>IFERROR(VLOOKUP(Proc[[#This Row],[App]],Table2[],3,0),"open")</f>
        <v>ok</v>
      </c>
      <c r="C4099" s="142" t="s">
        <v>369</v>
      </c>
      <c r="D4099" t="s">
        <v>5983</v>
      </c>
      <c r="E4099" t="s">
        <v>6199</v>
      </c>
      <c r="F4099" s="140" t="s">
        <v>6199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4895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37</v>
      </c>
      <c r="R4099" s="136" t="s">
        <v>6088</v>
      </c>
      <c r="S4099" s="140"/>
    </row>
    <row r="4100" spans="1:19" hidden="1">
      <c r="A4100" s="142" t="s">
        <v>6202</v>
      </c>
      <c r="B4100" s="149" t="str">
        <f>IFERROR(VLOOKUP(Proc[[#This Row],[App]],Table2[],3,0),"open")</f>
        <v>ok</v>
      </c>
      <c r="C4100" s="142" t="s">
        <v>369</v>
      </c>
      <c r="D4100" t="s">
        <v>5980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4895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37</v>
      </c>
      <c r="R4100" s="136" t="s">
        <v>6088</v>
      </c>
      <c r="S4100" s="140"/>
    </row>
    <row r="4101" spans="1:19" hidden="1">
      <c r="A4101" s="142" t="s">
        <v>6202</v>
      </c>
      <c r="B4101" s="149" t="str">
        <f>IFERROR(VLOOKUP(Proc[[#This Row],[App]],Table2[],3,0),"open")</f>
        <v>ok</v>
      </c>
      <c r="C4101" s="142" t="s">
        <v>369</v>
      </c>
      <c r="D4101" t="s">
        <v>5984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4895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37</v>
      </c>
      <c r="R4101" s="136" t="s">
        <v>6088</v>
      </c>
      <c r="S4101" s="140"/>
    </row>
    <row r="4102" spans="1:19" hidden="1">
      <c r="A4102" s="142" t="s">
        <v>6202</v>
      </c>
      <c r="B4102" s="149" t="str">
        <f>IFERROR(VLOOKUP(Proc[[#This Row],[App]],Table2[],3,0),"open")</f>
        <v>ok</v>
      </c>
      <c r="C4102" s="142" t="s">
        <v>369</v>
      </c>
      <c r="D4102" t="s">
        <v>5985</v>
      </c>
      <c r="E4102" t="s">
        <v>6172</v>
      </c>
      <c r="F4102" s="140" t="s">
        <v>6172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4895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37</v>
      </c>
      <c r="R4102" s="136" t="s">
        <v>6088</v>
      </c>
      <c r="S4102" s="140"/>
    </row>
    <row r="4103" spans="1:19" hidden="1">
      <c r="A4103" s="142" t="s">
        <v>6202</v>
      </c>
      <c r="B4103" s="149" t="str">
        <f>IFERROR(VLOOKUP(Proc[[#This Row],[App]],Table2[],3,0),"open")</f>
        <v>ok</v>
      </c>
      <c r="C4103" s="142" t="s">
        <v>369</v>
      </c>
      <c r="D4103" t="s">
        <v>5986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4895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37</v>
      </c>
      <c r="R4103" s="136" t="s">
        <v>6088</v>
      </c>
      <c r="S4103" s="140"/>
    </row>
    <row r="4104" spans="1:19" hidden="1">
      <c r="A4104" s="142" t="s">
        <v>6202</v>
      </c>
      <c r="B4104" s="149" t="str">
        <f>IFERROR(VLOOKUP(Proc[[#This Row],[App]],Table2[],3,0),"open")</f>
        <v>ok</v>
      </c>
      <c r="C4104" s="142" t="s">
        <v>369</v>
      </c>
      <c r="D4104" t="s">
        <v>5987</v>
      </c>
      <c r="E4104" t="s">
        <v>6172</v>
      </c>
      <c r="F4104" s="140" t="s">
        <v>6172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4895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37</v>
      </c>
      <c r="R4104" s="136" t="s">
        <v>6088</v>
      </c>
      <c r="S4104" s="140"/>
    </row>
    <row r="4105" spans="1:19" hidden="1">
      <c r="A4105" s="142" t="s">
        <v>6202</v>
      </c>
      <c r="B4105" s="149" t="str">
        <f>IFERROR(VLOOKUP(Proc[[#This Row],[App]],Table2[],3,0),"open")</f>
        <v>ok</v>
      </c>
      <c r="C4105" s="142" t="s">
        <v>369</v>
      </c>
      <c r="D4105" t="s">
        <v>5988</v>
      </c>
      <c r="E4105" t="s">
        <v>6172</v>
      </c>
      <c r="F4105" s="140" t="s">
        <v>6172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4895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37</v>
      </c>
      <c r="R4105" s="136" t="s">
        <v>6088</v>
      </c>
      <c r="S4105" s="140"/>
    </row>
    <row r="4106" spans="1:19" hidden="1">
      <c r="A4106" s="142" t="s">
        <v>6202</v>
      </c>
      <c r="B4106" s="149" t="str">
        <f>IFERROR(VLOOKUP(Proc[[#This Row],[App]],Table2[],3,0),"open")</f>
        <v>ok</v>
      </c>
      <c r="C4106" s="142" t="s">
        <v>369</v>
      </c>
      <c r="D4106" t="s">
        <v>5990</v>
      </c>
      <c r="E4106" t="s">
        <v>6170</v>
      </c>
      <c r="F4106" s="140" t="s">
        <v>6170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4895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37</v>
      </c>
      <c r="R4106" s="136" t="s">
        <v>6088</v>
      </c>
      <c r="S4106" s="140"/>
    </row>
    <row r="4107" spans="1:19" hidden="1">
      <c r="A4107" s="142" t="s">
        <v>6202</v>
      </c>
      <c r="B4107" s="149" t="str">
        <f>IFERROR(VLOOKUP(Proc[[#This Row],[App]],Table2[],3,0),"open")</f>
        <v>ok</v>
      </c>
      <c r="C4107" s="142" t="s">
        <v>369</v>
      </c>
      <c r="D4107" t="s">
        <v>5992</v>
      </c>
      <c r="E4107" t="s">
        <v>6172</v>
      </c>
      <c r="F4107" s="140" t="s">
        <v>6172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4895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37</v>
      </c>
      <c r="R4107" s="136" t="s">
        <v>6088</v>
      </c>
      <c r="S4107" s="140"/>
    </row>
    <row r="4108" spans="1:19" hidden="1">
      <c r="A4108" s="142" t="s">
        <v>6202</v>
      </c>
      <c r="B4108" s="149" t="str">
        <f>IFERROR(VLOOKUP(Proc[[#This Row],[App]],Table2[],3,0),"open")</f>
        <v>ok</v>
      </c>
      <c r="C4108" s="142" t="s">
        <v>369</v>
      </c>
      <c r="D4108" t="s">
        <v>5958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4895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37</v>
      </c>
      <c r="R4108" s="136" t="s">
        <v>6088</v>
      </c>
      <c r="S4108" s="140"/>
    </row>
    <row r="4109" spans="1:19" hidden="1">
      <c r="A4109" s="142" t="s">
        <v>6202</v>
      </c>
      <c r="B4109" s="149" t="str">
        <f>IFERROR(VLOOKUP(Proc[[#This Row],[App]],Table2[],3,0),"open")</f>
        <v>ok</v>
      </c>
      <c r="C4109" s="142" t="s">
        <v>369</v>
      </c>
      <c r="D4109" t="s">
        <v>5959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4895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37</v>
      </c>
      <c r="R4109" s="136" t="s">
        <v>6088</v>
      </c>
      <c r="S4109" s="140"/>
    </row>
    <row r="4110" spans="1:19" hidden="1">
      <c r="A4110" s="142" t="s">
        <v>6202</v>
      </c>
      <c r="B4110" s="149" t="str">
        <f>IFERROR(VLOOKUP(Proc[[#This Row],[App]],Table2[],3,0),"open")</f>
        <v>ok</v>
      </c>
      <c r="C4110" s="142" t="s">
        <v>369</v>
      </c>
      <c r="D4110" t="s">
        <v>5960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4895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37</v>
      </c>
      <c r="R4110" s="136" t="s">
        <v>6088</v>
      </c>
      <c r="S4110" s="140"/>
    </row>
    <row r="4111" spans="1:19" hidden="1">
      <c r="A4111" s="142" t="s">
        <v>6202</v>
      </c>
      <c r="B4111" s="149" t="str">
        <f>IFERROR(VLOOKUP(Proc[[#This Row],[App]],Table2[],3,0),"open")</f>
        <v>ok</v>
      </c>
      <c r="C4111" s="142" t="s">
        <v>369</v>
      </c>
      <c r="D4111" t="s">
        <v>5964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4895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37</v>
      </c>
      <c r="R4111" s="136" t="s">
        <v>6088</v>
      </c>
      <c r="S4111" s="140"/>
    </row>
    <row r="4112" spans="1:19" hidden="1">
      <c r="A4112" s="142" t="s">
        <v>6202</v>
      </c>
      <c r="B4112" s="149" t="str">
        <f>IFERROR(VLOOKUP(Proc[[#This Row],[App]],Table2[],3,0),"open")</f>
        <v>ok</v>
      </c>
      <c r="C4112" s="142" t="s">
        <v>369</v>
      </c>
      <c r="D4112" t="s">
        <v>5970</v>
      </c>
      <c r="E4112" t="s">
        <v>6200</v>
      </c>
      <c r="F4112" s="140" t="s">
        <v>6200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4895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37</v>
      </c>
      <c r="R4112" s="136" t="s">
        <v>6088</v>
      </c>
      <c r="S4112" s="140"/>
    </row>
    <row r="4113" spans="1:19" hidden="1">
      <c r="A4113" s="142" t="s">
        <v>6202</v>
      </c>
      <c r="B4113" s="149" t="str">
        <f>IFERROR(VLOOKUP(Proc[[#This Row],[App]],Table2[],3,0),"open")</f>
        <v>ok</v>
      </c>
      <c r="C4113" s="149" t="s">
        <v>369</v>
      </c>
      <c r="D4113" t="s">
        <v>5971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4895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37</v>
      </c>
      <c r="R4113" s="136" t="s">
        <v>6088</v>
      </c>
      <c r="S4113" s="140"/>
    </row>
    <row r="4114" spans="1:19" hidden="1">
      <c r="A4114" s="142" t="s">
        <v>6202</v>
      </c>
      <c r="B4114" s="149" t="str">
        <f>IFERROR(VLOOKUP(Proc[[#This Row],[App]],Table2[],3,0),"open")</f>
        <v>ok</v>
      </c>
      <c r="C4114" s="142" t="s">
        <v>369</v>
      </c>
      <c r="D4114" t="s">
        <v>5974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4895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37</v>
      </c>
      <c r="R4114" s="136" t="s">
        <v>6088</v>
      </c>
      <c r="S4114" s="140"/>
    </row>
    <row r="4115" spans="1:19" hidden="1">
      <c r="A4115" s="142" t="s">
        <v>6202</v>
      </c>
      <c r="B4115" s="149" t="str">
        <f>IFERROR(VLOOKUP(Proc[[#This Row],[App]],Table2[],3,0),"open")</f>
        <v>ok</v>
      </c>
      <c r="C4115" s="142" t="s">
        <v>369</v>
      </c>
      <c r="D4115" t="s">
        <v>5976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4895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37</v>
      </c>
      <c r="R4115" s="136" t="s">
        <v>6088</v>
      </c>
      <c r="S4115" s="140"/>
    </row>
    <row r="4116" spans="1:19" hidden="1">
      <c r="A4116" s="142" t="s">
        <v>6202</v>
      </c>
      <c r="B4116" s="149" t="str">
        <f>IFERROR(VLOOKUP(Proc[[#This Row],[App]],Table2[],3,0),"open")</f>
        <v>ok</v>
      </c>
      <c r="C4116" s="142" t="s">
        <v>369</v>
      </c>
      <c r="D4116" t="s">
        <v>5993</v>
      </c>
      <c r="E4116" t="s">
        <v>6172</v>
      </c>
      <c r="F4116" s="140" t="s">
        <v>6172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4895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37</v>
      </c>
      <c r="R4116" s="136" t="s">
        <v>6088</v>
      </c>
      <c r="S4116" s="140"/>
    </row>
    <row r="4117" spans="1:19" hidden="1">
      <c r="A4117" s="142" t="s">
        <v>6202</v>
      </c>
      <c r="B4117" s="149" t="str">
        <f>IFERROR(VLOOKUP(Proc[[#This Row],[App]],Table2[],3,0),"open")</f>
        <v>ok</v>
      </c>
      <c r="C4117" s="142" t="s">
        <v>369</v>
      </c>
      <c r="D4117" t="s">
        <v>6000</v>
      </c>
      <c r="E4117" t="s">
        <v>6201</v>
      </c>
      <c r="F4117" s="140" t="s">
        <v>6201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4895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37</v>
      </c>
      <c r="R4117" s="136" t="s">
        <v>6088</v>
      </c>
      <c r="S4117" s="140"/>
    </row>
    <row r="4118" spans="1:19" hidden="1">
      <c r="A4118" s="142" t="s">
        <v>6202</v>
      </c>
      <c r="B4118" s="149" t="str">
        <f>IFERROR(VLOOKUP(Proc[[#This Row],[App]],Table2[],3,0),"open")</f>
        <v>ok</v>
      </c>
      <c r="C4118" s="142" t="s">
        <v>369</v>
      </c>
      <c r="D4118" t="s">
        <v>6204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4895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37</v>
      </c>
      <c r="R4118" s="136" t="s">
        <v>6088</v>
      </c>
      <c r="S4118" s="140"/>
    </row>
    <row r="4119" spans="1:19" hidden="1">
      <c r="A4119" t="s">
        <v>6203</v>
      </c>
      <c r="B4119" s="149" t="str">
        <f>IFERROR(VLOOKUP(Proc[[#This Row],[App]],Table2[],3,0),"open")</f>
        <v>ok</v>
      </c>
      <c r="C4119" s="144" t="s">
        <v>369</v>
      </c>
      <c r="D4119" t="s">
        <v>6277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4895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37</v>
      </c>
      <c r="R4119" s="136" t="s">
        <v>1262</v>
      </c>
      <c r="S4119" s="140"/>
    </row>
    <row r="4120" spans="1:19" hidden="1">
      <c r="A4120" t="s">
        <v>6217</v>
      </c>
      <c r="B4120" s="149" t="str">
        <f>IFERROR(VLOOKUP(Proc[[#This Row],[App]],Table2[],3,0),"open")</f>
        <v>ok</v>
      </c>
      <c r="C4120" s="142" t="s">
        <v>369</v>
      </c>
      <c r="D4120" t="s">
        <v>6206</v>
      </c>
      <c r="E4120" t="s">
        <v>6205</v>
      </c>
      <c r="F4120" s="140" t="s">
        <v>6205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4895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33</v>
      </c>
      <c r="R4120" s="136" t="s">
        <v>6088</v>
      </c>
      <c r="S4120" s="140"/>
    </row>
    <row r="4121" spans="1:19" hidden="1">
      <c r="A4121" s="142" t="s">
        <v>6217</v>
      </c>
      <c r="B4121" s="149" t="str">
        <f>IFERROR(VLOOKUP(Proc[[#This Row],[App]],Table2[],3,0),"open")</f>
        <v>ok</v>
      </c>
      <c r="C4121" s="149" t="s">
        <v>369</v>
      </c>
      <c r="D4121" t="s">
        <v>6207</v>
      </c>
      <c r="E4121" t="s">
        <v>6070</v>
      </c>
      <c r="F4121" s="150" t="s">
        <v>6070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4895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33</v>
      </c>
      <c r="R4121" s="136" t="s">
        <v>6088</v>
      </c>
      <c r="S4121" s="140"/>
    </row>
    <row r="4122" spans="1:19" hidden="1">
      <c r="A4122" s="142" t="s">
        <v>6217</v>
      </c>
      <c r="B4122" s="149" t="str">
        <f>IFERROR(VLOOKUP(Proc[[#This Row],[App]],Table2[],3,0),"open")</f>
        <v>ok</v>
      </c>
      <c r="C4122" s="149" t="s">
        <v>369</v>
      </c>
      <c r="D4122" t="s">
        <v>6208</v>
      </c>
      <c r="E4122" t="s">
        <v>6070</v>
      </c>
      <c r="F4122" s="150" t="s">
        <v>6070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4895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33</v>
      </c>
      <c r="R4122" s="136" t="s">
        <v>6088</v>
      </c>
      <c r="S4122" s="140"/>
    </row>
    <row r="4123" spans="1:19" hidden="1">
      <c r="A4123" s="142" t="s">
        <v>6217</v>
      </c>
      <c r="B4123" s="149" t="str">
        <f>IFERROR(VLOOKUP(Proc[[#This Row],[App]],Table2[],3,0),"open")</f>
        <v>ok</v>
      </c>
      <c r="C4123" s="144" t="s">
        <v>369</v>
      </c>
      <c r="D4123" t="s">
        <v>6209</v>
      </c>
      <c r="E4123" t="s">
        <v>6060</v>
      </c>
      <c r="F4123" s="140" t="s">
        <v>6060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4895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33</v>
      </c>
      <c r="R4123" s="136" t="s">
        <v>6088</v>
      </c>
      <c r="S4123" s="140"/>
    </row>
    <row r="4124" spans="1:19" hidden="1">
      <c r="A4124" s="142" t="s">
        <v>6217</v>
      </c>
      <c r="B4124" s="149" t="str">
        <f>IFERROR(VLOOKUP(Proc[[#This Row],[App]],Table2[],3,0),"open")</f>
        <v>ok</v>
      </c>
      <c r="C4124" s="144" t="s">
        <v>369</v>
      </c>
      <c r="D4124" t="s">
        <v>6210</v>
      </c>
      <c r="E4124" t="s">
        <v>6060</v>
      </c>
      <c r="F4124" s="140" t="s">
        <v>6060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4895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33</v>
      </c>
      <c r="R4124" s="136" t="s">
        <v>6088</v>
      </c>
      <c r="S4124" s="140"/>
    </row>
    <row r="4125" spans="1:19" hidden="1">
      <c r="A4125" s="142" t="s">
        <v>6217</v>
      </c>
      <c r="B4125" s="149" t="str">
        <f>IFERROR(VLOOKUP(Proc[[#This Row],[App]],Table2[],3,0),"open")</f>
        <v>ok</v>
      </c>
      <c r="C4125" s="142" t="s">
        <v>369</v>
      </c>
      <c r="D4125" t="s">
        <v>6211</v>
      </c>
      <c r="E4125" t="s">
        <v>6205</v>
      </c>
      <c r="F4125" s="140" t="s">
        <v>6205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4895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33</v>
      </c>
      <c r="R4125" s="136" t="s">
        <v>6088</v>
      </c>
      <c r="S4125" s="140"/>
    </row>
    <row r="4126" spans="1:19" hidden="1">
      <c r="A4126" s="142" t="s">
        <v>6217</v>
      </c>
      <c r="B4126" s="149" t="str">
        <f>IFERROR(VLOOKUP(Proc[[#This Row],[App]],Table2[],3,0),"open")</f>
        <v>ok</v>
      </c>
      <c r="C4126" s="144" t="s">
        <v>369</v>
      </c>
      <c r="D4126" t="s">
        <v>6212</v>
      </c>
      <c r="E4126" t="s">
        <v>6060</v>
      </c>
      <c r="F4126" s="140" t="s">
        <v>6060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4895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33</v>
      </c>
      <c r="R4126" s="136" t="s">
        <v>6088</v>
      </c>
      <c r="S4126" s="140"/>
    </row>
    <row r="4127" spans="1:19" hidden="1">
      <c r="A4127" s="142" t="s">
        <v>6217</v>
      </c>
      <c r="B4127" s="149" t="str">
        <f>IFERROR(VLOOKUP(Proc[[#This Row],[App]],Table2[],3,0),"open")</f>
        <v>ok</v>
      </c>
      <c r="C4127" s="142" t="s">
        <v>369</v>
      </c>
      <c r="D4127" t="s">
        <v>6213</v>
      </c>
      <c r="E4127" t="s">
        <v>6205</v>
      </c>
      <c r="F4127" s="140" t="s">
        <v>6205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4895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33</v>
      </c>
      <c r="R4127" s="136" t="s">
        <v>6088</v>
      </c>
      <c r="S4127" s="140"/>
    </row>
    <row r="4128" spans="1:19" hidden="1">
      <c r="A4128" s="142" t="s">
        <v>6217</v>
      </c>
      <c r="B4128" s="149" t="str">
        <f>IFERROR(VLOOKUP(Proc[[#This Row],[App]],Table2[],3,0),"open")</f>
        <v>ok</v>
      </c>
      <c r="C4128" s="144" t="s">
        <v>369</v>
      </c>
      <c r="D4128" t="s">
        <v>6214</v>
      </c>
      <c r="E4128" t="s">
        <v>6060</v>
      </c>
      <c r="F4128" s="140" t="s">
        <v>6060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4895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33</v>
      </c>
      <c r="R4128" s="136" t="s">
        <v>6088</v>
      </c>
      <c r="S4128" s="140"/>
    </row>
    <row r="4129" spans="1:19" hidden="1">
      <c r="A4129" s="142" t="s">
        <v>6217</v>
      </c>
      <c r="B4129" s="149" t="str">
        <f>IFERROR(VLOOKUP(Proc[[#This Row],[App]],Table2[],3,0),"open")</f>
        <v>ok</v>
      </c>
      <c r="C4129" s="144" t="s">
        <v>369</v>
      </c>
      <c r="D4129" t="s">
        <v>6215</v>
      </c>
      <c r="E4129" t="s">
        <v>6060</v>
      </c>
      <c r="F4129" s="140" t="s">
        <v>6060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4895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33</v>
      </c>
      <c r="R4129" s="136" t="s">
        <v>6088</v>
      </c>
      <c r="S4129" s="140"/>
    </row>
    <row r="4130" spans="1:19" hidden="1">
      <c r="A4130" s="142" t="s">
        <v>6217</v>
      </c>
      <c r="B4130" s="149" t="str">
        <f>IFERROR(VLOOKUP(Proc[[#This Row],[App]],Table2[],3,0),"open")</f>
        <v>ok</v>
      </c>
      <c r="C4130" s="144" t="s">
        <v>369</v>
      </c>
      <c r="D4130" t="s">
        <v>6216</v>
      </c>
      <c r="E4130" t="s">
        <v>6060</v>
      </c>
      <c r="F4130" s="140" t="s">
        <v>6060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4895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33</v>
      </c>
      <c r="R4130" s="136" t="s">
        <v>6088</v>
      </c>
      <c r="S4130" s="140"/>
    </row>
    <row r="4131" spans="1:19" hidden="1">
      <c r="A4131" t="s">
        <v>6218</v>
      </c>
      <c r="B4131" s="149" t="str">
        <f>IFERROR(VLOOKUP(Proc[[#This Row],[App]],Table2[],3,0),"open")</f>
        <v>ok</v>
      </c>
      <c r="C4131" s="144" t="s">
        <v>369</v>
      </c>
      <c r="D4131" s="143" t="s">
        <v>6219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4895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33</v>
      </c>
      <c r="R4131" s="136" t="s">
        <v>515</v>
      </c>
      <c r="S4131" s="140"/>
    </row>
    <row r="4132" spans="1:19" hidden="1">
      <c r="A4132" t="s">
        <v>6237</v>
      </c>
      <c r="B4132" s="149" t="str">
        <f>IFERROR(VLOOKUP(Proc[[#This Row],[App]],Table2[],3,0),"open")</f>
        <v>ok</v>
      </c>
      <c r="C4132" s="144" t="s">
        <v>369</v>
      </c>
      <c r="D4132" t="s">
        <v>6220</v>
      </c>
      <c r="E4132" t="s">
        <v>4865</v>
      </c>
      <c r="F4132" s="140" t="s">
        <v>4865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4895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32</v>
      </c>
      <c r="R4132" s="137" t="s">
        <v>515</v>
      </c>
      <c r="S4132" s="140"/>
    </row>
    <row r="4133" spans="1:19" hidden="1">
      <c r="A4133" s="144" t="s">
        <v>6237</v>
      </c>
      <c r="B4133" s="149" t="str">
        <f>IFERROR(VLOOKUP(Proc[[#This Row],[App]],Table2[],3,0),"open")</f>
        <v>ok</v>
      </c>
      <c r="C4133" s="144" t="s">
        <v>369</v>
      </c>
      <c r="D4133" t="s">
        <v>6221</v>
      </c>
      <c r="E4133" t="s">
        <v>4865</v>
      </c>
      <c r="F4133" s="140" t="s">
        <v>4865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4895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32</v>
      </c>
      <c r="R4133" s="137" t="s">
        <v>515</v>
      </c>
      <c r="S4133" s="140"/>
    </row>
    <row r="4134" spans="1:19" hidden="1">
      <c r="A4134" s="144" t="s">
        <v>6237</v>
      </c>
      <c r="B4134" s="149" t="str">
        <f>IFERROR(VLOOKUP(Proc[[#This Row],[App]],Table2[],3,0),"open")</f>
        <v>ok</v>
      </c>
      <c r="C4134" s="144" t="s">
        <v>369</v>
      </c>
      <c r="D4134" t="s">
        <v>6222</v>
      </c>
      <c r="E4134" t="s">
        <v>4866</v>
      </c>
      <c r="F4134" s="140" t="s">
        <v>4866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4895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32</v>
      </c>
      <c r="R4134" s="137" t="s">
        <v>515</v>
      </c>
      <c r="S4134" s="140"/>
    </row>
    <row r="4135" spans="1:19" hidden="1">
      <c r="A4135" s="144" t="s">
        <v>6237</v>
      </c>
      <c r="B4135" s="149" t="str">
        <f>IFERROR(VLOOKUP(Proc[[#This Row],[App]],Table2[],3,0),"open")</f>
        <v>ok</v>
      </c>
      <c r="C4135" s="144" t="s">
        <v>369</v>
      </c>
      <c r="D4135" t="s">
        <v>6223</v>
      </c>
      <c r="E4135" t="s">
        <v>4866</v>
      </c>
      <c r="F4135" s="140" t="s">
        <v>4866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4895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32</v>
      </c>
      <c r="R4135" s="137" t="s">
        <v>515</v>
      </c>
      <c r="S4135" s="140"/>
    </row>
    <row r="4136" spans="1:19" hidden="1">
      <c r="A4136" s="144" t="s">
        <v>6237</v>
      </c>
      <c r="B4136" s="149" t="str">
        <f>IFERROR(VLOOKUP(Proc[[#This Row],[App]],Table2[],3,0),"open")</f>
        <v>ok</v>
      </c>
      <c r="C4136" s="144" t="s">
        <v>369</v>
      </c>
      <c r="D4136" t="s">
        <v>6224</v>
      </c>
      <c r="E4136" t="s">
        <v>4865</v>
      </c>
      <c r="F4136" s="140" t="s">
        <v>4865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4895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32</v>
      </c>
      <c r="R4136" s="137" t="s">
        <v>515</v>
      </c>
      <c r="S4136" s="140"/>
    </row>
    <row r="4137" spans="1:19" hidden="1">
      <c r="A4137" s="144" t="s">
        <v>6237</v>
      </c>
      <c r="B4137" s="149" t="str">
        <f>IFERROR(VLOOKUP(Proc[[#This Row],[App]],Table2[],3,0),"open")</f>
        <v>ok</v>
      </c>
      <c r="C4137" s="144" t="s">
        <v>369</v>
      </c>
      <c r="D4137" t="s">
        <v>6225</v>
      </c>
      <c r="E4137" t="s">
        <v>4865</v>
      </c>
      <c r="F4137" s="140" t="s">
        <v>4865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4895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32</v>
      </c>
      <c r="R4137" s="137" t="s">
        <v>515</v>
      </c>
      <c r="S4137" s="140"/>
    </row>
    <row r="4138" spans="1:19" hidden="1">
      <c r="A4138" s="144" t="s">
        <v>6237</v>
      </c>
      <c r="B4138" s="149" t="str">
        <f>IFERROR(VLOOKUP(Proc[[#This Row],[App]],Table2[],3,0),"open")</f>
        <v>ok</v>
      </c>
      <c r="C4138" s="144" t="s">
        <v>369</v>
      </c>
      <c r="D4138" t="s">
        <v>6226</v>
      </c>
      <c r="E4138" t="s">
        <v>4865</v>
      </c>
      <c r="F4138" s="140" t="s">
        <v>4865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4895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32</v>
      </c>
      <c r="R4138" s="137" t="s">
        <v>515</v>
      </c>
      <c r="S4138" s="140"/>
    </row>
    <row r="4139" spans="1:19" hidden="1">
      <c r="A4139" s="144" t="s">
        <v>6237</v>
      </c>
      <c r="B4139" s="149" t="str">
        <f>IFERROR(VLOOKUP(Proc[[#This Row],[App]],Table2[],3,0),"open")</f>
        <v>ok</v>
      </c>
      <c r="C4139" s="144" t="s">
        <v>369</v>
      </c>
      <c r="D4139" t="s">
        <v>6227</v>
      </c>
      <c r="E4139" t="s">
        <v>4865</v>
      </c>
      <c r="F4139" s="140" t="s">
        <v>4865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4895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32</v>
      </c>
      <c r="R4139" s="137" t="s">
        <v>515</v>
      </c>
      <c r="S4139" s="140"/>
    </row>
    <row r="4140" spans="1:19" hidden="1">
      <c r="A4140" s="144" t="s">
        <v>6237</v>
      </c>
      <c r="B4140" s="149" t="str">
        <f>IFERROR(VLOOKUP(Proc[[#This Row],[App]],Table2[],3,0),"open")</f>
        <v>ok</v>
      </c>
      <c r="C4140" s="144" t="s">
        <v>369</v>
      </c>
      <c r="D4140" t="s">
        <v>6228</v>
      </c>
      <c r="E4140" t="s">
        <v>4865</v>
      </c>
      <c r="F4140" s="140" t="s">
        <v>4865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4895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32</v>
      </c>
      <c r="R4140" s="137" t="s">
        <v>515</v>
      </c>
      <c r="S4140" s="140"/>
    </row>
    <row r="4141" spans="1:19" hidden="1">
      <c r="A4141" s="144" t="s">
        <v>6237</v>
      </c>
      <c r="B4141" s="149" t="str">
        <f>IFERROR(VLOOKUP(Proc[[#This Row],[App]],Table2[],3,0),"open")</f>
        <v>ok</v>
      </c>
      <c r="C4141" s="144" t="s">
        <v>369</v>
      </c>
      <c r="D4141" t="s">
        <v>6229</v>
      </c>
      <c r="E4141" t="s">
        <v>4866</v>
      </c>
      <c r="F4141" s="140" t="s">
        <v>4866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4895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32</v>
      </c>
      <c r="R4141" s="137" t="s">
        <v>515</v>
      </c>
      <c r="S4141" s="140"/>
    </row>
    <row r="4142" spans="1:19" hidden="1">
      <c r="A4142" s="144" t="s">
        <v>6237</v>
      </c>
      <c r="B4142" s="149" t="str">
        <f>IFERROR(VLOOKUP(Proc[[#This Row],[App]],Table2[],3,0),"open")</f>
        <v>ok</v>
      </c>
      <c r="C4142" s="144" t="s">
        <v>369</v>
      </c>
      <c r="D4142" t="s">
        <v>6230</v>
      </c>
      <c r="E4142" t="s">
        <v>4865</v>
      </c>
      <c r="F4142" s="140" t="s">
        <v>4865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4895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32</v>
      </c>
      <c r="R4142" s="137" t="s">
        <v>515</v>
      </c>
      <c r="S4142" s="140"/>
    </row>
    <row r="4143" spans="1:19" hidden="1">
      <c r="A4143" s="144" t="s">
        <v>6237</v>
      </c>
      <c r="B4143" s="149" t="str">
        <f>IFERROR(VLOOKUP(Proc[[#This Row],[App]],Table2[],3,0),"open")</f>
        <v>ok</v>
      </c>
      <c r="C4143" s="144" t="s">
        <v>369</v>
      </c>
      <c r="D4143" t="s">
        <v>6231</v>
      </c>
      <c r="E4143" t="s">
        <v>4865</v>
      </c>
      <c r="F4143" s="140" t="s">
        <v>4865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4895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32</v>
      </c>
      <c r="R4143" s="137" t="s">
        <v>515</v>
      </c>
      <c r="S4143" s="140"/>
    </row>
    <row r="4144" spans="1:19" hidden="1">
      <c r="A4144" s="144" t="s">
        <v>6237</v>
      </c>
      <c r="B4144" s="149" t="str">
        <f>IFERROR(VLOOKUP(Proc[[#This Row],[App]],Table2[],3,0),"open")</f>
        <v>ok</v>
      </c>
      <c r="C4144" s="144" t="s">
        <v>369</v>
      </c>
      <c r="D4144" t="s">
        <v>6232</v>
      </c>
      <c r="E4144" t="s">
        <v>4865</v>
      </c>
      <c r="F4144" s="140" t="s">
        <v>4865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4895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32</v>
      </c>
      <c r="R4144" s="137" t="s">
        <v>515</v>
      </c>
      <c r="S4144" s="140"/>
    </row>
    <row r="4145" spans="1:19" hidden="1">
      <c r="A4145" s="144" t="s">
        <v>6237</v>
      </c>
      <c r="B4145" s="149" t="str">
        <f>IFERROR(VLOOKUP(Proc[[#This Row],[App]],Table2[],3,0),"open")</f>
        <v>ok</v>
      </c>
      <c r="C4145" s="144" t="s">
        <v>369</v>
      </c>
      <c r="D4145" t="s">
        <v>6233</v>
      </c>
      <c r="E4145" t="s">
        <v>4865</v>
      </c>
      <c r="F4145" s="140" t="s">
        <v>4865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4895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32</v>
      </c>
      <c r="R4145" s="137" t="s">
        <v>515</v>
      </c>
      <c r="S4145" s="140"/>
    </row>
    <row r="4146" spans="1:19" hidden="1">
      <c r="A4146" s="144" t="s">
        <v>6237</v>
      </c>
      <c r="B4146" s="149" t="str">
        <f>IFERROR(VLOOKUP(Proc[[#This Row],[App]],Table2[],3,0),"open")</f>
        <v>ok</v>
      </c>
      <c r="C4146" s="144" t="s">
        <v>369</v>
      </c>
      <c r="D4146" t="s">
        <v>6234</v>
      </c>
      <c r="E4146" t="s">
        <v>4865</v>
      </c>
      <c r="F4146" s="140" t="s">
        <v>4865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4895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32</v>
      </c>
      <c r="R4146" s="137" t="s">
        <v>515</v>
      </c>
      <c r="S4146" s="140"/>
    </row>
    <row r="4147" spans="1:19" hidden="1">
      <c r="A4147" s="144" t="s">
        <v>6237</v>
      </c>
      <c r="B4147" s="149" t="str">
        <f>IFERROR(VLOOKUP(Proc[[#This Row],[App]],Table2[],3,0),"open")</f>
        <v>ok</v>
      </c>
      <c r="C4147" s="144" t="s">
        <v>369</v>
      </c>
      <c r="D4147" t="s">
        <v>6235</v>
      </c>
      <c r="E4147" t="s">
        <v>6238</v>
      </c>
      <c r="F4147" s="140" t="s">
        <v>6238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4895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32</v>
      </c>
      <c r="R4147" s="137" t="s">
        <v>515</v>
      </c>
      <c r="S4147" s="140"/>
    </row>
    <row r="4148" spans="1:19" hidden="1">
      <c r="A4148" s="144" t="s">
        <v>6237</v>
      </c>
      <c r="B4148" s="149" t="str">
        <f>IFERROR(VLOOKUP(Proc[[#This Row],[App]],Table2[],3,0),"open")</f>
        <v>ok</v>
      </c>
      <c r="C4148" s="144" t="s">
        <v>369</v>
      </c>
      <c r="D4148" t="s">
        <v>6236</v>
      </c>
      <c r="E4148" t="s">
        <v>6238</v>
      </c>
      <c r="F4148" s="140" t="s">
        <v>6238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4895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32</v>
      </c>
      <c r="R4148" s="137" t="s">
        <v>515</v>
      </c>
      <c r="S4148" s="140"/>
    </row>
    <row r="4149" spans="1:19" hidden="1">
      <c r="A4149" t="s">
        <v>6240</v>
      </c>
      <c r="B4149" s="149" t="str">
        <f>IFERROR(VLOOKUP(Proc[[#This Row],[App]],Table2[],3,0),"open")</f>
        <v>ok</v>
      </c>
      <c r="C4149" s="144" t="s">
        <v>369</v>
      </c>
      <c r="D4149" t="s">
        <v>6244</v>
      </c>
      <c r="E4149" s="144" t="s">
        <v>6239</v>
      </c>
      <c r="F4149" s="140" t="s">
        <v>6239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4895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32</v>
      </c>
      <c r="R4149" s="137" t="s">
        <v>452</v>
      </c>
      <c r="S4149" s="140"/>
    </row>
    <row r="4150" spans="1:19" hidden="1">
      <c r="A4150" t="s">
        <v>6241</v>
      </c>
      <c r="B4150" s="149" t="str">
        <f>IFERROR(VLOOKUP(Proc[[#This Row],[App]],Table2[],3,0),"open")</f>
        <v>ok</v>
      </c>
      <c r="C4150" s="149" t="s">
        <v>369</v>
      </c>
      <c r="D4150" t="s">
        <v>6245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4895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32</v>
      </c>
      <c r="R4150" s="145" t="s">
        <v>1459</v>
      </c>
      <c r="S4150" s="140"/>
    </row>
    <row r="4151" spans="1:19" hidden="1">
      <c r="A4151" t="s">
        <v>6242</v>
      </c>
      <c r="B4151" s="149" t="str">
        <f>IFERROR(VLOOKUP(Proc[[#This Row],[App]],Table2[],3,0),"open")</f>
        <v>ok</v>
      </c>
      <c r="C4151" s="144" t="s">
        <v>369</v>
      </c>
      <c r="D4151" t="s">
        <v>6206</v>
      </c>
      <c r="E4151" t="s">
        <v>6243</v>
      </c>
      <c r="F4151" s="140" t="s">
        <v>6243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4895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32</v>
      </c>
      <c r="R4151" s="145" t="s">
        <v>6088</v>
      </c>
      <c r="S4151" s="140"/>
    </row>
    <row r="4152" spans="1:19" hidden="1">
      <c r="A4152" s="144" t="s">
        <v>6242</v>
      </c>
      <c r="B4152" s="149" t="str">
        <f>IFERROR(VLOOKUP(Proc[[#This Row],[App]],Table2[],3,0),"open")</f>
        <v>ok</v>
      </c>
      <c r="C4152" s="144" t="s">
        <v>369</v>
      </c>
      <c r="D4152" t="s">
        <v>6211</v>
      </c>
      <c r="E4152" t="s">
        <v>6243</v>
      </c>
      <c r="F4152" s="140" t="s">
        <v>6243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4895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32</v>
      </c>
      <c r="R4152" s="145" t="s">
        <v>6088</v>
      </c>
      <c r="S4152" s="140"/>
    </row>
    <row r="4153" spans="1:19" hidden="1">
      <c r="A4153" s="144" t="s">
        <v>6242</v>
      </c>
      <c r="B4153" s="149" t="str">
        <f>IFERROR(VLOOKUP(Proc[[#This Row],[App]],Table2[],3,0),"open")</f>
        <v>ok</v>
      </c>
      <c r="C4153" s="144" t="s">
        <v>369</v>
      </c>
      <c r="D4153" t="s">
        <v>6213</v>
      </c>
      <c r="E4153" t="s">
        <v>6243</v>
      </c>
      <c r="F4153" s="140" t="s">
        <v>6243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4895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32</v>
      </c>
      <c r="R4153" s="145" t="s">
        <v>6088</v>
      </c>
      <c r="S4153" s="140"/>
    </row>
    <row r="4154" spans="1:19" hidden="1">
      <c r="A4154" s="144" t="s">
        <v>6242</v>
      </c>
      <c r="B4154" s="149" t="str">
        <f>IFERROR(VLOOKUP(Proc[[#This Row],[App]],Table2[],3,0),"open")</f>
        <v>ok</v>
      </c>
      <c r="C4154" s="144" t="s">
        <v>369</v>
      </c>
      <c r="D4154" t="s">
        <v>6211</v>
      </c>
      <c r="E4154" t="s">
        <v>6243</v>
      </c>
      <c r="F4154" s="140" t="s">
        <v>6243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4895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32</v>
      </c>
      <c r="R4154" s="145" t="s">
        <v>6088</v>
      </c>
      <c r="S4154" s="140"/>
    </row>
    <row r="4155" spans="1:19" hidden="1">
      <c r="A4155" t="s">
        <v>6247</v>
      </c>
      <c r="B4155" s="149" t="str">
        <f>IFERROR(VLOOKUP(Proc[[#This Row],[App]],Table2[],3,0),"open")</f>
        <v>ok</v>
      </c>
      <c r="C4155" s="144" t="s">
        <v>369</v>
      </c>
      <c r="D4155" t="s">
        <v>5535</v>
      </c>
      <c r="E4155" t="s">
        <v>6246</v>
      </c>
      <c r="F4155" s="140" t="s">
        <v>6246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4895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32</v>
      </c>
      <c r="R4155" s="146" t="s">
        <v>6248</v>
      </c>
      <c r="S4155" s="140"/>
    </row>
    <row r="4156" spans="1:19" hidden="1">
      <c r="A4156" t="s">
        <v>6247</v>
      </c>
      <c r="B4156" s="149" t="str">
        <f>IFERROR(VLOOKUP(Proc[[#This Row],[App]],Table2[],3,0),"open")</f>
        <v>ok</v>
      </c>
      <c r="C4156" s="144" t="s">
        <v>369</v>
      </c>
      <c r="D4156" t="s">
        <v>5536</v>
      </c>
      <c r="E4156" t="s">
        <v>6246</v>
      </c>
      <c r="F4156" s="140" t="s">
        <v>6246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4895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32</v>
      </c>
      <c r="R4156" s="146" t="s">
        <v>6248</v>
      </c>
      <c r="S4156" s="140"/>
    </row>
    <row r="4157" spans="1:19" hidden="1">
      <c r="A4157" s="144" t="s">
        <v>6247</v>
      </c>
      <c r="B4157" s="149" t="str">
        <f>IFERROR(VLOOKUP(Proc[[#This Row],[App]],Table2[],3,0),"open")</f>
        <v>ok</v>
      </c>
      <c r="C4157" s="144" t="s">
        <v>369</v>
      </c>
      <c r="D4157" t="s">
        <v>5537</v>
      </c>
      <c r="E4157" t="s">
        <v>6246</v>
      </c>
      <c r="F4157" s="140" t="s">
        <v>6246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4895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32</v>
      </c>
      <c r="R4157" s="146" t="s">
        <v>6248</v>
      </c>
      <c r="S4157" s="140"/>
    </row>
    <row r="4158" spans="1:19" hidden="1">
      <c r="A4158" s="144" t="s">
        <v>6247</v>
      </c>
      <c r="B4158" s="149" t="str">
        <f>IFERROR(VLOOKUP(Proc[[#This Row],[App]],Table2[],3,0),"open")</f>
        <v>ok</v>
      </c>
      <c r="C4158" s="144" t="s">
        <v>369</v>
      </c>
      <c r="D4158" t="s">
        <v>5538</v>
      </c>
      <c r="E4158" t="s">
        <v>6246</v>
      </c>
      <c r="F4158" s="140" t="s">
        <v>6246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4895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32</v>
      </c>
      <c r="R4158" s="146" t="s">
        <v>6248</v>
      </c>
      <c r="S4158" s="140"/>
    </row>
    <row r="4159" spans="1:19" hidden="1">
      <c r="A4159" s="144" t="s">
        <v>6247</v>
      </c>
      <c r="B4159" s="149" t="str">
        <f>IFERROR(VLOOKUP(Proc[[#This Row],[App]],Table2[],3,0),"open")</f>
        <v>ok</v>
      </c>
      <c r="C4159" s="144" t="s">
        <v>369</v>
      </c>
      <c r="D4159" t="s">
        <v>5539</v>
      </c>
      <c r="E4159" t="s">
        <v>6246</v>
      </c>
      <c r="F4159" s="140" t="s">
        <v>6246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4895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32</v>
      </c>
      <c r="R4159" s="146" t="s">
        <v>6248</v>
      </c>
      <c r="S4159" s="140"/>
    </row>
    <row r="4160" spans="1:19" hidden="1">
      <c r="A4160" t="s">
        <v>6251</v>
      </c>
      <c r="B4160" s="149" t="str">
        <f>IFERROR(VLOOKUP(Proc[[#This Row],[App]],Table2[],3,0),"open")</f>
        <v>ok</v>
      </c>
      <c r="C4160" s="144" t="s">
        <v>369</v>
      </c>
      <c r="D4160" s="147" t="s">
        <v>6252</v>
      </c>
      <c r="E4160" t="s">
        <v>6249</v>
      </c>
      <c r="F4160" s="140" t="s">
        <v>6249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4895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32</v>
      </c>
      <c r="R4160" s="146" t="s">
        <v>5710</v>
      </c>
      <c r="S4160" s="140"/>
    </row>
    <row r="4161" spans="1:19" hidden="1">
      <c r="A4161" s="144" t="s">
        <v>6251</v>
      </c>
      <c r="B4161" s="149" t="str">
        <f>IFERROR(VLOOKUP(Proc[[#This Row],[App]],Table2[],3,0),"open")</f>
        <v>ok</v>
      </c>
      <c r="C4161" s="144" t="s">
        <v>369</v>
      </c>
      <c r="D4161" s="147" t="s">
        <v>6253</v>
      </c>
      <c r="E4161" s="144" t="s">
        <v>6250</v>
      </c>
      <c r="F4161" s="140" t="s">
        <v>6250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4895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32</v>
      </c>
      <c r="R4161" s="146" t="s">
        <v>5710</v>
      </c>
      <c r="S4161" s="140"/>
    </row>
    <row r="4162" spans="1:19" hidden="1">
      <c r="A4162" s="144" t="s">
        <v>6251</v>
      </c>
      <c r="B4162" s="149" t="str">
        <f>IFERROR(VLOOKUP(Proc[[#This Row],[App]],Table2[],3,0),"open")</f>
        <v>ok</v>
      </c>
      <c r="C4162" s="144" t="s">
        <v>369</v>
      </c>
      <c r="D4162" s="147" t="s">
        <v>6254</v>
      </c>
      <c r="E4162" s="144" t="s">
        <v>6250</v>
      </c>
      <c r="F4162" s="140" t="s">
        <v>6250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4895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32</v>
      </c>
      <c r="R4162" s="146" t="s">
        <v>5710</v>
      </c>
      <c r="S4162" s="140"/>
    </row>
    <row r="4163" spans="1:19" hidden="1">
      <c r="A4163" t="s">
        <v>6271</v>
      </c>
      <c r="B4163" s="149" t="str">
        <f>IFERROR(VLOOKUP(Proc[[#This Row],[App]],Table2[],3,0),"open")</f>
        <v>ok</v>
      </c>
      <c r="C4163" s="144" t="s">
        <v>369</v>
      </c>
      <c r="D4163" t="s">
        <v>6255</v>
      </c>
      <c r="E4163" t="s">
        <v>6264</v>
      </c>
      <c r="F4163" s="150" t="s">
        <v>6264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4895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29</v>
      </c>
      <c r="R4163" s="146" t="s">
        <v>780</v>
      </c>
      <c r="S4163" s="140"/>
    </row>
    <row r="4164" spans="1:19" hidden="1">
      <c r="A4164" s="144" t="s">
        <v>6271</v>
      </c>
      <c r="B4164" s="149" t="str">
        <f>IFERROR(VLOOKUP(Proc[[#This Row],[App]],Table2[],3,0),"open")</f>
        <v>ok</v>
      </c>
      <c r="C4164" s="149" t="s">
        <v>369</v>
      </c>
      <c r="D4164" t="s">
        <v>6256</v>
      </c>
      <c r="E4164" t="s">
        <v>6265</v>
      </c>
      <c r="F4164" s="150" t="s">
        <v>6265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4895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29</v>
      </c>
      <c r="R4164" s="146" t="s">
        <v>780</v>
      </c>
      <c r="S4164" s="140"/>
    </row>
    <row r="4165" spans="1:19" hidden="1">
      <c r="A4165" s="144" t="s">
        <v>6271</v>
      </c>
      <c r="B4165" s="149" t="str">
        <f>IFERROR(VLOOKUP(Proc[[#This Row],[App]],Table2[],3,0),"open")</f>
        <v>ok</v>
      </c>
      <c r="C4165" s="149" t="s">
        <v>369</v>
      </c>
      <c r="D4165" t="s">
        <v>6257</v>
      </c>
      <c r="E4165" t="s">
        <v>6266</v>
      </c>
      <c r="F4165" s="150" t="s">
        <v>6266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4895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29</v>
      </c>
      <c r="R4165" s="146" t="s">
        <v>780</v>
      </c>
      <c r="S4165" s="140"/>
    </row>
    <row r="4166" spans="1:19" hidden="1">
      <c r="A4166" s="144" t="s">
        <v>6271</v>
      </c>
      <c r="B4166" s="149" t="str">
        <f>IFERROR(VLOOKUP(Proc[[#This Row],[App]],Table2[],3,0),"open")</f>
        <v>ok</v>
      </c>
      <c r="C4166" s="149" t="s">
        <v>369</v>
      </c>
      <c r="D4166" t="s">
        <v>6258</v>
      </c>
      <c r="E4166" t="s">
        <v>6267</v>
      </c>
      <c r="F4166" s="150" t="s">
        <v>6267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4895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29</v>
      </c>
      <c r="R4166" s="146" t="s">
        <v>780</v>
      </c>
      <c r="S4166" s="140"/>
    </row>
    <row r="4167" spans="1:19" hidden="1">
      <c r="A4167" s="144" t="s">
        <v>6271</v>
      </c>
      <c r="B4167" s="149" t="str">
        <f>IFERROR(VLOOKUP(Proc[[#This Row],[App]],Table2[],3,0),"open")</f>
        <v>ok</v>
      </c>
      <c r="C4167" s="149" t="s">
        <v>369</v>
      </c>
      <c r="D4167" t="s">
        <v>6259</v>
      </c>
      <c r="E4167" t="s">
        <v>6267</v>
      </c>
      <c r="F4167" s="150" t="s">
        <v>6267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4895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29</v>
      </c>
      <c r="R4167" s="146" t="s">
        <v>780</v>
      </c>
      <c r="S4167" s="140"/>
    </row>
    <row r="4168" spans="1:19" hidden="1">
      <c r="A4168" s="144" t="s">
        <v>6271</v>
      </c>
      <c r="B4168" s="149" t="str">
        <f>IFERROR(VLOOKUP(Proc[[#This Row],[App]],Table2[],3,0),"open")</f>
        <v>ok</v>
      </c>
      <c r="C4168" s="149" t="s">
        <v>369</v>
      </c>
      <c r="D4168" t="s">
        <v>6260</v>
      </c>
      <c r="E4168" t="s">
        <v>6268</v>
      </c>
      <c r="F4168" s="150" t="s">
        <v>6268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4895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29</v>
      </c>
      <c r="R4168" s="146" t="s">
        <v>780</v>
      </c>
      <c r="S4168" s="140"/>
    </row>
    <row r="4169" spans="1:19" hidden="1">
      <c r="A4169" s="144" t="s">
        <v>6271</v>
      </c>
      <c r="B4169" s="149" t="str">
        <f>IFERROR(VLOOKUP(Proc[[#This Row],[App]],Table2[],3,0),"open")</f>
        <v>ok</v>
      </c>
      <c r="C4169" s="149" t="s">
        <v>369</v>
      </c>
      <c r="D4169" t="s">
        <v>6261</v>
      </c>
      <c r="E4169" t="s">
        <v>6268</v>
      </c>
      <c r="F4169" s="150" t="s">
        <v>6268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4895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29</v>
      </c>
      <c r="R4169" s="146" t="s">
        <v>780</v>
      </c>
      <c r="S4169" s="140"/>
    </row>
    <row r="4170" spans="1:19" hidden="1">
      <c r="A4170" s="144" t="s">
        <v>6271</v>
      </c>
      <c r="B4170" s="149" t="str">
        <f>IFERROR(VLOOKUP(Proc[[#This Row],[App]],Table2[],3,0),"open")</f>
        <v>ok</v>
      </c>
      <c r="C4170" s="149" t="s">
        <v>369</v>
      </c>
      <c r="D4170" t="s">
        <v>6262</v>
      </c>
      <c r="E4170" t="s">
        <v>6269</v>
      </c>
      <c r="F4170" s="150" t="s">
        <v>6269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4895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29</v>
      </c>
      <c r="R4170" s="146" t="s">
        <v>780</v>
      </c>
      <c r="S4170" s="140"/>
    </row>
    <row r="4171" spans="1:19" hidden="1">
      <c r="A4171" s="144" t="s">
        <v>6271</v>
      </c>
      <c r="B4171" s="149" t="str">
        <f>IFERROR(VLOOKUP(Proc[[#This Row],[App]],Table2[],3,0),"open")</f>
        <v>ok</v>
      </c>
      <c r="C4171" s="149" t="s">
        <v>369</v>
      </c>
      <c r="D4171" t="s">
        <v>6263</v>
      </c>
      <c r="E4171" t="s">
        <v>6270</v>
      </c>
      <c r="F4171" s="150" t="s">
        <v>6270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4895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29</v>
      </c>
      <c r="R4171" s="146" t="s">
        <v>780</v>
      </c>
      <c r="S4171" s="140"/>
    </row>
    <row r="4172" spans="1:19" hidden="1">
      <c r="A4172" t="s">
        <v>6275</v>
      </c>
      <c r="B4172" s="149" t="str">
        <f>IFERROR(VLOOKUP(Proc[[#This Row],[App]],Table2[],3,0),"open")</f>
        <v>ok</v>
      </c>
      <c r="C4172" s="149" t="s">
        <v>369</v>
      </c>
      <c r="D4172" t="s">
        <v>6272</v>
      </c>
      <c r="E4172" s="149" t="s">
        <v>6273</v>
      </c>
      <c r="F4172" s="150" t="s">
        <v>6273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4895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28</v>
      </c>
      <c r="R4172" s="146" t="s">
        <v>6274</v>
      </c>
      <c r="S4172" s="140"/>
    </row>
    <row r="4173" spans="1:19" hidden="1">
      <c r="A4173" t="s">
        <v>6288</v>
      </c>
      <c r="B4173" s="150" t="str">
        <f>IFERROR(VLOOKUP(Proc[[#This Row],[App]],Table2[],3,0),"open")</f>
        <v>ok</v>
      </c>
      <c r="C4173" t="s">
        <v>369</v>
      </c>
      <c r="D4173" t="s">
        <v>6278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6286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4895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27</v>
      </c>
      <c r="R4173" s="146" t="s">
        <v>489</v>
      </c>
      <c r="S4173" s="150"/>
    </row>
    <row r="4174" spans="1:19" hidden="1">
      <c r="A4174" s="149" t="s">
        <v>6288</v>
      </c>
      <c r="B4174" s="150" t="str">
        <f>IFERROR(VLOOKUP(Proc[[#This Row],[App]],Table2[],3,0),"open")</f>
        <v>ok</v>
      </c>
      <c r="C4174" s="149" t="s">
        <v>369</v>
      </c>
      <c r="D4174" t="s">
        <v>6279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6287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4895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27</v>
      </c>
      <c r="R4174" s="146" t="s">
        <v>489</v>
      </c>
      <c r="S4174" s="150"/>
    </row>
    <row r="4175" spans="1:19" hidden="1">
      <c r="A4175" s="149" t="s">
        <v>6288</v>
      </c>
      <c r="B4175" s="150" t="str">
        <f>IFERROR(VLOOKUP(Proc[[#This Row],[App]],Table2[],3,0),"open")</f>
        <v>ok</v>
      </c>
      <c r="C4175" s="149" t="s">
        <v>369</v>
      </c>
      <c r="D4175" t="s">
        <v>6280</v>
      </c>
      <c r="E4175" t="s">
        <v>6284</v>
      </c>
      <c r="F4175" s="150" t="s">
        <v>6284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4895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27</v>
      </c>
      <c r="R4175" s="146" t="s">
        <v>489</v>
      </c>
      <c r="S4175" s="150"/>
    </row>
    <row r="4176" spans="1:19" hidden="1">
      <c r="A4176" s="149" t="s">
        <v>6288</v>
      </c>
      <c r="B4176" s="150" t="str">
        <f>IFERROR(VLOOKUP(Proc[[#This Row],[App]],Table2[],3,0),"open")</f>
        <v>ok</v>
      </c>
      <c r="C4176" s="149" t="s">
        <v>369</v>
      </c>
      <c r="D4176" t="s">
        <v>6281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4895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27</v>
      </c>
      <c r="R4176" s="146" t="s">
        <v>489</v>
      </c>
      <c r="S4176" s="150"/>
    </row>
    <row r="4177" spans="1:19" hidden="1">
      <c r="A4177" s="149" t="s">
        <v>6288</v>
      </c>
      <c r="B4177" s="150" t="str">
        <f>IFERROR(VLOOKUP(Proc[[#This Row],[App]],Table2[],3,0),"open")</f>
        <v>ok</v>
      </c>
      <c r="C4177" s="149" t="s">
        <v>369</v>
      </c>
      <c r="D4177" t="s">
        <v>6282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6289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4895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27</v>
      </c>
      <c r="R4177" s="146" t="s">
        <v>489</v>
      </c>
      <c r="S4177" s="150"/>
    </row>
    <row r="4178" spans="1:19" hidden="1">
      <c r="A4178" s="149" t="s">
        <v>6288</v>
      </c>
      <c r="B4178" s="150" t="str">
        <f>IFERROR(VLOOKUP(Proc[[#This Row],[App]],Table2[],3,0),"open")</f>
        <v>ok</v>
      </c>
      <c r="C4178" s="149" t="s">
        <v>369</v>
      </c>
      <c r="D4178" t="s">
        <v>6283</v>
      </c>
      <c r="E4178" t="s">
        <v>6285</v>
      </c>
      <c r="F4178" s="150" t="s">
        <v>6285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4895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27</v>
      </c>
      <c r="R4178" s="146" t="s">
        <v>489</v>
      </c>
      <c r="S4178" s="150"/>
    </row>
    <row r="4179" spans="1:19" hidden="1">
      <c r="A4179" t="s">
        <v>6304</v>
      </c>
      <c r="B4179" s="150" t="str">
        <f>IFERROR(VLOOKUP(Proc[[#This Row],[App]],Table2[],3,0),"open")</f>
        <v>ok</v>
      </c>
      <c r="C4179" t="s">
        <v>369</v>
      </c>
      <c r="D4179" t="s">
        <v>6290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6307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4895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26</v>
      </c>
      <c r="R4179" s="146" t="s">
        <v>410</v>
      </c>
      <c r="S4179" s="150"/>
    </row>
    <row r="4180" spans="1:19" hidden="1">
      <c r="A4180" s="149" t="s">
        <v>6304</v>
      </c>
      <c r="B4180" s="150" t="str">
        <f>IFERROR(VLOOKUP(Proc[[#This Row],[App]],Table2[],3,0),"open")</f>
        <v>ok</v>
      </c>
      <c r="C4180" s="149" t="s">
        <v>369</v>
      </c>
      <c r="D4180" t="s">
        <v>6291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6307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4895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26</v>
      </c>
      <c r="R4180" s="146" t="s">
        <v>410</v>
      </c>
      <c r="S4180" s="150"/>
    </row>
    <row r="4181" spans="1:19" hidden="1">
      <c r="A4181" s="149" t="s">
        <v>6304</v>
      </c>
      <c r="B4181" s="150" t="str">
        <f>IFERROR(VLOOKUP(Proc[[#This Row],[App]],Table2[],3,0),"open")</f>
        <v>ok</v>
      </c>
      <c r="C4181" s="149" t="s">
        <v>369</v>
      </c>
      <c r="D4181" t="s">
        <v>6292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6307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4895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26</v>
      </c>
      <c r="R4181" s="146" t="s">
        <v>410</v>
      </c>
      <c r="S4181" s="150"/>
    </row>
    <row r="4182" spans="1:19" hidden="1">
      <c r="A4182" s="149" t="s">
        <v>6304</v>
      </c>
      <c r="B4182" s="150" t="str">
        <f>IFERROR(VLOOKUP(Proc[[#This Row],[App]],Table2[],3,0),"open")</f>
        <v>ok</v>
      </c>
      <c r="C4182" s="149" t="s">
        <v>369</v>
      </c>
      <c r="D4182" t="s">
        <v>6293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6307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4895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26</v>
      </c>
      <c r="R4182" s="146" t="s">
        <v>410</v>
      </c>
      <c r="S4182" s="150"/>
    </row>
    <row r="4183" spans="1:19" hidden="1">
      <c r="A4183" s="149" t="s">
        <v>6304</v>
      </c>
      <c r="B4183" s="150" t="str">
        <f>IFERROR(VLOOKUP(Proc[[#This Row],[App]],Table2[],3,0),"open")</f>
        <v>ok</v>
      </c>
      <c r="C4183" s="149" t="s">
        <v>369</v>
      </c>
      <c r="D4183" t="s">
        <v>6294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6307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4895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26</v>
      </c>
      <c r="R4183" s="146" t="s">
        <v>410</v>
      </c>
      <c r="S4183" s="150"/>
    </row>
    <row r="4184" spans="1:19" hidden="1">
      <c r="A4184" s="149" t="s">
        <v>6304</v>
      </c>
      <c r="B4184" s="150" t="str">
        <f>IFERROR(VLOOKUP(Proc[[#This Row],[App]],Table2[],3,0),"open")</f>
        <v>ok</v>
      </c>
      <c r="C4184" s="149" t="s">
        <v>369</v>
      </c>
      <c r="D4184" t="s">
        <v>6295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6307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4895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26</v>
      </c>
      <c r="R4184" s="146" t="s">
        <v>410</v>
      </c>
      <c r="S4184" s="150"/>
    </row>
    <row r="4185" spans="1:19" hidden="1">
      <c r="A4185" s="149" t="s">
        <v>6304</v>
      </c>
      <c r="B4185" s="150" t="str">
        <f>IFERROR(VLOOKUP(Proc[[#This Row],[App]],Table2[],3,0),"open")</f>
        <v>ok</v>
      </c>
      <c r="C4185" s="149" t="s">
        <v>369</v>
      </c>
      <c r="D4185" t="s">
        <v>6296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6307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4895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26</v>
      </c>
      <c r="R4185" s="146" t="s">
        <v>410</v>
      </c>
      <c r="S4185" s="150"/>
    </row>
    <row r="4186" spans="1:19" hidden="1">
      <c r="A4186" s="149" t="s">
        <v>6304</v>
      </c>
      <c r="B4186" s="150" t="str">
        <f>IFERROR(VLOOKUP(Proc[[#This Row],[App]],Table2[],3,0),"open")</f>
        <v>ok</v>
      </c>
      <c r="C4186" s="149" t="s">
        <v>369</v>
      </c>
      <c r="D4186" t="s">
        <v>6297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6307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4895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26</v>
      </c>
      <c r="R4186" s="146" t="s">
        <v>410</v>
      </c>
      <c r="S4186" s="150"/>
    </row>
    <row r="4187" spans="1:19" hidden="1">
      <c r="A4187" s="149" t="s">
        <v>6304</v>
      </c>
      <c r="B4187" s="150" t="str">
        <f>IFERROR(VLOOKUP(Proc[[#This Row],[App]],Table2[],3,0),"open")</f>
        <v>ok</v>
      </c>
      <c r="C4187" s="149" t="s">
        <v>369</v>
      </c>
      <c r="D4187" t="s">
        <v>6298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6307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4895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26</v>
      </c>
      <c r="R4187" s="146" t="s">
        <v>410</v>
      </c>
      <c r="S4187" s="150"/>
    </row>
    <row r="4188" spans="1:19" hidden="1">
      <c r="A4188" s="149" t="s">
        <v>6304</v>
      </c>
      <c r="B4188" s="150" t="str">
        <f>IFERROR(VLOOKUP(Proc[[#This Row],[App]],Table2[],3,0),"open")</f>
        <v>ok</v>
      </c>
      <c r="C4188" s="149" t="s">
        <v>369</v>
      </c>
      <c r="D4188" t="s">
        <v>6299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6307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4895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26</v>
      </c>
      <c r="R4188" s="146" t="s">
        <v>410</v>
      </c>
      <c r="S4188" s="150"/>
    </row>
    <row r="4189" spans="1:19" hidden="1">
      <c r="A4189" s="149" t="s">
        <v>6304</v>
      </c>
      <c r="B4189" s="150" t="str">
        <f>IFERROR(VLOOKUP(Proc[[#This Row],[App]],Table2[],3,0),"open")</f>
        <v>ok</v>
      </c>
      <c r="C4189" s="149" t="s">
        <v>369</v>
      </c>
      <c r="D4189" t="s">
        <v>6309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6308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4895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26</v>
      </c>
      <c r="R4189" s="146" t="s">
        <v>410</v>
      </c>
      <c r="S4189" s="150"/>
    </row>
    <row r="4190" spans="1:19" hidden="1">
      <c r="A4190" s="149" t="s">
        <v>6304</v>
      </c>
      <c r="B4190" s="150" t="str">
        <f>IFERROR(VLOOKUP(Proc[[#This Row],[App]],Table2[],3,0),"open")</f>
        <v>ok</v>
      </c>
      <c r="C4190" s="149" t="s">
        <v>369</v>
      </c>
      <c r="D4190" t="s">
        <v>6310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6308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4895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26</v>
      </c>
      <c r="R4190" s="146" t="s">
        <v>410</v>
      </c>
      <c r="S4190" s="150"/>
    </row>
    <row r="4191" spans="1:19" hidden="1">
      <c r="A4191" s="149" t="s">
        <v>6304</v>
      </c>
      <c r="B4191" s="150" t="str">
        <f>IFERROR(VLOOKUP(Proc[[#This Row],[App]],Table2[],3,0),"open")</f>
        <v>ok</v>
      </c>
      <c r="C4191" s="149" t="s">
        <v>369</v>
      </c>
      <c r="D4191" t="s">
        <v>6300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6307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4895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26</v>
      </c>
      <c r="R4191" s="146" t="s">
        <v>410</v>
      </c>
      <c r="S4191" s="150"/>
    </row>
    <row r="4192" spans="1:19" hidden="1">
      <c r="A4192" s="149" t="s">
        <v>6304</v>
      </c>
      <c r="B4192" s="150" t="str">
        <f>IFERROR(VLOOKUP(Proc[[#This Row],[App]],Table2[],3,0),"open")</f>
        <v>ok</v>
      </c>
      <c r="C4192" s="149" t="s">
        <v>369</v>
      </c>
      <c r="D4192" t="s">
        <v>6311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6308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4895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26</v>
      </c>
      <c r="R4192" s="146" t="s">
        <v>410</v>
      </c>
      <c r="S4192" s="150"/>
    </row>
    <row r="4193" spans="1:19" hidden="1">
      <c r="A4193" s="149" t="s">
        <v>6304</v>
      </c>
      <c r="B4193" s="150" t="str">
        <f>IFERROR(VLOOKUP(Proc[[#This Row],[App]],Table2[],3,0),"open")</f>
        <v>ok</v>
      </c>
      <c r="C4193" s="149" t="s">
        <v>369</v>
      </c>
      <c r="D4193" t="s">
        <v>6301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6307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4895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26</v>
      </c>
      <c r="R4193" s="146" t="s">
        <v>410</v>
      </c>
      <c r="S4193" s="150"/>
    </row>
    <row r="4194" spans="1:19" hidden="1">
      <c r="A4194" s="149" t="s">
        <v>6304</v>
      </c>
      <c r="B4194" s="150" t="str">
        <f>IFERROR(VLOOKUP(Proc[[#This Row],[App]],Table2[],3,0),"open")</f>
        <v>ok</v>
      </c>
      <c r="C4194" s="149" t="s">
        <v>369</v>
      </c>
      <c r="D4194" t="s">
        <v>6302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6307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4895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26</v>
      </c>
      <c r="R4194" s="146" t="s">
        <v>410</v>
      </c>
      <c r="S4194" s="150"/>
    </row>
    <row r="4195" spans="1:19" hidden="1">
      <c r="A4195" s="149" t="s">
        <v>6304</v>
      </c>
      <c r="B4195" s="150" t="str">
        <f>IFERROR(VLOOKUP(Proc[[#This Row],[App]],Table2[],3,0),"open")</f>
        <v>ok</v>
      </c>
      <c r="C4195" s="149" t="s">
        <v>369</v>
      </c>
      <c r="D4195" t="s">
        <v>6303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6307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4895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26</v>
      </c>
      <c r="R4195" s="146" t="s">
        <v>410</v>
      </c>
      <c r="S4195" s="150"/>
    </row>
    <row r="4196" spans="1:19" hidden="1">
      <c r="A4196" t="s">
        <v>6305</v>
      </c>
      <c r="B4196" s="150" t="str">
        <f>IFERROR(VLOOKUP(Proc[[#This Row],[App]],Table2[],3,0),"open")</f>
        <v>ok</v>
      </c>
      <c r="C4196" s="149" t="s">
        <v>369</v>
      </c>
      <c r="D4196" t="s">
        <v>5954</v>
      </c>
      <c r="E4196" t="s">
        <v>6104</v>
      </c>
      <c r="F4196" s="150" t="s">
        <v>6104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6308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4895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26</v>
      </c>
      <c r="R4196" s="146" t="s">
        <v>6306</v>
      </c>
      <c r="S4196" s="150"/>
    </row>
    <row r="4197" spans="1:19" hidden="1">
      <c r="A4197" s="149" t="s">
        <v>6305</v>
      </c>
      <c r="B4197" s="150" t="str">
        <f>IFERROR(VLOOKUP(Proc[[#This Row],[App]],Table2[],3,0),"open")</f>
        <v>ok</v>
      </c>
      <c r="C4197" s="149" t="s">
        <v>369</v>
      </c>
      <c r="D4197" t="s">
        <v>5961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6308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4895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26</v>
      </c>
      <c r="R4197" s="146" t="s">
        <v>6306</v>
      </c>
      <c r="S4197" s="150"/>
    </row>
    <row r="4198" spans="1:19" hidden="1">
      <c r="A4198" s="149" t="s">
        <v>6305</v>
      </c>
      <c r="B4198" s="150" t="str">
        <f>IFERROR(VLOOKUP(Proc[[#This Row],[App]],Table2[],3,0),"open")</f>
        <v>ok</v>
      </c>
      <c r="C4198" s="149" t="s">
        <v>369</v>
      </c>
      <c r="D4198" t="s">
        <v>5966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6308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4895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26</v>
      </c>
      <c r="R4198" s="146" t="s">
        <v>6306</v>
      </c>
      <c r="S4198" s="150"/>
    </row>
    <row r="4199" spans="1:19" hidden="1">
      <c r="A4199" t="s">
        <v>6312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6324</v>
      </c>
      <c r="F4199" s="150" t="s">
        <v>6324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4895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25</v>
      </c>
      <c r="R4199" s="146" t="s">
        <v>780</v>
      </c>
      <c r="S4199" s="150"/>
    </row>
    <row r="4200" spans="1:19" hidden="1">
      <c r="A4200" s="149" t="s">
        <v>6312</v>
      </c>
      <c r="B4200" s="150" t="str">
        <f>IFERROR(VLOOKUP(Proc[[#This Row],[App]],Table2[],3,0),"open")</f>
        <v>ok</v>
      </c>
      <c r="C4200" s="149" t="s">
        <v>369</v>
      </c>
      <c r="D4200" t="s">
        <v>6313</v>
      </c>
      <c r="E4200" t="s">
        <v>6324</v>
      </c>
      <c r="F4200" s="150" t="s">
        <v>6324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4895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25</v>
      </c>
      <c r="R4200" s="146" t="s">
        <v>780</v>
      </c>
      <c r="S4200" s="150"/>
    </row>
    <row r="4201" spans="1:19" hidden="1">
      <c r="A4201" s="149" t="s">
        <v>6312</v>
      </c>
      <c r="B4201" s="150" t="str">
        <f>IFERROR(VLOOKUP(Proc[[#This Row],[App]],Table2[],3,0),"open")</f>
        <v>ok</v>
      </c>
      <c r="C4201" s="149" t="s">
        <v>369</v>
      </c>
      <c r="D4201" t="s">
        <v>6314</v>
      </c>
      <c r="E4201" t="s">
        <v>6324</v>
      </c>
      <c r="F4201" s="150" t="s">
        <v>6324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4895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25</v>
      </c>
      <c r="R4201" s="146" t="s">
        <v>780</v>
      </c>
      <c r="S4201" s="150"/>
    </row>
    <row r="4202" spans="1:19" hidden="1">
      <c r="A4202" s="149" t="s">
        <v>6312</v>
      </c>
      <c r="B4202" s="150" t="str">
        <f>IFERROR(VLOOKUP(Proc[[#This Row],[App]],Table2[],3,0),"open")</f>
        <v>ok</v>
      </c>
      <c r="C4202" s="149" t="s">
        <v>369</v>
      </c>
      <c r="D4202" t="s">
        <v>6315</v>
      </c>
      <c r="E4202" t="s">
        <v>6324</v>
      </c>
      <c r="F4202" s="150" t="s">
        <v>6324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4895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25</v>
      </c>
      <c r="R4202" s="146" t="s">
        <v>780</v>
      </c>
      <c r="S4202" s="150"/>
    </row>
    <row r="4203" spans="1:19" hidden="1">
      <c r="A4203" s="149" t="s">
        <v>6312</v>
      </c>
      <c r="B4203" s="150" t="str">
        <f>IFERROR(VLOOKUP(Proc[[#This Row],[App]],Table2[],3,0),"open")</f>
        <v>ok</v>
      </c>
      <c r="C4203" s="149" t="s">
        <v>369</v>
      </c>
      <c r="D4203" t="s">
        <v>6316</v>
      </c>
      <c r="E4203" t="s">
        <v>6249</v>
      </c>
      <c r="F4203" s="150" t="s">
        <v>6249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6352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4895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25</v>
      </c>
      <c r="R4203" s="146" t="s">
        <v>780</v>
      </c>
      <c r="S4203" s="150"/>
    </row>
    <row r="4204" spans="1:19" hidden="1">
      <c r="A4204" s="149" t="s">
        <v>6312</v>
      </c>
      <c r="B4204" s="150" t="str">
        <f>IFERROR(VLOOKUP(Proc[[#This Row],[App]],Table2[],3,0),"open")</f>
        <v>ok</v>
      </c>
      <c r="C4204" s="149" t="s">
        <v>369</v>
      </c>
      <c r="D4204" t="s">
        <v>6317</v>
      </c>
      <c r="E4204" t="s">
        <v>6325</v>
      </c>
      <c r="F4204" s="150" t="s">
        <v>6325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4895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25</v>
      </c>
      <c r="R4204" s="146" t="s">
        <v>780</v>
      </c>
      <c r="S4204" s="150"/>
    </row>
    <row r="4205" spans="1:19" hidden="1">
      <c r="A4205" s="149" t="s">
        <v>6312</v>
      </c>
      <c r="B4205" s="150" t="str">
        <f>IFERROR(VLOOKUP(Proc[[#This Row],[App]],Table2[],3,0),"open")</f>
        <v>ok</v>
      </c>
      <c r="C4205" s="149" t="s">
        <v>369</v>
      </c>
      <c r="D4205" t="s">
        <v>6318</v>
      </c>
      <c r="E4205" t="s">
        <v>6326</v>
      </c>
      <c r="F4205" s="150" t="s">
        <v>6326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4895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25</v>
      </c>
      <c r="R4205" s="146" t="s">
        <v>780</v>
      </c>
      <c r="S4205" s="150"/>
    </row>
    <row r="4206" spans="1:19" hidden="1">
      <c r="A4206" s="149" t="s">
        <v>6312</v>
      </c>
      <c r="B4206" s="150" t="str">
        <f>IFERROR(VLOOKUP(Proc[[#This Row],[App]],Table2[],3,0),"open")</f>
        <v>ok</v>
      </c>
      <c r="C4206" s="149" t="s">
        <v>369</v>
      </c>
      <c r="D4206" s="149" t="s">
        <v>6331</v>
      </c>
      <c r="E4206" t="s">
        <v>6327</v>
      </c>
      <c r="F4206" s="150" t="s">
        <v>6327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6319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4895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25</v>
      </c>
      <c r="R4206" s="146" t="s">
        <v>780</v>
      </c>
      <c r="S4206" s="150"/>
    </row>
    <row r="4207" spans="1:19" hidden="1">
      <c r="A4207" s="149" t="s">
        <v>6312</v>
      </c>
      <c r="B4207" s="150" t="str">
        <f>IFERROR(VLOOKUP(Proc[[#This Row],[App]],Table2[],3,0),"open")</f>
        <v>ok</v>
      </c>
      <c r="C4207" s="149" t="s">
        <v>369</v>
      </c>
      <c r="D4207" s="149" t="s">
        <v>6332</v>
      </c>
      <c r="E4207" t="s">
        <v>6328</v>
      </c>
      <c r="F4207" s="150" t="s">
        <v>6328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6320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4895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25</v>
      </c>
      <c r="R4207" s="146" t="s">
        <v>780</v>
      </c>
      <c r="S4207" s="150"/>
    </row>
    <row r="4208" spans="1:19" hidden="1">
      <c r="A4208" s="149" t="s">
        <v>6312</v>
      </c>
      <c r="B4208" s="150" t="str">
        <f>IFERROR(VLOOKUP(Proc[[#This Row],[App]],Table2[],3,0),"open")</f>
        <v>ok</v>
      </c>
      <c r="C4208" s="149" t="s">
        <v>369</v>
      </c>
      <c r="D4208" s="149" t="s">
        <v>6333</v>
      </c>
      <c r="E4208" t="s">
        <v>6329</v>
      </c>
      <c r="F4208" s="150" t="s">
        <v>6329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6321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4895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25</v>
      </c>
      <c r="R4208" s="146" t="s">
        <v>780</v>
      </c>
      <c r="S4208" s="150"/>
    </row>
    <row r="4209" spans="1:19" hidden="1">
      <c r="A4209" s="149" t="s">
        <v>6312</v>
      </c>
      <c r="B4209" s="150" t="str">
        <f>IFERROR(VLOOKUP(Proc[[#This Row],[App]],Table2[],3,0),"open")</f>
        <v>ok</v>
      </c>
      <c r="C4209" s="149" t="s">
        <v>369</v>
      </c>
      <c r="D4209" t="s">
        <v>6322</v>
      </c>
      <c r="E4209" t="s">
        <v>6330</v>
      </c>
      <c r="F4209" s="150" t="s">
        <v>6330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4895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25</v>
      </c>
      <c r="R4209" s="146" t="s">
        <v>780</v>
      </c>
      <c r="S4209" s="150"/>
    </row>
    <row r="4210" spans="1:19" hidden="1">
      <c r="A4210" s="149" t="s">
        <v>6312</v>
      </c>
      <c r="B4210" s="150" t="str">
        <f>IFERROR(VLOOKUP(Proc[[#This Row],[App]],Table2[],3,0),"open")</f>
        <v>ok</v>
      </c>
      <c r="C4210" s="149" t="s">
        <v>369</v>
      </c>
      <c r="D4210" t="s">
        <v>6323</v>
      </c>
      <c r="E4210" t="s">
        <v>6330</v>
      </c>
      <c r="F4210" s="150" t="s">
        <v>6330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4895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25</v>
      </c>
      <c r="R4210" s="146" t="s">
        <v>780</v>
      </c>
      <c r="S4210" s="150"/>
    </row>
    <row r="4211" spans="1:19" hidden="1">
      <c r="A4211" t="s">
        <v>6345</v>
      </c>
      <c r="B4211" s="150" t="str">
        <f>IFERROR(VLOOKUP(Proc[[#This Row],[App]],Table2[],3,0),"open")</f>
        <v>ok</v>
      </c>
      <c r="C4211" s="149" t="s">
        <v>369</v>
      </c>
      <c r="D4211" t="s">
        <v>6334</v>
      </c>
      <c r="E4211" t="s">
        <v>6346</v>
      </c>
      <c r="F4211" s="150" t="s">
        <v>6346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4895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24</v>
      </c>
      <c r="R4211" s="146" t="s">
        <v>780</v>
      </c>
      <c r="S4211" s="150"/>
    </row>
    <row r="4212" spans="1:19" hidden="1">
      <c r="A4212" s="149" t="s">
        <v>6345</v>
      </c>
      <c r="B4212" s="150" t="str">
        <f>IFERROR(VLOOKUP(Proc[[#This Row],[App]],Table2[],3,0),"open")</f>
        <v>ok</v>
      </c>
      <c r="C4212" s="149" t="s">
        <v>369</v>
      </c>
      <c r="D4212" t="s">
        <v>6335</v>
      </c>
      <c r="E4212" t="s">
        <v>6347</v>
      </c>
      <c r="F4212" s="150" t="s">
        <v>6347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4895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24</v>
      </c>
      <c r="R4212" s="146" t="s">
        <v>780</v>
      </c>
      <c r="S4212" s="150"/>
    </row>
    <row r="4213" spans="1:19" hidden="1">
      <c r="A4213" s="149" t="s">
        <v>6345</v>
      </c>
      <c r="B4213" s="150" t="str">
        <f>IFERROR(VLOOKUP(Proc[[#This Row],[App]],Table2[],3,0),"open")</f>
        <v>ok</v>
      </c>
      <c r="C4213" s="149" t="s">
        <v>369</v>
      </c>
      <c r="D4213" t="s">
        <v>6336</v>
      </c>
      <c r="E4213" t="s">
        <v>6348</v>
      </c>
      <c r="F4213" s="150" t="s">
        <v>6348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4895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24</v>
      </c>
      <c r="R4213" s="146" t="s">
        <v>780</v>
      </c>
      <c r="S4213" s="150"/>
    </row>
    <row r="4214" spans="1:19" hidden="1">
      <c r="A4214" s="149" t="s">
        <v>6345</v>
      </c>
      <c r="B4214" s="150" t="str">
        <f>IFERROR(VLOOKUP(Proc[[#This Row],[App]],Table2[],3,0),"open")</f>
        <v>ok</v>
      </c>
      <c r="C4214" s="149" t="s">
        <v>369</v>
      </c>
      <c r="D4214" t="s">
        <v>6337</v>
      </c>
      <c r="E4214" t="s">
        <v>6178</v>
      </c>
      <c r="F4214" s="150" t="s">
        <v>6178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4895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24</v>
      </c>
      <c r="R4214" s="146" t="s">
        <v>780</v>
      </c>
      <c r="S4214" s="150"/>
    </row>
    <row r="4215" spans="1:19" hidden="1">
      <c r="A4215" s="149" t="s">
        <v>6345</v>
      </c>
      <c r="B4215" s="150" t="str">
        <f>IFERROR(VLOOKUP(Proc[[#This Row],[App]],Table2[],3,0),"open")</f>
        <v>ok</v>
      </c>
      <c r="C4215" s="149" t="s">
        <v>369</v>
      </c>
      <c r="D4215" t="s">
        <v>6338</v>
      </c>
      <c r="E4215" t="s">
        <v>6178</v>
      </c>
      <c r="F4215" s="150" t="s">
        <v>6178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4895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24</v>
      </c>
      <c r="R4215" s="146" t="s">
        <v>780</v>
      </c>
      <c r="S4215" s="150"/>
    </row>
    <row r="4216" spans="1:19" hidden="1">
      <c r="A4216" s="149" t="s">
        <v>6345</v>
      </c>
      <c r="B4216" s="150" t="str">
        <f>IFERROR(VLOOKUP(Proc[[#This Row],[App]],Table2[],3,0),"open")</f>
        <v>ok</v>
      </c>
      <c r="C4216" s="149" t="s">
        <v>369</v>
      </c>
      <c r="D4216" t="s">
        <v>6339</v>
      </c>
      <c r="E4216" t="s">
        <v>6178</v>
      </c>
      <c r="F4216" s="150" t="s">
        <v>6178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4895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24</v>
      </c>
      <c r="R4216" s="146" t="s">
        <v>780</v>
      </c>
      <c r="S4216" s="150"/>
    </row>
    <row r="4217" spans="1:19" hidden="1">
      <c r="A4217" s="149" t="s">
        <v>6345</v>
      </c>
      <c r="B4217" s="150" t="str">
        <f>IFERROR(VLOOKUP(Proc[[#This Row],[App]],Table2[],3,0),"open")</f>
        <v>ok</v>
      </c>
      <c r="C4217" s="149" t="s">
        <v>369</v>
      </c>
      <c r="D4217" t="s">
        <v>6351</v>
      </c>
      <c r="E4217" t="s">
        <v>6349</v>
      </c>
      <c r="F4217" s="150" t="s">
        <v>6349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4895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24</v>
      </c>
      <c r="R4217" s="146" t="s">
        <v>780</v>
      </c>
      <c r="S4217" s="150"/>
    </row>
    <row r="4218" spans="1:19" hidden="1">
      <c r="A4218" s="149" t="s">
        <v>6345</v>
      </c>
      <c r="B4218" s="150" t="str">
        <f>IFERROR(VLOOKUP(Proc[[#This Row],[App]],Table2[],3,0),"open")</f>
        <v>ok</v>
      </c>
      <c r="C4218" s="149" t="s">
        <v>369</v>
      </c>
      <c r="D4218" t="s">
        <v>6340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4895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24</v>
      </c>
      <c r="R4218" s="146" t="s">
        <v>780</v>
      </c>
      <c r="S4218" s="150"/>
    </row>
    <row r="4219" spans="1:19" hidden="1">
      <c r="A4219" s="149" t="s">
        <v>6345</v>
      </c>
      <c r="B4219" s="150" t="str">
        <f>IFERROR(VLOOKUP(Proc[[#This Row],[App]],Table2[],3,0),"open")</f>
        <v>ok</v>
      </c>
      <c r="C4219" s="149" t="s">
        <v>369</v>
      </c>
      <c r="D4219" t="s">
        <v>6341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4895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24</v>
      </c>
      <c r="R4219" s="146" t="s">
        <v>780</v>
      </c>
      <c r="S4219" s="150"/>
    </row>
    <row r="4220" spans="1:19" hidden="1">
      <c r="A4220" s="149" t="s">
        <v>6345</v>
      </c>
      <c r="B4220" s="150" t="str">
        <f>IFERROR(VLOOKUP(Proc[[#This Row],[App]],Table2[],3,0),"open")</f>
        <v>ok</v>
      </c>
      <c r="C4220" s="149" t="s">
        <v>369</v>
      </c>
      <c r="D4220" t="s">
        <v>6342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6350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4895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24</v>
      </c>
      <c r="R4220" s="146" t="s">
        <v>780</v>
      </c>
      <c r="S4220" s="150"/>
    </row>
    <row r="4221" spans="1:19" hidden="1">
      <c r="A4221" s="149" t="s">
        <v>6345</v>
      </c>
      <c r="B4221" s="150" t="str">
        <f>IFERROR(VLOOKUP(Proc[[#This Row],[App]],Table2[],3,0),"open")</f>
        <v>ok</v>
      </c>
      <c r="C4221" s="149" t="s">
        <v>369</v>
      </c>
      <c r="D4221" t="s">
        <v>6343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4895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24</v>
      </c>
      <c r="R4221" s="146" t="s">
        <v>780</v>
      </c>
      <c r="S4221" s="150"/>
    </row>
    <row r="4222" spans="1:19" hidden="1">
      <c r="A4222" s="149" t="s">
        <v>6345</v>
      </c>
      <c r="B4222" s="150" t="str">
        <f>IFERROR(VLOOKUP(Proc[[#This Row],[App]],Table2[],3,0),"open")</f>
        <v>ok</v>
      </c>
      <c r="C4222" s="149" t="s">
        <v>369</v>
      </c>
      <c r="D4222" t="s">
        <v>6344</v>
      </c>
      <c r="E4222" t="s">
        <v>6502</v>
      </c>
      <c r="F4222" s="150" t="s">
        <v>6269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4895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24</v>
      </c>
      <c r="R4222" s="146" t="s">
        <v>780</v>
      </c>
      <c r="S4222" s="150"/>
    </row>
    <row r="4223" spans="1:19" hidden="1">
      <c r="A4223" t="s">
        <v>6353</v>
      </c>
      <c r="B4223" s="150" t="str">
        <f>IFERROR(VLOOKUP(Proc[[#This Row],[App]],Table2[],3,0),"open")</f>
        <v>ok</v>
      </c>
      <c r="C4223" s="149" t="s">
        <v>369</v>
      </c>
      <c r="D4223" t="s">
        <v>6354</v>
      </c>
      <c r="E4223" t="s">
        <v>6355</v>
      </c>
      <c r="F4223" s="150" t="s">
        <v>6355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4895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21</v>
      </c>
      <c r="R4223" s="148" t="s">
        <v>489</v>
      </c>
      <c r="S4223" s="150"/>
    </row>
    <row r="4224" spans="1:19" hidden="1">
      <c r="A4224" t="s">
        <v>6357</v>
      </c>
      <c r="B4224" s="150" t="str">
        <f>IFERROR(VLOOKUP(Proc[[#This Row],[App]],Table2[],3,0),"open")</f>
        <v>ok</v>
      </c>
      <c r="C4224" s="149" t="s">
        <v>369</v>
      </c>
      <c r="D4224" t="s">
        <v>6356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4895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21</v>
      </c>
      <c r="R4224" s="148" t="s">
        <v>489</v>
      </c>
      <c r="S4224" s="150"/>
    </row>
    <row r="4225" spans="1:19" hidden="1">
      <c r="A4225" t="s">
        <v>6403</v>
      </c>
      <c r="B4225" s="150" t="str">
        <f>IFERROR(VLOOKUP(Proc[[#This Row],[App]],Table2[],3,0),"open")</f>
        <v>ok</v>
      </c>
      <c r="C4225" s="149" t="s">
        <v>369</v>
      </c>
      <c r="D4225" t="s">
        <v>6358</v>
      </c>
      <c r="E4225" t="s">
        <v>6404</v>
      </c>
      <c r="F4225" s="150" t="s">
        <v>6404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4895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21</v>
      </c>
      <c r="R4225" s="152" t="s">
        <v>410</v>
      </c>
      <c r="S4225" s="150"/>
    </row>
    <row r="4226" spans="1:19" hidden="1">
      <c r="A4226" s="149" t="s">
        <v>6403</v>
      </c>
      <c r="B4226" s="150" t="str">
        <f>IFERROR(VLOOKUP(Proc[[#This Row],[App]],Table2[],3,0),"open")</f>
        <v>ok</v>
      </c>
      <c r="C4226" s="149" t="s">
        <v>369</v>
      </c>
      <c r="D4226" t="s">
        <v>6359</v>
      </c>
      <c r="E4226" t="s">
        <v>6404</v>
      </c>
      <c r="F4226" s="150" t="s">
        <v>6404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4895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21</v>
      </c>
      <c r="R4226" s="152" t="s">
        <v>410</v>
      </c>
      <c r="S4226" s="150"/>
    </row>
    <row r="4227" spans="1:19" hidden="1">
      <c r="A4227" s="149" t="s">
        <v>6403</v>
      </c>
      <c r="B4227" s="150" t="str">
        <f>IFERROR(VLOOKUP(Proc[[#This Row],[App]],Table2[],3,0),"open")</f>
        <v>ok</v>
      </c>
      <c r="C4227" s="149" t="s">
        <v>369</v>
      </c>
      <c r="D4227" t="s">
        <v>6360</v>
      </c>
      <c r="E4227" t="s">
        <v>6405</v>
      </c>
      <c r="F4227" s="150" t="s">
        <v>6405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4895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21</v>
      </c>
      <c r="R4227" s="152" t="s">
        <v>410</v>
      </c>
      <c r="S4227" s="150"/>
    </row>
    <row r="4228" spans="1:19" hidden="1">
      <c r="A4228" s="149" t="s">
        <v>6403</v>
      </c>
      <c r="B4228" s="150" t="str">
        <f>IFERROR(VLOOKUP(Proc[[#This Row],[App]],Table2[],3,0),"open")</f>
        <v>ok</v>
      </c>
      <c r="C4228" s="149" t="s">
        <v>369</v>
      </c>
      <c r="D4228" t="s">
        <v>6361</v>
      </c>
      <c r="E4228" t="s">
        <v>6404</v>
      </c>
      <c r="F4228" s="150" t="s">
        <v>6404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4895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21</v>
      </c>
      <c r="R4228" s="152" t="s">
        <v>410</v>
      </c>
      <c r="S4228" s="150"/>
    </row>
    <row r="4229" spans="1:19" hidden="1">
      <c r="A4229" s="149" t="s">
        <v>6403</v>
      </c>
      <c r="B4229" s="150" t="str">
        <f>IFERROR(VLOOKUP(Proc[[#This Row],[App]],Table2[],3,0),"open")</f>
        <v>ok</v>
      </c>
      <c r="C4229" s="149" t="s">
        <v>369</v>
      </c>
      <c r="D4229" t="s">
        <v>6362</v>
      </c>
      <c r="E4229" t="s">
        <v>6404</v>
      </c>
      <c r="F4229" s="150" t="s">
        <v>6404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4895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21</v>
      </c>
      <c r="R4229" s="152" t="s">
        <v>410</v>
      </c>
      <c r="S4229" s="150"/>
    </row>
    <row r="4230" spans="1:19" hidden="1">
      <c r="A4230" s="149" t="s">
        <v>6403</v>
      </c>
      <c r="B4230" s="150" t="str">
        <f>IFERROR(VLOOKUP(Proc[[#This Row],[App]],Table2[],3,0),"open")</f>
        <v>ok</v>
      </c>
      <c r="C4230" s="149" t="s">
        <v>369</v>
      </c>
      <c r="D4230" t="s">
        <v>6363</v>
      </c>
      <c r="E4230" t="s">
        <v>6405</v>
      </c>
      <c r="F4230" s="150" t="s">
        <v>6405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4895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21</v>
      </c>
      <c r="R4230" s="152" t="s">
        <v>410</v>
      </c>
      <c r="S4230" s="150"/>
    </row>
    <row r="4231" spans="1:19" hidden="1">
      <c r="A4231" s="149" t="s">
        <v>6403</v>
      </c>
      <c r="B4231" s="150" t="str">
        <f>IFERROR(VLOOKUP(Proc[[#This Row],[App]],Table2[],3,0),"open")</f>
        <v>ok</v>
      </c>
      <c r="C4231" s="149" t="s">
        <v>369</v>
      </c>
      <c r="D4231" t="s">
        <v>6364</v>
      </c>
      <c r="E4231" t="s">
        <v>6405</v>
      </c>
      <c r="F4231" s="150" t="s">
        <v>6405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4895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21</v>
      </c>
      <c r="R4231" s="152" t="s">
        <v>410</v>
      </c>
      <c r="S4231" s="150"/>
    </row>
    <row r="4232" spans="1:19" hidden="1">
      <c r="A4232" s="149" t="s">
        <v>6403</v>
      </c>
      <c r="B4232" s="150" t="str">
        <f>IFERROR(VLOOKUP(Proc[[#This Row],[App]],Table2[],3,0),"open")</f>
        <v>ok</v>
      </c>
      <c r="C4232" s="149" t="s">
        <v>369</v>
      </c>
      <c r="D4232" t="s">
        <v>6365</v>
      </c>
      <c r="E4232" t="s">
        <v>6405</v>
      </c>
      <c r="F4232" s="150" t="s">
        <v>6405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4895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21</v>
      </c>
      <c r="R4232" s="152" t="s">
        <v>410</v>
      </c>
      <c r="S4232" s="150"/>
    </row>
    <row r="4233" spans="1:19" hidden="1">
      <c r="A4233" s="149" t="s">
        <v>6403</v>
      </c>
      <c r="B4233" s="150" t="str">
        <f>IFERROR(VLOOKUP(Proc[[#This Row],[App]],Table2[],3,0),"open")</f>
        <v>ok</v>
      </c>
      <c r="C4233" s="149" t="s">
        <v>369</v>
      </c>
      <c r="D4233" t="s">
        <v>6366</v>
      </c>
      <c r="E4233" t="s">
        <v>6404</v>
      </c>
      <c r="F4233" s="150" t="s">
        <v>6404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4895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21</v>
      </c>
      <c r="R4233" s="152" t="s">
        <v>410</v>
      </c>
      <c r="S4233" s="150"/>
    </row>
    <row r="4234" spans="1:19" hidden="1">
      <c r="A4234" s="149" t="s">
        <v>6403</v>
      </c>
      <c r="B4234" s="150" t="str">
        <f>IFERROR(VLOOKUP(Proc[[#This Row],[App]],Table2[],3,0),"open")</f>
        <v>ok</v>
      </c>
      <c r="C4234" s="149" t="s">
        <v>369</v>
      </c>
      <c r="D4234" t="s">
        <v>6367</v>
      </c>
      <c r="E4234" t="s">
        <v>6405</v>
      </c>
      <c r="F4234" s="150" t="s">
        <v>6405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4895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21</v>
      </c>
      <c r="R4234" s="152" t="s">
        <v>410</v>
      </c>
      <c r="S4234" s="150"/>
    </row>
    <row r="4235" spans="1:19" hidden="1">
      <c r="A4235" s="149" t="s">
        <v>6403</v>
      </c>
      <c r="B4235" s="150" t="str">
        <f>IFERROR(VLOOKUP(Proc[[#This Row],[App]],Table2[],3,0),"open")</f>
        <v>ok</v>
      </c>
      <c r="C4235" s="149" t="s">
        <v>369</v>
      </c>
      <c r="D4235" t="s">
        <v>6368</v>
      </c>
      <c r="E4235" t="s">
        <v>6405</v>
      </c>
      <c r="F4235" s="150" t="s">
        <v>6405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4895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21</v>
      </c>
      <c r="R4235" s="152" t="s">
        <v>410</v>
      </c>
      <c r="S4235" s="150"/>
    </row>
    <row r="4236" spans="1:19" hidden="1">
      <c r="A4236" s="149" t="s">
        <v>6403</v>
      </c>
      <c r="B4236" s="150" t="str">
        <f>IFERROR(VLOOKUP(Proc[[#This Row],[App]],Table2[],3,0),"open")</f>
        <v>ok</v>
      </c>
      <c r="C4236" s="149" t="s">
        <v>369</v>
      </c>
      <c r="D4236" t="s">
        <v>6369</v>
      </c>
      <c r="E4236" t="s">
        <v>6405</v>
      </c>
      <c r="F4236" s="150" t="s">
        <v>6405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4895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21</v>
      </c>
      <c r="R4236" s="152" t="s">
        <v>410</v>
      </c>
      <c r="S4236" s="150"/>
    </row>
    <row r="4237" spans="1:19" hidden="1">
      <c r="A4237" s="149" t="s">
        <v>6403</v>
      </c>
      <c r="B4237" s="150" t="str">
        <f>IFERROR(VLOOKUP(Proc[[#This Row],[App]],Table2[],3,0),"open")</f>
        <v>ok</v>
      </c>
      <c r="C4237" s="149" t="s">
        <v>369</v>
      </c>
      <c r="D4237" t="s">
        <v>6370</v>
      </c>
      <c r="E4237" t="s">
        <v>6405</v>
      </c>
      <c r="F4237" s="150" t="s">
        <v>6405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4895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21</v>
      </c>
      <c r="R4237" s="152" t="s">
        <v>410</v>
      </c>
      <c r="S4237" s="150"/>
    </row>
    <row r="4238" spans="1:19" hidden="1">
      <c r="A4238" s="149" t="s">
        <v>6403</v>
      </c>
      <c r="B4238" s="150" t="str">
        <f>IFERROR(VLOOKUP(Proc[[#This Row],[App]],Table2[],3,0),"open")</f>
        <v>ok</v>
      </c>
      <c r="C4238" s="149" t="s">
        <v>369</v>
      </c>
      <c r="D4238" t="s">
        <v>6371</v>
      </c>
      <c r="E4238" t="s">
        <v>6405</v>
      </c>
      <c r="F4238" s="150" t="s">
        <v>6405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4895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21</v>
      </c>
      <c r="R4238" s="152" t="s">
        <v>410</v>
      </c>
      <c r="S4238" s="150"/>
    </row>
    <row r="4239" spans="1:19" hidden="1">
      <c r="A4239" s="149" t="s">
        <v>6403</v>
      </c>
      <c r="B4239" s="150" t="str">
        <f>IFERROR(VLOOKUP(Proc[[#This Row],[App]],Table2[],3,0),"open")</f>
        <v>ok</v>
      </c>
      <c r="C4239" s="149" t="s">
        <v>369</v>
      </c>
      <c r="D4239" t="s">
        <v>6372</v>
      </c>
      <c r="E4239" t="s">
        <v>6404</v>
      </c>
      <c r="F4239" s="150" t="s">
        <v>6404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4895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21</v>
      </c>
      <c r="R4239" s="152" t="s">
        <v>410</v>
      </c>
      <c r="S4239" s="150"/>
    </row>
    <row r="4240" spans="1:19" hidden="1">
      <c r="A4240" s="149" t="s">
        <v>6403</v>
      </c>
      <c r="B4240" s="150" t="str">
        <f>IFERROR(VLOOKUP(Proc[[#This Row],[App]],Table2[],3,0),"open")</f>
        <v>ok</v>
      </c>
      <c r="C4240" s="149" t="s">
        <v>369</v>
      </c>
      <c r="D4240" t="s">
        <v>6373</v>
      </c>
      <c r="E4240" t="s">
        <v>6404</v>
      </c>
      <c r="F4240" s="150" t="s">
        <v>6404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4895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21</v>
      </c>
      <c r="R4240" s="152" t="s">
        <v>410</v>
      </c>
      <c r="S4240" s="150"/>
    </row>
    <row r="4241" spans="1:19" hidden="1">
      <c r="A4241" s="149" t="s">
        <v>6403</v>
      </c>
      <c r="B4241" s="150" t="str">
        <f>IFERROR(VLOOKUP(Proc[[#This Row],[App]],Table2[],3,0),"open")</f>
        <v>ok</v>
      </c>
      <c r="C4241" s="149" t="s">
        <v>369</v>
      </c>
      <c r="D4241" t="s">
        <v>6374</v>
      </c>
      <c r="E4241" t="s">
        <v>6404</v>
      </c>
      <c r="F4241" s="150" t="s">
        <v>6404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4895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21</v>
      </c>
      <c r="R4241" s="152" t="s">
        <v>410</v>
      </c>
      <c r="S4241" s="150"/>
    </row>
    <row r="4242" spans="1:19" hidden="1">
      <c r="A4242" s="149" t="s">
        <v>6403</v>
      </c>
      <c r="B4242" s="150" t="str">
        <f>IFERROR(VLOOKUP(Proc[[#This Row],[App]],Table2[],3,0),"open")</f>
        <v>ok</v>
      </c>
      <c r="C4242" s="149" t="s">
        <v>369</v>
      </c>
      <c r="D4242" t="s">
        <v>6375</v>
      </c>
      <c r="E4242" t="s">
        <v>6404</v>
      </c>
      <c r="F4242" s="150" t="s">
        <v>6404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4895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21</v>
      </c>
      <c r="R4242" s="152" t="s">
        <v>410</v>
      </c>
      <c r="S4242" s="150"/>
    </row>
    <row r="4243" spans="1:19" hidden="1">
      <c r="A4243" s="149" t="s">
        <v>6403</v>
      </c>
      <c r="B4243" s="150" t="str">
        <f>IFERROR(VLOOKUP(Proc[[#This Row],[App]],Table2[],3,0),"open")</f>
        <v>ok</v>
      </c>
      <c r="C4243" s="149" t="s">
        <v>369</v>
      </c>
      <c r="D4243" t="s">
        <v>6376</v>
      </c>
      <c r="E4243" t="s">
        <v>6404</v>
      </c>
      <c r="F4243" s="150" t="s">
        <v>6404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4895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21</v>
      </c>
      <c r="R4243" s="152" t="s">
        <v>410</v>
      </c>
      <c r="S4243" s="150"/>
    </row>
    <row r="4244" spans="1:19" hidden="1">
      <c r="A4244" s="149" t="s">
        <v>6403</v>
      </c>
      <c r="B4244" s="150" t="str">
        <f>IFERROR(VLOOKUP(Proc[[#This Row],[App]],Table2[],3,0),"open")</f>
        <v>ok</v>
      </c>
      <c r="C4244" s="149" t="s">
        <v>369</v>
      </c>
      <c r="D4244" t="s">
        <v>6377</v>
      </c>
      <c r="E4244" t="s">
        <v>6405</v>
      </c>
      <c r="F4244" s="150" t="s">
        <v>6405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4895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21</v>
      </c>
      <c r="R4244" s="152" t="s">
        <v>410</v>
      </c>
      <c r="S4244" s="150"/>
    </row>
    <row r="4245" spans="1:19" hidden="1">
      <c r="A4245" s="149" t="s">
        <v>6403</v>
      </c>
      <c r="B4245" s="150" t="str">
        <f>IFERROR(VLOOKUP(Proc[[#This Row],[App]],Table2[],3,0),"open")</f>
        <v>ok</v>
      </c>
      <c r="C4245" s="149" t="s">
        <v>369</v>
      </c>
      <c r="D4245" t="s">
        <v>6378</v>
      </c>
      <c r="E4245" t="s">
        <v>6405</v>
      </c>
      <c r="F4245" s="150" t="s">
        <v>6405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4895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21</v>
      </c>
      <c r="R4245" s="152" t="s">
        <v>410</v>
      </c>
      <c r="S4245" s="150"/>
    </row>
    <row r="4246" spans="1:19" hidden="1">
      <c r="A4246" s="149" t="s">
        <v>6403</v>
      </c>
      <c r="B4246" s="150" t="str">
        <f>IFERROR(VLOOKUP(Proc[[#This Row],[App]],Table2[],3,0),"open")</f>
        <v>ok</v>
      </c>
      <c r="C4246" s="149" t="s">
        <v>369</v>
      </c>
      <c r="D4246" t="s">
        <v>6379</v>
      </c>
      <c r="E4246" t="s">
        <v>6405</v>
      </c>
      <c r="F4246" s="150" t="s">
        <v>6405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4895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21</v>
      </c>
      <c r="R4246" s="152" t="s">
        <v>410</v>
      </c>
      <c r="S4246" s="150"/>
    </row>
    <row r="4247" spans="1:19" hidden="1">
      <c r="A4247" s="149" t="s">
        <v>6403</v>
      </c>
      <c r="B4247" s="150" t="str">
        <f>IFERROR(VLOOKUP(Proc[[#This Row],[App]],Table2[],3,0),"open")</f>
        <v>ok</v>
      </c>
      <c r="C4247" s="149" t="s">
        <v>369</v>
      </c>
      <c r="D4247" t="s">
        <v>6380</v>
      </c>
      <c r="E4247" t="s">
        <v>6405</v>
      </c>
      <c r="F4247" s="150" t="s">
        <v>6405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4895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21</v>
      </c>
      <c r="R4247" s="152" t="s">
        <v>410</v>
      </c>
      <c r="S4247" s="150"/>
    </row>
    <row r="4248" spans="1:19" hidden="1">
      <c r="A4248" s="149" t="s">
        <v>6403</v>
      </c>
      <c r="B4248" s="150" t="str">
        <f>IFERROR(VLOOKUP(Proc[[#This Row],[App]],Table2[],3,0),"open")</f>
        <v>ok</v>
      </c>
      <c r="C4248" s="149" t="s">
        <v>369</v>
      </c>
      <c r="D4248" t="s">
        <v>6381</v>
      </c>
      <c r="E4248" t="s">
        <v>6404</v>
      </c>
      <c r="F4248" s="150" t="s">
        <v>6404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4895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21</v>
      </c>
      <c r="R4248" s="152" t="s">
        <v>410</v>
      </c>
      <c r="S4248" s="150"/>
    </row>
    <row r="4249" spans="1:19" hidden="1">
      <c r="A4249" s="149" t="s">
        <v>6403</v>
      </c>
      <c r="B4249" s="150" t="str">
        <f>IFERROR(VLOOKUP(Proc[[#This Row],[App]],Table2[],3,0),"open")</f>
        <v>ok</v>
      </c>
      <c r="C4249" s="149" t="s">
        <v>369</v>
      </c>
      <c r="D4249" t="s">
        <v>6382</v>
      </c>
      <c r="E4249" t="s">
        <v>6404</v>
      </c>
      <c r="F4249" s="150" t="s">
        <v>6404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4895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21</v>
      </c>
      <c r="R4249" s="152" t="s">
        <v>410</v>
      </c>
      <c r="S4249" s="150"/>
    </row>
    <row r="4250" spans="1:19" hidden="1">
      <c r="A4250" s="149" t="s">
        <v>6403</v>
      </c>
      <c r="B4250" s="150" t="str">
        <f>IFERROR(VLOOKUP(Proc[[#This Row],[App]],Table2[],3,0),"open")</f>
        <v>ok</v>
      </c>
      <c r="C4250" s="149" t="s">
        <v>369</v>
      </c>
      <c r="D4250" t="s">
        <v>6383</v>
      </c>
      <c r="E4250" t="s">
        <v>6404</v>
      </c>
      <c r="F4250" s="150" t="s">
        <v>6404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4895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21</v>
      </c>
      <c r="R4250" s="152" t="s">
        <v>410</v>
      </c>
      <c r="S4250" s="150"/>
    </row>
    <row r="4251" spans="1:19" hidden="1">
      <c r="A4251" s="149" t="s">
        <v>6403</v>
      </c>
      <c r="B4251" s="150" t="str">
        <f>IFERROR(VLOOKUP(Proc[[#This Row],[App]],Table2[],3,0),"open")</f>
        <v>ok</v>
      </c>
      <c r="C4251" s="149" t="s">
        <v>369</v>
      </c>
      <c r="D4251" t="s">
        <v>6384</v>
      </c>
      <c r="E4251" t="s">
        <v>6406</v>
      </c>
      <c r="F4251" s="150" t="s">
        <v>6406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4895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21</v>
      </c>
      <c r="R4251" s="152" t="s">
        <v>410</v>
      </c>
      <c r="S4251" s="150"/>
    </row>
    <row r="4252" spans="1:19" hidden="1">
      <c r="A4252" s="149" t="s">
        <v>6403</v>
      </c>
      <c r="B4252" s="150" t="str">
        <f>IFERROR(VLOOKUP(Proc[[#This Row],[App]],Table2[],3,0),"open")</f>
        <v>ok</v>
      </c>
      <c r="C4252" s="149" t="s">
        <v>369</v>
      </c>
      <c r="D4252" t="s">
        <v>6385</v>
      </c>
      <c r="E4252" t="s">
        <v>6406</v>
      </c>
      <c r="F4252" s="150" t="s">
        <v>6406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4895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21</v>
      </c>
      <c r="R4252" s="152" t="s">
        <v>410</v>
      </c>
      <c r="S4252" s="150"/>
    </row>
    <row r="4253" spans="1:19" hidden="1">
      <c r="A4253" s="149" t="s">
        <v>6403</v>
      </c>
      <c r="B4253" s="150" t="str">
        <f>IFERROR(VLOOKUP(Proc[[#This Row],[App]],Table2[],3,0),"open")</f>
        <v>ok</v>
      </c>
      <c r="C4253" s="149" t="s">
        <v>369</v>
      </c>
      <c r="D4253" t="s">
        <v>6386</v>
      </c>
      <c r="E4253" t="s">
        <v>6406</v>
      </c>
      <c r="F4253" s="150" t="s">
        <v>6406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4895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21</v>
      </c>
      <c r="R4253" s="152" t="s">
        <v>410</v>
      </c>
      <c r="S4253" s="150"/>
    </row>
    <row r="4254" spans="1:19" hidden="1">
      <c r="A4254" s="149" t="s">
        <v>6403</v>
      </c>
      <c r="B4254" s="150" t="str">
        <f>IFERROR(VLOOKUP(Proc[[#This Row],[App]],Table2[],3,0),"open")</f>
        <v>ok</v>
      </c>
      <c r="C4254" s="149" t="s">
        <v>369</v>
      </c>
      <c r="D4254" t="s">
        <v>6387</v>
      </c>
      <c r="E4254" t="s">
        <v>6406</v>
      </c>
      <c r="F4254" s="150" t="s">
        <v>6406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4895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21</v>
      </c>
      <c r="R4254" s="152" t="s">
        <v>410</v>
      </c>
      <c r="S4254" s="150"/>
    </row>
    <row r="4255" spans="1:19" hidden="1">
      <c r="A4255" s="149" t="s">
        <v>6403</v>
      </c>
      <c r="B4255" s="150" t="str">
        <f>IFERROR(VLOOKUP(Proc[[#This Row],[App]],Table2[],3,0),"open")</f>
        <v>ok</v>
      </c>
      <c r="C4255" s="149" t="s">
        <v>369</v>
      </c>
      <c r="D4255" t="s">
        <v>6388</v>
      </c>
      <c r="E4255" t="s">
        <v>6405</v>
      </c>
      <c r="F4255" s="150" t="s">
        <v>6405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4895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21</v>
      </c>
      <c r="R4255" s="152" t="s">
        <v>410</v>
      </c>
      <c r="S4255" s="150"/>
    </row>
    <row r="4256" spans="1:19" hidden="1">
      <c r="A4256" s="149" t="s">
        <v>6403</v>
      </c>
      <c r="B4256" s="150" t="str">
        <f>IFERROR(VLOOKUP(Proc[[#This Row],[App]],Table2[],3,0),"open")</f>
        <v>ok</v>
      </c>
      <c r="C4256" s="149" t="s">
        <v>377</v>
      </c>
      <c r="D4256" t="s">
        <v>6389</v>
      </c>
      <c r="E4256" t="s">
        <v>6405</v>
      </c>
      <c r="F4256" s="150" t="s">
        <v>5495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4895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21</v>
      </c>
      <c r="R4256" s="152" t="s">
        <v>410</v>
      </c>
      <c r="S4256" s="150"/>
    </row>
    <row r="4257" spans="1:19" hidden="1">
      <c r="A4257" s="149" t="s">
        <v>6403</v>
      </c>
      <c r="B4257" s="150" t="str">
        <f>IFERROR(VLOOKUP(Proc[[#This Row],[App]],Table2[],3,0),"open")</f>
        <v>ok</v>
      </c>
      <c r="C4257" s="149" t="s">
        <v>369</v>
      </c>
      <c r="D4257" t="s">
        <v>6390</v>
      </c>
      <c r="E4257" t="s">
        <v>6405</v>
      </c>
      <c r="F4257" s="150" t="s">
        <v>6405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4895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21</v>
      </c>
      <c r="R4257" s="152" t="s">
        <v>410</v>
      </c>
      <c r="S4257" s="150"/>
    </row>
    <row r="4258" spans="1:19" hidden="1">
      <c r="A4258" s="149" t="s">
        <v>6403</v>
      </c>
      <c r="B4258" s="150" t="str">
        <f>IFERROR(VLOOKUP(Proc[[#This Row],[App]],Table2[],3,0),"open")</f>
        <v>ok</v>
      </c>
      <c r="C4258" s="149" t="s">
        <v>377</v>
      </c>
      <c r="D4258" t="s">
        <v>6391</v>
      </c>
      <c r="E4258" t="s">
        <v>6405</v>
      </c>
      <c r="F4258" s="150" t="s">
        <v>5495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4895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21</v>
      </c>
      <c r="R4258" s="152" t="s">
        <v>410</v>
      </c>
      <c r="S4258" s="150"/>
    </row>
    <row r="4259" spans="1:19" hidden="1">
      <c r="A4259" s="149" t="s">
        <v>6403</v>
      </c>
      <c r="B4259" s="150" t="str">
        <f>IFERROR(VLOOKUP(Proc[[#This Row],[App]],Table2[],3,0),"open")</f>
        <v>ok</v>
      </c>
      <c r="C4259" s="149" t="s">
        <v>377</v>
      </c>
      <c r="D4259" t="s">
        <v>6392</v>
      </c>
      <c r="E4259" t="s">
        <v>6405</v>
      </c>
      <c r="F4259" s="150" t="s">
        <v>5495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4895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21</v>
      </c>
      <c r="R4259" s="152" t="s">
        <v>410</v>
      </c>
      <c r="S4259" s="150"/>
    </row>
    <row r="4260" spans="1:19" hidden="1">
      <c r="A4260" s="149" t="s">
        <v>6403</v>
      </c>
      <c r="B4260" s="150" t="str">
        <f>IFERROR(VLOOKUP(Proc[[#This Row],[App]],Table2[],3,0),"open")</f>
        <v>ok</v>
      </c>
      <c r="C4260" s="149" t="s">
        <v>369</v>
      </c>
      <c r="D4260" t="s">
        <v>6393</v>
      </c>
      <c r="E4260" t="s">
        <v>6406</v>
      </c>
      <c r="F4260" s="150" t="s">
        <v>6406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4895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21</v>
      </c>
      <c r="R4260" s="152" t="s">
        <v>410</v>
      </c>
      <c r="S4260" s="150"/>
    </row>
    <row r="4261" spans="1:19" hidden="1">
      <c r="A4261" s="149" t="s">
        <v>6403</v>
      </c>
      <c r="B4261" s="150" t="str">
        <f>IFERROR(VLOOKUP(Proc[[#This Row],[App]],Table2[],3,0),"open")</f>
        <v>ok</v>
      </c>
      <c r="C4261" s="149" t="s">
        <v>369</v>
      </c>
      <c r="D4261" t="s">
        <v>6394</v>
      </c>
      <c r="E4261" t="s">
        <v>6405</v>
      </c>
      <c r="F4261" s="150" t="s">
        <v>6405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4895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21</v>
      </c>
      <c r="R4261" s="152" t="s">
        <v>410</v>
      </c>
      <c r="S4261" s="150"/>
    </row>
    <row r="4262" spans="1:19" hidden="1">
      <c r="A4262" s="149" t="s">
        <v>6403</v>
      </c>
      <c r="B4262" s="150" t="str">
        <f>IFERROR(VLOOKUP(Proc[[#This Row],[App]],Table2[],3,0),"open")</f>
        <v>ok</v>
      </c>
      <c r="C4262" s="149" t="s">
        <v>369</v>
      </c>
      <c r="D4262" t="s">
        <v>5481</v>
      </c>
      <c r="E4262" t="s">
        <v>6405</v>
      </c>
      <c r="F4262" s="150" t="s">
        <v>6405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4895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21</v>
      </c>
      <c r="R4262" s="152" t="s">
        <v>410</v>
      </c>
      <c r="S4262" s="150"/>
    </row>
    <row r="4263" spans="1:19" hidden="1">
      <c r="A4263" s="149" t="s">
        <v>6403</v>
      </c>
      <c r="B4263" s="150" t="str">
        <f>IFERROR(VLOOKUP(Proc[[#This Row],[App]],Table2[],3,0),"open")</f>
        <v>ok</v>
      </c>
      <c r="C4263" s="149" t="s">
        <v>369</v>
      </c>
      <c r="D4263" t="s">
        <v>6395</v>
      </c>
      <c r="E4263" t="s">
        <v>6405</v>
      </c>
      <c r="F4263" s="150" t="s">
        <v>6405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4895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21</v>
      </c>
      <c r="R4263" s="152" t="s">
        <v>410</v>
      </c>
      <c r="S4263" s="150"/>
    </row>
    <row r="4264" spans="1:19" hidden="1">
      <c r="A4264" s="149" t="s">
        <v>6403</v>
      </c>
      <c r="B4264" s="150" t="str">
        <f>IFERROR(VLOOKUP(Proc[[#This Row],[App]],Table2[],3,0),"open")</f>
        <v>ok</v>
      </c>
      <c r="C4264" s="149" t="s">
        <v>369</v>
      </c>
      <c r="D4264" t="s">
        <v>6396</v>
      </c>
      <c r="E4264" t="s">
        <v>6406</v>
      </c>
      <c r="F4264" s="150" t="s">
        <v>6406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4895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21</v>
      </c>
      <c r="R4264" s="152" t="s">
        <v>410</v>
      </c>
      <c r="S4264" s="150"/>
    </row>
    <row r="4265" spans="1:19" hidden="1">
      <c r="A4265" s="149" t="s">
        <v>6403</v>
      </c>
      <c r="B4265" s="150" t="str">
        <f>IFERROR(VLOOKUP(Proc[[#This Row],[App]],Table2[],3,0),"open")</f>
        <v>ok</v>
      </c>
      <c r="C4265" s="149" t="s">
        <v>369</v>
      </c>
      <c r="D4265" t="s">
        <v>5486</v>
      </c>
      <c r="E4265" t="s">
        <v>6405</v>
      </c>
      <c r="F4265" s="150" t="s">
        <v>6405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4895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21</v>
      </c>
      <c r="R4265" s="152" t="s">
        <v>410</v>
      </c>
      <c r="S4265" s="150"/>
    </row>
    <row r="4266" spans="1:19" hidden="1">
      <c r="A4266" s="149" t="s">
        <v>6403</v>
      </c>
      <c r="B4266" s="150" t="str">
        <f>IFERROR(VLOOKUP(Proc[[#This Row],[App]],Table2[],3,0),"open")</f>
        <v>ok</v>
      </c>
      <c r="C4266" s="149" t="s">
        <v>369</v>
      </c>
      <c r="D4266" t="s">
        <v>6397</v>
      </c>
      <c r="E4266" t="s">
        <v>6405</v>
      </c>
      <c r="F4266" s="150" t="s">
        <v>6405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4895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21</v>
      </c>
      <c r="R4266" s="152" t="s">
        <v>410</v>
      </c>
      <c r="S4266" s="150"/>
    </row>
    <row r="4267" spans="1:19" hidden="1">
      <c r="A4267" s="149" t="s">
        <v>6403</v>
      </c>
      <c r="B4267" s="150" t="str">
        <f>IFERROR(VLOOKUP(Proc[[#This Row],[App]],Table2[],3,0),"open")</f>
        <v>ok</v>
      </c>
      <c r="C4267" s="149" t="s">
        <v>369</v>
      </c>
      <c r="D4267" t="s">
        <v>6398</v>
      </c>
      <c r="E4267" t="s">
        <v>6406</v>
      </c>
      <c r="F4267" s="150" t="s">
        <v>6406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4895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21</v>
      </c>
      <c r="R4267" s="152" t="s">
        <v>410</v>
      </c>
      <c r="S4267" s="150"/>
    </row>
    <row r="4268" spans="1:19" hidden="1">
      <c r="A4268" s="149" t="s">
        <v>6403</v>
      </c>
      <c r="B4268" s="150" t="str">
        <f>IFERROR(VLOOKUP(Proc[[#This Row],[App]],Table2[],3,0),"open")</f>
        <v>ok</v>
      </c>
      <c r="C4268" s="149" t="s">
        <v>369</v>
      </c>
      <c r="D4268" t="s">
        <v>6399</v>
      </c>
      <c r="E4268" t="s">
        <v>6406</v>
      </c>
      <c r="F4268" s="150" t="s">
        <v>6406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4895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21</v>
      </c>
      <c r="R4268" s="152" t="s">
        <v>410</v>
      </c>
      <c r="S4268" s="150"/>
    </row>
    <row r="4269" spans="1:19" hidden="1">
      <c r="A4269" s="149" t="s">
        <v>6403</v>
      </c>
      <c r="B4269" s="150" t="str">
        <f>IFERROR(VLOOKUP(Proc[[#This Row],[App]],Table2[],3,0),"open")</f>
        <v>ok</v>
      </c>
      <c r="C4269" s="149" t="s">
        <v>369</v>
      </c>
      <c r="D4269" t="s">
        <v>6400</v>
      </c>
      <c r="E4269" t="s">
        <v>6406</v>
      </c>
      <c r="F4269" s="150" t="s">
        <v>6406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4895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21</v>
      </c>
      <c r="R4269" s="152" t="s">
        <v>410</v>
      </c>
      <c r="S4269" s="150"/>
    </row>
    <row r="4270" spans="1:19" hidden="1">
      <c r="A4270" s="149" t="s">
        <v>6403</v>
      </c>
      <c r="B4270" s="150" t="str">
        <f>IFERROR(VLOOKUP(Proc[[#This Row],[App]],Table2[],3,0),"open")</f>
        <v>ok</v>
      </c>
      <c r="C4270" s="149" t="s">
        <v>369</v>
      </c>
      <c r="D4270" t="s">
        <v>6401</v>
      </c>
      <c r="E4270" t="s">
        <v>6406</v>
      </c>
      <c r="F4270" s="150" t="s">
        <v>6406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4895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21</v>
      </c>
      <c r="R4270" s="152" t="s">
        <v>410</v>
      </c>
      <c r="S4270" s="150"/>
    </row>
    <row r="4271" spans="1:19" hidden="1">
      <c r="A4271" s="149" t="s">
        <v>6403</v>
      </c>
      <c r="B4271" s="150" t="str">
        <f>IFERROR(VLOOKUP(Proc[[#This Row],[App]],Table2[],3,0),"open")</f>
        <v>ok</v>
      </c>
      <c r="C4271" s="149" t="s">
        <v>369</v>
      </c>
      <c r="D4271" t="s">
        <v>6407</v>
      </c>
      <c r="E4271" t="s">
        <v>6406</v>
      </c>
      <c r="F4271" s="150" t="s">
        <v>6406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4895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21</v>
      </c>
      <c r="R4271" s="152" t="s">
        <v>410</v>
      </c>
      <c r="S4271" s="150"/>
    </row>
    <row r="4272" spans="1:19" hidden="1">
      <c r="A4272" s="149" t="s">
        <v>6403</v>
      </c>
      <c r="B4272" s="150" t="str">
        <f>IFERROR(VLOOKUP(Proc[[#This Row],[App]],Table2[],3,0),"open")</f>
        <v>ok</v>
      </c>
      <c r="C4272" s="149" t="s">
        <v>369</v>
      </c>
      <c r="D4272" t="s">
        <v>6402</v>
      </c>
      <c r="E4272" t="s">
        <v>6405</v>
      </c>
      <c r="F4272" s="150" t="s">
        <v>6405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4895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21</v>
      </c>
      <c r="R4272" s="152" t="s">
        <v>410</v>
      </c>
      <c r="S4272" s="150"/>
    </row>
    <row r="4273" spans="1:19" hidden="1">
      <c r="A4273" t="s">
        <v>6410</v>
      </c>
      <c r="B4273" s="150" t="str">
        <f>IFERROR(VLOOKUP(Proc[[#This Row],[App]],Table2[],3,0),"open")</f>
        <v>ok</v>
      </c>
      <c r="C4273" s="149" t="s">
        <v>369</v>
      </c>
      <c r="D4273" t="s">
        <v>6408</v>
      </c>
      <c r="E4273" t="s">
        <v>6411</v>
      </c>
      <c r="F4273" s="150" t="s">
        <v>6411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4895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20</v>
      </c>
      <c r="R4273" s="153" t="s">
        <v>489</v>
      </c>
      <c r="S4273" s="150"/>
    </row>
    <row r="4274" spans="1:19" hidden="1">
      <c r="A4274" t="s">
        <v>6410</v>
      </c>
      <c r="B4274" s="150" t="str">
        <f>IFERROR(VLOOKUP(Proc[[#This Row],[App]],Table2[],3,0),"open")</f>
        <v>ok</v>
      </c>
      <c r="C4274" s="149" t="s">
        <v>369</v>
      </c>
      <c r="D4274" t="s">
        <v>6409</v>
      </c>
      <c r="E4274" t="s">
        <v>6412</v>
      </c>
      <c r="F4274" s="150" t="s">
        <v>6412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4895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20</v>
      </c>
      <c r="R4274" s="153" t="s">
        <v>489</v>
      </c>
      <c r="S4274" s="150"/>
    </row>
    <row r="4275" spans="1:19" hidden="1">
      <c r="A4275" t="s">
        <v>6427</v>
      </c>
      <c r="B4275" s="150" t="str">
        <f>IFERROR(VLOOKUP(Proc[[#This Row],[App]],Table2[],3,0),"open")</f>
        <v>ok</v>
      </c>
      <c r="C4275" s="149" t="s">
        <v>369</v>
      </c>
      <c r="D4275" t="s">
        <v>6413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4895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20</v>
      </c>
      <c r="R4275" s="153" t="s">
        <v>780</v>
      </c>
      <c r="S4275" s="150"/>
    </row>
    <row r="4276" spans="1:19" hidden="1">
      <c r="A4276" s="149" t="s">
        <v>6427</v>
      </c>
      <c r="B4276" s="150" t="str">
        <f>IFERROR(VLOOKUP(Proc[[#This Row],[App]],Table2[],3,0),"open")</f>
        <v>ok</v>
      </c>
      <c r="C4276" s="149" t="s">
        <v>369</v>
      </c>
      <c r="D4276" t="s">
        <v>6414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4895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20</v>
      </c>
      <c r="R4276" s="153" t="s">
        <v>780</v>
      </c>
      <c r="S4276" s="150"/>
    </row>
    <row r="4277" spans="1:19" hidden="1">
      <c r="A4277" s="149" t="s">
        <v>6427</v>
      </c>
      <c r="B4277" s="150" t="str">
        <f>IFERROR(VLOOKUP(Proc[[#This Row],[App]],Table2[],3,0),"open")</f>
        <v>ok</v>
      </c>
      <c r="C4277" s="149" t="s">
        <v>369</v>
      </c>
      <c r="D4277" t="s">
        <v>6415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4895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20</v>
      </c>
      <c r="R4277" s="153" t="s">
        <v>780</v>
      </c>
      <c r="S4277" s="150"/>
    </row>
    <row r="4278" spans="1:19" hidden="1">
      <c r="A4278" s="149" t="s">
        <v>6427</v>
      </c>
      <c r="B4278" s="150" t="str">
        <f>IFERROR(VLOOKUP(Proc[[#This Row],[App]],Table2[],3,0),"open")</f>
        <v>ok</v>
      </c>
      <c r="C4278" s="149" t="s">
        <v>369</v>
      </c>
      <c r="D4278" t="s">
        <v>6416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4895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20</v>
      </c>
      <c r="R4278" s="153" t="s">
        <v>780</v>
      </c>
      <c r="S4278" s="150"/>
    </row>
    <row r="4279" spans="1:19" hidden="1">
      <c r="A4279" s="149" t="s">
        <v>6427</v>
      </c>
      <c r="B4279" s="150" t="str">
        <f>IFERROR(VLOOKUP(Proc[[#This Row],[App]],Table2[],3,0),"open")</f>
        <v>ok</v>
      </c>
      <c r="C4279" s="149" t="s">
        <v>369</v>
      </c>
      <c r="D4279" t="s">
        <v>6417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4895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20</v>
      </c>
      <c r="R4279" s="153" t="s">
        <v>780</v>
      </c>
      <c r="S4279" s="150"/>
    </row>
    <row r="4280" spans="1:19" hidden="1">
      <c r="A4280" s="149" t="s">
        <v>6427</v>
      </c>
      <c r="B4280" s="150" t="str">
        <f>IFERROR(VLOOKUP(Proc[[#This Row],[App]],Table2[],3,0),"open")</f>
        <v>ok</v>
      </c>
      <c r="C4280" s="149" t="s">
        <v>369</v>
      </c>
      <c r="D4280" t="s">
        <v>6418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4895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20</v>
      </c>
      <c r="R4280" s="153" t="s">
        <v>780</v>
      </c>
      <c r="S4280" s="150"/>
    </row>
    <row r="4281" spans="1:19" hidden="1">
      <c r="A4281" s="149" t="s">
        <v>6427</v>
      </c>
      <c r="B4281" s="150" t="str">
        <f>IFERROR(VLOOKUP(Proc[[#This Row],[App]],Table2[],3,0),"open")</f>
        <v>ok</v>
      </c>
      <c r="C4281" s="149" t="s">
        <v>369</v>
      </c>
      <c r="D4281" t="s">
        <v>6419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4895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20</v>
      </c>
      <c r="R4281" s="153" t="s">
        <v>780</v>
      </c>
      <c r="S4281" s="150"/>
    </row>
    <row r="4282" spans="1:19" hidden="1">
      <c r="A4282" s="149" t="s">
        <v>6427</v>
      </c>
      <c r="B4282" s="150" t="str">
        <f>IFERROR(VLOOKUP(Proc[[#This Row],[App]],Table2[],3,0),"open")</f>
        <v>ok</v>
      </c>
      <c r="C4282" s="149" t="s">
        <v>369</v>
      </c>
      <c r="D4282" t="s">
        <v>6420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4895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20</v>
      </c>
      <c r="R4282" s="153" t="s">
        <v>780</v>
      </c>
      <c r="S4282" s="150"/>
    </row>
    <row r="4283" spans="1:19" hidden="1">
      <c r="A4283" s="149" t="s">
        <v>6427</v>
      </c>
      <c r="B4283" s="150" t="str">
        <f>IFERROR(VLOOKUP(Proc[[#This Row],[App]],Table2[],3,0),"open")</f>
        <v>ok</v>
      </c>
      <c r="C4283" s="149" t="s">
        <v>369</v>
      </c>
      <c r="D4283" t="s">
        <v>6421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4895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20</v>
      </c>
      <c r="R4283" s="153" t="s">
        <v>780</v>
      </c>
      <c r="S4283" s="150"/>
    </row>
    <row r="4284" spans="1:19" hidden="1">
      <c r="A4284" s="149" t="s">
        <v>6427</v>
      </c>
      <c r="B4284" s="150" t="str">
        <f>IFERROR(VLOOKUP(Proc[[#This Row],[App]],Table2[],3,0),"open")</f>
        <v>ok</v>
      </c>
      <c r="C4284" s="149" t="s">
        <v>369</v>
      </c>
      <c r="D4284" t="s">
        <v>6422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4895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20</v>
      </c>
      <c r="R4284" s="153" t="s">
        <v>780</v>
      </c>
      <c r="S4284" s="150"/>
    </row>
    <row r="4285" spans="1:19" hidden="1">
      <c r="A4285" s="149" t="s">
        <v>6427</v>
      </c>
      <c r="B4285" s="150" t="str">
        <f>IFERROR(VLOOKUP(Proc[[#This Row],[App]],Table2[],3,0),"open")</f>
        <v>ok</v>
      </c>
      <c r="C4285" s="149" t="s">
        <v>369</v>
      </c>
      <c r="D4285" t="s">
        <v>6423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4895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20</v>
      </c>
      <c r="R4285" s="153" t="s">
        <v>780</v>
      </c>
      <c r="S4285" s="150"/>
    </row>
    <row r="4286" spans="1:19" hidden="1">
      <c r="A4286" s="149" t="s">
        <v>6427</v>
      </c>
      <c r="B4286" s="150" t="str">
        <f>IFERROR(VLOOKUP(Proc[[#This Row],[App]],Table2[],3,0),"open")</f>
        <v>ok</v>
      </c>
      <c r="C4286" s="149" t="s">
        <v>369</v>
      </c>
      <c r="D4286" t="s">
        <v>6424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4895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20</v>
      </c>
      <c r="R4286" s="153" t="s">
        <v>780</v>
      </c>
      <c r="S4286" s="150"/>
    </row>
    <row r="4287" spans="1:19" hidden="1">
      <c r="A4287" s="149" t="s">
        <v>6427</v>
      </c>
      <c r="B4287" s="150" t="str">
        <f>IFERROR(VLOOKUP(Proc[[#This Row],[App]],Table2[],3,0),"open")</f>
        <v>ok</v>
      </c>
      <c r="C4287" s="149" t="s">
        <v>369</v>
      </c>
      <c r="D4287" t="s">
        <v>6425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4895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20</v>
      </c>
      <c r="R4287" s="153" t="s">
        <v>780</v>
      </c>
      <c r="S4287" s="150"/>
    </row>
    <row r="4288" spans="1:19" hidden="1">
      <c r="A4288" s="149" t="s">
        <v>6427</v>
      </c>
      <c r="B4288" s="150" t="str">
        <f>IFERROR(VLOOKUP(Proc[[#This Row],[App]],Table2[],3,0),"open")</f>
        <v>ok</v>
      </c>
      <c r="C4288" s="149" t="s">
        <v>369</v>
      </c>
      <c r="D4288" t="s">
        <v>6426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4895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20</v>
      </c>
      <c r="R4288" s="153" t="s">
        <v>780</v>
      </c>
      <c r="S4288" s="150"/>
    </row>
    <row r="4289" spans="1:19" s="149" customFormat="1" hidden="1">
      <c r="A4289" s="149" t="s">
        <v>6428</v>
      </c>
      <c r="B4289" s="150" t="str">
        <f>IFERROR(VLOOKUP(Proc[[#This Row],[App]],Table2[],3,0),"open")</f>
        <v>ok</v>
      </c>
      <c r="C4289" s="149" t="s">
        <v>369</v>
      </c>
      <c r="D4289" s="149" t="s">
        <v>6429</v>
      </c>
      <c r="E4289" s="149" t="s">
        <v>6430</v>
      </c>
      <c r="F4289" s="150" t="s">
        <v>6430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4895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17</v>
      </c>
      <c r="R4289" s="154" t="s">
        <v>515</v>
      </c>
      <c r="S4289" s="150"/>
    </row>
    <row r="4290" spans="1:19" s="149" customFormat="1" hidden="1">
      <c r="A4290" s="149" t="s">
        <v>6431</v>
      </c>
      <c r="B4290" s="150" t="str">
        <f>IFERROR(VLOOKUP(Proc[[#This Row],[App]],Table2[],3,0),"open")</f>
        <v>ok</v>
      </c>
      <c r="C4290" s="149" t="s">
        <v>369</v>
      </c>
      <c r="D4290" s="149" t="s">
        <v>6252</v>
      </c>
      <c r="E4290" s="149" t="s">
        <v>6249</v>
      </c>
      <c r="F4290" s="150" t="s">
        <v>6249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6436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16</v>
      </c>
      <c r="R4290" s="154" t="s">
        <v>780</v>
      </c>
      <c r="S4290" s="150"/>
    </row>
    <row r="4291" spans="1:19" s="149" customFormat="1" hidden="1">
      <c r="A4291" s="149" t="s">
        <v>6431</v>
      </c>
      <c r="B4291" s="150" t="str">
        <f>IFERROR(VLOOKUP(Proc[[#This Row],[App]],Table2[],3,0),"open")</f>
        <v>ok</v>
      </c>
      <c r="C4291" s="149" t="s">
        <v>369</v>
      </c>
      <c r="D4291" s="149" t="s">
        <v>6432</v>
      </c>
      <c r="E4291" s="149" t="s">
        <v>6250</v>
      </c>
      <c r="F4291" s="150" t="s">
        <v>6250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6436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16</v>
      </c>
      <c r="R4291" s="154" t="s">
        <v>780</v>
      </c>
      <c r="S4291" s="150"/>
    </row>
    <row r="4292" spans="1:19" s="149" customFormat="1" hidden="1">
      <c r="A4292" s="149" t="s">
        <v>6431</v>
      </c>
      <c r="B4292" s="150" t="str">
        <f>IFERROR(VLOOKUP(Proc[[#This Row],[App]],Table2[],3,0),"open")</f>
        <v>ok</v>
      </c>
      <c r="C4292" s="149" t="s">
        <v>369</v>
      </c>
      <c r="D4292" s="149" t="s">
        <v>6433</v>
      </c>
      <c r="E4292" s="149" t="s">
        <v>6250</v>
      </c>
      <c r="F4292" s="150" t="s">
        <v>6250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6436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16</v>
      </c>
      <c r="R4292" s="154" t="s">
        <v>780</v>
      </c>
      <c r="S4292" s="150"/>
    </row>
    <row r="4293" spans="1:19" s="149" customFormat="1" hidden="1">
      <c r="A4293" s="149" t="s">
        <v>6431</v>
      </c>
      <c r="B4293" s="150" t="str">
        <f>IFERROR(VLOOKUP(Proc[[#This Row],[App]],Table2[],3,0),"open")</f>
        <v>ok</v>
      </c>
      <c r="C4293" s="149" t="s">
        <v>369</v>
      </c>
      <c r="D4293" s="149" t="s">
        <v>6434</v>
      </c>
      <c r="E4293" s="149" t="s">
        <v>6478</v>
      </c>
      <c r="F4293" s="150" t="s">
        <v>6478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6436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16</v>
      </c>
      <c r="R4293" s="154" t="s">
        <v>780</v>
      </c>
      <c r="S4293" s="150"/>
    </row>
    <row r="4294" spans="1:19" hidden="1">
      <c r="A4294" t="s">
        <v>6435</v>
      </c>
      <c r="B4294" s="150" t="str">
        <f>IFERROR(VLOOKUP(Proc[[#This Row],[App]],Table2[],3,0),"open")</f>
        <v>ok</v>
      </c>
      <c r="C4294" s="149" t="s">
        <v>369</v>
      </c>
      <c r="D4294" t="s">
        <v>6361</v>
      </c>
      <c r="E4294" t="s">
        <v>6404</v>
      </c>
      <c r="F4294" s="150" t="s">
        <v>6404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6436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16</v>
      </c>
      <c r="R4294" s="154" t="s">
        <v>410</v>
      </c>
      <c r="S4294" s="150"/>
    </row>
    <row r="4295" spans="1:19" hidden="1">
      <c r="A4295" t="s">
        <v>6435</v>
      </c>
      <c r="B4295" s="150" t="str">
        <f>IFERROR(VLOOKUP(Proc[[#This Row],[App]],Table2[],3,0),"open")</f>
        <v>ok</v>
      </c>
      <c r="C4295" s="149" t="s">
        <v>369</v>
      </c>
      <c r="D4295" t="s">
        <v>6373</v>
      </c>
      <c r="E4295" t="s">
        <v>6404</v>
      </c>
      <c r="F4295" s="150" t="s">
        <v>6404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6436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16</v>
      </c>
      <c r="R4295" s="154" t="s">
        <v>410</v>
      </c>
      <c r="S4295" s="150"/>
    </row>
    <row r="4296" spans="1:19" hidden="1">
      <c r="A4296" t="s">
        <v>6437</v>
      </c>
      <c r="B4296" s="150" t="str">
        <f>IFERROR(VLOOKUP(Proc[[#This Row],[App]],Table2[],3,0),"open")</f>
        <v>open</v>
      </c>
      <c r="C4296" s="149" t="s">
        <v>369</v>
      </c>
      <c r="D4296" t="s">
        <v>6245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6436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14</v>
      </c>
      <c r="R4296" s="154" t="s">
        <v>1459</v>
      </c>
      <c r="S4296" s="150"/>
    </row>
    <row r="4297" spans="1:19" hidden="1">
      <c r="A4297" s="149" t="s">
        <v>6437</v>
      </c>
      <c r="B4297" s="150" t="str">
        <f>IFERROR(VLOOKUP(Proc[[#This Row],[App]],Table2[],3,0),"open")</f>
        <v>open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6436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14</v>
      </c>
      <c r="R4297" s="154" t="s">
        <v>1459</v>
      </c>
      <c r="S4297" s="150"/>
    </row>
    <row r="4298" spans="1:19" hidden="1">
      <c r="A4298" s="149" t="s">
        <v>6437</v>
      </c>
      <c r="B4298" s="150" t="str">
        <f>IFERROR(VLOOKUP(Proc[[#This Row],[App]],Table2[],3,0),"open")</f>
        <v>open</v>
      </c>
      <c r="C4298" s="149" t="s">
        <v>369</v>
      </c>
      <c r="D4298" t="s">
        <v>4408</v>
      </c>
      <c r="E4298" t="s">
        <v>4412</v>
      </c>
      <c r="F4298" s="150" t="s">
        <v>4412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6436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14</v>
      </c>
      <c r="R4298" s="154" t="s">
        <v>1459</v>
      </c>
      <c r="S4298" s="150"/>
    </row>
    <row r="4299" spans="1:19" hidden="1">
      <c r="A4299" s="149" t="s">
        <v>6437</v>
      </c>
      <c r="B4299" s="150" t="str">
        <f>IFERROR(VLOOKUP(Proc[[#This Row],[App]],Table2[],3,0),"open")</f>
        <v>open</v>
      </c>
      <c r="C4299" s="149" t="s">
        <v>369</v>
      </c>
      <c r="D4299" t="s">
        <v>6438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6436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14</v>
      </c>
      <c r="R4299" s="154" t="s">
        <v>1459</v>
      </c>
      <c r="S4299" s="150"/>
    </row>
    <row r="4300" spans="1:19" hidden="1">
      <c r="A4300" s="149" t="s">
        <v>6437</v>
      </c>
      <c r="B4300" s="150" t="str">
        <f>IFERROR(VLOOKUP(Proc[[#This Row],[App]],Table2[],3,0),"open")</f>
        <v>open</v>
      </c>
      <c r="C4300" s="149" t="s">
        <v>369</v>
      </c>
      <c r="D4300" t="s">
        <v>5442</v>
      </c>
      <c r="E4300" t="s">
        <v>6446</v>
      </c>
      <c r="F4300" s="150" t="s">
        <v>6446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6436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14</v>
      </c>
      <c r="R4300" s="154" t="s">
        <v>1459</v>
      </c>
      <c r="S4300" s="150"/>
    </row>
    <row r="4301" spans="1:19" hidden="1">
      <c r="A4301" s="149" t="s">
        <v>6437</v>
      </c>
      <c r="B4301" s="150" t="str">
        <f>IFERROR(VLOOKUP(Proc[[#This Row],[App]],Table2[],3,0),"open")</f>
        <v>open</v>
      </c>
      <c r="C4301" s="149" t="s">
        <v>369</v>
      </c>
      <c r="D4301" t="s">
        <v>5440</v>
      </c>
      <c r="E4301" t="s">
        <v>6446</v>
      </c>
      <c r="F4301" s="150" t="s">
        <v>6446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6436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14</v>
      </c>
      <c r="R4301" s="154" t="s">
        <v>1459</v>
      </c>
      <c r="S4301" s="150"/>
    </row>
    <row r="4302" spans="1:19" hidden="1">
      <c r="A4302" s="149" t="s">
        <v>6437</v>
      </c>
      <c r="B4302" s="150" t="str">
        <f>IFERROR(VLOOKUP(Proc[[#This Row],[App]],Table2[],3,0),"open")</f>
        <v>open</v>
      </c>
      <c r="C4302" s="149" t="s">
        <v>369</v>
      </c>
      <c r="D4302" t="s">
        <v>5305</v>
      </c>
      <c r="E4302" t="s">
        <v>6447</v>
      </c>
      <c r="F4302" s="150" t="s">
        <v>6447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6436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14</v>
      </c>
      <c r="R4302" s="154" t="s">
        <v>1459</v>
      </c>
      <c r="S4302" s="150"/>
    </row>
    <row r="4303" spans="1:19" hidden="1">
      <c r="A4303" s="149" t="s">
        <v>6437</v>
      </c>
      <c r="B4303" s="150" t="str">
        <f>IFERROR(VLOOKUP(Proc[[#This Row],[App]],Table2[],3,0),"open")</f>
        <v>open</v>
      </c>
      <c r="C4303" s="149" t="s">
        <v>369</v>
      </c>
      <c r="D4303" t="s">
        <v>5441</v>
      </c>
      <c r="E4303" t="s">
        <v>6448</v>
      </c>
      <c r="F4303" s="150" t="s">
        <v>6448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6436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14</v>
      </c>
      <c r="R4303" s="154" t="s">
        <v>1459</v>
      </c>
      <c r="S4303" s="150"/>
    </row>
    <row r="4304" spans="1:19">
      <c r="A4304" s="149" t="s">
        <v>6437</v>
      </c>
      <c r="B4304" s="150" t="str">
        <f>IFERROR(VLOOKUP(Proc[[#This Row],[App]],Table2[],3,0),"open")</f>
        <v>open</v>
      </c>
      <c r="C4304" s="149" t="s">
        <v>692</v>
      </c>
      <c r="D4304" t="s">
        <v>2319</v>
      </c>
      <c r="E4304" t="s">
        <v>430</v>
      </c>
      <c r="F4304" s="150" t="s">
        <v>5570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4833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6436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14</v>
      </c>
      <c r="R4304" s="154" t="s">
        <v>1459</v>
      </c>
      <c r="S4304" s="150"/>
    </row>
    <row r="4305" spans="1:19" hidden="1">
      <c r="A4305" s="149" t="s">
        <v>6437</v>
      </c>
      <c r="B4305" s="150" t="str">
        <f>IFERROR(VLOOKUP(Proc[[#This Row],[App]],Table2[],3,0),"open")</f>
        <v>open</v>
      </c>
      <c r="C4305" s="149" t="s">
        <v>369</v>
      </c>
      <c r="D4305" t="s">
        <v>6439</v>
      </c>
      <c r="E4305" t="s">
        <v>6159</v>
      </c>
      <c r="F4305" s="150" t="s">
        <v>6159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6436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14</v>
      </c>
      <c r="R4305" s="154" t="s">
        <v>1459</v>
      </c>
      <c r="S4305" s="150"/>
    </row>
    <row r="4306" spans="1:19" hidden="1">
      <c r="A4306" s="149" t="s">
        <v>6437</v>
      </c>
      <c r="B4306" s="150" t="str">
        <f>IFERROR(VLOOKUP(Proc[[#This Row],[App]],Table2[],3,0),"open")</f>
        <v>open</v>
      </c>
      <c r="C4306" s="149" t="s">
        <v>369</v>
      </c>
      <c r="D4306" t="s">
        <v>5439</v>
      </c>
      <c r="E4306" t="s">
        <v>6448</v>
      </c>
      <c r="F4306" s="150" t="s">
        <v>6448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6436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14</v>
      </c>
      <c r="R4306" s="154" t="s">
        <v>1459</v>
      </c>
      <c r="S4306" s="150"/>
    </row>
    <row r="4307" spans="1:19" hidden="1">
      <c r="A4307" s="149" t="s">
        <v>6437</v>
      </c>
      <c r="B4307" s="150" t="str">
        <f>IFERROR(VLOOKUP(Proc[[#This Row],[App]],Table2[],3,0),"open")</f>
        <v>open</v>
      </c>
      <c r="C4307" s="149" t="s">
        <v>369</v>
      </c>
      <c r="D4307" t="s">
        <v>5437</v>
      </c>
      <c r="E4307" t="s">
        <v>6446</v>
      </c>
      <c r="F4307" s="150" t="s">
        <v>6446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6436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14</v>
      </c>
      <c r="R4307" s="154" t="s">
        <v>1459</v>
      </c>
      <c r="S4307" s="150"/>
    </row>
    <row r="4308" spans="1:19" hidden="1">
      <c r="A4308" s="149" t="s">
        <v>6437</v>
      </c>
      <c r="B4308" s="150" t="str">
        <f>IFERROR(VLOOKUP(Proc[[#This Row],[App]],Table2[],3,0),"open")</f>
        <v>open</v>
      </c>
      <c r="C4308" s="149" t="s">
        <v>369</v>
      </c>
      <c r="D4308" t="s">
        <v>6440</v>
      </c>
      <c r="E4308" t="s">
        <v>6449</v>
      </c>
      <c r="F4308" s="150" t="s">
        <v>6449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6436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14</v>
      </c>
      <c r="R4308" s="154" t="s">
        <v>1459</v>
      </c>
      <c r="S4308" s="150"/>
    </row>
    <row r="4309" spans="1:19" hidden="1">
      <c r="A4309" s="149" t="s">
        <v>6437</v>
      </c>
      <c r="B4309" s="150" t="str">
        <f>IFERROR(VLOOKUP(Proc[[#This Row],[App]],Table2[],3,0),"open")</f>
        <v>open</v>
      </c>
      <c r="C4309" s="149" t="s">
        <v>369</v>
      </c>
      <c r="D4309" t="s">
        <v>6441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6436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14</v>
      </c>
      <c r="R4309" s="154" t="s">
        <v>1459</v>
      </c>
      <c r="S4309" s="150"/>
    </row>
    <row r="4310" spans="1:19" hidden="1">
      <c r="A4310" s="149" t="s">
        <v>6437</v>
      </c>
      <c r="B4310" s="150" t="str">
        <f>IFERROR(VLOOKUP(Proc[[#This Row],[App]],Table2[],3,0),"open")</f>
        <v>open</v>
      </c>
      <c r="C4310" s="149" t="s">
        <v>369</v>
      </c>
      <c r="D4310" t="s">
        <v>5444</v>
      </c>
      <c r="E4310" t="s">
        <v>6450</v>
      </c>
      <c r="F4310" s="150" t="s">
        <v>6450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6436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14</v>
      </c>
      <c r="R4310" s="154" t="s">
        <v>1459</v>
      </c>
      <c r="S4310" s="150"/>
    </row>
    <row r="4311" spans="1:19" hidden="1">
      <c r="A4311" s="149" t="s">
        <v>6437</v>
      </c>
      <c r="B4311" s="150" t="str">
        <f>IFERROR(VLOOKUP(Proc[[#This Row],[App]],Table2[],3,0),"open")</f>
        <v>open</v>
      </c>
      <c r="C4311" s="149" t="s">
        <v>369</v>
      </c>
      <c r="D4311" t="s">
        <v>5443</v>
      </c>
      <c r="E4311" t="s">
        <v>6446</v>
      </c>
      <c r="F4311" s="150" t="s">
        <v>6446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6436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14</v>
      </c>
      <c r="R4311" s="154" t="s">
        <v>1459</v>
      </c>
      <c r="S4311" s="150"/>
    </row>
    <row r="4312" spans="1:19" hidden="1">
      <c r="A4312" s="149" t="s">
        <v>6437</v>
      </c>
      <c r="B4312" s="150" t="str">
        <f>IFERROR(VLOOKUP(Proc[[#This Row],[App]],Table2[],3,0),"open")</f>
        <v>open</v>
      </c>
      <c r="C4312" s="149" t="s">
        <v>369</v>
      </c>
      <c r="D4312" t="s">
        <v>5435</v>
      </c>
      <c r="E4312" t="s">
        <v>6451</v>
      </c>
      <c r="F4312" s="150" t="s">
        <v>6451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6436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14</v>
      </c>
      <c r="R4312" s="154" t="s">
        <v>1459</v>
      </c>
      <c r="S4312" s="150"/>
    </row>
    <row r="4313" spans="1:19" hidden="1">
      <c r="A4313" s="149" t="s">
        <v>6437</v>
      </c>
      <c r="B4313" s="150" t="str">
        <f>IFERROR(VLOOKUP(Proc[[#This Row],[App]],Table2[],3,0),"open")</f>
        <v>open</v>
      </c>
      <c r="C4313" s="149" t="s">
        <v>369</v>
      </c>
      <c r="D4313" t="s">
        <v>6442</v>
      </c>
      <c r="E4313" t="s">
        <v>4411</v>
      </c>
      <c r="F4313" s="150" t="s">
        <v>4411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6436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14</v>
      </c>
      <c r="R4313" s="154" t="s">
        <v>1459</v>
      </c>
      <c r="S4313" s="150"/>
    </row>
    <row r="4314" spans="1:19" hidden="1">
      <c r="A4314" s="149" t="s">
        <v>6437</v>
      </c>
      <c r="B4314" s="150" t="str">
        <f>IFERROR(VLOOKUP(Proc[[#This Row],[App]],Table2[],3,0),"open")</f>
        <v>open</v>
      </c>
      <c r="C4314" s="149" t="s">
        <v>369</v>
      </c>
      <c r="D4314" t="s">
        <v>6443</v>
      </c>
      <c r="E4314" t="s">
        <v>6449</v>
      </c>
      <c r="F4314" s="150" t="s">
        <v>6449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6436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14</v>
      </c>
      <c r="R4314" s="154" t="s">
        <v>1459</v>
      </c>
      <c r="S4314" s="150"/>
    </row>
    <row r="4315" spans="1:19" hidden="1">
      <c r="A4315" s="149" t="s">
        <v>6437</v>
      </c>
      <c r="B4315" s="150" t="str">
        <f>IFERROR(VLOOKUP(Proc[[#This Row],[App]],Table2[],3,0),"open")</f>
        <v>open</v>
      </c>
      <c r="C4315" s="149" t="s">
        <v>369</v>
      </c>
      <c r="D4315" t="s">
        <v>6444</v>
      </c>
      <c r="E4315" t="s">
        <v>6449</v>
      </c>
      <c r="F4315" s="150" t="s">
        <v>6449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6436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14</v>
      </c>
      <c r="R4315" s="154" t="s">
        <v>1459</v>
      </c>
      <c r="S4315" s="150"/>
    </row>
    <row r="4316" spans="1:19" hidden="1">
      <c r="A4316" s="149" t="s">
        <v>6437</v>
      </c>
      <c r="B4316" s="150" t="str">
        <f>IFERROR(VLOOKUP(Proc[[#This Row],[App]],Table2[],3,0),"open")</f>
        <v>open</v>
      </c>
      <c r="C4316" s="149" t="s">
        <v>369</v>
      </c>
      <c r="D4316" t="s">
        <v>6445</v>
      </c>
      <c r="E4316" t="s">
        <v>6449</v>
      </c>
      <c r="F4316" s="150" t="s">
        <v>6449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6436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14</v>
      </c>
      <c r="R4316" s="154" t="s">
        <v>1459</v>
      </c>
      <c r="S4316" s="150"/>
    </row>
    <row r="4317" spans="1:19" hidden="1">
      <c r="A4317" t="s">
        <v>6452</v>
      </c>
      <c r="B4317" s="150" t="str">
        <f>IFERROR(VLOOKUP(Proc[[#This Row],[App]],Table2[],3,0),"open")</f>
        <v>ok</v>
      </c>
      <c r="C4317" s="149" t="s">
        <v>369</v>
      </c>
      <c r="D4317" t="s">
        <v>6453</v>
      </c>
      <c r="E4317" t="s">
        <v>6469</v>
      </c>
      <c r="F4317" s="150" t="s">
        <v>6469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6436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14</v>
      </c>
      <c r="R4317" s="154" t="s">
        <v>489</v>
      </c>
      <c r="S4317" s="150"/>
    </row>
    <row r="4318" spans="1:19" hidden="1">
      <c r="A4318" s="149" t="s">
        <v>6452</v>
      </c>
      <c r="B4318" s="150" t="str">
        <f>IFERROR(VLOOKUP(Proc[[#This Row],[App]],Table2[],3,0),"open")</f>
        <v>ok</v>
      </c>
      <c r="C4318" s="149" t="s">
        <v>369</v>
      </c>
      <c r="D4318" t="s">
        <v>6454</v>
      </c>
      <c r="E4318" t="s">
        <v>6470</v>
      </c>
      <c r="F4318" s="150" t="s">
        <v>6470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6436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14</v>
      </c>
      <c r="R4318" s="154" t="s">
        <v>489</v>
      </c>
      <c r="S4318" s="150"/>
    </row>
    <row r="4319" spans="1:19" hidden="1">
      <c r="A4319" s="149" t="s">
        <v>6452</v>
      </c>
      <c r="B4319" s="150" t="str">
        <f>IFERROR(VLOOKUP(Proc[[#This Row],[App]],Table2[],3,0),"open")</f>
        <v>ok</v>
      </c>
      <c r="C4319" s="149" t="s">
        <v>369</v>
      </c>
      <c r="D4319" t="s">
        <v>6455</v>
      </c>
      <c r="E4319" t="s">
        <v>6471</v>
      </c>
      <c r="F4319" s="150" t="s">
        <v>6471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6436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14</v>
      </c>
      <c r="R4319" s="154" t="s">
        <v>489</v>
      </c>
      <c r="S4319" s="150"/>
    </row>
    <row r="4320" spans="1:19" hidden="1">
      <c r="A4320" s="149" t="s">
        <v>6452</v>
      </c>
      <c r="B4320" s="150" t="str">
        <f>IFERROR(VLOOKUP(Proc[[#This Row],[App]],Table2[],3,0),"open")</f>
        <v>ok</v>
      </c>
      <c r="C4320" s="149" t="s">
        <v>369</v>
      </c>
      <c r="D4320" t="s">
        <v>6456</v>
      </c>
      <c r="E4320" t="s">
        <v>6469</v>
      </c>
      <c r="F4320" s="150" t="s">
        <v>6469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6436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14</v>
      </c>
      <c r="R4320" s="154" t="s">
        <v>489</v>
      </c>
      <c r="S4320" s="150"/>
    </row>
    <row r="4321" spans="1:19" hidden="1">
      <c r="A4321" s="149" t="s">
        <v>6452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6472</v>
      </c>
      <c r="F4321" s="150" t="s">
        <v>6472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6436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14</v>
      </c>
      <c r="R4321" s="154" t="s">
        <v>489</v>
      </c>
      <c r="S4321" s="150"/>
    </row>
    <row r="4322" spans="1:19" hidden="1">
      <c r="A4322" s="149" t="s">
        <v>6452</v>
      </c>
      <c r="B4322" s="150" t="str">
        <f>IFERROR(VLOOKUP(Proc[[#This Row],[App]],Table2[],3,0),"open")</f>
        <v>ok</v>
      </c>
      <c r="C4322" s="149" t="s">
        <v>369</v>
      </c>
      <c r="D4322" t="s">
        <v>6457</v>
      </c>
      <c r="E4322" t="s">
        <v>6473</v>
      </c>
      <c r="F4322" s="150" t="s">
        <v>6473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6436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14</v>
      </c>
      <c r="R4322" s="154" t="s">
        <v>489</v>
      </c>
      <c r="S4322" s="150"/>
    </row>
    <row r="4323" spans="1:19" hidden="1">
      <c r="A4323" s="149" t="s">
        <v>6452</v>
      </c>
      <c r="B4323" s="150" t="str">
        <f>IFERROR(VLOOKUP(Proc[[#This Row],[App]],Table2[],3,0),"open")</f>
        <v>ok</v>
      </c>
      <c r="C4323" s="149" t="s">
        <v>369</v>
      </c>
      <c r="D4323" t="s">
        <v>6458</v>
      </c>
      <c r="E4323" t="s">
        <v>6473</v>
      </c>
      <c r="F4323" s="150" t="s">
        <v>6473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6436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14</v>
      </c>
      <c r="R4323" s="154" t="s">
        <v>489</v>
      </c>
      <c r="S4323" s="150"/>
    </row>
    <row r="4324" spans="1:19" hidden="1">
      <c r="A4324" s="149" t="s">
        <v>6452</v>
      </c>
      <c r="B4324" s="150" t="str">
        <f>IFERROR(VLOOKUP(Proc[[#This Row],[App]],Table2[],3,0),"open")</f>
        <v>ok</v>
      </c>
      <c r="C4324" s="149" t="s">
        <v>369</v>
      </c>
      <c r="D4324" t="s">
        <v>6459</v>
      </c>
      <c r="E4324" t="s">
        <v>6473</v>
      </c>
      <c r="F4324" s="150" t="s">
        <v>6473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6436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14</v>
      </c>
      <c r="R4324" s="154" t="s">
        <v>489</v>
      </c>
      <c r="S4324" s="150"/>
    </row>
    <row r="4325" spans="1:19" hidden="1">
      <c r="A4325" s="149" t="s">
        <v>6452</v>
      </c>
      <c r="B4325" s="150" t="str">
        <f>IFERROR(VLOOKUP(Proc[[#This Row],[App]],Table2[],3,0),"open")</f>
        <v>ok</v>
      </c>
      <c r="C4325" s="149" t="s">
        <v>369</v>
      </c>
      <c r="D4325" t="s">
        <v>6460</v>
      </c>
      <c r="E4325" t="s">
        <v>6473</v>
      </c>
      <c r="F4325" s="150" t="s">
        <v>6473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6436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14</v>
      </c>
      <c r="R4325" s="154" t="s">
        <v>489</v>
      </c>
      <c r="S4325" s="150"/>
    </row>
    <row r="4326" spans="1:19" hidden="1">
      <c r="A4326" s="149" t="s">
        <v>6452</v>
      </c>
      <c r="B4326" s="150" t="str">
        <f>IFERROR(VLOOKUP(Proc[[#This Row],[App]],Table2[],3,0),"open")</f>
        <v>ok</v>
      </c>
      <c r="C4326" s="149" t="s">
        <v>369</v>
      </c>
      <c r="D4326" t="s">
        <v>6461</v>
      </c>
      <c r="E4326" t="s">
        <v>6473</v>
      </c>
      <c r="F4326" s="150" t="s">
        <v>6473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6436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14</v>
      </c>
      <c r="R4326" s="154" t="s">
        <v>489</v>
      </c>
      <c r="S4326" s="150"/>
    </row>
    <row r="4327" spans="1:19" hidden="1">
      <c r="A4327" s="149" t="s">
        <v>6452</v>
      </c>
      <c r="B4327" s="150" t="str">
        <f>IFERROR(VLOOKUP(Proc[[#This Row],[App]],Table2[],3,0),"open")</f>
        <v>ok</v>
      </c>
      <c r="C4327" s="149" t="s">
        <v>369</v>
      </c>
      <c r="D4327" t="s">
        <v>6462</v>
      </c>
      <c r="E4327" t="s">
        <v>6473</v>
      </c>
      <c r="F4327" s="150" t="s">
        <v>6473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6436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14</v>
      </c>
      <c r="R4327" s="154" t="s">
        <v>489</v>
      </c>
      <c r="S4327" s="150"/>
    </row>
    <row r="4328" spans="1:19" hidden="1">
      <c r="A4328" s="149" t="s">
        <v>6452</v>
      </c>
      <c r="B4328" s="150" t="str">
        <f>IFERROR(VLOOKUP(Proc[[#This Row],[App]],Table2[],3,0),"open")</f>
        <v>ok</v>
      </c>
      <c r="C4328" s="149" t="s">
        <v>369</v>
      </c>
      <c r="D4328" t="s">
        <v>6463</v>
      </c>
      <c r="E4328" t="s">
        <v>6473</v>
      </c>
      <c r="F4328" s="150" t="s">
        <v>6473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6436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14</v>
      </c>
      <c r="R4328" s="154" t="s">
        <v>489</v>
      </c>
      <c r="S4328" s="150"/>
    </row>
    <row r="4329" spans="1:19" hidden="1">
      <c r="A4329" s="149" t="s">
        <v>6452</v>
      </c>
      <c r="B4329" s="150" t="str">
        <f>IFERROR(VLOOKUP(Proc[[#This Row],[App]],Table2[],3,0),"open")</f>
        <v>ok</v>
      </c>
      <c r="C4329" s="149" t="s">
        <v>369</v>
      </c>
      <c r="D4329" t="s">
        <v>6464</v>
      </c>
      <c r="E4329" t="s">
        <v>6473</v>
      </c>
      <c r="F4329" s="150" t="s">
        <v>6473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6436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14</v>
      </c>
      <c r="R4329" s="154" t="s">
        <v>489</v>
      </c>
      <c r="S4329" s="150"/>
    </row>
    <row r="4330" spans="1:19" hidden="1">
      <c r="A4330" s="149" t="s">
        <v>6452</v>
      </c>
      <c r="B4330" s="150" t="str">
        <f>IFERROR(VLOOKUP(Proc[[#This Row],[App]],Table2[],3,0),"open")</f>
        <v>ok</v>
      </c>
      <c r="C4330" s="149" t="s">
        <v>369</v>
      </c>
      <c r="D4330" t="s">
        <v>6459</v>
      </c>
      <c r="E4330" t="s">
        <v>6473</v>
      </c>
      <c r="F4330" s="150" t="s">
        <v>6473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6436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14</v>
      </c>
      <c r="R4330" s="154" t="s">
        <v>489</v>
      </c>
      <c r="S4330" s="150"/>
    </row>
    <row r="4331" spans="1:19" hidden="1">
      <c r="A4331" s="149" t="s">
        <v>6452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6473</v>
      </c>
      <c r="F4331" s="150" t="s">
        <v>6473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6436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14</v>
      </c>
      <c r="R4331" s="154" t="s">
        <v>489</v>
      </c>
      <c r="S4331" s="150"/>
    </row>
    <row r="4332" spans="1:19" hidden="1">
      <c r="A4332" s="149" t="s">
        <v>6452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6473</v>
      </c>
      <c r="F4332" s="150" t="s">
        <v>6473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6436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14</v>
      </c>
      <c r="R4332" s="154" t="s">
        <v>489</v>
      </c>
      <c r="S4332" s="150"/>
    </row>
    <row r="4333" spans="1:19" hidden="1">
      <c r="A4333" s="149" t="s">
        <v>6452</v>
      </c>
      <c r="B4333" s="150" t="str">
        <f>IFERROR(VLOOKUP(Proc[[#This Row],[App]],Table2[],3,0),"open")</f>
        <v>ok</v>
      </c>
      <c r="C4333" s="149" t="s">
        <v>369</v>
      </c>
      <c r="D4333" t="s">
        <v>6465</v>
      </c>
      <c r="E4333" t="s">
        <v>6474</v>
      </c>
      <c r="F4333" s="150" t="s">
        <v>6474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6436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14</v>
      </c>
      <c r="R4333" s="154" t="s">
        <v>489</v>
      </c>
      <c r="S4333" s="150"/>
    </row>
    <row r="4334" spans="1:19" hidden="1">
      <c r="A4334" s="149" t="s">
        <v>6452</v>
      </c>
      <c r="B4334" s="150" t="str">
        <f>IFERROR(VLOOKUP(Proc[[#This Row],[App]],Table2[],3,0),"open")</f>
        <v>ok</v>
      </c>
      <c r="C4334" s="149" t="s">
        <v>369</v>
      </c>
      <c r="D4334" t="s">
        <v>6466</v>
      </c>
      <c r="E4334" t="s">
        <v>6474</v>
      </c>
      <c r="F4334" s="150" t="s">
        <v>6474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6436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14</v>
      </c>
      <c r="R4334" s="154" t="s">
        <v>489</v>
      </c>
      <c r="S4334" s="150"/>
    </row>
    <row r="4335" spans="1:19" hidden="1">
      <c r="A4335" s="149" t="s">
        <v>6452</v>
      </c>
      <c r="B4335" s="150" t="str">
        <f>IFERROR(VLOOKUP(Proc[[#This Row],[App]],Table2[],3,0),"open")</f>
        <v>ok</v>
      </c>
      <c r="C4335" s="149" t="s">
        <v>369</v>
      </c>
      <c r="D4335" t="s">
        <v>6467</v>
      </c>
      <c r="E4335" t="s">
        <v>6474</v>
      </c>
      <c r="F4335" s="150" t="s">
        <v>6474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6436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14</v>
      </c>
      <c r="R4335" s="154" t="s">
        <v>489</v>
      </c>
      <c r="S4335" s="150"/>
    </row>
    <row r="4336" spans="1:19" hidden="1">
      <c r="A4336" s="149" t="s">
        <v>6452</v>
      </c>
      <c r="B4336" s="150" t="str">
        <f>IFERROR(VLOOKUP(Proc[[#This Row],[App]],Table2[],3,0),"open")</f>
        <v>ok</v>
      </c>
      <c r="C4336" s="149" t="s">
        <v>369</v>
      </c>
      <c r="D4336" t="s">
        <v>6468</v>
      </c>
      <c r="E4336" t="s">
        <v>6474</v>
      </c>
      <c r="F4336" s="150" t="s">
        <v>6474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6436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14</v>
      </c>
      <c r="R4336" s="154" t="s">
        <v>489</v>
      </c>
      <c r="S4336" s="150"/>
    </row>
    <row r="4337" spans="1:19" hidden="1">
      <c r="A4337" s="149" t="s">
        <v>6452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6474</v>
      </c>
      <c r="F4337" s="150" t="s">
        <v>6474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6436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14</v>
      </c>
      <c r="R4337" s="154" t="s">
        <v>489</v>
      </c>
      <c r="S4337" s="150"/>
    </row>
    <row r="4338" spans="1:19" hidden="1">
      <c r="A4338" s="149" t="s">
        <v>6452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6472</v>
      </c>
      <c r="F4338" s="150" t="s">
        <v>6472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6436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14</v>
      </c>
      <c r="R4338" s="154" t="s">
        <v>489</v>
      </c>
      <c r="S4338" s="150"/>
    </row>
    <row r="4339" spans="1:19" hidden="1">
      <c r="A4339" t="s">
        <v>6475</v>
      </c>
      <c r="B4339" s="150" t="str">
        <f>IFERROR(VLOOKUP(Proc[[#This Row],[App]],Table2[],3,0),"open")</f>
        <v>ok</v>
      </c>
      <c r="C4339" s="149" t="s">
        <v>369</v>
      </c>
      <c r="D4339" t="s">
        <v>6479</v>
      </c>
      <c r="E4339" t="s">
        <v>6477</v>
      </c>
      <c r="F4339" s="150" t="s">
        <v>6477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6436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14</v>
      </c>
      <c r="R4339" s="154" t="s">
        <v>489</v>
      </c>
      <c r="S4339" s="150"/>
    </row>
    <row r="4340" spans="1:19" hidden="1">
      <c r="A4340" s="149" t="s">
        <v>6475</v>
      </c>
      <c r="B4340" s="150" t="str">
        <f>IFERROR(VLOOKUP(Proc[[#This Row],[App]],Table2[],3,0),"open")</f>
        <v>ok</v>
      </c>
      <c r="C4340" s="149" t="s">
        <v>369</v>
      </c>
      <c r="D4340" t="s">
        <v>6476</v>
      </c>
      <c r="E4340" t="s">
        <v>6473</v>
      </c>
      <c r="F4340" s="150" t="s">
        <v>6473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6436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14</v>
      </c>
      <c r="R4340" s="154" t="s">
        <v>489</v>
      </c>
      <c r="S4340" s="150"/>
    </row>
    <row r="4341" spans="1:19" hidden="1">
      <c r="A4341" t="s">
        <v>6480</v>
      </c>
      <c r="B4341" s="150" t="str">
        <f>IFERROR(VLOOKUP(Proc[[#This Row],[App]],Table2[],3,0),"open")</f>
        <v>ok</v>
      </c>
      <c r="C4341" s="149" t="s">
        <v>369</v>
      </c>
      <c r="D4341" t="s">
        <v>6503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6436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14</v>
      </c>
      <c r="R4341" s="156" t="s">
        <v>1459</v>
      </c>
      <c r="S4341" s="150"/>
    </row>
    <row r="4342" spans="1:19" hidden="1">
      <c r="A4342" t="s">
        <v>6480</v>
      </c>
      <c r="B4342" s="150" t="str">
        <f>IFERROR(VLOOKUP(Proc[[#This Row],[App]],Table2[],3,0),"open")</f>
        <v>ok</v>
      </c>
      <c r="C4342" s="149" t="s">
        <v>369</v>
      </c>
      <c r="D4342" t="s">
        <v>6504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6436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14</v>
      </c>
      <c r="R4342" s="156" t="s">
        <v>1459</v>
      </c>
      <c r="S4342" s="150"/>
    </row>
    <row r="4343" spans="1:19" hidden="1">
      <c r="A4343" t="s">
        <v>6482</v>
      </c>
      <c r="B4343" s="150" t="str">
        <f>IFERROR(VLOOKUP(Proc[[#This Row],[App]],Table2[],3,0),"open")</f>
        <v>ok</v>
      </c>
      <c r="C4343" s="149" t="s">
        <v>369</v>
      </c>
      <c r="D4343" t="s">
        <v>6507</v>
      </c>
      <c r="E4343" t="s">
        <v>4765</v>
      </c>
      <c r="F4343" s="150" t="s">
        <v>4765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6436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12</v>
      </c>
      <c r="R4343" s="156" t="s">
        <v>410</v>
      </c>
      <c r="S4343" s="150"/>
    </row>
    <row r="4344" spans="1:19" hidden="1">
      <c r="A4344" s="149" t="s">
        <v>6482</v>
      </c>
      <c r="B4344" s="150" t="str">
        <f>IFERROR(VLOOKUP(Proc[[#This Row],[App]],Table2[],3,0),"open")</f>
        <v>ok</v>
      </c>
      <c r="C4344" s="149" t="s">
        <v>369</v>
      </c>
      <c r="D4344" t="s">
        <v>6481</v>
      </c>
      <c r="E4344" t="s">
        <v>4765</v>
      </c>
      <c r="F4344" s="150" t="s">
        <v>4765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6436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12</v>
      </c>
      <c r="R4344" s="156" t="s">
        <v>410</v>
      </c>
      <c r="S4344" s="150"/>
    </row>
    <row r="4345" spans="1:19" hidden="1">
      <c r="A4345" t="s">
        <v>6485</v>
      </c>
      <c r="B4345" s="150" t="str">
        <f>IFERROR(VLOOKUP(Proc[[#This Row],[App]],Table2[],3,0),"open")</f>
        <v>ok</v>
      </c>
      <c r="C4345" s="149" t="s">
        <v>369</v>
      </c>
      <c r="D4345" t="s">
        <v>6483</v>
      </c>
      <c r="E4345" t="s">
        <v>6474</v>
      </c>
      <c r="F4345" s="150" t="s">
        <v>6474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6436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12</v>
      </c>
      <c r="R4345" s="156" t="s">
        <v>489</v>
      </c>
      <c r="S4345" s="150"/>
    </row>
    <row r="4346" spans="1:19" hidden="1">
      <c r="A4346" t="s">
        <v>6485</v>
      </c>
      <c r="B4346" s="150" t="str">
        <f>IFERROR(VLOOKUP(Proc[[#This Row],[App]],Table2[],3,0),"open")</f>
        <v>ok</v>
      </c>
      <c r="C4346" s="149" t="s">
        <v>369</v>
      </c>
      <c r="D4346" t="s">
        <v>6484</v>
      </c>
      <c r="E4346" t="s">
        <v>6474</v>
      </c>
      <c r="F4346" s="150" t="s">
        <v>6474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6436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12</v>
      </c>
      <c r="R4346" s="156" t="s">
        <v>489</v>
      </c>
      <c r="S4346" s="150"/>
    </row>
    <row r="4347" spans="1:19" hidden="1">
      <c r="A4347" t="s">
        <v>6486</v>
      </c>
      <c r="B4347" s="150" t="str">
        <f>IFERROR(VLOOKUP(Proc[[#This Row],[App]],Table2[],3,0),"open")</f>
        <v>ok</v>
      </c>
      <c r="C4347" s="149" t="s">
        <v>369</v>
      </c>
      <c r="D4347" t="s">
        <v>6487</v>
      </c>
      <c r="E4347" t="s">
        <v>6477</v>
      </c>
      <c r="F4347" s="150" t="s">
        <v>6477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6436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12</v>
      </c>
      <c r="R4347" s="156" t="s">
        <v>489</v>
      </c>
      <c r="S4347" s="150"/>
    </row>
    <row r="4348" spans="1:19" hidden="1">
      <c r="A4348" t="s">
        <v>6486</v>
      </c>
      <c r="B4348" s="150" t="str">
        <f>IFERROR(VLOOKUP(Proc[[#This Row],[App]],Table2[],3,0),"open")</f>
        <v>ok</v>
      </c>
      <c r="C4348" s="149" t="s">
        <v>369</v>
      </c>
      <c r="D4348" t="s">
        <v>6488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6436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12</v>
      </c>
      <c r="R4348" s="156" t="s">
        <v>489</v>
      </c>
      <c r="S4348" s="150"/>
    </row>
    <row r="4349" spans="1:19" hidden="1">
      <c r="A4349" s="149" t="s">
        <v>6486</v>
      </c>
      <c r="B4349" s="150" t="str">
        <f>IFERROR(VLOOKUP(Proc[[#This Row],[App]],Table2[],3,0),"open")</f>
        <v>ok</v>
      </c>
      <c r="C4349" s="149" t="s">
        <v>369</v>
      </c>
      <c r="D4349" t="s">
        <v>6489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6436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12</v>
      </c>
      <c r="R4349" s="156" t="s">
        <v>489</v>
      </c>
      <c r="S4349" s="150"/>
    </row>
    <row r="4350" spans="1:19" hidden="1">
      <c r="A4350" s="149" t="s">
        <v>6486</v>
      </c>
      <c r="B4350" s="150" t="str">
        <f>IFERROR(VLOOKUP(Proc[[#This Row],[App]],Table2[],3,0),"open")</f>
        <v>ok</v>
      </c>
      <c r="C4350" s="149" t="s">
        <v>369</v>
      </c>
      <c r="D4350" t="s">
        <v>6490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6436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12</v>
      </c>
      <c r="R4350" s="156" t="s">
        <v>489</v>
      </c>
      <c r="S4350" s="150"/>
    </row>
    <row r="4351" spans="1:19" hidden="1">
      <c r="A4351" s="149" t="s">
        <v>6486</v>
      </c>
      <c r="B4351" s="150" t="str">
        <f>IFERROR(VLOOKUP(Proc[[#This Row],[App]],Table2[],3,0),"open")</f>
        <v>ok</v>
      </c>
      <c r="C4351" s="149" t="s">
        <v>369</v>
      </c>
      <c r="D4351" t="s">
        <v>6491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6436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12</v>
      </c>
      <c r="R4351" s="156" t="s">
        <v>489</v>
      </c>
      <c r="S4351" s="150"/>
    </row>
    <row r="4352" spans="1:19" hidden="1">
      <c r="A4352" s="149" t="s">
        <v>6486</v>
      </c>
      <c r="B4352" s="150" t="str">
        <f>IFERROR(VLOOKUP(Proc[[#This Row],[App]],Table2[],3,0),"open")</f>
        <v>ok</v>
      </c>
      <c r="C4352" s="149" t="s">
        <v>369</v>
      </c>
      <c r="D4352" t="s">
        <v>6492</v>
      </c>
      <c r="E4352" t="s">
        <v>6499</v>
      </c>
      <c r="F4352" s="150" t="s">
        <v>6499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6436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12</v>
      </c>
      <c r="R4352" s="156" t="s">
        <v>489</v>
      </c>
      <c r="S4352" s="150"/>
    </row>
    <row r="4353" spans="1:19" hidden="1">
      <c r="A4353" s="149" t="s">
        <v>6486</v>
      </c>
      <c r="B4353" s="150" t="str">
        <f>IFERROR(VLOOKUP(Proc[[#This Row],[App]],Table2[],3,0),"open")</f>
        <v>ok</v>
      </c>
      <c r="C4353" s="149" t="s">
        <v>369</v>
      </c>
      <c r="D4353" t="s">
        <v>6493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6436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12</v>
      </c>
      <c r="R4353" s="156" t="s">
        <v>489</v>
      </c>
      <c r="S4353" s="150"/>
    </row>
    <row r="4354" spans="1:19" hidden="1">
      <c r="A4354" s="149" t="s">
        <v>6486</v>
      </c>
      <c r="B4354" s="150" t="str">
        <f>IFERROR(VLOOKUP(Proc[[#This Row],[App]],Table2[],3,0),"open")</f>
        <v>ok</v>
      </c>
      <c r="C4354" s="149" t="s">
        <v>369</v>
      </c>
      <c r="D4354" t="s">
        <v>6494</v>
      </c>
      <c r="E4354" t="s">
        <v>6500</v>
      </c>
      <c r="F4354" s="150" t="s">
        <v>6500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6436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12</v>
      </c>
      <c r="R4354" s="156" t="s">
        <v>489</v>
      </c>
      <c r="S4354" s="150"/>
    </row>
    <row r="4355" spans="1:19" hidden="1">
      <c r="A4355" s="149" t="s">
        <v>6486</v>
      </c>
      <c r="B4355" s="150" t="str">
        <f>IFERROR(VLOOKUP(Proc[[#This Row],[App]],Table2[],3,0),"open")</f>
        <v>ok</v>
      </c>
      <c r="C4355" s="149" t="s">
        <v>369</v>
      </c>
      <c r="D4355" t="s">
        <v>6495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6436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12</v>
      </c>
      <c r="R4355" s="156" t="s">
        <v>489</v>
      </c>
      <c r="S4355" s="150"/>
    </row>
    <row r="4356" spans="1:19" hidden="1">
      <c r="A4356" s="149" t="s">
        <v>6486</v>
      </c>
      <c r="B4356" s="150" t="str">
        <f>IFERROR(VLOOKUP(Proc[[#This Row],[App]],Table2[],3,0),"open")</f>
        <v>ok</v>
      </c>
      <c r="C4356" s="149" t="s">
        <v>369</v>
      </c>
      <c r="D4356" t="s">
        <v>6496</v>
      </c>
      <c r="E4356" t="s">
        <v>4891</v>
      </c>
      <c r="F4356" s="150" t="s">
        <v>4891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6436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12</v>
      </c>
      <c r="R4356" s="156" t="s">
        <v>489</v>
      </c>
      <c r="S4356" s="150"/>
    </row>
    <row r="4357" spans="1:19" hidden="1">
      <c r="A4357" s="149" t="s">
        <v>6486</v>
      </c>
      <c r="B4357" s="150" t="str">
        <f>IFERROR(VLOOKUP(Proc[[#This Row],[App]],Table2[],3,0),"open")</f>
        <v>ok</v>
      </c>
      <c r="C4357" s="149" t="s">
        <v>369</v>
      </c>
      <c r="D4357" t="s">
        <v>6497</v>
      </c>
      <c r="E4357" t="s">
        <v>6501</v>
      </c>
      <c r="F4357" s="150" t="s">
        <v>6501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6436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12</v>
      </c>
      <c r="R4357" s="157" t="s">
        <v>489</v>
      </c>
      <c r="S4357" s="150"/>
    </row>
    <row r="4358" spans="1:19" hidden="1">
      <c r="A4358" s="149" t="s">
        <v>6486</v>
      </c>
      <c r="B4358" s="150" t="str">
        <f>IFERROR(VLOOKUP(Proc[[#This Row],[App]],Table2[],3,0),"open")</f>
        <v>ok</v>
      </c>
      <c r="C4358" s="149" t="s">
        <v>369</v>
      </c>
      <c r="D4358" t="s">
        <v>6498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6436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12</v>
      </c>
      <c r="R4358" s="157" t="s">
        <v>489</v>
      </c>
      <c r="S4358" s="150"/>
    </row>
    <row r="4359" spans="1:19" hidden="1">
      <c r="A4359" s="149" t="s">
        <v>6345</v>
      </c>
      <c r="B4359" s="150" t="str">
        <f>IFERROR(VLOOKUP(Proc[[#This Row],[App]],Table2[],3,0),"open")</f>
        <v>ok</v>
      </c>
      <c r="C4359" t="s">
        <v>369</v>
      </c>
      <c r="D4359" s="149" t="s">
        <v>6334</v>
      </c>
      <c r="E4359" s="149" t="s">
        <v>6502</v>
      </c>
      <c r="F4359" s="149" t="s">
        <v>6502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4895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12</v>
      </c>
      <c r="R4359" s="156" t="s">
        <v>780</v>
      </c>
      <c r="S4359" s="150"/>
    </row>
    <row r="4360" spans="1:19" hidden="1">
      <c r="A4360" s="149" t="s">
        <v>6345</v>
      </c>
      <c r="B4360" s="150" t="str">
        <f>IFERROR(VLOOKUP(Proc[[#This Row],[App]],Table2[],3,0),"open")</f>
        <v>ok</v>
      </c>
      <c r="C4360" s="149" t="s">
        <v>369</v>
      </c>
      <c r="D4360" s="149" t="s">
        <v>6335</v>
      </c>
      <c r="E4360" s="149" t="s">
        <v>6502</v>
      </c>
      <c r="F4360" s="149" t="s">
        <v>6502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4895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12</v>
      </c>
      <c r="R4360" s="156" t="s">
        <v>780</v>
      </c>
      <c r="S4360" s="150"/>
    </row>
    <row r="4361" spans="1:19" hidden="1">
      <c r="A4361" s="149" t="s">
        <v>6345</v>
      </c>
      <c r="B4361" s="150" t="str">
        <f>IFERROR(VLOOKUP(Proc[[#This Row],[App]],Table2[],3,0),"open")</f>
        <v>ok</v>
      </c>
      <c r="C4361" s="149" t="s">
        <v>369</v>
      </c>
      <c r="D4361" s="149" t="s">
        <v>6336</v>
      </c>
      <c r="E4361" s="149" t="s">
        <v>6502</v>
      </c>
      <c r="F4361" s="149" t="s">
        <v>6502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4895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12</v>
      </c>
      <c r="R4361" s="156" t="s">
        <v>780</v>
      </c>
      <c r="S4361" s="150"/>
    </row>
    <row r="4362" spans="1:19" hidden="1">
      <c r="A4362" s="149" t="s">
        <v>6345</v>
      </c>
      <c r="B4362" s="150" t="str">
        <f>IFERROR(VLOOKUP(Proc[[#This Row],[App]],Table2[],3,0),"open")</f>
        <v>ok</v>
      </c>
      <c r="C4362" s="149" t="s">
        <v>369</v>
      </c>
      <c r="D4362" s="149" t="s">
        <v>6337</v>
      </c>
      <c r="E4362" s="149" t="s">
        <v>6502</v>
      </c>
      <c r="F4362" s="149" t="s">
        <v>6502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4895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12</v>
      </c>
      <c r="R4362" s="156" t="s">
        <v>780</v>
      </c>
      <c r="S4362" s="150"/>
    </row>
    <row r="4363" spans="1:19" hidden="1">
      <c r="A4363" s="149" t="s">
        <v>6345</v>
      </c>
      <c r="B4363" s="150" t="str">
        <f>IFERROR(VLOOKUP(Proc[[#This Row],[App]],Table2[],3,0),"open")</f>
        <v>ok</v>
      </c>
      <c r="C4363" s="149" t="s">
        <v>369</v>
      </c>
      <c r="D4363" s="149" t="s">
        <v>6338</v>
      </c>
      <c r="E4363" s="149" t="s">
        <v>6502</v>
      </c>
      <c r="F4363" s="149" t="s">
        <v>6502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4895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12</v>
      </c>
      <c r="R4363" s="156" t="s">
        <v>780</v>
      </c>
      <c r="S4363" s="150"/>
    </row>
    <row r="4364" spans="1:19" hidden="1">
      <c r="A4364" s="149" t="s">
        <v>6345</v>
      </c>
      <c r="B4364" s="150" t="str">
        <f>IFERROR(VLOOKUP(Proc[[#This Row],[App]],Table2[],3,0),"open")</f>
        <v>ok</v>
      </c>
      <c r="C4364" s="149" t="s">
        <v>369</v>
      </c>
      <c r="D4364" s="149" t="s">
        <v>6339</v>
      </c>
      <c r="E4364" s="149" t="s">
        <v>6502</v>
      </c>
      <c r="F4364" s="149" t="s">
        <v>6502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4895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12</v>
      </c>
      <c r="R4364" s="156" t="s">
        <v>780</v>
      </c>
      <c r="S4364" s="150"/>
    </row>
    <row r="4365" spans="1:19" hidden="1">
      <c r="A4365" s="149" t="s">
        <v>6345</v>
      </c>
      <c r="B4365" s="150" t="str">
        <f>IFERROR(VLOOKUP(Proc[[#This Row],[App]],Table2[],3,0),"open")</f>
        <v>ok</v>
      </c>
      <c r="C4365" s="149" t="s">
        <v>369</v>
      </c>
      <c r="D4365" s="149" t="s">
        <v>6351</v>
      </c>
      <c r="E4365" s="149" t="s">
        <v>6502</v>
      </c>
      <c r="F4365" s="149" t="s">
        <v>6502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4895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12</v>
      </c>
      <c r="R4365" s="156" t="s">
        <v>780</v>
      </c>
      <c r="S4365" s="150"/>
    </row>
    <row r="4366" spans="1:19" hidden="1">
      <c r="A4366" s="149" t="s">
        <v>6345</v>
      </c>
      <c r="B4366" s="150" t="str">
        <f>IFERROR(VLOOKUP(Proc[[#This Row],[App]],Table2[],3,0),"open")</f>
        <v>ok</v>
      </c>
      <c r="C4366" s="149" t="s">
        <v>369</v>
      </c>
      <c r="D4366" s="149" t="s">
        <v>6340</v>
      </c>
      <c r="E4366" s="149" t="s">
        <v>6502</v>
      </c>
      <c r="F4366" s="149" t="s">
        <v>6502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4895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12</v>
      </c>
      <c r="R4366" s="156" t="s">
        <v>780</v>
      </c>
      <c r="S4366" s="150"/>
    </row>
    <row r="4367" spans="1:19" hidden="1">
      <c r="A4367" s="149" t="s">
        <v>6345</v>
      </c>
      <c r="B4367" s="150" t="str">
        <f>IFERROR(VLOOKUP(Proc[[#This Row],[App]],Table2[],3,0),"open")</f>
        <v>ok</v>
      </c>
      <c r="C4367" s="149" t="s">
        <v>369</v>
      </c>
      <c r="D4367" s="149" t="s">
        <v>6341</v>
      </c>
      <c r="E4367" s="149" t="s">
        <v>6502</v>
      </c>
      <c r="F4367" s="149" t="s">
        <v>6502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4895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12</v>
      </c>
      <c r="R4367" s="156" t="s">
        <v>780</v>
      </c>
      <c r="S4367" s="150"/>
    </row>
    <row r="4368" spans="1:19" hidden="1">
      <c r="A4368" s="149" t="s">
        <v>6345</v>
      </c>
      <c r="B4368" s="150" t="str">
        <f>IFERROR(VLOOKUP(Proc[[#This Row],[App]],Table2[],3,0),"open")</f>
        <v>ok</v>
      </c>
      <c r="C4368" s="149" t="s">
        <v>369</v>
      </c>
      <c r="D4368" s="149" t="s">
        <v>6342</v>
      </c>
      <c r="E4368" s="149" t="s">
        <v>6502</v>
      </c>
      <c r="F4368" s="149" t="s">
        <v>6502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4895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12</v>
      </c>
      <c r="R4368" s="156" t="s">
        <v>780</v>
      </c>
      <c r="S4368" s="150"/>
    </row>
    <row r="4369" spans="1:19" hidden="1">
      <c r="A4369" s="149" t="s">
        <v>6345</v>
      </c>
      <c r="B4369" s="150" t="str">
        <f>IFERROR(VLOOKUP(Proc[[#This Row],[App]],Table2[],3,0),"open")</f>
        <v>ok</v>
      </c>
      <c r="C4369" s="149" t="s">
        <v>369</v>
      </c>
      <c r="D4369" s="149" t="s">
        <v>6343</v>
      </c>
      <c r="E4369" s="149" t="s">
        <v>6502</v>
      </c>
      <c r="F4369" s="149" t="s">
        <v>6502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4895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12</v>
      </c>
      <c r="R4369" s="156" t="s">
        <v>780</v>
      </c>
      <c r="S4369" s="150"/>
    </row>
    <row r="4370" spans="1:19" hidden="1">
      <c r="A4370" s="149" t="s">
        <v>6345</v>
      </c>
      <c r="B4370" s="150" t="str">
        <f>IFERROR(VLOOKUP(Proc[[#This Row],[App]],Table2[],3,0),"open")</f>
        <v>ok</v>
      </c>
      <c r="C4370" s="149" t="s">
        <v>369</v>
      </c>
      <c r="D4370" s="149" t="s">
        <v>6344</v>
      </c>
      <c r="E4370" s="149" t="s">
        <v>6502</v>
      </c>
      <c r="F4370" s="149" t="s">
        <v>6502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4895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12</v>
      </c>
      <c r="R4370" s="156" t="s">
        <v>780</v>
      </c>
      <c r="S4370" s="150"/>
    </row>
    <row r="4371" spans="1:19" s="149" customFormat="1" hidden="1">
      <c r="A4371" s="149" t="s">
        <v>6505</v>
      </c>
      <c r="B4371" s="150" t="str">
        <f>IFERROR(VLOOKUP(Proc[[#This Row],[App]],Table2[],3,0),"open")</f>
        <v>ok</v>
      </c>
      <c r="C4371" s="149" t="s">
        <v>369</v>
      </c>
      <c r="D4371" s="149" t="s">
        <v>5781</v>
      </c>
      <c r="E4371" s="149" t="s">
        <v>6506</v>
      </c>
      <c r="F4371" s="150" t="s">
        <v>6506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6436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10</v>
      </c>
      <c r="R4371" s="157" t="s">
        <v>489</v>
      </c>
      <c r="S4371" s="150"/>
    </row>
    <row r="4372" spans="1:19" s="149" customFormat="1" hidden="1">
      <c r="A4372" s="149" t="s">
        <v>6505</v>
      </c>
      <c r="B4372" s="150" t="str">
        <f>IFERROR(VLOOKUP(Proc[[#This Row],[App]],Table2[],3,0),"open")</f>
        <v>ok</v>
      </c>
      <c r="C4372" s="149" t="s">
        <v>369</v>
      </c>
      <c r="D4372" s="149" t="s">
        <v>5782</v>
      </c>
      <c r="E4372" s="149" t="s">
        <v>6506</v>
      </c>
      <c r="F4372" s="150" t="s">
        <v>6506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6436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10</v>
      </c>
      <c r="R4372" s="157" t="s">
        <v>489</v>
      </c>
      <c r="S4372" s="150"/>
    </row>
    <row r="4373" spans="1:19" s="149" customFormat="1" hidden="1">
      <c r="A4373" s="149" t="s">
        <v>6505</v>
      </c>
      <c r="B4373" s="150" t="str">
        <f>IFERROR(VLOOKUP(Proc[[#This Row],[App]],Table2[],3,0),"open")</f>
        <v>ok</v>
      </c>
      <c r="C4373" s="149" t="s">
        <v>369</v>
      </c>
      <c r="D4373" s="149" t="s">
        <v>5783</v>
      </c>
      <c r="E4373" s="149" t="s">
        <v>6506</v>
      </c>
      <c r="F4373" s="150" t="s">
        <v>6506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6436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10</v>
      </c>
      <c r="R4373" s="157" t="s">
        <v>489</v>
      </c>
      <c r="S4373" s="150"/>
    </row>
    <row r="4374" spans="1:19" s="149" customFormat="1" hidden="1">
      <c r="A4374" s="149" t="s">
        <v>6505</v>
      </c>
      <c r="B4374" s="150" t="str">
        <f>IFERROR(VLOOKUP(Proc[[#This Row],[App]],Table2[],3,0),"open")</f>
        <v>ok</v>
      </c>
      <c r="C4374" s="149" t="s">
        <v>369</v>
      </c>
      <c r="D4374" s="149" t="s">
        <v>5784</v>
      </c>
      <c r="E4374" s="149" t="s">
        <v>6506</v>
      </c>
      <c r="F4374" s="150" t="s">
        <v>6506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6436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10</v>
      </c>
      <c r="R4374" s="157" t="s">
        <v>489</v>
      </c>
      <c r="S4374" s="150"/>
    </row>
    <row r="4375" spans="1:19" hidden="1">
      <c r="A4375" t="s">
        <v>6510</v>
      </c>
      <c r="B4375" s="150" t="str">
        <f>IFERROR(VLOOKUP(Proc[[#This Row],[App]],Table2[],3,0),"open")</f>
        <v>ok</v>
      </c>
      <c r="C4375" t="s">
        <v>369</v>
      </c>
      <c r="D4375" t="s">
        <v>6508</v>
      </c>
      <c r="E4375" t="s">
        <v>6509</v>
      </c>
      <c r="F4375" s="150" t="s">
        <v>6509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6436</v>
      </c>
      <c r="M4375" s="158">
        <v>45946</v>
      </c>
      <c r="N4375" s="158"/>
      <c r="O4375" s="158"/>
      <c r="P4375" s="159" t="str">
        <f ca="1">IF(Proc[[#This Row],[DaysAgeing]]&gt;5,"yep","on track")</f>
        <v>on track</v>
      </c>
      <c r="Q4375" s="3">
        <f ca="1">IF(Proc[[#This Row],[DateClosed]]="",ABS(NETWORKDAYS(Proc[[#This Row],[DateOpened]],TODAY()))-1,ABS(NETWORKDAYS(Proc[[#This Row],[DateOpened]],Proc[[#This Row],[DateClosed]]))-1)</f>
        <v>5</v>
      </c>
      <c r="R4375" s="158" t="s">
        <v>489</v>
      </c>
      <c r="S4375" s="150"/>
    </row>
    <row r="4376" spans="1:19" hidden="1">
      <c r="A4376" t="s">
        <v>6514</v>
      </c>
      <c r="B4376" s="150" t="str">
        <f>IFERROR(VLOOKUP(Proc[[#This Row],[App]],Table2[],3,0),"open")</f>
        <v>ok</v>
      </c>
      <c r="C4376" s="149" t="s">
        <v>369</v>
      </c>
      <c r="D4376" t="s">
        <v>6511</v>
      </c>
      <c r="E4376" t="s">
        <v>4915</v>
      </c>
      <c r="F4376" s="150" t="s">
        <v>4915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6436</v>
      </c>
      <c r="M4376" s="158">
        <v>45946</v>
      </c>
      <c r="N4376" s="158"/>
      <c r="O4376" s="158"/>
      <c r="P4376" s="159" t="str">
        <f ca="1">IF(Proc[[#This Row],[DaysAgeing]]&gt;5,"yep","on track")</f>
        <v>on track</v>
      </c>
      <c r="Q4376" s="3">
        <f ca="1">IF(Proc[[#This Row],[DateClosed]]="",ABS(NETWORKDAYS(Proc[[#This Row],[DateOpened]],TODAY()))-1,ABS(NETWORKDAYS(Proc[[#This Row],[DateOpened]],Proc[[#This Row],[DateClosed]]))-1)</f>
        <v>5</v>
      </c>
      <c r="R4376" s="159" t="s">
        <v>415</v>
      </c>
      <c r="S4376" s="150"/>
    </row>
    <row r="4377" spans="1:19" hidden="1">
      <c r="A4377" t="s">
        <v>6514</v>
      </c>
      <c r="B4377" s="150" t="str">
        <f>IFERROR(VLOOKUP(Proc[[#This Row],[App]],Table2[],3,0),"open")</f>
        <v>ok</v>
      </c>
      <c r="C4377" s="149" t="s">
        <v>369</v>
      </c>
      <c r="D4377" t="s">
        <v>6512</v>
      </c>
      <c r="E4377" t="s">
        <v>6513</v>
      </c>
      <c r="F4377" s="150" t="s">
        <v>6513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6436</v>
      </c>
      <c r="M4377" s="158">
        <v>45946</v>
      </c>
      <c r="N4377" s="158"/>
      <c r="O4377" s="158"/>
      <c r="P4377" s="159" t="str">
        <f ca="1">IF(Proc[[#This Row],[DaysAgeing]]&gt;5,"yep","on track")</f>
        <v>on track</v>
      </c>
      <c r="Q4377" s="3">
        <f ca="1">IF(Proc[[#This Row],[DateClosed]]="",ABS(NETWORKDAYS(Proc[[#This Row],[DateOpened]],TODAY()))-1,ABS(NETWORKDAYS(Proc[[#This Row],[DateOpened]],Proc[[#This Row],[DateClosed]]))-1)</f>
        <v>5</v>
      </c>
      <c r="R4377" s="159" t="s">
        <v>415</v>
      </c>
      <c r="S4377" s="150"/>
    </row>
    <row r="4378" spans="1:19" hidden="1">
      <c r="A4378" t="s">
        <v>6515</v>
      </c>
      <c r="B4378" s="150" t="str">
        <f>IFERROR(VLOOKUP(Proc[[#This Row],[App]],Table2[],3,0),"open")</f>
        <v>ok</v>
      </c>
      <c r="C4378" s="149" t="s">
        <v>369</v>
      </c>
      <c r="D4378" t="s">
        <v>6516</v>
      </c>
      <c r="E4378" t="s">
        <v>6532</v>
      </c>
      <c r="F4378" s="150" t="s">
        <v>6532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6436</v>
      </c>
      <c r="M4378" s="158">
        <v>45946</v>
      </c>
      <c r="N4378" s="158"/>
      <c r="O4378" s="158"/>
      <c r="P4378" s="159" t="str">
        <f ca="1">IF(Proc[[#This Row],[DaysAgeing]]&gt;5,"yep","on track")</f>
        <v>on track</v>
      </c>
      <c r="Q4378" s="3">
        <f ca="1">IF(Proc[[#This Row],[DateClosed]]="",ABS(NETWORKDAYS(Proc[[#This Row],[DateOpened]],TODAY()))-1,ABS(NETWORKDAYS(Proc[[#This Row],[DateOpened]],Proc[[#This Row],[DateClosed]]))-1)</f>
        <v>5</v>
      </c>
      <c r="R4378" s="159" t="s">
        <v>856</v>
      </c>
      <c r="S4378" s="150"/>
    </row>
    <row r="4379" spans="1:19" hidden="1">
      <c r="A4379" t="s">
        <v>6517</v>
      </c>
      <c r="B4379" s="150" t="str">
        <f>IFERROR(VLOOKUP(Proc[[#This Row],[App]],Table2[],3,0),"open")</f>
        <v>ok</v>
      </c>
      <c r="C4379" s="149" t="s">
        <v>369</v>
      </c>
      <c r="D4379" t="s">
        <v>6518</v>
      </c>
      <c r="E4379" t="s">
        <v>6532</v>
      </c>
      <c r="F4379" s="150" t="s">
        <v>6532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6436</v>
      </c>
      <c r="M4379" s="158">
        <v>45946</v>
      </c>
      <c r="N4379" s="158"/>
      <c r="O4379" s="158"/>
      <c r="P4379" s="159" t="str">
        <f ca="1">IF(Proc[[#This Row],[DaysAgeing]]&gt;5,"yep","on track")</f>
        <v>on track</v>
      </c>
      <c r="Q4379" s="3">
        <f ca="1">IF(Proc[[#This Row],[DateClosed]]="",ABS(NETWORKDAYS(Proc[[#This Row],[DateOpened]],TODAY()))-1,ABS(NETWORKDAYS(Proc[[#This Row],[DateOpened]],Proc[[#This Row],[DateClosed]]))-1)</f>
        <v>5</v>
      </c>
      <c r="R4379" s="159" t="s">
        <v>856</v>
      </c>
      <c r="S4379" s="150"/>
    </row>
    <row r="4380" spans="1:19" hidden="1">
      <c r="A4380" t="s">
        <v>6531</v>
      </c>
      <c r="B4380" s="150" t="str">
        <f>IFERROR(VLOOKUP(Proc[[#This Row],[App]],Table2[],3,0),"open")</f>
        <v>ok</v>
      </c>
      <c r="C4380" s="149" t="s">
        <v>369</v>
      </c>
      <c r="D4380" t="s">
        <v>6519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6436</v>
      </c>
      <c r="M4380" s="159">
        <v>45947</v>
      </c>
      <c r="N4380" s="160"/>
      <c r="O4380" s="160"/>
      <c r="P4380" s="159" t="str">
        <f ca="1">IF(Proc[[#This Row],[DaysAgeing]]&gt;5,"yep","on track")</f>
        <v>on track</v>
      </c>
      <c r="Q4380" s="3">
        <f ca="1">IF(Proc[[#This Row],[DateClosed]]="",ABS(NETWORKDAYS(Proc[[#This Row],[DateOpened]],TODAY()))-1,ABS(NETWORKDAYS(Proc[[#This Row],[DateOpened]],Proc[[#This Row],[DateClosed]]))-1)</f>
        <v>4</v>
      </c>
      <c r="R4380" s="159" t="s">
        <v>5710</v>
      </c>
      <c r="S4380" s="150"/>
    </row>
    <row r="4381" spans="1:19" hidden="1">
      <c r="A4381" s="149" t="s">
        <v>6531</v>
      </c>
      <c r="B4381" s="150" t="str">
        <f>IFERROR(VLOOKUP(Proc[[#This Row],[App]],Table2[],3,0),"open")</f>
        <v>ok</v>
      </c>
      <c r="C4381" s="149" t="s">
        <v>369</v>
      </c>
      <c r="D4381" t="s">
        <v>6520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6436</v>
      </c>
      <c r="M4381" s="159">
        <v>45947</v>
      </c>
      <c r="N4381" s="160"/>
      <c r="O4381" s="160"/>
      <c r="P4381" s="159" t="str">
        <f ca="1">IF(Proc[[#This Row],[DaysAgeing]]&gt;5,"yep","on track")</f>
        <v>on track</v>
      </c>
      <c r="Q4381" s="3">
        <f ca="1">IF(Proc[[#This Row],[DateClosed]]="",ABS(NETWORKDAYS(Proc[[#This Row],[DateOpened]],TODAY()))-1,ABS(NETWORKDAYS(Proc[[#This Row],[DateOpened]],Proc[[#This Row],[DateClosed]]))-1)</f>
        <v>4</v>
      </c>
      <c r="R4381" s="159" t="s">
        <v>5710</v>
      </c>
      <c r="S4381" s="150"/>
    </row>
    <row r="4382" spans="1:19" hidden="1">
      <c r="A4382" s="149" t="s">
        <v>6531</v>
      </c>
      <c r="B4382" s="150" t="str">
        <f>IFERROR(VLOOKUP(Proc[[#This Row],[App]],Table2[],3,0),"open")</f>
        <v>ok</v>
      </c>
      <c r="C4382" s="149" t="s">
        <v>369</v>
      </c>
      <c r="D4382" t="s">
        <v>6521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6436</v>
      </c>
      <c r="M4382" s="159">
        <v>45947</v>
      </c>
      <c r="N4382" s="160"/>
      <c r="O4382" s="160"/>
      <c r="P4382" s="159" t="str">
        <f ca="1">IF(Proc[[#This Row],[DaysAgeing]]&gt;5,"yep","on track")</f>
        <v>on track</v>
      </c>
      <c r="Q4382" s="3">
        <f ca="1">IF(Proc[[#This Row],[DateClosed]]="",ABS(NETWORKDAYS(Proc[[#This Row],[DateOpened]],TODAY()))-1,ABS(NETWORKDAYS(Proc[[#This Row],[DateOpened]],Proc[[#This Row],[DateClosed]]))-1)</f>
        <v>4</v>
      </c>
      <c r="R4382" s="159" t="s">
        <v>5710</v>
      </c>
      <c r="S4382" s="150"/>
    </row>
    <row r="4383" spans="1:19" hidden="1">
      <c r="A4383" s="149" t="s">
        <v>6531</v>
      </c>
      <c r="B4383" s="150" t="str">
        <f>IFERROR(VLOOKUP(Proc[[#This Row],[App]],Table2[],3,0),"open")</f>
        <v>ok</v>
      </c>
      <c r="C4383" s="149" t="s">
        <v>369</v>
      </c>
      <c r="D4383" t="s">
        <v>6522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6436</v>
      </c>
      <c r="M4383" s="159">
        <v>45947</v>
      </c>
      <c r="N4383" s="160"/>
      <c r="O4383" s="160"/>
      <c r="P4383" s="159" t="str">
        <f ca="1">IF(Proc[[#This Row],[DaysAgeing]]&gt;5,"yep","on track")</f>
        <v>on track</v>
      </c>
      <c r="Q4383" s="3">
        <f ca="1">IF(Proc[[#This Row],[DateClosed]]="",ABS(NETWORKDAYS(Proc[[#This Row],[DateOpened]],TODAY()))-1,ABS(NETWORKDAYS(Proc[[#This Row],[DateOpened]],Proc[[#This Row],[DateClosed]]))-1)</f>
        <v>4</v>
      </c>
      <c r="R4383" s="159" t="s">
        <v>5710</v>
      </c>
      <c r="S4383" s="150"/>
    </row>
    <row r="4384" spans="1:19" hidden="1">
      <c r="A4384" s="149" t="s">
        <v>6531</v>
      </c>
      <c r="B4384" s="150" t="str">
        <f>IFERROR(VLOOKUP(Proc[[#This Row],[App]],Table2[],3,0),"open")</f>
        <v>ok</v>
      </c>
      <c r="C4384" s="149" t="s">
        <v>369</v>
      </c>
      <c r="D4384" t="s">
        <v>6523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6436</v>
      </c>
      <c r="M4384" s="159">
        <v>45947</v>
      </c>
      <c r="N4384" s="160"/>
      <c r="O4384" s="160"/>
      <c r="P4384" s="159" t="str">
        <f ca="1">IF(Proc[[#This Row],[DaysAgeing]]&gt;5,"yep","on track")</f>
        <v>on track</v>
      </c>
      <c r="Q4384" s="3">
        <f ca="1">IF(Proc[[#This Row],[DateClosed]]="",ABS(NETWORKDAYS(Proc[[#This Row],[DateOpened]],TODAY()))-1,ABS(NETWORKDAYS(Proc[[#This Row],[DateOpened]],Proc[[#This Row],[DateClosed]]))-1)</f>
        <v>4</v>
      </c>
      <c r="R4384" s="159" t="s">
        <v>5710</v>
      </c>
      <c r="S4384" s="150"/>
    </row>
    <row r="4385" spans="1:19" hidden="1">
      <c r="A4385" s="149" t="s">
        <v>6531</v>
      </c>
      <c r="B4385" s="150" t="str">
        <f>IFERROR(VLOOKUP(Proc[[#This Row],[App]],Table2[],3,0),"open")</f>
        <v>ok</v>
      </c>
      <c r="C4385" s="149" t="s">
        <v>369</v>
      </c>
      <c r="D4385" t="s">
        <v>6524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6436</v>
      </c>
      <c r="M4385" s="159">
        <v>45947</v>
      </c>
      <c r="N4385" s="160"/>
      <c r="O4385" s="160"/>
      <c r="P4385" s="159" t="str">
        <f ca="1">IF(Proc[[#This Row],[DaysAgeing]]&gt;5,"yep","on track")</f>
        <v>on track</v>
      </c>
      <c r="Q4385" s="3">
        <f ca="1">IF(Proc[[#This Row],[DateClosed]]="",ABS(NETWORKDAYS(Proc[[#This Row],[DateOpened]],TODAY()))-1,ABS(NETWORKDAYS(Proc[[#This Row],[DateOpened]],Proc[[#This Row],[DateClosed]]))-1)</f>
        <v>4</v>
      </c>
      <c r="R4385" s="159" t="s">
        <v>5710</v>
      </c>
      <c r="S4385" s="150"/>
    </row>
    <row r="4386" spans="1:19" hidden="1">
      <c r="A4386" s="149" t="s">
        <v>6531</v>
      </c>
      <c r="B4386" s="150" t="str">
        <f>IFERROR(VLOOKUP(Proc[[#This Row],[App]],Table2[],3,0),"open")</f>
        <v>ok</v>
      </c>
      <c r="C4386" s="149" t="s">
        <v>369</v>
      </c>
      <c r="D4386" t="s">
        <v>6525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6436</v>
      </c>
      <c r="M4386" s="159">
        <v>45947</v>
      </c>
      <c r="N4386" s="160"/>
      <c r="O4386" s="160"/>
      <c r="P4386" s="159" t="str">
        <f ca="1">IF(Proc[[#This Row],[DaysAgeing]]&gt;5,"yep","on track")</f>
        <v>on track</v>
      </c>
      <c r="Q4386" s="3">
        <f ca="1">IF(Proc[[#This Row],[DateClosed]]="",ABS(NETWORKDAYS(Proc[[#This Row],[DateOpened]],TODAY()))-1,ABS(NETWORKDAYS(Proc[[#This Row],[DateOpened]],Proc[[#This Row],[DateClosed]]))-1)</f>
        <v>4</v>
      </c>
      <c r="R4386" s="159" t="s">
        <v>5710</v>
      </c>
      <c r="S4386" s="150"/>
    </row>
    <row r="4387" spans="1:19" hidden="1">
      <c r="A4387" s="149" t="s">
        <v>6531</v>
      </c>
      <c r="B4387" s="150" t="str">
        <f>IFERROR(VLOOKUP(Proc[[#This Row],[App]],Table2[],3,0),"open")</f>
        <v>ok</v>
      </c>
      <c r="C4387" s="149" t="s">
        <v>369</v>
      </c>
      <c r="D4387" t="s">
        <v>6526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6436</v>
      </c>
      <c r="M4387" s="159">
        <v>45947</v>
      </c>
      <c r="N4387" s="160"/>
      <c r="O4387" s="160"/>
      <c r="P4387" s="159" t="str">
        <f ca="1">IF(Proc[[#This Row],[DaysAgeing]]&gt;5,"yep","on track")</f>
        <v>on track</v>
      </c>
      <c r="Q4387" s="3">
        <f ca="1">IF(Proc[[#This Row],[DateClosed]]="",ABS(NETWORKDAYS(Proc[[#This Row],[DateOpened]],TODAY()))-1,ABS(NETWORKDAYS(Proc[[#This Row],[DateOpened]],Proc[[#This Row],[DateClosed]]))-1)</f>
        <v>4</v>
      </c>
      <c r="R4387" s="159" t="s">
        <v>5710</v>
      </c>
      <c r="S4387" s="150"/>
    </row>
    <row r="4388" spans="1:19" hidden="1">
      <c r="A4388" s="149" t="s">
        <v>6531</v>
      </c>
      <c r="B4388" s="150" t="str">
        <f>IFERROR(VLOOKUP(Proc[[#This Row],[App]],Table2[],3,0),"open")</f>
        <v>ok</v>
      </c>
      <c r="C4388" s="149" t="s">
        <v>369</v>
      </c>
      <c r="D4388" t="s">
        <v>6527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6436</v>
      </c>
      <c r="M4388" s="159">
        <v>45947</v>
      </c>
      <c r="N4388" s="160"/>
      <c r="O4388" s="160"/>
      <c r="P4388" s="159" t="str">
        <f ca="1">IF(Proc[[#This Row],[DaysAgeing]]&gt;5,"yep","on track")</f>
        <v>on track</v>
      </c>
      <c r="Q4388" s="3">
        <f ca="1">IF(Proc[[#This Row],[DateClosed]]="",ABS(NETWORKDAYS(Proc[[#This Row],[DateOpened]],TODAY()))-1,ABS(NETWORKDAYS(Proc[[#This Row],[DateOpened]],Proc[[#This Row],[DateClosed]]))-1)</f>
        <v>4</v>
      </c>
      <c r="R4388" s="159" t="s">
        <v>5710</v>
      </c>
      <c r="S4388" s="150"/>
    </row>
    <row r="4389" spans="1:19" hidden="1">
      <c r="A4389" s="149" t="s">
        <v>6531</v>
      </c>
      <c r="B4389" s="150" t="str">
        <f>IFERROR(VLOOKUP(Proc[[#This Row],[App]],Table2[],3,0),"open")</f>
        <v>ok</v>
      </c>
      <c r="C4389" s="149" t="s">
        <v>369</v>
      </c>
      <c r="D4389" t="s">
        <v>6528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6436</v>
      </c>
      <c r="M4389" s="159">
        <v>45947</v>
      </c>
      <c r="N4389" s="160"/>
      <c r="O4389" s="160"/>
      <c r="P4389" s="159" t="str">
        <f ca="1">IF(Proc[[#This Row],[DaysAgeing]]&gt;5,"yep","on track")</f>
        <v>on track</v>
      </c>
      <c r="Q4389" s="3">
        <f ca="1">IF(Proc[[#This Row],[DateClosed]]="",ABS(NETWORKDAYS(Proc[[#This Row],[DateOpened]],TODAY()))-1,ABS(NETWORKDAYS(Proc[[#This Row],[DateOpened]],Proc[[#This Row],[DateClosed]]))-1)</f>
        <v>4</v>
      </c>
      <c r="R4389" s="159" t="s">
        <v>5710</v>
      </c>
      <c r="S4389" s="150"/>
    </row>
    <row r="4390" spans="1:19" hidden="1">
      <c r="A4390" s="149" t="s">
        <v>6531</v>
      </c>
      <c r="B4390" s="150" t="str">
        <f>IFERROR(VLOOKUP(Proc[[#This Row],[App]],Table2[],3,0),"open")</f>
        <v>ok</v>
      </c>
      <c r="C4390" s="149" t="s">
        <v>369</v>
      </c>
      <c r="D4390" t="s">
        <v>6529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6436</v>
      </c>
      <c r="M4390" s="159">
        <v>45947</v>
      </c>
      <c r="N4390" s="160"/>
      <c r="O4390" s="160"/>
      <c r="P4390" s="159" t="str">
        <f ca="1">IF(Proc[[#This Row],[DaysAgeing]]&gt;5,"yep","on track")</f>
        <v>on track</v>
      </c>
      <c r="Q4390" s="3">
        <f ca="1">IF(Proc[[#This Row],[DateClosed]]="",ABS(NETWORKDAYS(Proc[[#This Row],[DateOpened]],TODAY()))-1,ABS(NETWORKDAYS(Proc[[#This Row],[DateOpened]],Proc[[#This Row],[DateClosed]]))-1)</f>
        <v>4</v>
      </c>
      <c r="R4390" s="159" t="s">
        <v>5710</v>
      </c>
      <c r="S4390" s="150"/>
    </row>
    <row r="4391" spans="1:19" hidden="1">
      <c r="A4391" s="149" t="s">
        <v>6531</v>
      </c>
      <c r="B4391" s="150" t="str">
        <f>IFERROR(VLOOKUP(Proc[[#This Row],[App]],Table2[],3,0),"open")</f>
        <v>ok</v>
      </c>
      <c r="C4391" s="149" t="s">
        <v>369</v>
      </c>
      <c r="D4391" t="s">
        <v>6530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6436</v>
      </c>
      <c r="M4391" s="159">
        <v>45947</v>
      </c>
      <c r="N4391" s="160"/>
      <c r="O4391" s="160"/>
      <c r="P4391" s="159" t="str">
        <f ca="1">IF(Proc[[#This Row],[DaysAgeing]]&gt;5,"yep","on track")</f>
        <v>on track</v>
      </c>
      <c r="Q4391" s="3">
        <f ca="1">IF(Proc[[#This Row],[DateClosed]]="",ABS(NETWORKDAYS(Proc[[#This Row],[DateOpened]],TODAY()))-1,ABS(NETWORKDAYS(Proc[[#This Row],[DateOpened]],Proc[[#This Row],[DateClosed]]))-1)</f>
        <v>4</v>
      </c>
      <c r="R4391" s="159" t="s">
        <v>5710</v>
      </c>
      <c r="S4391" s="150"/>
    </row>
    <row r="4392" spans="1:19" hidden="1">
      <c r="A4392" t="s">
        <v>6534</v>
      </c>
      <c r="B4392" s="150" t="str">
        <f>IFERROR(VLOOKUP(Proc[[#This Row],[App]],Table2[],3,0),"open")</f>
        <v>ok</v>
      </c>
      <c r="C4392" t="s">
        <v>369</v>
      </c>
      <c r="D4392" t="s">
        <v>6535</v>
      </c>
      <c r="E4392" t="s">
        <v>6539</v>
      </c>
      <c r="F4392" s="150" t="s">
        <v>6539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6436</v>
      </c>
      <c r="M4392" s="159">
        <v>45952</v>
      </c>
      <c r="N4392" s="160"/>
      <c r="O4392" s="160"/>
      <c r="P4392" s="159" t="str">
        <f ca="1">IF(Proc[[#This Row],[DaysAgeing]]&gt;5,"yep","on track")</f>
        <v>on track</v>
      </c>
      <c r="Q4392" s="3">
        <f ca="1">IF(Proc[[#This Row],[DateClosed]]="",ABS(NETWORKDAYS(Proc[[#This Row],[DateOpened]],TODAY()))-1,ABS(NETWORKDAYS(Proc[[#This Row],[DateOpened]],Proc[[#This Row],[DateClosed]]))-1)</f>
        <v>1</v>
      </c>
      <c r="R4392" s="159" t="s">
        <v>489</v>
      </c>
      <c r="S4392" s="150"/>
    </row>
    <row r="4393" spans="1:19" hidden="1">
      <c r="A4393" s="149" t="s">
        <v>6534</v>
      </c>
      <c r="B4393" s="150" t="str">
        <f>IFERROR(VLOOKUP(Proc[[#This Row],[App]],Table2[],3,0),"open")</f>
        <v>ok</v>
      </c>
      <c r="C4393" s="149" t="s">
        <v>369</v>
      </c>
      <c r="D4393" t="s">
        <v>6536</v>
      </c>
      <c r="E4393" t="s">
        <v>6539</v>
      </c>
      <c r="F4393" s="150" t="s">
        <v>6539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6436</v>
      </c>
      <c r="M4393" s="159">
        <v>45952</v>
      </c>
      <c r="N4393" s="160"/>
      <c r="O4393" s="160"/>
      <c r="P4393" s="159" t="str">
        <f ca="1">IF(Proc[[#This Row],[DaysAgeing]]&gt;5,"yep","on track")</f>
        <v>on track</v>
      </c>
      <c r="Q4393" s="3">
        <f ca="1">IF(Proc[[#This Row],[DateClosed]]="",ABS(NETWORKDAYS(Proc[[#This Row],[DateOpened]],TODAY()))-1,ABS(NETWORKDAYS(Proc[[#This Row],[DateOpened]],Proc[[#This Row],[DateClosed]]))-1)</f>
        <v>1</v>
      </c>
      <c r="R4393" s="159" t="s">
        <v>489</v>
      </c>
      <c r="S4393" s="150"/>
    </row>
    <row r="4394" spans="1:19" hidden="1">
      <c r="A4394" s="149" t="s">
        <v>6534</v>
      </c>
      <c r="B4394" s="150" t="str">
        <f>IFERROR(VLOOKUP(Proc[[#This Row],[App]],Table2[],3,0),"open")</f>
        <v>ok</v>
      </c>
      <c r="C4394" s="149" t="s">
        <v>369</v>
      </c>
      <c r="D4394" t="s">
        <v>6537</v>
      </c>
      <c r="E4394" t="s">
        <v>6539</v>
      </c>
      <c r="F4394" s="150" t="s">
        <v>6539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6436</v>
      </c>
      <c r="M4394" s="159">
        <v>45952</v>
      </c>
      <c r="N4394" s="160"/>
      <c r="O4394" s="160"/>
      <c r="P4394" s="159" t="str">
        <f ca="1">IF(Proc[[#This Row],[DaysAgeing]]&gt;5,"yep","on track")</f>
        <v>on track</v>
      </c>
      <c r="Q4394" s="3">
        <f ca="1">IF(Proc[[#This Row],[DateClosed]]="",ABS(NETWORKDAYS(Proc[[#This Row],[DateOpened]],TODAY()))-1,ABS(NETWORKDAYS(Proc[[#This Row],[DateOpened]],Proc[[#This Row],[DateClosed]]))-1)</f>
        <v>1</v>
      </c>
      <c r="R4394" s="159" t="s">
        <v>489</v>
      </c>
      <c r="S4394" s="150"/>
    </row>
    <row r="4395" spans="1:19" hidden="1">
      <c r="A4395" s="149" t="s">
        <v>6534</v>
      </c>
      <c r="B4395" s="150" t="str">
        <f>IFERROR(VLOOKUP(Proc[[#This Row],[App]],Table2[],3,0),"open")</f>
        <v>ok</v>
      </c>
      <c r="C4395" s="149" t="s">
        <v>369</v>
      </c>
      <c r="D4395" t="s">
        <v>6538</v>
      </c>
      <c r="E4395" t="s">
        <v>6539</v>
      </c>
      <c r="F4395" s="150" t="s">
        <v>6539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6436</v>
      </c>
      <c r="M4395" s="159">
        <v>45952</v>
      </c>
      <c r="N4395" s="160"/>
      <c r="O4395" s="160"/>
      <c r="P4395" s="159" t="str">
        <f ca="1">IF(Proc[[#This Row],[DaysAgeing]]&gt;5,"yep","on track")</f>
        <v>on track</v>
      </c>
      <c r="Q4395" s="3">
        <f ca="1">IF(Proc[[#This Row],[DateClosed]]="",ABS(NETWORKDAYS(Proc[[#This Row],[DateOpened]],TODAY()))-1,ABS(NETWORKDAYS(Proc[[#This Row],[DateOpened]],Proc[[#This Row],[DateClosed]]))-1)</f>
        <v>1</v>
      </c>
      <c r="R4395" s="159" t="s">
        <v>489</v>
      </c>
      <c r="S4395" s="150"/>
    </row>
    <row r="4396" spans="1:19" hidden="1">
      <c r="A4396" t="s">
        <v>6540</v>
      </c>
      <c r="B4396" s="150" t="str">
        <f>IFERROR(VLOOKUP(Proc[[#This Row],[App]],Table2[],3,0),"open")</f>
        <v>ok</v>
      </c>
      <c r="C4396" s="149" t="s">
        <v>369</v>
      </c>
      <c r="D4396" t="s">
        <v>6541</v>
      </c>
      <c r="E4396" t="s">
        <v>6501</v>
      </c>
      <c r="F4396" s="150" t="s">
        <v>6501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6436</v>
      </c>
      <c r="M4396" s="159">
        <v>45952</v>
      </c>
      <c r="N4396" s="160"/>
      <c r="O4396" s="160"/>
      <c r="P4396" s="159" t="str">
        <f ca="1">IF(Proc[[#This Row],[DaysAgeing]]&gt;5,"yep","on track")</f>
        <v>on track</v>
      </c>
      <c r="Q4396" s="3">
        <f ca="1">IF(Proc[[#This Row],[DateClosed]]="",ABS(NETWORKDAYS(Proc[[#This Row],[DateOpened]],TODAY()))-1,ABS(NETWORKDAYS(Proc[[#This Row],[DateOpened]],Proc[[#This Row],[DateClosed]]))-1)</f>
        <v>1</v>
      </c>
      <c r="R4396" s="159" t="s">
        <v>489</v>
      </c>
      <c r="S4396" s="150"/>
    </row>
    <row r="4397" spans="1:19" hidden="1">
      <c r="A4397" s="149" t="s">
        <v>6540</v>
      </c>
      <c r="B4397" s="150" t="str">
        <f>IFERROR(VLOOKUP(Proc[[#This Row],[App]],Table2[],3,0),"open")</f>
        <v>ok</v>
      </c>
      <c r="C4397" s="149" t="s">
        <v>369</v>
      </c>
      <c r="D4397" t="s">
        <v>6508</v>
      </c>
      <c r="E4397" t="s">
        <v>6509</v>
      </c>
      <c r="F4397" s="150" t="s">
        <v>6509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6436</v>
      </c>
      <c r="M4397" s="159">
        <v>45952</v>
      </c>
      <c r="N4397" s="160"/>
      <c r="O4397" s="160"/>
      <c r="P4397" s="159" t="str">
        <f ca="1">IF(Proc[[#This Row],[DaysAgeing]]&gt;5,"yep","on track")</f>
        <v>on track</v>
      </c>
      <c r="Q4397" s="3">
        <f ca="1">IF(Proc[[#This Row],[DateClosed]]="",ABS(NETWORKDAYS(Proc[[#This Row],[DateOpened]],TODAY()))-1,ABS(NETWORKDAYS(Proc[[#This Row],[DateOpened]],Proc[[#This Row],[DateClosed]]))-1)</f>
        <v>1</v>
      </c>
      <c r="R4397" s="159" t="s">
        <v>489</v>
      </c>
      <c r="S4397" s="150"/>
    </row>
    <row r="4398" spans="1:19" hidden="1">
      <c r="A4398" t="s">
        <v>6542</v>
      </c>
      <c r="B4398" s="150" t="str">
        <f>IFERROR(VLOOKUP(Proc[[#This Row],[App]],Table2[],3,0),"open")</f>
        <v>ok</v>
      </c>
      <c r="C4398" s="149" t="s">
        <v>369</v>
      </c>
      <c r="D4398" t="s">
        <v>6544</v>
      </c>
      <c r="E4398" t="s">
        <v>6543</v>
      </c>
      <c r="F4398" s="150" t="s">
        <v>6543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6436</v>
      </c>
      <c r="M4398" s="159">
        <v>45952</v>
      </c>
      <c r="N4398" s="160"/>
      <c r="O4398" s="160"/>
      <c r="P4398" s="159" t="str">
        <f ca="1">IF(Proc[[#This Row],[DaysAgeing]]&gt;5,"yep","on track")</f>
        <v>on track</v>
      </c>
      <c r="Q4398" s="3">
        <f ca="1">IF(Proc[[#This Row],[DateClosed]]="",ABS(NETWORKDAYS(Proc[[#This Row],[DateOpened]],TODAY()))-1,ABS(NETWORKDAYS(Proc[[#This Row],[DateOpened]],Proc[[#This Row],[DateClosed]]))-1)</f>
        <v>1</v>
      </c>
      <c r="R4398" s="159" t="s">
        <v>6564</v>
      </c>
      <c r="S4398" s="150"/>
    </row>
    <row r="4399" spans="1:19" hidden="1">
      <c r="A4399" s="149" t="s">
        <v>6542</v>
      </c>
      <c r="B4399" s="150" t="str">
        <f>IFERROR(VLOOKUP(Proc[[#This Row],[App]],Table2[],3,0),"open")</f>
        <v>ok</v>
      </c>
      <c r="C4399" s="149" t="s">
        <v>369</v>
      </c>
      <c r="D4399" t="s">
        <v>6545</v>
      </c>
      <c r="E4399" t="s">
        <v>6543</v>
      </c>
      <c r="F4399" s="150" t="s">
        <v>6543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6436</v>
      </c>
      <c r="M4399" s="159">
        <v>45952</v>
      </c>
      <c r="N4399" s="160"/>
      <c r="O4399" s="160"/>
      <c r="P4399" s="159" t="str">
        <f ca="1">IF(Proc[[#This Row],[DaysAgeing]]&gt;5,"yep","on track")</f>
        <v>on track</v>
      </c>
      <c r="Q4399" s="3">
        <f ca="1">IF(Proc[[#This Row],[DateClosed]]="",ABS(NETWORKDAYS(Proc[[#This Row],[DateOpened]],TODAY()))-1,ABS(NETWORKDAYS(Proc[[#This Row],[DateOpened]],Proc[[#This Row],[DateClosed]]))-1)</f>
        <v>1</v>
      </c>
      <c r="R4399" s="159" t="s">
        <v>6564</v>
      </c>
      <c r="S4399" s="150"/>
    </row>
    <row r="4400" spans="1:19" hidden="1">
      <c r="A4400" s="149" t="s">
        <v>6542</v>
      </c>
      <c r="B4400" s="150" t="str">
        <f>IFERROR(VLOOKUP(Proc[[#This Row],[App]],Table2[],3,0),"open")</f>
        <v>ok</v>
      </c>
      <c r="C4400" s="149" t="s">
        <v>369</v>
      </c>
      <c r="D4400" t="s">
        <v>6546</v>
      </c>
      <c r="E4400" t="s">
        <v>6543</v>
      </c>
      <c r="F4400" s="150" t="s">
        <v>6543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6436</v>
      </c>
      <c r="M4400" s="159">
        <v>45952</v>
      </c>
      <c r="N4400" s="160"/>
      <c r="O4400" s="160"/>
      <c r="P4400" s="159" t="str">
        <f ca="1">IF(Proc[[#This Row],[DaysAgeing]]&gt;5,"yep","on track")</f>
        <v>on track</v>
      </c>
      <c r="Q4400" s="3">
        <f ca="1">IF(Proc[[#This Row],[DateClosed]]="",ABS(NETWORKDAYS(Proc[[#This Row],[DateOpened]],TODAY()))-1,ABS(NETWORKDAYS(Proc[[#This Row],[DateOpened]],Proc[[#This Row],[DateClosed]]))-1)</f>
        <v>1</v>
      </c>
      <c r="R4400" s="159" t="s">
        <v>6564</v>
      </c>
      <c r="S4400" s="150"/>
    </row>
    <row r="4401" spans="1:19" hidden="1">
      <c r="A4401" s="149" t="s">
        <v>6542</v>
      </c>
      <c r="B4401" s="150" t="str">
        <f>IFERROR(VLOOKUP(Proc[[#This Row],[App]],Table2[],3,0),"open")</f>
        <v>ok</v>
      </c>
      <c r="C4401" s="149" t="s">
        <v>369</v>
      </c>
      <c r="D4401" t="s">
        <v>6547</v>
      </c>
      <c r="E4401" t="s">
        <v>6543</v>
      </c>
      <c r="F4401" s="150" t="s">
        <v>6543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6436</v>
      </c>
      <c r="M4401" s="159">
        <v>45952</v>
      </c>
      <c r="N4401" s="160"/>
      <c r="O4401" s="160"/>
      <c r="P4401" s="159" t="str">
        <f ca="1">IF(Proc[[#This Row],[DaysAgeing]]&gt;5,"yep","on track")</f>
        <v>on track</v>
      </c>
      <c r="Q4401" s="3">
        <f ca="1">IF(Proc[[#This Row],[DateClosed]]="",ABS(NETWORKDAYS(Proc[[#This Row],[DateOpened]],TODAY()))-1,ABS(NETWORKDAYS(Proc[[#This Row],[DateOpened]],Proc[[#This Row],[DateClosed]]))-1)</f>
        <v>1</v>
      </c>
      <c r="R4401" s="159" t="s">
        <v>6564</v>
      </c>
      <c r="S4401" s="150"/>
    </row>
    <row r="4402" spans="1:19" hidden="1">
      <c r="A4402" s="149" t="s">
        <v>6542</v>
      </c>
      <c r="B4402" s="150" t="str">
        <f>IFERROR(VLOOKUP(Proc[[#This Row],[App]],Table2[],3,0),"open")</f>
        <v>ok</v>
      </c>
      <c r="C4402" s="149" t="s">
        <v>369</v>
      </c>
      <c r="D4402" t="s">
        <v>6548</v>
      </c>
      <c r="E4402" t="s">
        <v>6543</v>
      </c>
      <c r="F4402" s="150" t="s">
        <v>6543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6436</v>
      </c>
      <c r="M4402" s="159">
        <v>45952</v>
      </c>
      <c r="N4402" s="160"/>
      <c r="O4402" s="160"/>
      <c r="P4402" s="159" t="str">
        <f ca="1">IF(Proc[[#This Row],[DaysAgeing]]&gt;5,"yep","on track")</f>
        <v>on track</v>
      </c>
      <c r="Q4402" s="3">
        <f ca="1">IF(Proc[[#This Row],[DateClosed]]="",ABS(NETWORKDAYS(Proc[[#This Row],[DateOpened]],TODAY()))-1,ABS(NETWORKDAYS(Proc[[#This Row],[DateOpened]],Proc[[#This Row],[DateClosed]]))-1)</f>
        <v>1</v>
      </c>
      <c r="R4402" s="159" t="s">
        <v>6564</v>
      </c>
      <c r="S4402" s="150"/>
    </row>
    <row r="4403" spans="1:19" hidden="1">
      <c r="A4403" s="149" t="s">
        <v>6542</v>
      </c>
      <c r="B4403" s="150" t="str">
        <f>IFERROR(VLOOKUP(Proc[[#This Row],[App]],Table2[],3,0),"open")</f>
        <v>ok</v>
      </c>
      <c r="C4403" s="149" t="s">
        <v>369</v>
      </c>
      <c r="D4403" t="s">
        <v>6549</v>
      </c>
      <c r="E4403" t="s">
        <v>6543</v>
      </c>
      <c r="F4403" s="150" t="s">
        <v>6543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6436</v>
      </c>
      <c r="M4403" s="159">
        <v>45952</v>
      </c>
      <c r="N4403" s="160"/>
      <c r="O4403" s="160"/>
      <c r="P4403" s="159" t="str">
        <f ca="1">IF(Proc[[#This Row],[DaysAgeing]]&gt;5,"yep","on track")</f>
        <v>on track</v>
      </c>
      <c r="Q4403" s="3">
        <f ca="1">IF(Proc[[#This Row],[DateClosed]]="",ABS(NETWORKDAYS(Proc[[#This Row],[DateOpened]],TODAY()))-1,ABS(NETWORKDAYS(Proc[[#This Row],[DateOpened]],Proc[[#This Row],[DateClosed]]))-1)</f>
        <v>1</v>
      </c>
      <c r="R4403" s="159" t="s">
        <v>6564</v>
      </c>
      <c r="S4403" s="150"/>
    </row>
    <row r="4404" spans="1:19" hidden="1">
      <c r="A4404" s="149" t="s">
        <v>6542</v>
      </c>
      <c r="B4404" s="150" t="str">
        <f>IFERROR(VLOOKUP(Proc[[#This Row],[App]],Table2[],3,0),"open")</f>
        <v>ok</v>
      </c>
      <c r="C4404" s="149" t="s">
        <v>369</v>
      </c>
      <c r="D4404" t="s">
        <v>6550</v>
      </c>
      <c r="E4404" t="s">
        <v>6543</v>
      </c>
      <c r="F4404" s="150" t="s">
        <v>6543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6436</v>
      </c>
      <c r="M4404" s="159">
        <v>45952</v>
      </c>
      <c r="N4404" s="160"/>
      <c r="O4404" s="160"/>
      <c r="P4404" s="159" t="str">
        <f ca="1">IF(Proc[[#This Row],[DaysAgeing]]&gt;5,"yep","on track")</f>
        <v>on track</v>
      </c>
      <c r="Q4404" s="3">
        <f ca="1">IF(Proc[[#This Row],[DateClosed]]="",ABS(NETWORKDAYS(Proc[[#This Row],[DateOpened]],TODAY()))-1,ABS(NETWORKDAYS(Proc[[#This Row],[DateOpened]],Proc[[#This Row],[DateClosed]]))-1)</f>
        <v>1</v>
      </c>
      <c r="R4404" s="159" t="s">
        <v>6564</v>
      </c>
      <c r="S4404" s="150"/>
    </row>
    <row r="4405" spans="1:19" hidden="1">
      <c r="A4405" s="149" t="s">
        <v>6542</v>
      </c>
      <c r="B4405" s="150" t="str">
        <f>IFERROR(VLOOKUP(Proc[[#This Row],[App]],Table2[],3,0),"open")</f>
        <v>ok</v>
      </c>
      <c r="C4405" s="149" t="s">
        <v>369</v>
      </c>
      <c r="D4405" t="s">
        <v>6551</v>
      </c>
      <c r="E4405" t="s">
        <v>6543</v>
      </c>
      <c r="F4405" s="150" t="s">
        <v>6543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6436</v>
      </c>
      <c r="M4405" s="159">
        <v>45952</v>
      </c>
      <c r="N4405" s="160"/>
      <c r="O4405" s="160"/>
      <c r="P4405" s="159" t="str">
        <f ca="1">IF(Proc[[#This Row],[DaysAgeing]]&gt;5,"yep","on track")</f>
        <v>on track</v>
      </c>
      <c r="Q4405" s="3">
        <f ca="1">IF(Proc[[#This Row],[DateClosed]]="",ABS(NETWORKDAYS(Proc[[#This Row],[DateOpened]],TODAY()))-1,ABS(NETWORKDAYS(Proc[[#This Row],[DateOpened]],Proc[[#This Row],[DateClosed]]))-1)</f>
        <v>1</v>
      </c>
      <c r="R4405" s="159" t="s">
        <v>6564</v>
      </c>
      <c r="S4405" s="150"/>
    </row>
    <row r="4406" spans="1:19" hidden="1">
      <c r="A4406" s="149" t="s">
        <v>6542</v>
      </c>
      <c r="B4406" s="150" t="str">
        <f>IFERROR(VLOOKUP(Proc[[#This Row],[App]],Table2[],3,0),"open")</f>
        <v>ok</v>
      </c>
      <c r="C4406" s="149" t="s">
        <v>369</v>
      </c>
      <c r="D4406" t="s">
        <v>6552</v>
      </c>
      <c r="E4406" t="s">
        <v>6543</v>
      </c>
      <c r="F4406" s="150" t="s">
        <v>6543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6436</v>
      </c>
      <c r="M4406" s="159">
        <v>45952</v>
      </c>
      <c r="N4406" s="160"/>
      <c r="O4406" s="160"/>
      <c r="P4406" s="159" t="str">
        <f ca="1">IF(Proc[[#This Row],[DaysAgeing]]&gt;5,"yep","on track")</f>
        <v>on track</v>
      </c>
      <c r="Q4406" s="3">
        <f ca="1">IF(Proc[[#This Row],[DateClosed]]="",ABS(NETWORKDAYS(Proc[[#This Row],[DateOpened]],TODAY()))-1,ABS(NETWORKDAYS(Proc[[#This Row],[DateOpened]],Proc[[#This Row],[DateClosed]]))-1)</f>
        <v>1</v>
      </c>
      <c r="R4406" s="159" t="s">
        <v>6564</v>
      </c>
      <c r="S4406" s="150"/>
    </row>
    <row r="4407" spans="1:19" hidden="1">
      <c r="A4407" s="149" t="s">
        <v>6542</v>
      </c>
      <c r="B4407" s="150" t="str">
        <f>IFERROR(VLOOKUP(Proc[[#This Row],[App]],Table2[],3,0),"open")</f>
        <v>ok</v>
      </c>
      <c r="C4407" s="149" t="s">
        <v>369</v>
      </c>
      <c r="D4407" t="s">
        <v>6553</v>
      </c>
      <c r="E4407" t="s">
        <v>6543</v>
      </c>
      <c r="F4407" s="150" t="s">
        <v>6543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6436</v>
      </c>
      <c r="M4407" s="159">
        <v>45952</v>
      </c>
      <c r="N4407" s="160"/>
      <c r="O4407" s="160"/>
      <c r="P4407" s="159" t="str">
        <f ca="1">IF(Proc[[#This Row],[DaysAgeing]]&gt;5,"yep","on track")</f>
        <v>on track</v>
      </c>
      <c r="Q4407" s="3">
        <f ca="1">IF(Proc[[#This Row],[DateClosed]]="",ABS(NETWORKDAYS(Proc[[#This Row],[DateOpened]],TODAY()))-1,ABS(NETWORKDAYS(Proc[[#This Row],[DateOpened]],Proc[[#This Row],[DateClosed]]))-1)</f>
        <v>1</v>
      </c>
      <c r="R4407" s="159" t="s">
        <v>6564</v>
      </c>
      <c r="S4407" s="150"/>
    </row>
    <row r="4408" spans="1:19" hidden="1">
      <c r="A4408" s="149" t="s">
        <v>6542</v>
      </c>
      <c r="B4408" s="150" t="str">
        <f>IFERROR(VLOOKUP(Proc[[#This Row],[App]],Table2[],3,0),"open")</f>
        <v>ok</v>
      </c>
      <c r="C4408" s="149" t="s">
        <v>369</v>
      </c>
      <c r="D4408" t="s">
        <v>6554</v>
      </c>
      <c r="E4408" t="s">
        <v>6543</v>
      </c>
      <c r="F4408" s="150" t="s">
        <v>6543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6436</v>
      </c>
      <c r="M4408" s="159">
        <v>45952</v>
      </c>
      <c r="N4408" s="160"/>
      <c r="O4408" s="160"/>
      <c r="P4408" s="159" t="str">
        <f ca="1">IF(Proc[[#This Row],[DaysAgeing]]&gt;5,"yep","on track")</f>
        <v>on track</v>
      </c>
      <c r="Q4408" s="3">
        <f ca="1">IF(Proc[[#This Row],[DateClosed]]="",ABS(NETWORKDAYS(Proc[[#This Row],[DateOpened]],TODAY()))-1,ABS(NETWORKDAYS(Proc[[#This Row],[DateOpened]],Proc[[#This Row],[DateClosed]]))-1)</f>
        <v>1</v>
      </c>
      <c r="R4408" s="159" t="s">
        <v>6564</v>
      </c>
      <c r="S4408" s="150"/>
    </row>
    <row r="4409" spans="1:19" hidden="1">
      <c r="A4409" s="149" t="s">
        <v>6542</v>
      </c>
      <c r="B4409" s="150" t="str">
        <f>IFERROR(VLOOKUP(Proc[[#This Row],[App]],Table2[],3,0),"open")</f>
        <v>ok</v>
      </c>
      <c r="C4409" s="149" t="s">
        <v>369</v>
      </c>
      <c r="D4409" t="s">
        <v>6555</v>
      </c>
      <c r="E4409" t="s">
        <v>6543</v>
      </c>
      <c r="F4409" s="150" t="s">
        <v>6543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6436</v>
      </c>
      <c r="M4409" s="159">
        <v>45952</v>
      </c>
      <c r="N4409" s="160"/>
      <c r="O4409" s="160"/>
      <c r="P4409" s="159" t="str">
        <f ca="1">IF(Proc[[#This Row],[DaysAgeing]]&gt;5,"yep","on track")</f>
        <v>on track</v>
      </c>
      <c r="Q4409" s="3">
        <f ca="1">IF(Proc[[#This Row],[DateClosed]]="",ABS(NETWORKDAYS(Proc[[#This Row],[DateOpened]],TODAY()))-1,ABS(NETWORKDAYS(Proc[[#This Row],[DateOpened]],Proc[[#This Row],[DateClosed]]))-1)</f>
        <v>1</v>
      </c>
      <c r="R4409" s="159" t="s">
        <v>6564</v>
      </c>
      <c r="S4409" s="150"/>
    </row>
    <row r="4410" spans="1:19" hidden="1">
      <c r="A4410" s="149" t="s">
        <v>6542</v>
      </c>
      <c r="B4410" s="150" t="str">
        <f>IFERROR(VLOOKUP(Proc[[#This Row],[App]],Table2[],3,0),"open")</f>
        <v>ok</v>
      </c>
      <c r="C4410" s="149" t="s">
        <v>369</v>
      </c>
      <c r="D4410" t="s">
        <v>6556</v>
      </c>
      <c r="E4410" t="s">
        <v>6543</v>
      </c>
      <c r="F4410" s="150" t="s">
        <v>6543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6436</v>
      </c>
      <c r="M4410" s="159">
        <v>45952</v>
      </c>
      <c r="N4410" s="160"/>
      <c r="O4410" s="160"/>
      <c r="P4410" s="159" t="str">
        <f ca="1">IF(Proc[[#This Row],[DaysAgeing]]&gt;5,"yep","on track")</f>
        <v>on track</v>
      </c>
      <c r="Q4410" s="3">
        <f ca="1">IF(Proc[[#This Row],[DateClosed]]="",ABS(NETWORKDAYS(Proc[[#This Row],[DateOpened]],TODAY()))-1,ABS(NETWORKDAYS(Proc[[#This Row],[DateOpened]],Proc[[#This Row],[DateClosed]]))-1)</f>
        <v>1</v>
      </c>
      <c r="R4410" s="159" t="s">
        <v>6564</v>
      </c>
      <c r="S4410" s="150"/>
    </row>
    <row r="4411" spans="1:19" hidden="1">
      <c r="A4411" s="149" t="s">
        <v>6542</v>
      </c>
      <c r="B4411" s="150" t="str">
        <f>IFERROR(VLOOKUP(Proc[[#This Row],[App]],Table2[],3,0),"open")</f>
        <v>ok</v>
      </c>
      <c r="C4411" s="149" t="s">
        <v>369</v>
      </c>
      <c r="D4411" t="s">
        <v>6557</v>
      </c>
      <c r="E4411" t="s">
        <v>6543</v>
      </c>
      <c r="F4411" s="150" t="s">
        <v>6543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6436</v>
      </c>
      <c r="M4411" s="159">
        <v>45952</v>
      </c>
      <c r="N4411" s="160"/>
      <c r="O4411" s="160"/>
      <c r="P4411" s="159" t="str">
        <f ca="1">IF(Proc[[#This Row],[DaysAgeing]]&gt;5,"yep","on track")</f>
        <v>on track</v>
      </c>
      <c r="Q4411" s="3">
        <f ca="1">IF(Proc[[#This Row],[DateClosed]]="",ABS(NETWORKDAYS(Proc[[#This Row],[DateOpened]],TODAY()))-1,ABS(NETWORKDAYS(Proc[[#This Row],[DateOpened]],Proc[[#This Row],[DateClosed]]))-1)</f>
        <v>1</v>
      </c>
      <c r="R4411" s="159" t="s">
        <v>6564</v>
      </c>
      <c r="S4411" s="150"/>
    </row>
    <row r="4412" spans="1:19" hidden="1">
      <c r="A4412" s="149" t="s">
        <v>6542</v>
      </c>
      <c r="B4412" s="150" t="str">
        <f>IFERROR(VLOOKUP(Proc[[#This Row],[App]],Table2[],3,0),"open")</f>
        <v>ok</v>
      </c>
      <c r="C4412" s="149" t="s">
        <v>369</v>
      </c>
      <c r="D4412" t="s">
        <v>6558</v>
      </c>
      <c r="E4412" t="s">
        <v>6543</v>
      </c>
      <c r="F4412" s="150" t="s">
        <v>6543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6436</v>
      </c>
      <c r="M4412" s="159">
        <v>45952</v>
      </c>
      <c r="N4412" s="160"/>
      <c r="O4412" s="160"/>
      <c r="P4412" s="159" t="str">
        <f ca="1">IF(Proc[[#This Row],[DaysAgeing]]&gt;5,"yep","on track")</f>
        <v>on track</v>
      </c>
      <c r="Q4412" s="3">
        <f ca="1">IF(Proc[[#This Row],[DateClosed]]="",ABS(NETWORKDAYS(Proc[[#This Row],[DateOpened]],TODAY()))-1,ABS(NETWORKDAYS(Proc[[#This Row],[DateOpened]],Proc[[#This Row],[DateClosed]]))-1)</f>
        <v>1</v>
      </c>
      <c r="R4412" s="159" t="s">
        <v>6564</v>
      </c>
      <c r="S4412" s="150"/>
    </row>
    <row r="4413" spans="1:19" hidden="1">
      <c r="A4413" s="149" t="s">
        <v>6542</v>
      </c>
      <c r="B4413" s="150" t="str">
        <f>IFERROR(VLOOKUP(Proc[[#This Row],[App]],Table2[],3,0),"open")</f>
        <v>ok</v>
      </c>
      <c r="C4413" s="149" t="s">
        <v>369</v>
      </c>
      <c r="D4413" t="s">
        <v>6559</v>
      </c>
      <c r="E4413" t="s">
        <v>6543</v>
      </c>
      <c r="F4413" s="150" t="s">
        <v>6543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6436</v>
      </c>
      <c r="M4413" s="159">
        <v>45952</v>
      </c>
      <c r="N4413" s="160"/>
      <c r="O4413" s="160"/>
      <c r="P4413" s="159" t="str">
        <f ca="1">IF(Proc[[#This Row],[DaysAgeing]]&gt;5,"yep","on track")</f>
        <v>on track</v>
      </c>
      <c r="Q4413" s="3">
        <f ca="1">IF(Proc[[#This Row],[DateClosed]]="",ABS(NETWORKDAYS(Proc[[#This Row],[DateOpened]],TODAY()))-1,ABS(NETWORKDAYS(Proc[[#This Row],[DateOpened]],Proc[[#This Row],[DateClosed]]))-1)</f>
        <v>1</v>
      </c>
      <c r="R4413" s="159" t="s">
        <v>6564</v>
      </c>
      <c r="S4413" s="150"/>
    </row>
    <row r="4414" spans="1:19" hidden="1">
      <c r="A4414" s="149" t="s">
        <v>6542</v>
      </c>
      <c r="B4414" s="150" t="str">
        <f>IFERROR(VLOOKUP(Proc[[#This Row],[App]],Table2[],3,0),"open")</f>
        <v>ok</v>
      </c>
      <c r="C4414" s="149" t="s">
        <v>369</v>
      </c>
      <c r="D4414" t="s">
        <v>6560</v>
      </c>
      <c r="E4414" t="s">
        <v>6543</v>
      </c>
      <c r="F4414" s="150" t="s">
        <v>6543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6436</v>
      </c>
      <c r="M4414" s="159">
        <v>45952</v>
      </c>
      <c r="N4414" s="160"/>
      <c r="O4414" s="160"/>
      <c r="P4414" s="159" t="str">
        <f ca="1">IF(Proc[[#This Row],[DaysAgeing]]&gt;5,"yep","on track")</f>
        <v>on track</v>
      </c>
      <c r="Q4414" s="3">
        <f ca="1">IF(Proc[[#This Row],[DateClosed]]="",ABS(NETWORKDAYS(Proc[[#This Row],[DateOpened]],TODAY()))-1,ABS(NETWORKDAYS(Proc[[#This Row],[DateOpened]],Proc[[#This Row],[DateClosed]]))-1)</f>
        <v>1</v>
      </c>
      <c r="R4414" s="159" t="s">
        <v>6564</v>
      </c>
      <c r="S4414" s="150"/>
    </row>
    <row r="4415" spans="1:19" hidden="1">
      <c r="A4415" s="149" t="s">
        <v>6542</v>
      </c>
      <c r="B4415" s="150" t="str">
        <f>IFERROR(VLOOKUP(Proc[[#This Row],[App]],Table2[],3,0),"open")</f>
        <v>ok</v>
      </c>
      <c r="C4415" s="149" t="s">
        <v>369</v>
      </c>
      <c r="D4415" t="s">
        <v>6561</v>
      </c>
      <c r="E4415" t="s">
        <v>6543</v>
      </c>
      <c r="F4415" s="150" t="s">
        <v>6543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6436</v>
      </c>
      <c r="M4415" s="159">
        <v>45952</v>
      </c>
      <c r="N4415" s="160"/>
      <c r="O4415" s="160"/>
      <c r="P4415" s="159" t="str">
        <f ca="1">IF(Proc[[#This Row],[DaysAgeing]]&gt;5,"yep","on track")</f>
        <v>on track</v>
      </c>
      <c r="Q4415" s="3">
        <f ca="1">IF(Proc[[#This Row],[DateClosed]]="",ABS(NETWORKDAYS(Proc[[#This Row],[DateOpened]],TODAY()))-1,ABS(NETWORKDAYS(Proc[[#This Row],[DateOpened]],Proc[[#This Row],[DateClosed]]))-1)</f>
        <v>1</v>
      </c>
      <c r="R4415" s="159" t="s">
        <v>6564</v>
      </c>
      <c r="S4415" s="150"/>
    </row>
    <row r="4416" spans="1:19" hidden="1">
      <c r="A4416" s="149" t="s">
        <v>6542</v>
      </c>
      <c r="B4416" s="150" t="str">
        <f>IFERROR(VLOOKUP(Proc[[#This Row],[App]],Table2[],3,0),"open")</f>
        <v>ok</v>
      </c>
      <c r="C4416" s="149" t="s">
        <v>369</v>
      </c>
      <c r="D4416" t="s">
        <v>6562</v>
      </c>
      <c r="E4416" t="s">
        <v>6543</v>
      </c>
      <c r="F4416" s="150" t="s">
        <v>6543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6436</v>
      </c>
      <c r="M4416" s="159">
        <v>45952</v>
      </c>
      <c r="N4416" s="160"/>
      <c r="O4416" s="160"/>
      <c r="P4416" s="159" t="str">
        <f ca="1">IF(Proc[[#This Row],[DaysAgeing]]&gt;5,"yep","on track")</f>
        <v>on track</v>
      </c>
      <c r="Q4416" s="3">
        <f ca="1">IF(Proc[[#This Row],[DateClosed]]="",ABS(NETWORKDAYS(Proc[[#This Row],[DateOpened]],TODAY()))-1,ABS(NETWORKDAYS(Proc[[#This Row],[DateOpened]],Proc[[#This Row],[DateClosed]]))-1)</f>
        <v>1</v>
      </c>
      <c r="R4416" s="159" t="s">
        <v>6564</v>
      </c>
      <c r="S4416" s="150"/>
    </row>
    <row r="4417" spans="1:19" hidden="1">
      <c r="A4417" s="149" t="s">
        <v>6542</v>
      </c>
      <c r="B4417" s="150" t="str">
        <f>IFERROR(VLOOKUP(Proc[[#This Row],[App]],Table2[],3,0),"open")</f>
        <v>ok</v>
      </c>
      <c r="C4417" s="149" t="s">
        <v>369</v>
      </c>
      <c r="D4417" t="s">
        <v>6563</v>
      </c>
      <c r="E4417" t="s">
        <v>6543</v>
      </c>
      <c r="F4417" s="150" t="s">
        <v>6543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6436</v>
      </c>
      <c r="M4417" s="159">
        <v>45952</v>
      </c>
      <c r="N4417" s="160"/>
      <c r="O4417" s="160"/>
      <c r="P4417" s="159" t="str">
        <f ca="1">IF(Proc[[#This Row],[DaysAgeing]]&gt;5,"yep","on track")</f>
        <v>on track</v>
      </c>
      <c r="Q4417" s="3">
        <f ca="1">IF(Proc[[#This Row],[DateClosed]]="",ABS(NETWORKDAYS(Proc[[#This Row],[DateOpened]],TODAY()))-1,ABS(NETWORKDAYS(Proc[[#This Row],[DateOpened]],Proc[[#This Row],[DateClosed]]))-1)</f>
        <v>1</v>
      </c>
      <c r="R4417" s="159" t="s">
        <v>6564</v>
      </c>
      <c r="S4417" s="150"/>
    </row>
    <row r="4418" spans="1:19" hidden="1">
      <c r="A4418" t="s">
        <v>6565</v>
      </c>
      <c r="B4418" s="150" t="str">
        <f>IFERROR(VLOOKUP(Proc[[#This Row],[App]],Table2[],3,0),"open")</f>
        <v>ok</v>
      </c>
      <c r="C4418" s="149" t="s">
        <v>369</v>
      </c>
      <c r="D4418" t="s">
        <v>6569</v>
      </c>
      <c r="E4418" t="s">
        <v>6566</v>
      </c>
      <c r="F4418" s="150" t="s">
        <v>6566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6436</v>
      </c>
      <c r="M4418" s="159">
        <v>45952</v>
      </c>
      <c r="N4418" s="160"/>
      <c r="O4418" s="160"/>
      <c r="P4418" s="159" t="str">
        <f ca="1">IF(Proc[[#This Row],[DaysAgeing]]&gt;5,"yep","on track")</f>
        <v>on track</v>
      </c>
      <c r="Q4418" s="3">
        <f ca="1">IF(Proc[[#This Row],[DateClosed]]="",ABS(NETWORKDAYS(Proc[[#This Row],[DateOpened]],TODAY()))-1,ABS(NETWORKDAYS(Proc[[#This Row],[DateOpened]],Proc[[#This Row],[DateClosed]]))-1)</f>
        <v>1</v>
      </c>
      <c r="R4418" s="159" t="s">
        <v>498</v>
      </c>
      <c r="S4418" s="150"/>
    </row>
    <row r="4419" spans="1:19" hidden="1">
      <c r="A4419" s="149" t="s">
        <v>6565</v>
      </c>
      <c r="B4419" s="150" t="str">
        <f>IFERROR(VLOOKUP(Proc[[#This Row],[App]],Table2[],3,0),"open")</f>
        <v>ok</v>
      </c>
      <c r="C4419" s="149" t="s">
        <v>369</v>
      </c>
      <c r="D4419" t="s">
        <v>6570</v>
      </c>
      <c r="E4419" t="s">
        <v>6567</v>
      </c>
      <c r="F4419" s="150" t="s">
        <v>6567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6436</v>
      </c>
      <c r="M4419" s="159">
        <v>45952</v>
      </c>
      <c r="N4419" s="160"/>
      <c r="O4419" s="160"/>
      <c r="P4419" s="159" t="str">
        <f ca="1">IF(Proc[[#This Row],[DaysAgeing]]&gt;5,"yep","on track")</f>
        <v>on track</v>
      </c>
      <c r="Q4419" s="3">
        <f ca="1">IF(Proc[[#This Row],[DateClosed]]="",ABS(NETWORKDAYS(Proc[[#This Row],[DateOpened]],TODAY()))-1,ABS(NETWORKDAYS(Proc[[#This Row],[DateOpened]],Proc[[#This Row],[DateClosed]]))-1)</f>
        <v>1</v>
      </c>
      <c r="R4419" s="159" t="s">
        <v>498</v>
      </c>
      <c r="S4419" s="150"/>
    </row>
    <row r="4420" spans="1:19" hidden="1">
      <c r="A4420" s="149" t="s">
        <v>6565</v>
      </c>
      <c r="B4420" s="150" t="str">
        <f>IFERROR(VLOOKUP(Proc[[#This Row],[App]],Table2[],3,0),"open")</f>
        <v>ok</v>
      </c>
      <c r="C4420" s="149" t="s">
        <v>369</v>
      </c>
      <c r="D4420" t="s">
        <v>6571</v>
      </c>
      <c r="E4420" t="s">
        <v>6568</v>
      </c>
      <c r="F4420" s="150" t="s">
        <v>6568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6436</v>
      </c>
      <c r="M4420" s="159">
        <v>45952</v>
      </c>
      <c r="N4420" s="160"/>
      <c r="O4420" s="160"/>
      <c r="P4420" s="159" t="str">
        <f ca="1">IF(Proc[[#This Row],[DaysAgeing]]&gt;5,"yep","on track")</f>
        <v>on track</v>
      </c>
      <c r="Q4420" s="3">
        <f ca="1">IF(Proc[[#This Row],[DateClosed]]="",ABS(NETWORKDAYS(Proc[[#This Row],[DateOpened]],TODAY()))-1,ABS(NETWORKDAYS(Proc[[#This Row],[DateOpened]],Proc[[#This Row],[DateClosed]]))-1)</f>
        <v>1</v>
      </c>
      <c r="R4420" s="159" t="s">
        <v>498</v>
      </c>
      <c r="S4420" s="150"/>
    </row>
    <row r="4421" spans="1:19">
      <c r="A4421" t="s">
        <v>6573</v>
      </c>
      <c r="B4421" s="150" t="str">
        <f>IFERROR(VLOOKUP(Proc[[#This Row],[App]],Table2[],3,0),"open")</f>
        <v>open</v>
      </c>
      <c r="C4421" t="s">
        <v>375</v>
      </c>
      <c r="D4421" t="s">
        <v>6572</v>
      </c>
      <c r="E4421" t="s">
        <v>784</v>
      </c>
      <c r="F4421" s="150"/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0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6436</v>
      </c>
      <c r="M4421" s="159">
        <v>45953</v>
      </c>
      <c r="N4421" s="160"/>
      <c r="O4421" s="160"/>
      <c r="P4421" s="159" t="str">
        <f ca="1">IF(Proc[[#This Row],[DaysAgeing]]&gt;5,"yep","on track")</f>
        <v>on track</v>
      </c>
      <c r="Q4421" s="3">
        <f ca="1">IF(Proc[[#This Row],[DateClosed]]="",ABS(NETWORKDAYS(Proc[[#This Row],[DateOpened]],TODAY()))-1,ABS(NETWORKDAYS(Proc[[#This Row],[DateOpened]],Proc[[#This Row],[DateClosed]]))-1)</f>
        <v>0</v>
      </c>
      <c r="R4421" s="159" t="s">
        <v>6574</v>
      </c>
      <c r="S4421" s="150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G2:G4421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42" sqref="H4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0"/>
  <sheetViews>
    <sheetView topLeftCell="A116" workbookViewId="0">
      <selection activeCell="B140" sqref="B140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4417</v>
      </c>
      <c r="B129" s="103" t="s">
        <v>569</v>
      </c>
    </row>
    <row r="130" spans="1:2">
      <c r="A130" t="s">
        <v>4821</v>
      </c>
      <c r="B130" s="117" t="s">
        <v>568</v>
      </c>
    </row>
    <row r="131" spans="1:2">
      <c r="A131" t="s">
        <v>4820</v>
      </c>
      <c r="B131" s="117" t="s">
        <v>568</v>
      </c>
    </row>
    <row r="132" spans="1:2">
      <c r="A132" s="115" t="s">
        <v>5502</v>
      </c>
      <c r="B132" t="s">
        <v>570</v>
      </c>
    </row>
    <row r="133" spans="1:2">
      <c r="A133" t="s">
        <v>5683</v>
      </c>
      <c r="B133" t="s">
        <v>569</v>
      </c>
    </row>
    <row r="134" spans="1:2">
      <c r="A134" s="130" t="s">
        <v>5710</v>
      </c>
      <c r="B134" t="s">
        <v>570</v>
      </c>
    </row>
    <row r="135" spans="1:2">
      <c r="A135" s="136" t="s">
        <v>6088</v>
      </c>
      <c r="B135" s="135" t="s">
        <v>570</v>
      </c>
    </row>
    <row r="136" spans="1:2">
      <c r="A136" t="s">
        <v>6248</v>
      </c>
      <c r="B136" t="s">
        <v>567</v>
      </c>
    </row>
    <row r="137" spans="1:2">
      <c r="A137" s="146" t="s">
        <v>6274</v>
      </c>
      <c r="B137" t="s">
        <v>569</v>
      </c>
    </row>
    <row r="138" spans="1:2">
      <c r="A138" s="146" t="s">
        <v>6306</v>
      </c>
      <c r="B138" t="s">
        <v>567</v>
      </c>
    </row>
    <row r="139" spans="1:2">
      <c r="A139" t="s">
        <v>6564</v>
      </c>
      <c r="B139" s="149" t="s">
        <v>570</v>
      </c>
    </row>
    <row r="140" spans="1:2">
      <c r="A140" s="159" t="s">
        <v>6574</v>
      </c>
      <c r="B140" s="149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2025-10-23T13:40:24Z</dcterms:modified>
  <cp:category/>
  <cp:contentStatus/>
</cp:coreProperties>
</file>