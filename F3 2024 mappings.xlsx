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3580007-98D0-4C8D-8A90-E7B3B0E9C69C}" xr6:coauthVersionLast="47" xr6:coauthVersionMax="47" xr10:uidLastSave="{00000000-0000-0000-0000-000000000000}"/>
  <bookViews>
    <workbookView xWindow="-120" yWindow="-120" windowWidth="38640" windowHeight="21120" activeTab="5" xr2:uid="{9EF57C3D-F6AB-450C-9EC3-AF89A75F272D}"/>
  </bookViews>
  <sheets>
    <sheet name="KPI" sheetId="5" r:id="rId1"/>
    <sheet name="Sheet5" sheetId="32" r:id="rId2"/>
    <sheet name="Report" sheetId="4" r:id="rId3"/>
    <sheet name="OK" sheetId="2" r:id="rId4"/>
    <sheet name="Cognos_Office_Connection_Cache" sheetId="27" state="veryHidden" r:id="rId5"/>
    <sheet name="PROC" sheetId="1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3" hidden="1">OK!$A$67:$C$67</definedName>
    <definedName name="_xlnm._FilterDatabase" localSheetId="2" hidden="1">Report!$A$2:$F$1353</definedName>
    <definedName name="_xlnm._FilterDatabase" localSheetId="7" hidden="1">Sheet3!$A$1:$C$87</definedName>
    <definedName name="ExternalData_1" localSheetId="14" hidden="1">YelTable!$A$1:$E$5</definedName>
    <definedName name="ID" localSheetId="11" hidden="1">"f29e49f0-c842-4a01-8df8-c72694a7b15c"</definedName>
    <definedName name="ID" localSheetId="4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32" i="1" l="1"/>
  <c r="H5332" i="1"/>
  <c r="J5332" i="1"/>
  <c r="K5332" i="1"/>
  <c r="Q5332" i="1"/>
  <c r="P5332" i="1" s="1"/>
  <c r="B5331" i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J5245" i="1"/>
  <c r="K5245" i="1"/>
  <c r="Q5245" i="1"/>
  <c r="P5245" i="1" s="1"/>
  <c r="F5244" i="1" l="1"/>
  <c r="F5243" i="1"/>
  <c r="J5243" i="1" s="1"/>
  <c r="F5242" i="1"/>
  <c r="J5242" i="1" s="1"/>
  <c r="F5240" i="1"/>
  <c r="F5235" i="1"/>
  <c r="J5235" i="1" s="1"/>
  <c r="F5234" i="1"/>
  <c r="J5234" i="1" s="1"/>
  <c r="F5233" i="1"/>
  <c r="J5233" i="1" s="1"/>
  <c r="F5232" i="1"/>
  <c r="J5232" i="1" s="1"/>
  <c r="F5231" i="1"/>
  <c r="J5231" i="1" s="1"/>
  <c r="F5230" i="1"/>
  <c r="J5230" i="1" s="1"/>
  <c r="F5229" i="1"/>
  <c r="J5229" i="1" s="1"/>
  <c r="F5228" i="1"/>
  <c r="J5228" i="1" s="1"/>
  <c r="F5227" i="1"/>
  <c r="J5227" i="1" s="1"/>
  <c r="F5226" i="1"/>
  <c r="J5226" i="1" s="1"/>
  <c r="F5225" i="1"/>
  <c r="J5225" i="1" s="1"/>
  <c r="F5224" i="1"/>
  <c r="J5224" i="1" s="1"/>
  <c r="F5199" i="1"/>
  <c r="J5199" i="1" s="1"/>
  <c r="F5198" i="1"/>
  <c r="J5198" i="1" s="1"/>
  <c r="F5192" i="1"/>
  <c r="F5115" i="1"/>
  <c r="F5105" i="1"/>
  <c r="F5090" i="1"/>
  <c r="F4491" i="1"/>
  <c r="F4490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<sst xmlns="http://schemas.openxmlformats.org/spreadsheetml/2006/main" count="47671" uniqueCount="7714">
  <si>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</si>
  <si>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</si>
  <si>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</si>
  <si>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</si>
  <si>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</si>
  <si>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</si>
  <si>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</si>
  <si>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</si>
  <si>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</si>
  <si>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</si>
  <si>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</si>
  <si>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</si>
  <si>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</si>
  <si>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</si>
  <si>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</si>
  <si>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</si>
  <si>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</si>
  <si>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</si>
  <si>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</si>
  <si>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</si>
  <si>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</si>
  <si>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</si>
  <si>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</si>
  <si>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</si>
  <si>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</si>
  <si>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</si>
  <si>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</si>
  <si>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</si>
  <si>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</si>
  <si>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</si>
  <si>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</si>
  <si>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</si>
  <si>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</si>
  <si>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</si>
  <si>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</si>
  <si>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</si>
  <si>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</si>
  <si>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</si>
  <si>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</si>
  <si>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</si>
  <si>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</si>
  <si>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</si>
  <si>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</si>
  <si>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</si>
  <si>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</si>
  <si>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</si>
  <si>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</si>
  <si>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</si>
  <si>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</si>
  <si>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</si>
  <si>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</si>
  <si>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</si>
  <si>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</si>
  <si>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</si>
  <si>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</si>
  <si>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</si>
  <si>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</si>
  <si>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</si>
  <si>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</si>
  <si>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</si>
  <si>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</si>
  <si>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</si>
  <si>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</si>
  <si>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</si>
  <si>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</si>
  <si>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</si>
  <si>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</si>
  <si>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</si>
  <si>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</si>
  <si>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</si>
  <si>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</si>
  <si>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</si>
  <si>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</si>
  <si>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</si>
  <si>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</si>
  <si>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</si>
  <si>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</si>
  <si>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</si>
  <si>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</si>
  <si>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</si>
  <si>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</si>
  <si>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</si>
  <si>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</si>
  <si>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</si>
  <si>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</si>
  <si>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</si>
  <si>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</si>
  <si>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</si>
  <si>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</si>
  <si>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</si>
  <si>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</si>
  <si>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</si>
  <si>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</si>
  <si>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</si>
  <si>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</si>
  <si>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</si>
  <si>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</si>
  <si>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</si>
  <si>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</si>
  <si>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</si>
  <si>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</si>
  <si>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</si>
  <si>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</si>
  <si>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</si>
  <si>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</si>
  <si>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</si>
  <si>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</si>
  <si>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</si>
  <si>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</si>
  <si>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</si>
  <si>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</si>
  <si>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</si>
  <si>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</si>
  <si>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</si>
  <si>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</si>
  <si>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</si>
  <si>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</si>
  <si>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</si>
  <si>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</si>
  <si>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</si>
  <si>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</si>
  <si>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</si>
  <si>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</si>
  <si>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</si>
  <si>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</si>
  <si>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</si>
  <si>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</si>
  <si>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</si>
  <si>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</si>
  <si>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</si>
  <si>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</si>
  <si>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</si>
  <si>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</si>
  <si>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</si>
  <si>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</si>
  <si>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</si>
  <si>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</si>
  <si>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</si>
  <si>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</si>
  <si>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</si>
  <si>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</si>
  <si>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</si>
  <si>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</si>
  <si>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</si>
  <si>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</si>
  <si>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</si>
  <si>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</si>
  <si>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</si>
  <si>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</si>
  <si>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</si>
  <si>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</si>
  <si>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</si>
  <si>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</si>
  <si>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</si>
  <si>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</si>
  <si>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</si>
  <si>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</si>
  <si>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</si>
  <si>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</si>
  <si>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</si>
  <si>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</si>
  <si>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</si>
  <si>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</si>
  <si>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</si>
  <si>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</si>
  <si>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</si>
  <si>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</si>
  <si>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</si>
  <si>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</si>
  <si>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</si>
  <si>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</si>
  <si>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</si>
  <si>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</si>
  <si>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</si>
  <si>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</si>
  <si>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</si>
  <si>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</si>
  <si>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</si>
  <si>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</si>
  <si>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</si>
  <si>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</si>
  <si>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</si>
  <si>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</si>
  <si>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</si>
  <si>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</si>
  <si>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</si>
  <si>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</si>
  <si>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</si>
  <si>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</si>
  <si>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</si>
  <si>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</si>
  <si>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</si>
  <si>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</si>
  <si>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</si>
  <si>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</si>
  <si>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</si>
  <si>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</si>
  <si>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</si>
  <si>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</si>
  <si>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</si>
  <si>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</si>
  <si>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</si>
  <si>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</si>
  <si>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</si>
  <si>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</si>
  <si>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</si>
  <si>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</si>
  <si>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</si>
  <si>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</si>
  <si>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</si>
  <si>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</si>
  <si>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</si>
  <si>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</si>
  <si>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</si>
  <si>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</si>
  <si>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</si>
  <si>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</si>
  <si>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</si>
  <si>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</si>
  <si>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</si>
  <si>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</si>
  <si>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</si>
  <si>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</si>
  <si>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</si>
  <si>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</si>
  <si>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</si>
  <si>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</si>
  <si>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</si>
  <si>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</si>
  <si>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</si>
  <si>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</si>
  <si>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</si>
  <si>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</si>
  <si>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</si>
  <si>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</si>
  <si>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</si>
  <si>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</si>
  <si>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</si>
  <si>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</si>
  <si>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</si>
  <si>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</si>
  <si>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</si>
  <si>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</si>
  <si>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</si>
  <si>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</si>
  <si>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</si>
  <si>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</si>
  <si>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</si>
  <si>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</si>
  <si>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</si>
  <si>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</si>
  <si>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</si>
  <si>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</si>
  <si>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</si>
  <si>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</si>
  <si>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</si>
  <si>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</si>
  <si>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</si>
  <si>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</si>
  <si>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</si>
  <si>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</si>
  <si>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</si>
  <si>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</si>
  <si>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</si>
  <si>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</si>
  <si>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</si>
  <si>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</si>
  <si>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</si>
  <si>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</si>
  <si>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</si>
  <si>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</si>
  <si>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</si>
  <si>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</si>
  <si>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</si>
  <si>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</si>
  <si>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</si>
  <si>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</si>
  <si>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</si>
  <si>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</si>
  <si>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</si>
  <si>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</si>
  <si>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</si>
  <si>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</si>
  <si>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</si>
  <si>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</si>
  <si>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</si>
  <si>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</si>
  <si>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</si>
  <si>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</si>
  <si>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</si>
  <si>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</si>
  <si>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</si>
  <si>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</si>
  <si>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</si>
  <si>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</si>
  <si>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</si>
  <si>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</si>
  <si>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</si>
  <si>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</si>
  <si>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</si>
  <si>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</si>
  <si>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</si>
  <si>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</si>
  <si>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</si>
  <si>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</si>
  <si>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</si>
  <si>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</si>
  <si>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</si>
  <si>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</si>
  <si>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</si>
  <si>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</si>
  <si>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</si>
  <si>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</si>
  <si>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</si>
  <si>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</si>
  <si>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</si>
  <si>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</si>
  <si>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</si>
  <si>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</si>
  <si>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</si>
  <si>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</si>
  <si>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</si>
  <si>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</si>
  <si>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</si>
  <si>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</si>
  <si>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</si>
  <si>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</si>
  <si>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</si>
  <si>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</si>
  <si>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</si>
  <si>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</si>
  <si>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</si>
  <si>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</si>
  <si>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</si>
  <si>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</si>
  <si>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</si>
  <si>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</si>
  <si>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</si>
  <si>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</si>
  <si>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</si>
  <si>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</si>
  <si>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</si>
  <si>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</si>
  <si>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</si>
  <si>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</si>
  <si>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</si>
  <si>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</si>
  <si>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</si>
  <si>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</si>
  <si>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</si>
  <si>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</si>
  <si>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</si>
  <si>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</si>
  <si>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</si>
  <si>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</si>
  <si>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</si>
  <si>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</si>
  <si>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</si>
  <si>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</si>
  <si>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</si>
  <si>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</si>
  <si>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</si>
  <si>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</si>
  <si>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</si>
  <si>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</si>
  <si>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</si>
  <si>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</si>
  <si>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</si>
  <si>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</si>
  <si>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</si>
  <si>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</si>
  <si>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</si>
  <si>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</si>
  <si>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</si>
  <si>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</si>
  <si>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</si>
  <si>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</si>
  <si>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</si>
  <si>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</si>
  <si>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</si>
  <si>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</si>
  <si>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</si>
  <si>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</si>
  <si>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</si>
  <si>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</si>
  <si>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</si>
  <si>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</si>
  <si>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</si>
  <si>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</si>
  <si>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</si>
  <si>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</si>
  <si>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</si>
  <si>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</si>
  <si>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</si>
  <si>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</si>
  <si>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</si>
  <si>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</si>
  <si>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</si>
  <si>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</si>
  <si>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</si>
  <si>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</si>
  <si>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</si>
  <si>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</si>
  <si>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</si>
  <si>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</si>
  <si>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</si>
  <si>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</si>
  <si>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</si>
  <si>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</si>
  <si>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</si>
  <si>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</si>
  <si>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</si>
  <si>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</si>
  <si>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</si>
  <si>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</si>
  <si>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</si>
  <si>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</si>
  <si>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</si>
  <si>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</si>
  <si>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</si>
  <si>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</si>
  <si>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</si>
  <si>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</si>
  <si>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</si>
  <si>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</si>
  <si>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</si>
  <si>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</si>
  <si>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</si>
  <si>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</si>
  <si>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</si>
  <si>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</si>
  <si>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</si>
  <si>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</si>
  <si>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</si>
  <si>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</si>
  <si>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</si>
  <si>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</si>
  <si>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</si>
  <si>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</si>
  <si>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</si>
  <si>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</si>
  <si>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</si>
  <si>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</si>
  <si>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</si>
  <si>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</si>
  <si>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</si>
  <si>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</si>
  <si>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</si>
  <si>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</si>
  <si>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</si>
  <si>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</si>
  <si>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</si>
  <si>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</si>
  <si>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</si>
  <si>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</si>
  <si>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</si>
  <si>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</si>
  <si>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</si>
  <si>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</si>
  <si>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</si>
  <si>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</si>
  <si>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</si>
  <si>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</si>
  <si>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</si>
  <si>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</si>
  <si>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</si>
  <si>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</si>
  <si>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</si>
  <si>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</si>
  <si>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</si>
  <si>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</si>
  <si>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</si>
  <si>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</si>
  <si>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</si>
  <si>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</si>
  <si>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</si>
  <si>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</si>
  <si>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</si>
  <si>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</si>
  <si>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</si>
  <si>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</si>
  <si>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</si>
  <si>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</si>
  <si>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</si>
  <si>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</si>
  <si>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</si>
  <si>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</si>
  <si>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</si>
  <si>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</si>
  <si>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</si>
  <si>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</si>
  <si>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</si>
  <si>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</si>
  <si>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</si>
  <si>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</si>
  <si>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</si>
  <si>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</si>
  <si>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</si>
  <si>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</si>
  <si>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</si>
  <si>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</si>
  <si>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</si>
  <si>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</si>
  <si>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</si>
  <si>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</si>
  <si>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</si>
  <si>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</si>
  <si>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</si>
  <si>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</si>
  <si>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</si>
  <si>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</si>
  <si>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</si>
  <si>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</si>
  <si>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</si>
  <si>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</si>
  <si>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</si>
  <si>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</si>
  <si>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</si>
  <si>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</si>
  <si>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</si>
  <si>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</si>
  <si>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</si>
  <si>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</si>
  <si>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</si>
  <si>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</si>
  <si>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</si>
  <si>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</si>
  <si>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</si>
  <si>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</si>
  <si>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</si>
  <si>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</si>
  <si>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</si>
  <si>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</si>
  <si>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</si>
  <si>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</si>
  <si>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</si>
  <si>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</si>
  <si>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</si>
  <si>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</si>
  <si>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</si>
  <si>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</si>
  <si>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</si>
  <si>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</si>
  <si>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</si>
  <si>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</si>
  <si>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</si>
  <si>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</si>
  <si>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</si>
  <si>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</si>
  <si>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</si>
  <si>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</si>
  <si>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</si>
  <si>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</si>
  <si>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</si>
  <si>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</si>
  <si>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</si>
  <si>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</si>
  <si>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</si>
  <si>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</si>
  <si>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</si>
  <si>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</si>
  <si>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</si>
  <si>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</si>
  <si>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</si>
  <si>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</si>
  <si>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</si>
  <si>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</si>
  <si>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</si>
  <si>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</si>
  <si>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</si>
  <si>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</si>
  <si>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</si>
  <si>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</si>
  <si>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</si>
  <si>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</si>
  <si>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</si>
  <si>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</si>
  <si>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</si>
  <si>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</si>
  <si>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</si>
  <si>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</si>
  <si>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</si>
  <si>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</si>
  <si>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</si>
  <si>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</si>
  <si>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</si>
  <si>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</si>
  <si>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</si>
  <si>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</si>
  <si>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</si>
  <si>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</si>
  <si>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</si>
  <si>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</si>
  <si>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</si>
  <si>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</si>
  <si>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</si>
  <si>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</si>
  <si>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</si>
  <si>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</si>
  <si>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</si>
  <si>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</si>
  <si>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</si>
  <si>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</si>
  <si>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</si>
  <si>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</si>
  <si>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</si>
  <si>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</si>
  <si>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</si>
  <si>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</si>
  <si>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</si>
  <si>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</si>
  <si>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</si>
  <si>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</si>
  <si>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</si>
  <si>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</si>
  <si>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</si>
  <si>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</si>
  <si>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</si>
  <si>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</si>
  <si>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</si>
  <si>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</si>
  <si>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</si>
  <si>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</si>
  <si>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</si>
  <si>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</si>
  <si>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</si>
  <si>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</si>
  <si>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</si>
  <si>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</si>
  <si>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</si>
  <si>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</si>
  <si>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</si>
  <si>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</si>
  <si>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</si>
  <si>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</si>
  <si>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</si>
  <si>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</si>
  <si>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</si>
  <si>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</si>
  <si>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</si>
  <si>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</si>
  <si>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</si>
  <si>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</si>
  <si>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</si>
  <si>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</si>
  <si>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</si>
  <si>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</si>
  <si>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</si>
  <si>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</si>
  <si>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</si>
  <si>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</si>
  <si>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</si>
  <si>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</si>
  <si>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</si>
  <si>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</si>
  <si>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</si>
  <si>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</si>
  <si>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</si>
  <si>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</si>
  <si>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</si>
  <si>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</si>
  <si>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</si>
  <si>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</si>
  <si>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</si>
  <si>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</si>
  <si>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</si>
  <si>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</si>
  <si>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</si>
  <si>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</si>
  <si>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</si>
  <si>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</si>
  <si>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</si>
  <si>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</si>
  <si>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</si>
  <si>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</si>
  <si>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</si>
  <si>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</si>
  <si>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</si>
  <si>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</si>
  <si>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</si>
  <si>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</si>
  <si>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</si>
  <si>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</si>
  <si>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</si>
  <si>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</si>
  <si>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</si>
  <si>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</si>
  <si>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</si>
  <si>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</si>
  <si>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</si>
  <si>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</si>
  <si>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</si>
  <si>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</si>
  <si>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</si>
  <si>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</si>
  <si>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</si>
  <si>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</si>
  <si>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</si>
  <si>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</si>
  <si>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</si>
  <si>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</si>
  <si>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</si>
  <si>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</si>
  <si>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</si>
  <si>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</si>
  <si>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</si>
  <si>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</si>
  <si>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</si>
  <si>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</si>
  <si>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</si>
  <si>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</si>
  <si>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</si>
  <si>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</si>
  <si>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</si>
  <si>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</si>
  <si>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</si>
  <si>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</si>
  <si>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</si>
  <si>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</si>
  <si>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</si>
  <si>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</si>
  <si>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</si>
  <si>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</si>
  <si>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</si>
  <si>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</si>
  <si>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</si>
  <si>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</si>
  <si>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</si>
  <si>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</si>
  <si>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</si>
  <si>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</si>
  <si>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</si>
  <si>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</si>
  <si>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</si>
  <si>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</si>
  <si>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</si>
  <si>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</si>
  <si>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</si>
  <si>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</si>
  <si>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</si>
  <si>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</si>
  <si>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</si>
  <si>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</si>
  <si>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</si>
  <si>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</si>
  <si>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</si>
  <si>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</si>
  <si>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</si>
  <si>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</si>
  <si>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</si>
  <si>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</si>
  <si>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</si>
  <si>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</si>
  <si>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</si>
  <si>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</si>
  <si>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</si>
  <si>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</si>
  <si>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</si>
  <si>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</si>
  <si>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</si>
  <si>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</si>
  <si>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</si>
  <si>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</si>
  <si>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</si>
  <si>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</si>
  <si>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</si>
  <si>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</si>
  <si>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</si>
  <si>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</si>
  <si>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</si>
  <si>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</si>
  <si>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</si>
  <si>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</si>
  <si>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</si>
  <si>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</si>
  <si>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</si>
  <si>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</si>
  <si>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</si>
  <si>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</si>
  <si>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</si>
  <si>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</si>
  <si>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</si>
  <si>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</si>
  <si>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</si>
  <si>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</si>
  <si>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</si>
  <si>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</si>
  <si>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</si>
  <si>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</si>
  <si>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</si>
  <si>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</si>
  <si>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</si>
  <si>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</si>
  <si>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</si>
  <si>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</si>
  <si>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</si>
  <si>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</si>
  <si>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</si>
  <si>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</si>
  <si>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</si>
  <si>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</si>
  <si>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</si>
  <si>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</si>
  <si>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</si>
  <si>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</si>
  <si>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</si>
  <si>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</si>
  <si>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</si>
  <si>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</si>
  <si>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</si>
  <si>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</si>
  <si>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</si>
  <si>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</si>
  <si>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</si>
  <si>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</si>
  <si>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</si>
  <si>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</si>
  <si>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</si>
  <si>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</si>
  <si>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</si>
  <si>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</si>
  <si>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</si>
  <si>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</si>
  <si>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</si>
  <si>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</si>
  <si>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</si>
  <si>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</si>
  <si>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</si>
  <si>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</si>
  <si>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</si>
  <si>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</si>
  <si>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</si>
  <si>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</si>
  <si>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</si>
  <si>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</si>
  <si>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</si>
  <si>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</si>
  <si>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</si>
  <si>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</si>
  <si>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</si>
  <si>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</si>
  <si>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</si>
  <si>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</si>
  <si>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</si>
  <si>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</si>
  <si>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</si>
  <si>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</si>
  <si>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</si>
  <si>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</si>
  <si>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</si>
  <si>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</si>
  <si>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</si>
  <si>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</si>
  <si>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</si>
  <si>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</si>
  <si>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</si>
  <si>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</si>
  <si>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</si>
  <si>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</si>
  <si>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</si>
  <si>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</si>
  <si>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</si>
  <si>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</si>
  <si>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</si>
  <si>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</si>
  <si>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</si>
  <si>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</si>
  <si>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</si>
  <si>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</si>
  <si>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</si>
  <si>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</si>
  <si>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</si>
  <si>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</si>
  <si>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</si>
  <si>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</si>
  <si>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</si>
  <si>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</si>
  <si>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</si>
  <si>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</si>
  <si>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</si>
  <si>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</si>
  <si>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</si>
  <si>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</si>
  <si>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</si>
  <si>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</si>
  <si>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</si>
  <si>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</si>
  <si>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</si>
  <si>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</si>
  <si>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</si>
  <si>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</si>
  <si>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</si>
  <si>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</si>
  <si>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</si>
  <si>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</si>
  <si>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</si>
  <si>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</si>
  <si>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</si>
  <si>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</si>
  <si>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</si>
  <si>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</si>
  <si>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</si>
  <si>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</si>
  <si>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</si>
  <si>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</si>
  <si>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</si>
  <si>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</si>
  <si>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</si>
  <si>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</si>
  <si>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</si>
  <si>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</si>
  <si>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</si>
  <si>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</si>
  <si>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</si>
  <si>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</si>
  <si>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</si>
  <si>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</si>
  <si>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</si>
  <si>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</si>
  <si>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</si>
  <si>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</si>
  <si>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</si>
  <si>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</si>
  <si>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</si>
  <si>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</si>
  <si>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</si>
  <si>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</si>
  <si>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</si>
  <si>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</si>
  <si>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</si>
  <si>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</si>
  <si>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</si>
  <si>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</si>
  <si>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</si>
  <si>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</si>
  <si>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</si>
  <si>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</si>
  <si>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</si>
  <si>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</si>
  <si>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</si>
  <si>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</si>
  <si>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</si>
  <si>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</si>
  <si>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</si>
  <si>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</si>
  <si>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</si>
  <si>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</si>
  <si>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</si>
  <si>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</si>
  <si>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</si>
  <si>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</si>
  <si>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</si>
  <si>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</si>
  <si>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</si>
  <si>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</si>
  <si>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</si>
  <si>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</si>
  <si>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</si>
  <si>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</si>
  <si>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</si>
  <si>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</si>
  <si>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</si>
  <si>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</si>
  <si>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</si>
  <si>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</si>
  <si>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</si>
  <si>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</si>
  <si>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</si>
  <si>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</si>
  <si>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</si>
  <si>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</si>
  <si>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</si>
  <si>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</si>
  <si>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</si>
  <si>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</si>
  <si>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</si>
  <si>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</si>
  <si>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</si>
  <si>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</si>
  <si>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</si>
  <si>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</si>
  <si>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</si>
  <si>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</si>
  <si>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</si>
  <si>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</si>
  <si>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</si>
  <si>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</si>
  <si>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</si>
  <si>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</si>
  <si>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</si>
  <si>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</si>
  <si>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</si>
  <si>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</si>
  <si>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</si>
  <si>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</si>
  <si>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</si>
  <si>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</si>
  <si>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</si>
  <si>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</si>
  <si>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</si>
  <si>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</si>
  <si>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</si>
  <si>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</si>
  <si>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</si>
  <si>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</si>
  <si>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</si>
  <si>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</si>
  <si>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</si>
  <si>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</si>
  <si>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</si>
  <si>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</si>
  <si>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</si>
  <si>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</si>
  <si>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</si>
  <si>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</si>
  <si>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</si>
  <si>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</si>
  <si>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</si>
  <si>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</si>
  <si>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</si>
  <si>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</si>
  <si>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</si>
  <si>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</si>
  <si>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</si>
  <si>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</si>
  <si>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</si>
  <si>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</si>
  <si>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</si>
  <si>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</si>
  <si>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</si>
  <si>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</si>
  <si>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</si>
  <si>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</si>
  <si>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</si>
  <si>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</si>
  <si>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</si>
  <si>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</si>
  <si>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</si>
  <si>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</si>
  <si>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</si>
  <si>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</si>
  <si>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</si>
  <si>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</si>
  <si>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</si>
  <si>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</si>
  <si>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</si>
  <si>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</si>
  <si>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</si>
  <si>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</si>
  <si>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</si>
  <si>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</si>
  <si>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</si>
  <si>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</si>
  <si>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</si>
  <si>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</si>
  <si>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</si>
  <si>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</si>
  <si>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</si>
  <si>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</si>
  <si>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</si>
  <si>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</si>
  <si>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</si>
  <si>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</si>
  <si>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</si>
  <si>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</si>
  <si>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</si>
  <si>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</si>
  <si>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</si>
  <si>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</si>
  <si>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</si>
  <si>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</si>
  <si>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</si>
  <si>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</si>
  <si>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</si>
  <si>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</si>
  <si>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</si>
  <si>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</si>
  <si>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</si>
  <si>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</si>
  <si>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</si>
  <si>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</si>
  <si>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</si>
  <si>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</si>
  <si>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</si>
  <si>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</si>
  <si>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</si>
  <si>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</si>
  <si>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</si>
  <si>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</si>
  <si>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</si>
  <si>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</si>
  <si>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</si>
  <si>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</si>
  <si>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</si>
  <si>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</si>
  <si>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</si>
  <si>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</si>
  <si>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</si>
  <si>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</si>
  <si>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</si>
  <si>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</si>
  <si>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</si>
  <si>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</si>
  <si>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</si>
  <si>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</si>
  <si>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</si>
  <si>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</si>
  <si>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</si>
  <si>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</si>
  <si>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</si>
  <si>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</si>
  <si>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</si>
  <si>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</si>
  <si>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</si>
  <si>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</si>
  <si>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</si>
  <si>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</si>
  <si>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</si>
  <si>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</si>
  <si>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</si>
  <si>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</si>
  <si>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</si>
  <si>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</si>
  <si>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</si>
  <si>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</si>
  <si>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</si>
  <si>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</si>
  <si>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</si>
  <si>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</si>
  <si>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</si>
  <si>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</si>
  <si>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</si>
  <si>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</si>
  <si>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</si>
  <si>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</si>
  <si>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</si>
  <si>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</si>
  <si>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</si>
  <si>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</si>
  <si>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</si>
  <si>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</si>
  <si>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</si>
  <si>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</si>
  <si>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</si>
  <si>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</si>
  <si>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</si>
  <si>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</si>
  <si>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</si>
  <si>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</si>
  <si>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</si>
  <si>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</si>
  <si>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</si>
  <si>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</si>
  <si>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</si>
  <si>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</si>
  <si>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</si>
  <si>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</si>
  <si>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</si>
  <si>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</si>
  <si>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</si>
  <si>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</si>
  <si>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</si>
  <si>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</si>
  <si>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</si>
  <si>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</si>
  <si>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</si>
  <si>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</si>
  <si>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</si>
  <si>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</si>
  <si>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</si>
  <si>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</si>
  <si>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</si>
  <si>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</si>
  <si>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</si>
  <si>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</si>
  <si>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</si>
  <si>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</si>
  <si>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</si>
  <si>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</si>
  <si>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</si>
  <si>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</si>
  <si>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</si>
  <si>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</si>
  <si>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</si>
  <si>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</si>
  <si>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</si>
  <si>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</si>
  <si>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</si>
  <si>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</si>
  <si>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</si>
  <si>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</si>
  <si>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</si>
  <si>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</si>
  <si>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</si>
  <si>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</si>
  <si>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</si>
  <si>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</si>
  <si>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</si>
  <si>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</si>
  <si>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</si>
  <si>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</si>
  <si>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</si>
  <si>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</si>
  <si>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</si>
  <si>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</si>
  <si>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</si>
  <si>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</si>
  <si>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</si>
  <si>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</si>
  <si>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</si>
  <si>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</si>
  <si>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</si>
  <si>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</si>
  <si>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</si>
  <si>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</si>
  <si>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</si>
  <si>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</si>
  <si>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</si>
  <si>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</si>
  <si>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</si>
  <si>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</si>
  <si>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</si>
  <si>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</si>
  <si>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</si>
  <si>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</si>
  <si>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</si>
  <si>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</si>
  <si>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</si>
  <si>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</si>
  <si>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</si>
  <si>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</si>
  <si>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</si>
  <si>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</si>
  <si>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</si>
  <si>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</si>
  <si>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</si>
  <si>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</si>
  <si>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</si>
  <si>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</si>
  <si>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</si>
  <si>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</si>
  <si>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</si>
  <si>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</si>
  <si>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</si>
  <si>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</si>
  <si>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</si>
  <si>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</si>
  <si>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</si>
  <si>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</si>
  <si>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</si>
  <si>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</si>
  <si>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</si>
  <si>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</si>
  <si>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</si>
  <si>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</si>
  <si>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</si>
  <si>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</si>
  <si>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</si>
  <si>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</si>
  <si>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</si>
  <si>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</si>
  <si>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</si>
  <si>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</si>
  <si>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</si>
  <si>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</si>
  <si>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</si>
  <si>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</si>
  <si>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</si>
  <si>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</si>
  <si>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</si>
  <si>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</si>
  <si>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</si>
  <si>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</si>
  <si>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</si>
  <si>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</si>
  <si>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</si>
  <si>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</si>
  <si>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</si>
  <si>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</si>
  <si>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</si>
  <si>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</si>
  <si>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</si>
  <si>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</si>
  <si>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</si>
  <si>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</si>
  <si>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</si>
  <si>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</si>
  <si>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</si>
  <si>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</si>
  <si>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</si>
  <si>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</si>
  <si>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</si>
  <si>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</si>
  <si>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</si>
  <si>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</si>
  <si>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</si>
  <si>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</si>
  <si>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</si>
  <si>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</si>
  <si>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</si>
  <si>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</si>
  <si>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</si>
  <si>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</si>
  <si>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</si>
  <si>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</si>
  <si>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</si>
  <si>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</si>
  <si>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</si>
  <si>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</si>
  <si>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</si>
  <si>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</si>
  <si>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</si>
  <si>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</si>
  <si>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</si>
  <si>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</si>
  <si>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</si>
  <si>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</si>
  <si>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</si>
  <si>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</si>
  <si>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</si>
  <si>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</si>
  <si>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</si>
  <si>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</si>
  <si>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</si>
  <si>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</si>
  <si>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</si>
  <si>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</si>
  <si>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</si>
  <si>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</si>
  <si>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</si>
  <si>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</si>
  <si>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</si>
  <si>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</si>
  <si>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</si>
  <si>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</si>
  <si>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</si>
  <si>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</si>
  <si>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</si>
  <si>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</si>
  <si>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</si>
  <si>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</si>
  <si>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</si>
  <si>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</si>
  <si>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</si>
  <si>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</si>
  <si>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</si>
  <si>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</si>
  <si>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</si>
  <si>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</si>
  <si>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</si>
  <si>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</si>
  <si>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</si>
  <si>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</si>
  <si>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</si>
  <si>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</si>
  <si>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</si>
  <si>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</si>
  <si>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</si>
  <si>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</si>
  <si>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</si>
  <si>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</si>
  <si>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</si>
  <si>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</si>
  <si>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</si>
  <si>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</si>
  <si>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</si>
  <si>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</si>
  <si>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</si>
  <si>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</si>
  <si>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</si>
  <si>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</si>
  <si>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</si>
  <si>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</si>
  <si>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</si>
  <si>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</si>
  <si>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</si>
  <si>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</si>
  <si>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</si>
  <si>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</si>
  <si>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</si>
  <si>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</si>
  <si>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</si>
  <si>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</si>
  <si>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</si>
  <si>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</si>
  <si>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</si>
  <si>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</si>
  <si>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</si>
  <si>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</si>
  <si>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</si>
  <si>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</si>
  <si>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</si>
  <si>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</si>
  <si>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</si>
  <si>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</si>
  <si>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</si>
  <si>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</si>
  <si>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</si>
  <si>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</si>
  <si>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</si>
  <si>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</si>
  <si>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</si>
  <si>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</si>
  <si>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</si>
  <si>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</si>
  <si>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</si>
  <si>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</si>
  <si>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</si>
  <si>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</si>
  <si>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</si>
  <si>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</si>
  <si>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</si>
  <si>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</si>
  <si>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</si>
  <si>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</si>
  <si>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</si>
  <si>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</si>
  <si>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</si>
  <si>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</si>
  <si>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</si>
  <si>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</si>
  <si>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</si>
  <si>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</si>
  <si>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</si>
  <si>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</si>
  <si>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</si>
  <si>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</si>
  <si>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</si>
  <si>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</si>
  <si>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</si>
  <si>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</si>
  <si>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</si>
  <si>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</si>
  <si>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</si>
  <si>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</si>
  <si>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</si>
  <si>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</si>
  <si>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</si>
  <si>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</si>
  <si>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</si>
  <si>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</si>
  <si>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</si>
  <si>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</si>
  <si>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</si>
  <si>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</si>
  <si>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</si>
  <si>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</si>
  <si>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</si>
  <si>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</si>
  <si>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</si>
  <si>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</si>
  <si>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</si>
  <si>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</si>
  <si>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</si>
  <si>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</si>
  <si>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</si>
  <si>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</si>
  <si>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</si>
  <si>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</si>
  <si>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</si>
  <si>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</si>
  <si>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</si>
  <si>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</si>
  <si>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</si>
  <si>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</si>
  <si>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</si>
  <si>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</si>
  <si>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</si>
  <si>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</si>
  <si>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</si>
  <si>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</si>
  <si>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</si>
  <si>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</si>
  <si>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</si>
  <si>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</si>
  <si>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</si>
  <si>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</si>
  <si>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</si>
  <si>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</si>
  <si>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</si>
  <si>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</si>
  <si>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</si>
  <si>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</si>
  <si>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</si>
  <si>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</si>
  <si>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</si>
  <si>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</si>
  <si>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</si>
  <si>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</si>
  <si>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</si>
  <si>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</si>
  <si>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</si>
  <si>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</si>
  <si>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</si>
  <si>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</si>
  <si>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</si>
  <si>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</si>
  <si>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</si>
  <si>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</si>
  <si>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</si>
  <si>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</si>
  <si>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</si>
  <si>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</si>
  <si>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</si>
  <si>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</si>
  <si>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</si>
  <si>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</si>
  <si>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</si>
  <si>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</si>
  <si>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</si>
  <si>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</si>
  <si>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</si>
  <si>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</si>
  <si>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</si>
  <si>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</si>
  <si>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</si>
  <si>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</si>
  <si>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</si>
  <si>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</si>
  <si>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</si>
  <si>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</si>
  <si>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</si>
  <si>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</si>
  <si>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</si>
  <si>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</si>
  <si>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</si>
  <si>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</si>
  <si>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</si>
  <si>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</si>
  <si>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</si>
  <si>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</si>
  <si>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</si>
  <si>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</si>
  <si>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</si>
  <si>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</si>
  <si>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</si>
  <si>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</si>
  <si>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</si>
  <si>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</si>
  <si>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</si>
  <si>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</si>
  <si>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</si>
  <si>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</si>
  <si>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</si>
  <si>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</si>
  <si>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</si>
  <si>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</si>
  <si>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</si>
  <si>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</si>
  <si>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</si>
  <si>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</si>
  <si>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</si>
  <si>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</si>
  <si>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</si>
  <si>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</si>
  <si>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</si>
  <si>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</si>
  <si>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</si>
  <si>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</si>
  <si>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</si>
  <si>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</si>
  <si>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</si>
  <si>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</si>
  <si>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</si>
  <si>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</si>
  <si>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</si>
  <si>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</si>
  <si>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</si>
  <si>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</si>
  <si>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</si>
  <si>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</si>
  <si>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</si>
  <si>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</si>
  <si>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</si>
  <si>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</si>
  <si>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</si>
  <si>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</si>
  <si>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</si>
  <si>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</si>
  <si>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</si>
  <si>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</si>
  <si>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</si>
  <si>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</si>
  <si>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</si>
  <si>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</si>
  <si>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</si>
  <si>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</si>
  <si>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</si>
  <si>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</si>
  <si>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</si>
  <si>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</si>
  <si>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</si>
  <si>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</si>
  <si>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</si>
  <si>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</si>
  <si>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</si>
  <si>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</si>
  <si>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</si>
  <si>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</si>
  <si>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</si>
  <si>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</si>
  <si>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</si>
  <si>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</si>
  <si>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</si>
  <si>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</si>
  <si>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</si>
  <si>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</si>
  <si>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</si>
  <si>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</si>
  <si>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</si>
  <si>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</si>
  <si>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</si>
  <si>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</si>
  <si>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</si>
  <si>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</si>
  <si>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</si>
  <si>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</si>
  <si>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</si>
  <si>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</si>
  <si>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</si>
  <si>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</si>
  <si>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</si>
  <si>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</si>
  <si>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</si>
  <si>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</si>
  <si>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</si>
  <si>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</si>
  <si>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</si>
  <si>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</si>
  <si>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</si>
  <si>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</si>
  <si>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</si>
  <si>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</si>
  <si>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</si>
  <si>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</si>
  <si>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</si>
  <si>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</si>
  <si>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</si>
  <si>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</si>
  <si>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</si>
  <si>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</si>
  <si>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</si>
  <si>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</si>
  <si>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</si>
  <si>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</si>
  <si>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</si>
  <si>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</si>
  <si>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</si>
  <si>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</si>
  <si>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</si>
  <si>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</si>
  <si>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</si>
  <si>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</si>
  <si>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</si>
  <si>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</si>
  <si>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</si>
  <si>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</si>
  <si>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</si>
  <si>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</si>
  <si>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</si>
  <si>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</si>
  <si>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</si>
  <si>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</si>
  <si>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</si>
  <si>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</si>
  <si>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</si>
  <si>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</si>
  <si>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</si>
  <si>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</si>
  <si>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</si>
  <si>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</si>
  <si>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</si>
  <si>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</si>
  <si>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</si>
  <si>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</si>
  <si>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</si>
  <si>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</si>
  <si>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</si>
  <si>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</si>
  <si>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</si>
  <si>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</si>
  <si>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</si>
  <si>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</si>
  <si>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</si>
  <si>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</si>
  <si>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</si>
  <si>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</si>
  <si>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</si>
  <si>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</si>
  <si>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</si>
  <si>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</si>
  <si>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</si>
  <si>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</si>
  <si>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</si>
  <si>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</si>
  <si>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</si>
  <si>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</si>
  <si>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</si>
  <si>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</si>
  <si>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</si>
  <si>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</si>
  <si>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</si>
  <si>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</si>
  <si>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</si>
  <si>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</si>
  <si>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</si>
  <si>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</si>
  <si>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</si>
  <si>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</si>
  <si>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</si>
  <si>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</si>
  <si>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</si>
  <si>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</si>
  <si>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</si>
  <si>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</si>
  <si>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</si>
  <si>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</si>
  <si>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</si>
  <si>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</si>
  <si>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</si>
  <si>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</si>
  <si>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</si>
  <si>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</si>
  <si>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</si>
  <si>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</si>
  <si>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</si>
  <si>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</si>
  <si>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</si>
  <si>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</si>
  <si>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</si>
  <si>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</si>
  <si>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</si>
  <si>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</si>
  <si>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</si>
  <si>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</si>
  <si>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</si>
  <si>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</si>
  <si>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</si>
  <si>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</si>
  <si>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</si>
  <si>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</si>
  <si>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</si>
  <si>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</si>
  <si>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</si>
  <si>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</si>
  <si>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</si>
  <si>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</si>
  <si>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</si>
  <si>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</si>
  <si>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</si>
  <si>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</si>
  <si>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</si>
  <si>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</si>
  <si>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</si>
  <si>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</si>
  <si>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</si>
  <si>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</si>
  <si>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</si>
  <si>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</si>
  <si>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</si>
  <si>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</si>
  <si>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</si>
  <si>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</si>
  <si>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</si>
  <si>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</si>
  <si>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</si>
  <si>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</si>
  <si>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</si>
  <si>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</si>
  <si>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</si>
  <si>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</si>
  <si>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</si>
  <si>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</si>
  <si>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</si>
  <si>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</si>
  <si>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</si>
  <si>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</si>
  <si>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</si>
  <si>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</si>
  <si>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</si>
  <si>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</si>
  <si>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</si>
  <si>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</si>
  <si>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</si>
  <si>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</si>
  <si>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</si>
  <si>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</si>
  <si>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</si>
  <si>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</si>
  <si>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</si>
  <si>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</si>
  <si>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</si>
  <si>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</si>
  <si>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</si>
  <si>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</si>
  <si>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</si>
  <si>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</si>
  <si>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</si>
  <si>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</si>
  <si>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</si>
  <si>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</si>
  <si>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</si>
  <si>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</si>
  <si>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</si>
  <si>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</si>
  <si>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</si>
  <si>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</si>
  <si>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</si>
  <si>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</si>
  <si>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</si>
  <si>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</si>
  <si>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</si>
  <si>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</si>
  <si>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</si>
  <si>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</si>
  <si>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</si>
  <si>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</si>
  <si>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</si>
  <si>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</si>
  <si>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</si>
  <si>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</si>
  <si>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</si>
  <si>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</si>
  <si>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</si>
  <si>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</si>
  <si>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</si>
  <si>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</si>
  <si>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</si>
  <si>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</si>
  <si>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</si>
  <si>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</si>
  <si>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</si>
  <si>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</si>
  <si>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</si>
  <si>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</si>
  <si>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</si>
  <si>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</si>
  <si>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</si>
  <si>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</si>
  <si>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</si>
  <si>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</si>
  <si>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</si>
  <si>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</si>
  <si>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</si>
  <si>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</si>
  <si>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</si>
  <si>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</si>
  <si>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</si>
  <si>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</si>
  <si>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</si>
  <si>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</si>
  <si>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</si>
  <si>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</si>
  <si>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</si>
  <si>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</si>
  <si>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</si>
  <si>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</si>
  <si>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</si>
  <si>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</si>
  <si>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</si>
  <si>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</si>
  <si>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</si>
  <si>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</si>
  <si>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</si>
  <si>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</si>
  <si>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</si>
  <si>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</si>
  <si>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</si>
  <si>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</si>
  <si>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</si>
  <si>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</si>
  <si>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</si>
  <si>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</si>
  <si>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</si>
  <si>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</si>
  <si>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</si>
  <si>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</si>
  <si>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</si>
  <si>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</si>
  <si>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</si>
  <si>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</si>
  <si>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</si>
  <si>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</si>
  <si>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</si>
  <si>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</si>
  <si>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</si>
  <si>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</si>
  <si>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</si>
  <si>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</si>
  <si>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</si>
  <si>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</si>
  <si>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</si>
  <si>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</si>
  <si>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</si>
  <si>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</si>
  <si>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</si>
  <si>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</si>
  <si>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</si>
  <si>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</si>
  <si>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</si>
  <si>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</si>
  <si>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</si>
  <si>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</si>
  <si>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</si>
  <si>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</si>
  <si>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</si>
  <si>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</si>
  <si>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</si>
  <si>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</si>
  <si>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</si>
  <si>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</si>
  <si>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</si>
  <si>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</si>
  <si>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</si>
  <si>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</si>
  <si>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</si>
  <si>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</si>
  <si>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</si>
  <si>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</si>
  <si>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</si>
  <si>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</si>
  <si>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</si>
  <si>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</si>
  <si>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</si>
  <si>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</si>
  <si>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</si>
  <si>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</si>
  <si>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</si>
  <si>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</si>
  <si>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</si>
  <si>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</si>
  <si>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</si>
  <si>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</si>
  <si>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</si>
  <si>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</si>
  <si>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</si>
  <si>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</si>
  <si>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</si>
  <si>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</si>
  <si>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</si>
  <si>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</si>
  <si>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</si>
  <si>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</si>
  <si>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</si>
  <si>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</si>
  <si>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</si>
  <si>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</si>
  <si>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</si>
  <si>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</si>
  <si>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</si>
  <si>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</si>
  <si>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</si>
  <si>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</si>
  <si>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</si>
  <si>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</si>
  <si>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</si>
  <si>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</si>
  <si>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</si>
  <si>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</si>
  <si>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</si>
  <si>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</si>
  <si>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</si>
  <si>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</si>
  <si>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</si>
  <si>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</si>
  <si>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</si>
  <si>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</si>
  <si>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</si>
  <si>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</si>
  <si>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</si>
  <si>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</si>
  <si>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</si>
  <si>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</si>
  <si>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</si>
  <si>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</si>
  <si>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</si>
  <si>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</si>
  <si>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</si>
  <si>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</si>
  <si>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</si>
  <si>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</si>
  <si>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</si>
  <si>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</si>
  <si>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</si>
  <si>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</si>
  <si>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</si>
  <si>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</si>
  <si>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</si>
  <si>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</si>
  <si>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</si>
  <si>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</si>
  <si>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</si>
  <si>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</si>
  <si>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</si>
  <si>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</si>
  <si>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</si>
  <si>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</si>
  <si>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</si>
  <si>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</si>
  <si>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</si>
  <si>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</si>
  <si>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</si>
  <si>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</si>
  <si>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</si>
  <si>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</si>
  <si>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</si>
  <si>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</si>
  <si>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</si>
  <si>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</si>
  <si>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</si>
  <si>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</si>
  <si>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</si>
  <si>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</si>
  <si>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</si>
  <si>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</si>
  <si>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</si>
  <si>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</si>
  <si>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</si>
  <si>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</si>
  <si>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</si>
  <si>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</si>
  <si>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</si>
  <si>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</si>
  <si>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</si>
  <si>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</si>
  <si>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</si>
  <si>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</si>
  <si>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</si>
  <si>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</si>
  <si>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</si>
  <si>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</si>
  <si>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</si>
  <si>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</si>
  <si>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</si>
  <si>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</si>
  <si>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</si>
  <si>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</si>
  <si>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</si>
  <si>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</si>
  <si>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</si>
  <si>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</si>
  <si>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</si>
  <si>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</si>
  <si>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</si>
  <si>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</si>
  <si>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</si>
  <si>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</si>
  <si>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</si>
  <si>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</si>
  <si>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</si>
  <si>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</si>
  <si>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</si>
  <si>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</si>
  <si>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</si>
  <si>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</si>
  <si>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</si>
  <si>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</si>
  <si>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</si>
  <si>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</si>
  <si>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</si>
  <si>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</si>
  <si>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</si>
  <si>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</si>
  <si>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</si>
  <si>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</si>
  <si>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</si>
  <si>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</si>
  <si>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</si>
  <si>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</si>
  <si>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</si>
  <si>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</si>
  <si>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</si>
  <si>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</si>
  <si>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</si>
  <si>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</si>
  <si>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</si>
  <si>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</si>
  <si>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</si>
  <si>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</si>
  <si>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</si>
  <si>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</si>
  <si>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</si>
  <si>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</si>
  <si>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</si>
  <si>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</si>
  <si>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</si>
  <si>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</si>
  <si>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</si>
  <si>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</si>
  <si>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</si>
  <si>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</si>
  <si>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</si>
  <si>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</si>
  <si>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</si>
  <si>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</si>
  <si>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</si>
  <si>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</si>
  <si>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</si>
  <si>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</si>
  <si>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</si>
  <si>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</si>
  <si>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</si>
  <si>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</si>
  <si>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</si>
  <si>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</si>
  <si>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</si>
  <si>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</si>
  <si>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</si>
  <si>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</si>
  <si>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</si>
  <si>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</si>
  <si>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</si>
  <si>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</si>
  <si>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</si>
  <si>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</si>
  <si>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</si>
  <si>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</si>
  <si>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</si>
  <si>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</si>
  <si>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</si>
  <si>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</si>
  <si>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</si>
  <si>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</si>
  <si>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</si>
  <si>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</si>
  <si>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</si>
  <si>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</si>
  <si>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</si>
  <si>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</si>
  <si>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</si>
  <si>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</si>
  <si>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</si>
  <si>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</si>
  <si>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</si>
  <si>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</si>
  <si>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</si>
  <si>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</si>
  <si>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</si>
  <si>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</si>
  <si>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</si>
  <si>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</si>
  <si>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</si>
  <si>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</si>
  <si>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</si>
  <si>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</si>
  <si>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</si>
  <si>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</si>
  <si>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</si>
  <si>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</si>
  <si>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</si>
  <si>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</si>
  <si>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</si>
  <si>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</si>
  <si>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</si>
  <si>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</si>
  <si>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</si>
  <si>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</si>
  <si>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</si>
  <si>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</si>
  <si>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</si>
  <si>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</si>
  <si>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</si>
  <si>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</si>
  <si>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</si>
  <si>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</si>
  <si>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</si>
  <si>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</si>
  <si>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</si>
  <si>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</si>
  <si>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</si>
  <si>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</si>
  <si>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</si>
  <si>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</si>
  <si>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</si>
  <si>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</si>
  <si>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</si>
  <si>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</si>
  <si>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</si>
  <si>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</si>
  <si>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</si>
  <si>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</si>
  <si>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</si>
  <si>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</si>
  <si>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</si>
  <si>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</si>
  <si>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</si>
  <si>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</si>
  <si>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</si>
  <si>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</si>
  <si>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</si>
  <si>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</si>
  <si>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</si>
  <si>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</si>
  <si>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</si>
  <si>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</si>
  <si>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</si>
  <si>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</si>
  <si>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</si>
  <si>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</si>
  <si>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</si>
  <si>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</si>
  <si>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</si>
  <si>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</si>
  <si>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</si>
  <si>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</si>
  <si>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</si>
  <si>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</si>
  <si>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</si>
  <si>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</si>
  <si>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</si>
  <si>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</si>
  <si>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</si>
  <si>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</si>
  <si>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</si>
  <si>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</si>
  <si>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</si>
  <si>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</si>
  <si>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</si>
  <si>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</si>
  <si>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</si>
  <si>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</si>
  <si>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</si>
  <si>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</si>
  <si>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</si>
  <si>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</si>
  <si>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</si>
  <si>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</si>
  <si>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</si>
  <si>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</si>
  <si>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</si>
  <si>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</si>
  <si>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</si>
  <si>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</si>
  <si>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</si>
  <si>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</si>
  <si>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</si>
  <si>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</si>
  <si>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</si>
  <si>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</si>
  <si>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</si>
  <si>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</si>
  <si>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</si>
  <si>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</si>
  <si>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</si>
  <si>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</si>
  <si>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</si>
  <si>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</si>
  <si>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</si>
  <si>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</si>
  <si>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</si>
  <si>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</si>
  <si>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</si>
  <si>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</si>
  <si>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</si>
  <si>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</si>
  <si>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</si>
  <si>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</si>
  <si>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</si>
  <si>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</si>
  <si>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</si>
  <si>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</si>
  <si>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</si>
  <si>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</si>
  <si>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</si>
  <si>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</si>
  <si>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</si>
  <si>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</si>
  <si>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</si>
  <si>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</si>
  <si>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</si>
  <si>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</si>
  <si>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</si>
  <si>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</si>
  <si>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</si>
  <si>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</si>
  <si>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</si>
  <si>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</si>
  <si>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</si>
  <si>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</si>
  <si>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</si>
  <si>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</si>
  <si>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</si>
  <si>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</si>
  <si>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</si>
  <si>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</si>
  <si>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</si>
  <si>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</si>
  <si>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</si>
  <si>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</si>
  <si>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</si>
  <si>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</si>
  <si>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</si>
  <si>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</si>
  <si>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</si>
  <si>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</si>
  <si>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</si>
  <si>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</si>
  <si>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</si>
  <si>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</si>
  <si>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</si>
  <si>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</si>
  <si>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</si>
  <si>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</si>
  <si>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</si>
  <si>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</si>
  <si>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</si>
  <si>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</si>
  <si>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</si>
  <si>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</si>
  <si>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</si>
  <si>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</si>
  <si>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</si>
  <si>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</si>
  <si>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</si>
  <si>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</si>
  <si>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</si>
  <si>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</si>
  <si>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</si>
  <si>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</si>
  <si>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</si>
  <si>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</si>
  <si>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</si>
  <si>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</si>
  <si>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</si>
  <si>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</si>
  <si>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</si>
  <si>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</si>
  <si>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</si>
  <si>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</si>
  <si>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</si>
  <si>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</si>
  <si>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</si>
  <si>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</si>
  <si>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</si>
  <si>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</si>
  <si>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</si>
  <si>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</si>
  <si>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</si>
  <si>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</si>
  <si>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</si>
  <si>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</si>
  <si>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</si>
  <si>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</si>
  <si>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</si>
  <si>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</si>
  <si>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</si>
  <si>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</si>
  <si>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</si>
  <si>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</si>
  <si>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</si>
  <si>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</si>
  <si>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</si>
  <si>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</si>
  <si>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</si>
  <si>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</si>
  <si>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</si>
  <si>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</si>
  <si>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</si>
  <si>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</si>
  <si>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</si>
  <si>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</si>
  <si>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</si>
  <si>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</si>
  <si>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</si>
  <si>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</si>
  <si>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</si>
  <si>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</si>
  <si>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</si>
  <si>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</si>
  <si>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</si>
  <si>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</si>
  <si>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</si>
  <si>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</si>
  <si>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</si>
  <si>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</si>
  <si>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</si>
  <si>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</si>
  <si>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</si>
  <si>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</si>
  <si>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</si>
  <si>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</si>
  <si>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</si>
  <si>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</si>
  <si>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</si>
  <si>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</si>
  <si>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</si>
  <si>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</si>
  <si>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</si>
  <si>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</si>
  <si>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</si>
  <si>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</si>
  <si>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</si>
  <si>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</si>
  <si>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</si>
  <si>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</si>
  <si>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</si>
  <si>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</si>
  <si>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</si>
  <si>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</si>
  <si>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</si>
  <si>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</si>
  <si>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</si>
  <si>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</si>
  <si>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</si>
  <si>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</si>
  <si>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</si>
  <si>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</si>
  <si>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</si>
  <si>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</si>
  <si>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</si>
  <si>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</si>
  <si>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</si>
  <si>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</si>
  <si>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</si>
  <si>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</si>
  <si>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</si>
  <si>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</si>
  <si>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</si>
  <si>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</si>
  <si>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</si>
  <si>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</si>
  <si>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</si>
  <si>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</si>
  <si>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</si>
  <si>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</si>
  <si>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</si>
  <si>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</si>
  <si>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</si>
  <si>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</si>
  <si>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</si>
  <si>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</si>
  <si>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</si>
  <si>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</si>
  <si>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</si>
  <si>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</si>
  <si>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</si>
  <si>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</si>
  <si>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</si>
  <si>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</si>
  <si>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</si>
  <si>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</si>
  <si>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</si>
  <si>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</si>
  <si>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</si>
  <si>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</si>
  <si>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</si>
  <si>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</si>
  <si>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</si>
  <si>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</si>
  <si>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</si>
  <si>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</si>
  <si>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</si>
  <si>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</si>
  <si>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</si>
  <si>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</si>
  <si>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</si>
  <si>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</si>
  <si>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</si>
  <si>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</si>
  <si>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</si>
  <si>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</si>
  <si>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</si>
  <si>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</si>
  <si>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</si>
  <si>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</si>
  <si>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</si>
  <si>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</si>
  <si>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</si>
  <si>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</si>
  <si>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</si>
  <si>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</si>
  <si>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</si>
  <si>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</si>
  <si>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</si>
  <si>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</si>
  <si>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</si>
  <si>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</si>
  <si>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</si>
  <si>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</si>
  <si>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</si>
  <si>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</si>
  <si>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</si>
  <si>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</si>
  <si>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</si>
  <si>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</si>
  <si>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</si>
  <si>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</si>
  <si>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</si>
  <si>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</si>
  <si>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</si>
  <si>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</si>
  <si>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</si>
  <si>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</si>
  <si>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</si>
  <si>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</si>
  <si>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</si>
  <si>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</si>
  <si>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</si>
  <si>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</si>
  <si>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</si>
  <si>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</si>
  <si>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</si>
  <si>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</si>
  <si>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</si>
  <si>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</si>
  <si>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</si>
  <si>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</si>
  <si>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</si>
  <si>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</si>
  <si>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</si>
  <si>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</si>
  <si>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</si>
  <si>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</si>
  <si>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</si>
  <si>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</si>
  <si>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</si>
  <si>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</si>
  <si>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</si>
  <si>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</si>
  <si>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</si>
  <si>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</si>
  <si>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</si>
  <si>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</si>
  <si>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</si>
  <si>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</si>
  <si>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</si>
  <si>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</si>
  <si>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</si>
  <si>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</si>
  <si>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</si>
  <si>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</si>
  <si>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</si>
  <si>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</si>
  <si>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</si>
  <si>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</si>
  <si>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</si>
  <si>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</si>
  <si>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</si>
  <si>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</si>
  <si>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</si>
  <si>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</si>
  <si>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</si>
  <si>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</si>
  <si>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</si>
  <si>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</si>
  <si>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</si>
  <si>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</si>
  <si>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</si>
  <si>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</si>
  <si>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</si>
  <si>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</si>
  <si>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</si>
  <si>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</si>
  <si>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</si>
  <si>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</si>
  <si>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</si>
  <si>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</si>
  <si>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</si>
  <si>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</si>
  <si>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</si>
  <si>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</si>
  <si>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</si>
  <si>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</si>
  <si>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</si>
  <si>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</si>
  <si>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</si>
  <si>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</si>
  <si>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</si>
  <si>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</si>
  <si>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</si>
  <si>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</si>
  <si>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</si>
  <si>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</si>
  <si>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</si>
  <si>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</si>
  <si>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</si>
  <si>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</si>
  <si>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</si>
  <si>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</si>
  <si>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</si>
  <si>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</si>
  <si>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</si>
  <si>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</si>
  <si>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</si>
  <si>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</si>
  <si>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</si>
  <si>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</si>
  <si>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</si>
  <si>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</si>
  <si>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</si>
  <si>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</si>
  <si>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</si>
  <si>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</si>
  <si>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</si>
  <si>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</si>
  <si>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</si>
  <si>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</si>
  <si>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</si>
  <si>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</si>
  <si>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</si>
  <si>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</si>
  <si>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</si>
  <si>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</si>
  <si>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</si>
  <si>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</si>
  <si>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</si>
  <si>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</si>
  <si>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</si>
  <si>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</si>
  <si>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</si>
  <si>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</si>
  <si>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</si>
  <si>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</si>
  <si>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</si>
  <si>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</si>
  <si>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</si>
  <si>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</si>
  <si>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</si>
  <si>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</si>
  <si>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</si>
  <si>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</si>
  <si>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</si>
  <si>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</si>
  <si>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</si>
  <si>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</si>
  <si>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</si>
  <si>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</si>
  <si>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</si>
  <si>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</si>
  <si>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</si>
  <si>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</si>
  <si>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</si>
  <si>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</si>
  <si>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</si>
  <si>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</si>
  <si>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</si>
  <si>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</si>
  <si>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</si>
  <si>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</si>
  <si>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</si>
  <si>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</si>
  <si>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</si>
  <si>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</si>
  <si>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</si>
  <si>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</si>
  <si>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</si>
  <si>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</si>
  <si>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</si>
  <si>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</si>
  <si>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</si>
  <si>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</si>
  <si>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</si>
  <si>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</si>
  <si>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</si>
  <si>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</si>
  <si>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</si>
  <si>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</si>
  <si>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</si>
  <si>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</si>
  <si>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</si>
  <si>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</si>
  <si>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</si>
  <si>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</si>
  <si>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</si>
  <si>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</si>
  <si>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</si>
  <si>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</si>
  <si>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</si>
  <si>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</si>
  <si>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</si>
  <si>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</si>
  <si>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</si>
  <si>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</si>
  <si>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</si>
  <si>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</si>
  <si>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</si>
  <si>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</si>
  <si>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</si>
  <si>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</si>
  <si>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</si>
  <si>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</si>
  <si>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</si>
  <si>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</si>
  <si>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</si>
  <si>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</si>
  <si>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</si>
  <si>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</si>
  <si>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</si>
  <si>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</si>
  <si>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</si>
  <si>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</si>
  <si>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</si>
  <si>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</si>
  <si>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</si>
  <si>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</si>
  <si>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</si>
  <si>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</si>
  <si>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</si>
  <si>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</si>
  <si>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</si>
  <si>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</si>
  <si>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</si>
  <si>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</si>
  <si>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</si>
  <si>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</si>
  <si>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</si>
  <si>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</si>
  <si>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</si>
  <si>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</si>
  <si>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</si>
  <si>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</si>
  <si>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</si>
  <si>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</si>
  <si>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</si>
  <si>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</si>
  <si>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</si>
  <si>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</si>
  <si>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</si>
  <si>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</si>
  <si>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</si>
  <si>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</si>
  <si>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</si>
  <si>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</si>
  <si>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</si>
  <si>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</si>
  <si>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</si>
  <si>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</si>
  <si>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</si>
  <si>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</si>
  <si>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</si>
  <si>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</si>
  <si>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</si>
  <si>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</si>
  <si>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</si>
  <si>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</si>
  <si>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</si>
  <si>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</si>
  <si>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</si>
  <si>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</si>
  <si>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</si>
  <si>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</si>
  <si>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</si>
  <si>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</si>
  <si>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</si>
  <si>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</si>
  <si>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</si>
  <si>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</si>
  <si>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</si>
  <si>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</si>
  <si>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</si>
  <si>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</si>
  <si>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</si>
  <si>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</si>
  <si>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</si>
  <si>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</si>
  <si>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</si>
  <si>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</si>
  <si>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</si>
  <si>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</si>
  <si>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</si>
  <si>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</si>
  <si>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</si>
  <si>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</si>
  <si>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</si>
  <si>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</si>
  <si>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</si>
  <si>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</si>
  <si>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</si>
  <si>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</si>
  <si>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</si>
  <si>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</si>
  <si>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</si>
  <si>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</si>
  <si>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</si>
  <si>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</si>
  <si>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</si>
  <si>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</si>
  <si>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</si>
  <si>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</si>
  <si>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</si>
  <si>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</si>
  <si>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</si>
  <si>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</si>
  <si>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</si>
  <si>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</si>
  <si>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</si>
  <si>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</si>
  <si>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</si>
  <si>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</si>
  <si>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</si>
  <si>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</si>
  <si>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</si>
  <si>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</si>
  <si>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</si>
  <si>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</si>
  <si>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</si>
  <si>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</si>
  <si>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</si>
  <si>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</si>
  <si>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</si>
  <si>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</si>
  <si>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</si>
  <si>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</si>
  <si>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</si>
  <si>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</si>
  <si>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</si>
  <si>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</si>
  <si>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</si>
  <si>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</si>
  <si>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</si>
  <si>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</si>
  <si>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</si>
  <si>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</si>
  <si>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</si>
  <si>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</si>
  <si>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</si>
  <si>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</si>
  <si>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</si>
  <si>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</si>
  <si>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</si>
  <si>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</si>
  <si>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</si>
  <si>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</si>
  <si>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</si>
  <si>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</si>
  <si>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</si>
  <si>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</si>
  <si>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</si>
  <si>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</si>
  <si>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</si>
  <si>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</si>
  <si>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</si>
  <si>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</si>
  <si>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</si>
  <si>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</si>
  <si>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</si>
  <si>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</si>
  <si>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</si>
  <si>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</si>
  <si>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</si>
  <si>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</si>
  <si>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</si>
  <si>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</si>
  <si>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</si>
  <si>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</si>
  <si>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</si>
  <si>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</si>
  <si>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</si>
  <si>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</si>
  <si>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</si>
  <si>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</si>
  <si>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</si>
  <si>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</si>
  <si>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</si>
  <si>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</si>
  <si>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</si>
  <si>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</si>
  <si>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</si>
  <si>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</si>
  <si>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</si>
  <si>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</si>
  <si>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</si>
  <si>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</si>
  <si>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</si>
  <si>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</si>
  <si>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</si>
  <si>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</si>
  <si>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</si>
  <si>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</si>
  <si>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</si>
  <si>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</si>
  <si>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</si>
  <si>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</si>
  <si>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</si>
  <si>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</si>
  <si>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</si>
  <si>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</si>
  <si>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</si>
  <si>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</si>
  <si>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</si>
  <si>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</si>
  <si>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</si>
  <si>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</si>
  <si>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</si>
  <si>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</si>
  <si>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</si>
  <si>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</si>
  <si>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</si>
  <si>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</si>
  <si>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</si>
  <si>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</si>
  <si>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</si>
  <si>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</si>
  <si>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</si>
  <si>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</si>
  <si>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</si>
  <si>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</si>
  <si>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</si>
  <si>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</si>
  <si>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</si>
  <si>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</si>
  <si>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</si>
  <si>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</si>
  <si>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</si>
  <si>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</si>
  <si>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</si>
  <si>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</si>
  <si>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</si>
  <si>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</si>
  <si>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</si>
  <si>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</si>
  <si>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</si>
  <si>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</si>
  <si>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</si>
  <si>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</si>
  <si>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</si>
  <si>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</si>
  <si>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</si>
  <si>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</si>
  <si>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</si>
  <si>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</si>
  <si>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</si>
  <si>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</si>
  <si>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</si>
  <si>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</si>
  <si>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</si>
  <si>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</si>
  <si>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</si>
  <si>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</si>
  <si>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</si>
  <si>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</si>
  <si>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</si>
  <si>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</si>
  <si>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</si>
  <si>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</si>
  <si>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</si>
  <si>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</si>
  <si>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</si>
  <si>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</si>
  <si>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</si>
  <si>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</si>
  <si>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</si>
  <si>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</si>
  <si>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</si>
  <si>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</si>
  <si>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</si>
  <si>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</si>
  <si>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</si>
  <si>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</si>
  <si>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</si>
  <si>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</si>
  <si>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</si>
  <si>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</si>
  <si>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</si>
  <si>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</si>
  <si>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</si>
  <si>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</si>
  <si>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</si>
  <si>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</si>
  <si>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</si>
  <si>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</si>
  <si>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</si>
  <si>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</si>
  <si>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</si>
  <si>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</si>
  <si>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</si>
  <si>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</si>
  <si>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</si>
  <si>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</si>
  <si>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</si>
  <si>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</si>
  <si>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</si>
  <si>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</si>
  <si>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</si>
  <si>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</si>
  <si>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</si>
  <si>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</si>
  <si>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</si>
  <si>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</si>
  <si>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</si>
  <si>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</si>
  <si>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</si>
  <si>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</si>
  <si>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</si>
  <si>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</si>
  <si>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</si>
  <si>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</si>
  <si>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</si>
  <si>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</si>
  <si>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</si>
  <si>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</si>
  <si>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</si>
  <si>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</si>
  <si>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</si>
  <si>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</si>
  <si>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</si>
  <si>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</si>
  <si>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</si>
  <si>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</si>
  <si>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</si>
  <si>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</si>
  <si>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</si>
  <si>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</si>
  <si>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</si>
  <si>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</si>
  <si>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</si>
  <si>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</si>
  <si>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</si>
  <si>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</si>
  <si>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</si>
  <si>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</si>
  <si>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</si>
  <si>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</si>
  <si>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</si>
  <si>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</si>
  <si>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</si>
  <si>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</si>
  <si>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</si>
  <si>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</si>
  <si>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</si>
  <si>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</si>
  <si>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</si>
  <si>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</si>
  <si>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</si>
  <si>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</si>
  <si>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</si>
  <si>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</si>
  <si>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</si>
  <si>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</si>
  <si>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</si>
  <si>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</si>
  <si>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</si>
  <si>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</si>
  <si>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</si>
  <si>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</si>
  <si>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</si>
  <si>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</si>
  <si>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</si>
  <si>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</si>
  <si>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</si>
  <si>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</si>
  <si>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</si>
  <si>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</si>
  <si>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</si>
  <si>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</si>
  <si>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</si>
  <si>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</si>
  <si>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</si>
  <si>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</si>
  <si>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</si>
  <si>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</si>
  <si>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</si>
  <si>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</si>
  <si>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</si>
  <si>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</si>
  <si>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</si>
  <si>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</si>
  <si>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</si>
  <si>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</si>
  <si>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</si>
  <si>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</si>
  <si>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</si>
  <si>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</si>
  <si>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</si>
  <si>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</si>
  <si>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</si>
  <si>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</si>
  <si>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</si>
  <si>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</si>
  <si>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</si>
  <si>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</si>
  <si>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</si>
  <si>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</si>
  <si>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</si>
  <si>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</si>
  <si>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</si>
  <si>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</si>
  <si>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</si>
  <si>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</si>
  <si>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</si>
  <si>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</si>
  <si>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</si>
  <si>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</si>
  <si>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</si>
  <si>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</si>
  <si>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</si>
  <si>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</si>
  <si>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</si>
  <si>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</si>
  <si>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</si>
  <si>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</si>
  <si>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</si>
  <si>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</si>
  <si>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</si>
  <si>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</si>
  <si>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</si>
  <si>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</si>
  <si>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</si>
  <si>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</si>
  <si>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</si>
  <si>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</si>
  <si>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</si>
  <si>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</si>
  <si>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</si>
  <si>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</si>
  <si>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</si>
  <si>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</si>
  <si>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</si>
  <si>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</si>
  <si>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</si>
  <si>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</si>
  <si>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</si>
  <si>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</si>
  <si>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</si>
  <si>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</si>
  <si>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</si>
  <si>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</si>
  <si>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</si>
  <si>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</si>
  <si>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</si>
  <si>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</si>
  <si>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</si>
  <si>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</si>
  <si>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</si>
  <si>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</si>
  <si>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</si>
  <si>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</si>
  <si>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</si>
  <si>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</si>
  <si>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</si>
  <si>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</si>
  <si>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</si>
  <si>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</si>
  <si>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</si>
  <si>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</si>
  <si>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</si>
  <si>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</si>
  <si>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</si>
  <si>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</si>
  <si>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</si>
  <si>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</si>
  <si>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</si>
  <si>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</si>
  <si>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</si>
  <si>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</si>
  <si>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</si>
  <si>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</si>
  <si>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</si>
  <si>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</si>
  <si>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</si>
  <si>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</si>
  <si>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</si>
  <si>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</si>
  <si>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</si>
  <si>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</si>
  <si>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</si>
  <si>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</si>
  <si>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</si>
  <si>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</si>
  <si>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</si>
  <si>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</si>
  <si>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</si>
  <si>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</si>
  <si>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</si>
  <si>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</si>
  <si>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</si>
  <si>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</si>
  <si>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</si>
  <si>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</si>
  <si>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</si>
  <si>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</si>
  <si>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</si>
  <si>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</si>
  <si>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</si>
  <si>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</si>
  <si>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</si>
  <si>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</si>
  <si>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</si>
  <si>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</si>
  <si>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</si>
  <si>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</si>
  <si>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</si>
  <si>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</si>
  <si>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</si>
  <si>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</si>
  <si>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</si>
  <si>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</si>
  <si>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</si>
  <si>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</si>
  <si>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</si>
  <si>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</si>
  <si>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</si>
  <si>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</si>
  <si>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</si>
  <si>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</si>
  <si>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</si>
  <si>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</si>
  <si>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</si>
  <si>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</si>
  <si>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</si>
  <si>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</si>
  <si>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</si>
  <si>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</si>
  <si>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</si>
  <si>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</si>
  <si>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</si>
  <si>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</si>
  <si>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</si>
  <si>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</si>
  <si>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</si>
  <si>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</si>
  <si>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</si>
  <si>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</si>
  <si>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</si>
  <si>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</si>
  <si>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</si>
  <si>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</si>
  <si>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</si>
  <si>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</si>
  <si>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</si>
  <si>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</si>
  <si>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</si>
  <si>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</si>
  <si>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</si>
  <si>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</si>
  <si>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</si>
  <si>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</si>
  <si>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</si>
  <si>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</si>
  <si>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</si>
  <si>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</si>
  <si>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</si>
  <si>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</si>
  <si>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</si>
  <si>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</si>
  <si>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</si>
  <si>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</si>
  <si>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</si>
  <si>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</si>
  <si>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</si>
  <si>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</si>
  <si>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</si>
  <si>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</si>
  <si>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</si>
  <si>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</si>
  <si>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</si>
  <si>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</si>
  <si>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</si>
  <si>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</si>
  <si>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</si>
  <si>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</si>
  <si>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</si>
  <si>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</si>
  <si>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</si>
  <si>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</si>
  <si>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</si>
  <si>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</si>
  <si>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</si>
  <si>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</si>
  <si>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</si>
  <si>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</si>
  <si>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</si>
  <si>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</si>
  <si>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</si>
  <si>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</si>
  <si>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</si>
  <si>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</si>
  <si>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</si>
  <si>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</si>
  <si>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</si>
  <si>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</si>
  <si>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</si>
  <si>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</si>
  <si>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</si>
  <si>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</si>
  <si>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</si>
  <si>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</si>
  <si>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</si>
  <si>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</si>
  <si>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</si>
  <si>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</si>
  <si>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</si>
  <si>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</si>
  <si>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</si>
  <si>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</si>
  <si>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</si>
  <si>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</si>
  <si>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</si>
  <si>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</si>
  <si>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</si>
  <si>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</si>
  <si>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</si>
  <si>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</si>
  <si>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</si>
  <si>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</si>
  <si>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</si>
  <si>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</si>
  <si>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</si>
  <si>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</si>
  <si>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</si>
  <si>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</si>
  <si>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</si>
  <si>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</si>
  <si>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</si>
  <si>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</si>
  <si>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</si>
  <si>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</si>
  <si>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</si>
  <si>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</si>
  <si>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</si>
  <si>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</si>
  <si>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</si>
  <si>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</si>
  <si>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</si>
  <si>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</si>
  <si>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</si>
  <si>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</si>
  <si>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</si>
  <si>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</si>
  <si>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</si>
  <si>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</si>
  <si>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</si>
  <si>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</si>
  <si>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</si>
  <si>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</si>
  <si>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</si>
  <si>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</si>
  <si>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</si>
  <si>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</si>
  <si>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</si>
  <si>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</si>
  <si>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</si>
  <si>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</si>
  <si>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</si>
  <si>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</si>
  <si>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</si>
  <si>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</si>
  <si>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</si>
  <si>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</si>
  <si>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</si>
  <si>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</si>
  <si>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</si>
  <si>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</si>
  <si>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</si>
  <si>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</si>
  <si>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</si>
  <si>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</si>
  <si>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</si>
  <si>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</si>
  <si>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</si>
  <si>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</si>
  <si>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</si>
  <si>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</si>
  <si>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</si>
  <si>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</si>
  <si>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</si>
  <si>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</si>
  <si>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</si>
  <si>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</si>
  <si>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</si>
  <si>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</si>
  <si>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</si>
  <si>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</si>
  <si>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</si>
  <si>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</si>
  <si>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</si>
  <si>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</si>
  <si>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</si>
  <si>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</si>
  <si>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</si>
  <si>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</si>
  <si>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</si>
  <si>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</si>
  <si>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</si>
  <si>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</si>
  <si>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</si>
  <si>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</si>
  <si>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</si>
  <si>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</si>
  <si>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</si>
  <si>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</si>
  <si>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</si>
  <si>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</si>
  <si>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</si>
  <si>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</si>
  <si>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</si>
  <si>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</si>
  <si>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</si>
  <si>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</si>
  <si>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</si>
  <si>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</si>
  <si>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</si>
  <si>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</si>
  <si>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</si>
  <si>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</si>
  <si>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</si>
  <si>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</si>
  <si>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</si>
  <si>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</si>
  <si>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</si>
  <si>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</si>
  <si>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</si>
  <si>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</si>
  <si>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</si>
  <si>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</si>
  <si>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</si>
  <si>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</si>
  <si>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</si>
  <si>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</si>
  <si>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</si>
  <si>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</si>
  <si>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</si>
  <si>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</si>
  <si>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</si>
  <si>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</si>
  <si>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</si>
  <si>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</si>
  <si>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</si>
  <si>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</si>
  <si>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</si>
  <si>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</si>
  <si>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</si>
  <si>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</si>
  <si>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</si>
  <si>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</si>
  <si>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</si>
  <si>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</si>
  <si>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</si>
  <si>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</si>
  <si>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</si>
  <si>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</si>
  <si>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</si>
  <si>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</si>
  <si>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</si>
  <si>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</si>
  <si>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</si>
  <si>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</si>
  <si>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</si>
  <si>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</si>
  <si>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</si>
  <si>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</si>
  <si>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</si>
  <si>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</si>
  <si>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</si>
  <si>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</si>
  <si>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</si>
  <si>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</si>
  <si>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</si>
  <si>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</si>
  <si>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</si>
  <si>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</si>
  <si>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</si>
  <si>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</si>
  <si>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</si>
  <si>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</si>
  <si>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</si>
  <si>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</si>
  <si>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</si>
  <si>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</si>
  <si>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</si>
  <si>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</si>
  <si>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</si>
  <si>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</si>
  <si>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</si>
  <si>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</si>
  <si>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</si>
  <si>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</si>
  <si>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</si>
  <si>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</si>
  <si>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</si>
  <si>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</si>
  <si>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</si>
  <si>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</si>
  <si>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</si>
  <si>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</si>
  <si>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</si>
  <si>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</si>
  <si>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</si>
  <si>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</si>
  <si>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</si>
  <si>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</si>
  <si>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</si>
  <si>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</si>
  <si>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</si>
  <si>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</si>
  <si>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</si>
  <si>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</si>
  <si>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</si>
  <si>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</si>
  <si>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</si>
  <si>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</si>
  <si>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</si>
  <si>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</si>
  <si>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</si>
  <si>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</si>
  <si>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</si>
  <si>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</si>
  <si>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</si>
  <si>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</si>
  <si>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</si>
  <si>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</si>
  <si>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</si>
  <si>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</si>
  <si>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</si>
  <si>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</si>
  <si>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</si>
  <si>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</si>
  <si>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</si>
  <si>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</si>
  <si>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</si>
  <si>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</si>
  <si>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</si>
  <si>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</si>
  <si>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</si>
  <si>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</si>
  <si>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</si>
  <si>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</si>
  <si>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</si>
  <si>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</si>
  <si>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</si>
  <si>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</si>
  <si>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</si>
  <si>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</si>
  <si>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</si>
  <si>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</si>
  <si>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</si>
  <si>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</si>
  <si>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</si>
  <si>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</si>
  <si>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</si>
  <si>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</si>
  <si>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</si>
  <si>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</si>
  <si>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</si>
  <si>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</si>
  <si>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</si>
  <si>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</si>
  <si>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</si>
  <si>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</si>
  <si>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</si>
  <si>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</si>
  <si>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</si>
  <si>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</si>
  <si>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</si>
  <si>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</si>
  <si>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</si>
  <si>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</si>
  <si>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</si>
  <si>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</si>
  <si>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</si>
  <si>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</si>
  <si>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</si>
  <si>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</si>
  <si>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</si>
  <si>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</si>
  <si>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</si>
  <si>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</si>
  <si>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</si>
  <si>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</si>
  <si>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</si>
  <si>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</si>
  <si>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</si>
  <si>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</si>
  <si>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</si>
  <si>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</si>
  <si>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</si>
  <si>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</si>
  <si>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</si>
  <si>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</si>
  <si>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</si>
  <si>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</si>
  <si>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</si>
  <si>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</si>
  <si>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</si>
  <si>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</si>
  <si>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</si>
  <si>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</si>
  <si>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</si>
  <si>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</si>
  <si>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</si>
  <si>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</si>
  <si>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</si>
  <si>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</si>
  <si>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</si>
  <si>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</si>
  <si>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</si>
  <si>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</si>
  <si>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</si>
  <si>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</si>
  <si>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</si>
  <si>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</si>
  <si>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</si>
  <si>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</si>
  <si>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</si>
  <si>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</si>
  <si>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</si>
  <si>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</si>
  <si>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</si>
  <si>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</si>
  <si>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</si>
  <si>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</si>
  <si>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</si>
  <si>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</si>
  <si>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</si>
  <si>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</si>
  <si>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</si>
  <si>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</si>
  <si>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</si>
  <si>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</si>
  <si>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</si>
  <si>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</si>
  <si>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</si>
  <si>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</si>
  <si>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</si>
  <si>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</si>
  <si>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</si>
  <si>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</si>
  <si>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</si>
  <si>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</si>
  <si>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</si>
  <si>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</si>
  <si>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</si>
  <si>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</si>
  <si>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</si>
  <si>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</si>
  <si>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</si>
  <si>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</si>
  <si>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</si>
  <si>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</si>
  <si>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</si>
  <si>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</si>
  <si>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</si>
  <si>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</si>
  <si>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</si>
  <si>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</si>
  <si>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</si>
  <si>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</si>
  <si>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</si>
  <si>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</si>
  <si>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</si>
  <si>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</si>
  <si>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</si>
  <si>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</si>
  <si>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</si>
  <si>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</si>
  <si>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</si>
  <si>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</si>
  <si>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</si>
  <si>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</si>
  <si>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</si>
  <si>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</si>
  <si>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</si>
  <si>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</si>
  <si>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</si>
  <si>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</si>
  <si>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</si>
  <si>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</si>
  <si>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</si>
  <si>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</si>
  <si>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</si>
  <si>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</si>
  <si>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</si>
  <si>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</si>
  <si>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</si>
  <si>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</si>
  <si>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</si>
  <si>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</si>
  <si>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</si>
  <si>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</si>
  <si>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</si>
  <si>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</si>
  <si>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</si>
  <si>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</si>
  <si>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</si>
  <si>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</si>
  <si>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</si>
  <si>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</si>
  <si>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</si>
  <si>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</si>
  <si>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</si>
  <si>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</si>
  <si>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</si>
  <si>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</si>
  <si>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</si>
  <si>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</si>
  <si>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</si>
  <si>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</si>
  <si>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</si>
  <si>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</si>
  <si>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</si>
  <si>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</si>
  <si>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</si>
  <si>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</si>
  <si>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</si>
  <si>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</si>
  <si>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</si>
  <si>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</si>
  <si>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</si>
  <si>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</si>
  <si>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</si>
  <si>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</si>
  <si>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</si>
  <si>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</si>
  <si>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</si>
  <si>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</si>
  <si>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</si>
  <si>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</si>
  <si>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</si>
  <si>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</si>
  <si>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</si>
  <si>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</si>
  <si>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</si>
  <si>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</si>
  <si>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</si>
  <si>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</si>
  <si>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</si>
  <si>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</si>
  <si>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</si>
  <si>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</si>
  <si>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</si>
  <si>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</si>
  <si>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</si>
  <si>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</si>
  <si>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</si>
  <si>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</si>
  <si>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</si>
  <si>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</si>
  <si>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</si>
  <si>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</si>
  <si>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</si>
  <si>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</si>
  <si>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</si>
  <si>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</si>
  <si>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</si>
  <si>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</si>
  <si>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</si>
  <si>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</si>
  <si>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</si>
  <si>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</si>
  <si>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</si>
  <si>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</si>
  <si>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</si>
  <si>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</si>
  <si>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</si>
  <si>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</si>
  <si>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</si>
  <si>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</si>
  <si>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</si>
  <si>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</si>
  <si>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</si>
  <si>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</si>
  <si>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</si>
  <si>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</si>
  <si>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</si>
  <si>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</si>
  <si>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</si>
  <si>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</si>
  <si>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</si>
  <si>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</si>
  <si>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</si>
  <si>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</si>
  <si>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</si>
  <si>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</si>
  <si>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</si>
  <si>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</si>
  <si>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</si>
  <si>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</si>
  <si>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</si>
  <si>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</si>
  <si>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</si>
  <si>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</si>
  <si>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</si>
  <si>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</si>
  <si>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</si>
  <si>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</si>
  <si>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</si>
  <si>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</si>
  <si>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</si>
  <si>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</si>
  <si>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</si>
  <si>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</si>
  <si>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</si>
  <si>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</si>
  <si>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</si>
  <si>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</si>
  <si>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</si>
  <si>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</si>
  <si>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</si>
  <si>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</si>
  <si>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</si>
  <si>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</si>
  <si>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</si>
  <si>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</si>
  <si>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</si>
  <si>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</si>
  <si>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</si>
  <si>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</si>
  <si>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</si>
  <si>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</si>
  <si>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</si>
  <si>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</si>
  <si>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</si>
  <si>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</si>
  <si>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</si>
  <si>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</si>
  <si>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</si>
  <si>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</si>
  <si>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</si>
  <si>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</si>
  <si>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</si>
  <si>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</si>
  <si>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</si>
  <si>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</si>
  <si>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</si>
  <si>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</si>
  <si>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</si>
  <si>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</si>
  <si>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</si>
  <si>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</si>
  <si>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</si>
  <si>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</si>
  <si>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</si>
  <si>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</si>
  <si>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</si>
  <si>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</si>
  <si>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</si>
  <si>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</si>
  <si>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</si>
  <si>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</si>
  <si>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</si>
  <si>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</si>
  <si>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</si>
  <si>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</si>
  <si>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</si>
  <si>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</si>
  <si>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</si>
  <si>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</si>
  <si>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</si>
  <si>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</si>
  <si>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</si>
  <si>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</si>
  <si>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</si>
  <si>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</si>
  <si>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</si>
  <si>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</si>
  <si>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</si>
  <si>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</si>
  <si>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</si>
  <si>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</si>
  <si>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</si>
  <si>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</si>
  <si>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</si>
  <si>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</si>
  <si>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</si>
  <si>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</si>
  <si>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</si>
  <si>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</si>
  <si>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</si>
  <si>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</si>
  <si>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</si>
  <si>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</si>
  <si>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</si>
  <si>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</si>
  <si>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</si>
  <si>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</si>
  <si>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</si>
  <si>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</si>
  <si>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</si>
  <si>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</si>
  <si>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</si>
  <si>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</si>
  <si>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</si>
  <si>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</si>
  <si>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</si>
  <si>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</si>
  <si>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</si>
  <si>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</si>
  <si>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</si>
  <si>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</si>
  <si>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</si>
  <si>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</si>
  <si>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</si>
  <si>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</si>
  <si>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</si>
  <si>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</si>
  <si>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</si>
  <si>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</si>
  <si>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</si>
  <si>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</si>
  <si>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</si>
  <si>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</si>
  <si>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</si>
  <si>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</si>
  <si>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</si>
  <si>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</si>
  <si>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</si>
  <si>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</si>
  <si>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</si>
  <si>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</si>
  <si>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</si>
  <si>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</si>
  <si>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</si>
  <si>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</si>
  <si>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</si>
  <si>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</si>
  <si>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</si>
  <si>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</si>
  <si>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</si>
  <si>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</si>
  <si>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</si>
  <si>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</si>
  <si>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</si>
  <si>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</si>
  <si>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</si>
  <si>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</si>
  <si>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</si>
  <si>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</si>
  <si>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</si>
  <si>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</si>
  <si>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</si>
  <si>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</si>
  <si>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</si>
  <si>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</si>
  <si>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</si>
  <si>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</si>
  <si>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</si>
  <si>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</si>
  <si>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</si>
  <si>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</si>
  <si>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</si>
  <si>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</si>
  <si>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</si>
  <si>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</si>
  <si>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</si>
  <si>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</si>
  <si>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</si>
  <si>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</si>
  <si>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</si>
  <si>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</si>
  <si>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</si>
  <si>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</si>
  <si>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</si>
  <si>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</si>
  <si>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</si>
  <si>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</si>
  <si>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</si>
  <si>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</si>
  <si>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</si>
  <si>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</si>
  <si>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</si>
  <si>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</si>
  <si>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</si>
  <si>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</si>
  <si>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</si>
  <si>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</si>
  <si>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</si>
  <si>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</si>
  <si>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</si>
  <si>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</si>
  <si>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</si>
  <si>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</si>
  <si>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</si>
  <si>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</si>
  <si>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</si>
  <si>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</si>
  <si>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</si>
  <si>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</si>
  <si>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</si>
  <si>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</si>
  <si>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</si>
  <si>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</si>
  <si>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</si>
  <si>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</si>
  <si>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</si>
  <si>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</si>
  <si>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</si>
  <si>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</si>
  <si>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</si>
  <si>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</si>
  <si>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</si>
  <si>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</si>
  <si>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</si>
  <si>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</si>
  <si>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</si>
  <si>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</si>
  <si>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</si>
  <si>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</si>
  <si>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</si>
  <si>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</si>
  <si>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</si>
  <si>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</si>
  <si>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</si>
  <si>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</si>
  <si>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</si>
  <si>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</si>
  <si>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</si>
  <si>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</si>
  <si>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</si>
  <si>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</si>
  <si>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</si>
  <si>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</si>
  <si>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</si>
  <si>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</si>
  <si>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</si>
  <si>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</si>
  <si>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</si>
  <si>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</si>
  <si>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</si>
  <si>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</si>
  <si>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</si>
  <si>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</si>
  <si>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</si>
  <si>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</si>
  <si>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</si>
  <si>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</si>
  <si>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</si>
  <si>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</si>
  <si>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</si>
  <si>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</si>
  <si>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</si>
  <si>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</si>
  <si>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</si>
  <si>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</si>
  <si>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</si>
  <si>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</si>
  <si>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</si>
  <si>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</si>
  <si>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</si>
  <si>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</si>
  <si>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</si>
  <si>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</si>
  <si>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</si>
  <si>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</si>
  <si>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</si>
  <si>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</si>
  <si>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</si>
  <si>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</si>
  <si>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</si>
  <si>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</si>
  <si>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</si>
  <si>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</si>
  <si>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</si>
  <si>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</si>
  <si>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</si>
  <si>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</si>
  <si>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</si>
  <si>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</si>
  <si>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</si>
  <si>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</si>
  <si>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</si>
  <si>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</si>
  <si>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</si>
  <si>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</si>
  <si>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</si>
  <si>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</si>
  <si>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</si>
  <si>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</si>
  <si>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</si>
  <si>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</si>
  <si>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</si>
  <si>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</si>
  <si>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</si>
  <si>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</si>
  <si>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</si>
  <si>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</si>
  <si>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</si>
  <si>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</si>
  <si>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</si>
  <si>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</si>
  <si>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</si>
  <si>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</si>
  <si>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</si>
  <si>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</si>
  <si>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</si>
  <si>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</si>
  <si>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</si>
  <si>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</si>
  <si>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</si>
  <si>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</si>
  <si>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</si>
  <si>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</si>
  <si>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</si>
  <si>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</si>
  <si>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</si>
  <si>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</si>
  <si>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</si>
  <si>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</si>
  <si>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</si>
  <si>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</si>
  <si>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</si>
  <si>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</si>
  <si>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</si>
  <si>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</si>
  <si>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</si>
  <si>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</si>
  <si>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</si>
  <si>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</si>
  <si>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</si>
  <si>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</si>
  <si>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</si>
  <si>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</si>
  <si>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</si>
  <si>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</si>
  <si>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</si>
  <si>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</si>
  <si>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</si>
  <si>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</si>
  <si>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</si>
  <si>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</si>
  <si>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</si>
  <si>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</si>
  <si>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</si>
  <si>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</si>
  <si>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</si>
  <si>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</si>
  <si>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</si>
  <si>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</si>
  <si>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</si>
  <si>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</si>
  <si>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</si>
  <si>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</si>
  <si>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</si>
  <si>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</si>
  <si>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</si>
  <si>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</si>
  <si>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</si>
  <si>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</si>
  <si>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</si>
  <si>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</si>
  <si>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</si>
  <si>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</si>
  <si>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</si>
  <si>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</si>
  <si>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</si>
  <si>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</si>
  <si>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</si>
  <si>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</si>
  <si>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</si>
  <si>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</si>
  <si>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</si>
  <si>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</si>
  <si>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</si>
  <si>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</si>
  <si>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</si>
  <si>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</si>
  <si>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</si>
  <si>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</si>
  <si>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</si>
  <si>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</si>
  <si>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</si>
  <si>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</si>
  <si>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</si>
  <si>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</si>
  <si>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</si>
  <si>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</si>
  <si>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</si>
  <si>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</si>
  <si>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</si>
  <si>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</si>
  <si>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</si>
  <si>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</si>
  <si>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</si>
  <si>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</si>
  <si>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</si>
  <si>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</si>
  <si>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</si>
  <si>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</si>
  <si>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</si>
  <si>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</si>
  <si>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</si>
  <si>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</si>
  <si>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</si>
  <si>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</si>
  <si>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</si>
  <si>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</si>
  <si>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</si>
  <si>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</si>
  <si>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</si>
  <si>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</si>
  <si>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</si>
  <si>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</si>
  <si>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</si>
  <si>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</si>
  <si>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</si>
  <si>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</si>
  <si>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</si>
  <si>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</si>
  <si>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</si>
  <si>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</si>
  <si>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</si>
  <si>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</si>
  <si>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</si>
  <si>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</si>
  <si>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</si>
  <si>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</si>
  <si>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</si>
  <si>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</si>
  <si>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</si>
  <si>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</si>
  <si>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</si>
  <si>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</si>
  <si>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</si>
  <si>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</si>
  <si>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</si>
  <si>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</si>
  <si>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</si>
  <si>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</si>
  <si>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</si>
  <si>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</si>
  <si>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</si>
  <si>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</si>
  <si>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</si>
  <si>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</si>
  <si>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</si>
  <si>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</si>
  <si>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</si>
  <si>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</si>
  <si>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</si>
  <si>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</si>
  <si>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</si>
  <si>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</si>
  <si>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</si>
  <si>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</si>
  <si>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</si>
  <si>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</si>
  <si>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</si>
  <si>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</si>
  <si>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</si>
  <si>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</si>
  <si>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</si>
  <si>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</si>
  <si>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</si>
  <si>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</si>
  <si>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</si>
  <si>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</si>
  <si>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</si>
  <si>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</si>
  <si>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</si>
  <si>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</si>
  <si>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</si>
  <si>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</si>
  <si>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</si>
  <si>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</si>
  <si>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</si>
  <si>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</si>
  <si>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</si>
  <si>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</si>
  <si>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</si>
  <si>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</si>
  <si>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</si>
  <si>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</si>
  <si>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</si>
  <si>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</si>
  <si>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</si>
  <si>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</si>
  <si>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</si>
  <si>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</si>
  <si>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</si>
  <si>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</si>
  <si>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</si>
  <si>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</si>
  <si>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</si>
  <si>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</si>
  <si>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</si>
  <si>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</si>
  <si>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</si>
  <si>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</si>
  <si>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</si>
  <si>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</si>
  <si>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</si>
  <si>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</si>
  <si>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</si>
  <si>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</si>
  <si>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</si>
  <si>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</si>
  <si>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</si>
  <si>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</si>
  <si>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</si>
  <si>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</si>
  <si>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</si>
  <si>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</si>
  <si>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</si>
  <si>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</si>
  <si>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</si>
  <si>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</si>
  <si>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</si>
  <si>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</si>
  <si>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</si>
  <si>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</si>
  <si>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</si>
  <si>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</si>
  <si>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</si>
  <si>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</si>
  <si>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</si>
  <si>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</si>
  <si>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</si>
  <si>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</si>
  <si>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</si>
  <si>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</si>
  <si>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</si>
  <si>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</si>
  <si>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</si>
  <si>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</si>
  <si>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</si>
  <si>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</si>
  <si>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</si>
  <si>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</si>
  <si>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</si>
  <si>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</si>
  <si>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</si>
  <si>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</si>
  <si>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</si>
  <si>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</si>
  <si>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</si>
  <si>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</si>
  <si>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</si>
  <si>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</si>
  <si>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</si>
  <si>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</si>
  <si>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</si>
  <si>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</si>
  <si>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</si>
  <si>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</si>
  <si>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</si>
  <si>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</si>
  <si>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</si>
  <si>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</si>
  <si>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</si>
  <si>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</si>
  <si>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</si>
  <si>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</si>
  <si>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</si>
  <si>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</si>
  <si>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</si>
  <si>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</si>
  <si>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</si>
  <si>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</si>
  <si>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</si>
  <si>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</si>
  <si>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</si>
  <si>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</si>
  <si>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</si>
  <si>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</si>
  <si>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</si>
  <si>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</si>
  <si>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</si>
  <si>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</si>
  <si>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</si>
  <si>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</si>
  <si>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</si>
  <si>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</si>
  <si>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</si>
  <si>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</si>
  <si>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</si>
  <si>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</si>
  <si>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</si>
  <si>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</si>
  <si>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</si>
  <si>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</si>
  <si>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</si>
  <si>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</si>
  <si>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</si>
  <si>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</si>
  <si>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</si>
  <si>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</si>
  <si>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</si>
  <si>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</si>
  <si>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</si>
  <si>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</si>
  <si>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</si>
  <si>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</si>
  <si>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</si>
  <si>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</si>
  <si>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</si>
  <si>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</si>
  <si>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</si>
  <si>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</si>
  <si>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</si>
  <si>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</si>
  <si>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</si>
  <si>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</si>
  <si>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</si>
  <si>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</si>
  <si>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</si>
  <si>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</si>
  <si>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</si>
  <si>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</si>
  <si>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</si>
  <si>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</si>
  <si>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</si>
  <si>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</si>
  <si>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</si>
  <si>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</si>
  <si>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</si>
  <si>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</si>
  <si>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</si>
  <si>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</si>
  <si>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</si>
  <si>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</si>
  <si>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</si>
  <si>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</si>
  <si>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</si>
  <si>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</si>
  <si>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</si>
  <si>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</si>
  <si>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</si>
  <si>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</si>
  <si>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</si>
  <si>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</si>
  <si>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</si>
  <si>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</si>
  <si>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</si>
  <si>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</si>
  <si>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</si>
  <si>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</si>
  <si>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</si>
  <si>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</si>
  <si>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</si>
  <si>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</si>
  <si>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</si>
  <si>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</si>
  <si>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</si>
  <si>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</si>
  <si>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</si>
  <si>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</si>
  <si>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</si>
  <si>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</si>
  <si>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</si>
  <si>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</si>
  <si>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</si>
  <si>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</si>
  <si>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</si>
  <si>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</si>
  <si>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</si>
  <si>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</si>
  <si>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</si>
  <si>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</si>
  <si>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</si>
  <si>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</si>
  <si>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</si>
  <si>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</si>
  <si>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</si>
  <si>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</si>
  <si>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</si>
  <si>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</si>
  <si>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</si>
  <si>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</si>
  <si>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</si>
  <si>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</si>
  <si>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</si>
  <si>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</si>
  <si>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</si>
  <si>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</si>
  <si>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</si>
  <si>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</si>
  <si>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</si>
  <si>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</si>
  <si>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</si>
  <si>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</si>
  <si>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</si>
  <si>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</si>
  <si>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</si>
  <si>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</si>
  <si>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</si>
  <si>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</si>
  <si>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</si>
  <si>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</si>
  <si>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</si>
  <si>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</si>
  <si>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</si>
  <si>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</si>
  <si>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</si>
  <si>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</si>
  <si>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</si>
  <si>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</si>
  <si>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</si>
  <si>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</si>
  <si>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</si>
  <si>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</si>
  <si>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</si>
  <si>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</si>
  <si>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</si>
  <si>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</si>
  <si>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</si>
  <si>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</si>
  <si>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</si>
  <si>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</si>
  <si>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</si>
  <si>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</si>
  <si>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</si>
  <si>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</si>
  <si>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</si>
  <si>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</si>
  <si>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</si>
  <si>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</si>
  <si>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</si>
  <si>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</si>
  <si>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</si>
  <si>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</si>
  <si>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</si>
  <si>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</si>
  <si>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</si>
  <si>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</si>
  <si>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</si>
  <si>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</si>
  <si>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</si>
  <si>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</si>
  <si>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</si>
  <si>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</si>
  <si>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</si>
  <si>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</si>
  <si>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</si>
  <si>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</si>
  <si>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</si>
  <si>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</si>
  <si>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</si>
  <si>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</si>
  <si>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</si>
  <si>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</si>
  <si>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</si>
  <si>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</si>
  <si>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</si>
  <si>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</si>
  <si>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</si>
  <si>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</si>
  <si>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</si>
  <si>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</si>
  <si>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</si>
  <si>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</si>
  <si>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</si>
  <si>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</si>
  <si>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</si>
  <si>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</si>
  <si>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</si>
  <si>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</si>
  <si>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</si>
  <si>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</si>
  <si>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</si>
  <si>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</si>
  <si>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</si>
  <si>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</si>
  <si>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</si>
  <si>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</si>
  <si>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</si>
  <si>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</si>
  <si>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</si>
  <si>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</si>
  <si>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</si>
  <si>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</si>
  <si>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</si>
  <si>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</si>
  <si>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</si>
  <si>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</si>
  <si>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</si>
  <si>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</si>
  <si>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</si>
  <si>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</si>
  <si>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</si>
  <si>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</si>
  <si>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</si>
  <si>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</si>
  <si>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</si>
  <si>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</si>
  <si>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</si>
  <si>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</si>
  <si>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</si>
  <si>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</si>
  <si>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</si>
  <si>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</si>
  <si>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</si>
  <si>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</si>
  <si>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</si>
  <si>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</si>
  <si>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</si>
  <si>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</si>
  <si>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</si>
  <si>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</si>
  <si>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</si>
  <si>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</si>
  <si>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</si>
  <si>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</si>
  <si>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</si>
  <si>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</si>
  <si>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</si>
  <si>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</si>
  <si>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</si>
  <si>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</si>
  <si>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</si>
  <si>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</si>
  <si>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</si>
  <si>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</si>
  <si>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</si>
  <si>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</si>
  <si>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</si>
  <si>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</si>
  <si>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</si>
  <si>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</si>
  <si>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</si>
  <si>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</si>
  <si>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</si>
  <si>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</si>
  <si>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</si>
  <si>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</si>
  <si>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</si>
  <si>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</si>
  <si>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</si>
  <si>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</si>
  <si>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</si>
  <si>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</si>
  <si>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</si>
  <si>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</si>
  <si>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</si>
  <si>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</si>
  <si>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</si>
  <si>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</si>
  <si>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</si>
  <si>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</si>
  <si>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</si>
  <si>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</si>
  <si>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</si>
  <si>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</si>
  <si>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</si>
  <si>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</si>
  <si>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</si>
  <si>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</si>
  <si>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</si>
  <si>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</si>
  <si>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</si>
  <si>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</si>
  <si>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</si>
  <si>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</si>
  <si>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</si>
  <si>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</si>
  <si>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</si>
  <si>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</si>
  <si>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</si>
  <si>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</si>
  <si>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</si>
  <si>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</si>
  <si>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</si>
  <si>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</si>
  <si>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</si>
  <si>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</si>
  <si>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</si>
  <si>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</si>
  <si>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</si>
  <si>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</si>
  <si>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</si>
  <si>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</si>
  <si>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</si>
  <si>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</si>
  <si>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</si>
  <si>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</si>
  <si>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</si>
  <si>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</si>
  <si>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</si>
  <si>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</si>
  <si>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</si>
  <si>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</si>
  <si>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</si>
  <si>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</si>
  <si>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</si>
  <si>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</si>
  <si>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</si>
  <si>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</si>
  <si>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</si>
  <si>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</si>
  <si>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</si>
  <si>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</si>
  <si>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</si>
  <si>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</si>
  <si>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</si>
  <si>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</si>
  <si>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</si>
  <si>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</si>
  <si>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</si>
  <si>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</si>
  <si>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</si>
  <si>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</si>
  <si>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</si>
  <si>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</si>
  <si>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</si>
  <si>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</si>
  <si>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</si>
  <si>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</si>
  <si>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</si>
  <si>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</si>
  <si>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</si>
  <si>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</si>
  <si>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</si>
  <si>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</si>
  <si>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</si>
  <si>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</si>
  <si>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</si>
  <si>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</si>
  <si>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</si>
  <si>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</si>
  <si>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</si>
  <si>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</si>
  <si>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</si>
  <si>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</si>
  <si>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</si>
  <si>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</si>
  <si>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</si>
  <si>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</si>
  <si>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</si>
  <si>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</si>
  <si>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</si>
  <si>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</si>
  <si>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</si>
  <si>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</si>
  <si>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</si>
  <si>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</si>
  <si>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</si>
  <si>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</si>
  <si>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</si>
  <si>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</si>
  <si>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</si>
  <si>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</si>
  <si>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</si>
  <si>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</si>
  <si>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</si>
  <si>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</si>
  <si>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</si>
  <si>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</si>
  <si>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</si>
  <si>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</si>
  <si>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</si>
  <si>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</si>
  <si>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</si>
  <si>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</si>
  <si>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</si>
  <si>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</si>
  <si>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</si>
  <si>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</si>
  <si>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</si>
  <si>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</si>
  <si>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</si>
  <si>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</si>
  <si>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</si>
  <si>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</si>
  <si>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</si>
  <si>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</si>
  <si>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</si>
  <si>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</si>
  <si>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</si>
  <si>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</si>
  <si>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</si>
  <si>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</si>
  <si>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</si>
  <si>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</si>
  <si>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</si>
  <si>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</si>
  <si>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</si>
  <si>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</si>
  <si>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</si>
  <si>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</si>
  <si>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</si>
  <si>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</si>
  <si>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</si>
  <si>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</si>
  <si>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</si>
  <si>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</si>
  <si>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</si>
  <si>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</si>
  <si>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</si>
  <si>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</si>
  <si>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</si>
  <si>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</si>
  <si>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</si>
  <si>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</si>
  <si>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</si>
  <si>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</si>
  <si>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</si>
  <si>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</si>
  <si>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</si>
  <si>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</si>
  <si>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</si>
  <si>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</si>
  <si>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</si>
  <si>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</si>
  <si>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</si>
  <si>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</si>
  <si>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</si>
  <si>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</si>
  <si>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</si>
  <si>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</si>
  <si>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</si>
  <si>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</si>
  <si>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</si>
  <si>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</si>
  <si>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</si>
  <si>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</si>
  <si>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</si>
  <si>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</si>
  <si>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</si>
  <si>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</si>
  <si>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</si>
  <si>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</si>
  <si>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</si>
  <si>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</si>
  <si>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</si>
  <si>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</si>
  <si>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</si>
  <si>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</si>
  <si>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</si>
  <si>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</si>
  <si>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</si>
  <si>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</si>
  <si>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</si>
  <si>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</si>
  <si>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</si>
  <si>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</si>
  <si>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</si>
  <si>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</si>
  <si>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</si>
  <si>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</si>
  <si>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</si>
  <si>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</si>
  <si>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</si>
  <si>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</si>
  <si>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</si>
  <si>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</si>
  <si>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</si>
  <si>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</si>
  <si>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</si>
  <si>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</si>
  <si>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</si>
  <si>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</si>
  <si>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</si>
  <si>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</si>
  <si>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</si>
  <si>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</si>
  <si>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</si>
  <si>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</si>
  <si>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</si>
  <si>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</si>
  <si>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</si>
  <si>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</si>
  <si>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</si>
  <si>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</si>
  <si>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</si>
  <si>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</si>
  <si>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</si>
  <si>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</si>
  <si>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</si>
  <si>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</si>
  <si>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</si>
  <si>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</si>
  <si>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</si>
  <si>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</si>
  <si>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</si>
  <si>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</si>
  <si>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</si>
  <si>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</si>
  <si>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</si>
  <si>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</si>
  <si>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</si>
  <si>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</si>
  <si>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</si>
  <si>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</si>
  <si>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</si>
  <si>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</si>
  <si>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</si>
  <si>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</si>
  <si>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</si>
  <si>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</si>
  <si>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</si>
  <si>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</si>
  <si>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</si>
  <si>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</si>
  <si>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</si>
  <si>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</si>
  <si>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</si>
  <si>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</si>
  <si>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</si>
  <si>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</si>
  <si>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</si>
  <si>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</si>
  <si>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</si>
  <si>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</si>
  <si>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</si>
  <si>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</si>
  <si>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</si>
  <si>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</si>
  <si>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</si>
  <si>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</si>
  <si>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</si>
  <si>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</si>
  <si>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</si>
  <si>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</si>
  <si>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</si>
  <si>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</si>
  <si>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</si>
  <si>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</si>
  <si>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</si>
  <si>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</si>
  <si>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</si>
  <si>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</si>
  <si>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</si>
  <si>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</si>
  <si>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</si>
  <si>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</si>
  <si>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</si>
  <si>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</si>
  <si>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</si>
  <si>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</si>
  <si>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</si>
  <si>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</si>
  <si>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</si>
  <si>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</si>
  <si>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</si>
  <si>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</si>
  <si>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</si>
  <si>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</si>
  <si>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</si>
  <si>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</si>
  <si>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</si>
  <si>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</si>
  <si>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</si>
  <si>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</si>
  <si>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</si>
  <si>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</si>
  <si>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</si>
  <si>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</si>
  <si>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</si>
  <si>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</si>
  <si>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</si>
  <si>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</si>
  <si>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</si>
  <si>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</si>
  <si>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</si>
  <si>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</si>
  <si>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</si>
  <si>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</si>
  <si>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</si>
  <si>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</si>
  <si>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</si>
  <si>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</si>
  <si>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</si>
  <si>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</si>
  <si>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</si>
  <si>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</si>
  <si>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</si>
  <si>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</si>
  <si>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</si>
  <si>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</si>
  <si>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</si>
  <si>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</si>
  <si>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</si>
  <si>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</si>
  <si>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</si>
  <si>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</si>
  <si>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</si>
  <si>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</si>
  <si>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</si>
  <si>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</si>
  <si>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</si>
  <si>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</si>
  <si>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</si>
  <si>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</si>
  <si>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</si>
  <si>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</si>
  <si>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</si>
  <si>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</si>
  <si>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</si>
  <si>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</si>
  <si>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</si>
  <si>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</si>
  <si>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</si>
  <si>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</si>
  <si>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</si>
  <si>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</si>
  <si>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</si>
  <si>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</si>
  <si>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</si>
  <si>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</si>
  <si>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</si>
  <si>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</si>
  <si>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</si>
  <si>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</si>
  <si>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</si>
  <si>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</si>
  <si>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</si>
  <si>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</si>
  <si>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</si>
  <si>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</si>
  <si>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</si>
  <si>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</si>
  <si>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</si>
  <si>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</si>
  <si>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</si>
  <si>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</si>
  <si>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</si>
  <si>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</si>
  <si>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</si>
  <si>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</si>
  <si>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</si>
  <si>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</si>
  <si>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</si>
  <si>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</si>
  <si>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</si>
  <si>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</si>
  <si>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</si>
  <si>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</si>
  <si>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</si>
  <si>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</si>
  <si>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</si>
  <si>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</si>
  <si>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</si>
  <si>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</si>
  <si>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</si>
  <si>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</si>
  <si>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</si>
  <si>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</si>
  <si>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</si>
  <si>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</si>
  <si>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</si>
  <si>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</si>
  <si>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</si>
  <si>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</si>
  <si>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</si>
  <si>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</si>
  <si>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</si>
  <si>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</si>
  <si>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</si>
  <si>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</si>
  <si>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</si>
  <si>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</si>
  <si>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</si>
  <si>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</si>
  <si>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</si>
  <si>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</si>
  <si>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</si>
  <si>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</si>
  <si>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</si>
  <si>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</si>
  <si>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</si>
  <si>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</si>
  <si>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</si>
  <si>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</si>
  <si>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</si>
  <si>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</si>
  <si>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</si>
  <si>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</si>
  <si>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</si>
  <si>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</si>
  <si>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</si>
  <si>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</si>
  <si>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</si>
  <si>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</si>
  <si>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</si>
  <si>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</si>
  <si>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</si>
  <si>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</si>
  <si>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</si>
  <si>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</si>
  <si>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</si>
  <si>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</si>
  <si>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</si>
  <si>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</si>
  <si>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</si>
  <si>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</si>
  <si>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</si>
  <si>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</si>
  <si>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</si>
  <si>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</si>
  <si>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</si>
  <si>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</si>
  <si>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</si>
  <si>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</si>
  <si>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</si>
  <si>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</si>
  <si>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</si>
  <si>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</si>
  <si>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</si>
  <si>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</si>
  <si>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</si>
  <si>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</si>
  <si>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</si>
  <si>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</si>
  <si>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</si>
  <si>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</si>
  <si>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</si>
  <si>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</si>
  <si>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</si>
  <si>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</si>
  <si>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</si>
  <si>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</si>
  <si>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</si>
  <si>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</si>
  <si>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</si>
  <si>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</si>
  <si>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</si>
  <si>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</si>
  <si>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</si>
  <si>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</si>
  <si>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</si>
  <si>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</si>
  <si>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</si>
  <si>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</si>
  <si>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</si>
  <si>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</si>
  <si>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</si>
  <si>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</si>
  <si>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</si>
  <si>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</si>
  <si>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</si>
  <si>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</si>
  <si>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</si>
  <si>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</si>
  <si>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</si>
  <si>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</si>
  <si>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</si>
  <si>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</si>
  <si>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</si>
  <si>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</si>
  <si>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</si>
  <si>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</si>
  <si>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</si>
  <si>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</si>
  <si>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</si>
  <si>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</si>
  <si>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</si>
  <si>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</si>
  <si>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</si>
  <si>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</si>
  <si>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</si>
  <si>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</si>
  <si>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</si>
  <si>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</si>
  <si>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</si>
  <si>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</si>
  <si>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</si>
  <si>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</si>
  <si>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</si>
  <si>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</si>
  <si>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</si>
  <si>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</si>
  <si>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</si>
  <si>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</si>
  <si>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</si>
  <si>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</si>
  <si>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</si>
  <si>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</si>
  <si>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</si>
  <si>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</si>
  <si>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</si>
  <si>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</si>
  <si>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</si>
  <si>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</si>
  <si>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</si>
  <si>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</si>
  <si>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</si>
  <si>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</si>
  <si>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</si>
  <si>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</si>
  <si>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</si>
  <si>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</si>
  <si>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</si>
  <si>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</si>
  <si>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</si>
  <si>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</si>
  <si>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</si>
  <si>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</si>
  <si>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</si>
  <si>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</si>
  <si>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</si>
  <si>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</si>
  <si>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</si>
  <si>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</si>
  <si>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</si>
  <si>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</si>
  <si>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</si>
  <si>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</si>
  <si>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</si>
  <si>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</si>
  <si>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</si>
  <si>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</si>
  <si>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</si>
  <si>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</si>
  <si>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</si>
  <si>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</si>
  <si>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</si>
  <si>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</si>
  <si>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</si>
  <si>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</si>
  <si>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</si>
  <si>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</si>
  <si>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</si>
  <si>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</si>
  <si>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</si>
  <si>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</si>
  <si>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</si>
  <si>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</si>
  <si>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</si>
  <si>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</si>
  <si>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</si>
  <si>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</si>
  <si>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</si>
  <si>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</si>
  <si>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</si>
  <si>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</si>
  <si>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</si>
  <si>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</si>
  <si>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</si>
  <si>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</si>
  <si>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</si>
  <si>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</si>
  <si>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</si>
  <si>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</si>
  <si>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</si>
  <si>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</si>
  <si>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</si>
  <si>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</si>
  <si>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</si>
  <si>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</si>
  <si>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</si>
  <si>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</si>
  <si>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</si>
  <si>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</si>
  <si>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</si>
  <si>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</si>
  <si>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</si>
  <si>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</si>
  <si>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</si>
  <si>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</si>
  <si>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</si>
  <si>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</si>
  <si>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</si>
  <si>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</si>
  <si>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</si>
  <si>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</si>
  <si>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</si>
  <si>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</si>
  <si>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</si>
  <si>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</si>
  <si>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</si>
  <si>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</si>
  <si>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</si>
  <si>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</si>
  <si>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</si>
  <si>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</si>
  <si>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</si>
  <si>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</si>
  <si>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</si>
  <si>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</si>
  <si>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</si>
  <si>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</si>
  <si>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</si>
  <si>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</si>
  <si>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</si>
  <si>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</si>
  <si>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</si>
  <si>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</si>
  <si>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</si>
  <si>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</si>
  <si>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</si>
  <si>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</si>
  <si>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</si>
  <si>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</si>
  <si>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</si>
  <si>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</si>
  <si>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</si>
  <si>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</si>
  <si>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</si>
  <si>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</si>
  <si>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</si>
  <si>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</si>
  <si>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</si>
  <si>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</si>
  <si>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</si>
  <si>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</si>
  <si>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</si>
  <si>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</si>
  <si>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</si>
  <si>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</si>
  <si>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</si>
  <si>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</si>
  <si>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</si>
  <si>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</si>
  <si>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</si>
  <si>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</si>
  <si>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</si>
  <si>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</si>
  <si>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</si>
  <si>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</si>
  <si>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</si>
  <si>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</si>
  <si>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</si>
  <si>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</si>
  <si>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</si>
  <si>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</si>
  <si>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</si>
  <si>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</si>
  <si>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</si>
  <si>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</si>
  <si>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</si>
  <si>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</si>
  <si>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</si>
  <si>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</si>
  <si>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</si>
  <si>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</si>
  <si>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</si>
  <si>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</si>
  <si>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</si>
  <si>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</si>
  <si>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</si>
  <si>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</si>
  <si>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</si>
  <si>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</si>
  <si>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</si>
  <si>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</si>
  <si>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</si>
  <si>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</si>
  <si>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</si>
  <si>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</si>
  <si>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</si>
  <si>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</si>
  <si>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</si>
  <si>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</si>
  <si>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</si>
  <si>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</si>
  <si>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</si>
  <si>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</si>
  <si>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</si>
  <si>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</si>
  <si>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</si>
  <si>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</si>
  <si>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</si>
  <si>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</si>
  <si>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</si>
  <si>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</si>
  <si>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</si>
  <si>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</si>
  <si>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</si>
  <si>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</si>
  <si>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</si>
  <si>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</si>
  <si>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</si>
  <si>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</si>
  <si>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</si>
  <si>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</si>
  <si>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</si>
  <si>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</si>
  <si>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</si>
  <si>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</si>
  <si>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</si>
  <si>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</si>
  <si>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</si>
  <si>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</si>
  <si>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</si>
  <si>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</si>
  <si>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</si>
  <si>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</si>
  <si>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</si>
  <si>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</si>
  <si>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</si>
  <si>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</si>
  <si>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</si>
  <si>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</si>
  <si>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</si>
  <si>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</si>
  <si>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</si>
  <si>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</si>
  <si>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</si>
  <si>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</si>
  <si>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</si>
  <si>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</si>
  <si>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</si>
  <si>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</si>
  <si>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</si>
  <si>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</si>
  <si>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</si>
  <si>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</si>
  <si>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</si>
  <si>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</si>
  <si>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</si>
  <si>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</si>
  <si>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</si>
  <si>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</si>
  <si>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</si>
  <si>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</si>
  <si>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</si>
  <si>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</si>
  <si>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</si>
  <si>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</si>
  <si>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</si>
  <si>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</si>
  <si>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</si>
  <si>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</si>
  <si>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</si>
  <si>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</si>
  <si>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</si>
  <si>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</si>
  <si>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</si>
  <si>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</si>
  <si>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</si>
  <si>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</si>
  <si>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</si>
  <si>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</si>
  <si>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</si>
  <si>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</si>
  <si>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</si>
  <si>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</si>
  <si>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</si>
  <si>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</si>
  <si>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</si>
  <si>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</si>
  <si>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</si>
  <si>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</si>
  <si>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</si>
  <si>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</si>
  <si>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</si>
  <si>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</si>
  <si>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</si>
  <si>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</si>
  <si>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</si>
  <si>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</si>
  <si>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</si>
  <si>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</si>
  <si>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</si>
  <si>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</si>
  <si>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</si>
  <si>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</si>
  <si>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</si>
  <si>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</si>
  <si>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</si>
  <si>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</si>
  <si>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</si>
  <si>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</si>
  <si>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</si>
  <si>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</si>
  <si>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</si>
  <si>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</si>
  <si>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</si>
  <si>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</si>
  <si>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</si>
  <si>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</si>
  <si>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</si>
  <si>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</si>
  <si>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</si>
  <si>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</si>
  <si>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</si>
  <si>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</si>
  <si>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</si>
  <si>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</si>
  <si>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</si>
  <si>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</si>
  <si>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</si>
  <si>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</si>
  <si>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</si>
  <si>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</si>
  <si>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</si>
  <si>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</si>
  <si>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</si>
  <si>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</si>
  <si>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</si>
  <si>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</si>
  <si>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</si>
  <si>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</si>
  <si>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</si>
  <si>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</si>
  <si>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</si>
  <si>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</si>
  <si>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</si>
  <si>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</si>
  <si>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</si>
  <si>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</si>
  <si>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</si>
  <si>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</si>
  <si>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</si>
  <si>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</si>
  <si>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</si>
  <si>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</si>
  <si>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</si>
  <si>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</si>
  <si>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</si>
  <si>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</si>
  <si>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</si>
  <si>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</si>
  <si>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</si>
  <si>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</si>
  <si>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</si>
  <si>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</si>
  <si>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</si>
  <si>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</si>
  <si>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</si>
  <si>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</si>
  <si>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</si>
  <si>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</si>
  <si>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</si>
  <si>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</si>
  <si>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</si>
  <si>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</si>
  <si>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</si>
  <si>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</si>
  <si>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</si>
  <si>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</si>
  <si>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</si>
  <si>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</si>
  <si>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</si>
  <si>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</si>
  <si>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</si>
  <si>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</si>
  <si>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</si>
  <si>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</si>
  <si>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</si>
  <si>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</si>
  <si>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</si>
  <si>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</si>
  <si>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</si>
  <si>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</si>
  <si>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</si>
  <si>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</si>
  <si>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</si>
  <si>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</si>
  <si>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</si>
  <si>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</si>
  <si>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</si>
  <si>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</si>
  <si>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</si>
  <si>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</si>
  <si>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</si>
  <si>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</si>
  <si>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</si>
  <si>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</si>
  <si>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</si>
  <si>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</si>
  <si>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</si>
  <si>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</si>
  <si>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</si>
  <si>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</si>
  <si>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</si>
  <si>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</si>
  <si>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</si>
  <si>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</si>
  <si>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</si>
  <si>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</si>
  <si>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</si>
  <si>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</si>
  <si>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</si>
  <si>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</si>
  <si>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</si>
  <si>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</si>
  <si>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</si>
  <si>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</si>
  <si>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</si>
  <si>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</si>
  <si>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</si>
  <si>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</si>
  <si>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</si>
  <si>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</si>
  <si>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</si>
  <si>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</si>
  <si>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</si>
  <si>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</si>
  <si>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</si>
  <si>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</si>
  <si>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</si>
  <si>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</si>
  <si>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</si>
  <si>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</si>
  <si>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</si>
  <si>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</si>
  <si>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</si>
  <si>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</si>
  <si>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</si>
  <si>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</si>
  <si>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</si>
  <si>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</si>
  <si>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</si>
  <si>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</si>
  <si>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</si>
  <si>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</si>
  <si>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</si>
  <si>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</si>
  <si>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</si>
  <si>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</si>
  <si>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</si>
  <si>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</si>
  <si>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</si>
  <si>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</si>
  <si>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</si>
  <si>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</si>
  <si>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</si>
  <si>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</si>
  <si>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</si>
  <si>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</si>
  <si>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</si>
  <si>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</si>
  <si>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</si>
  <si>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</si>
  <si>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</si>
  <si>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</si>
  <si>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</si>
  <si>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</si>
  <si>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</si>
  <si>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</si>
  <si>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</si>
  <si>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</si>
  <si>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</si>
  <si>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</si>
  <si>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</si>
  <si>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</si>
  <si>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</si>
  <si>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</si>
  <si>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</si>
  <si>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</si>
  <si>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</si>
  <si>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</si>
  <si>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</si>
  <si>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</si>
  <si>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</si>
  <si>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</si>
  <si>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</si>
  <si>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</si>
  <si>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</si>
  <si>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</si>
  <si>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</si>
  <si>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</si>
  <si>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</si>
  <si>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</si>
  <si>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</si>
  <si>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</si>
  <si>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</si>
  <si>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</si>
  <si>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</si>
  <si>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</si>
  <si>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</si>
  <si>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</si>
  <si>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</si>
  <si>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</si>
  <si>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</si>
  <si>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</si>
  <si>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</si>
  <si>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</si>
  <si>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</si>
  <si>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</si>
  <si>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</si>
  <si>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</si>
  <si>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</si>
  <si>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</si>
  <si>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</si>
  <si>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</si>
  <si>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</si>
  <si>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</si>
  <si>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</si>
  <si>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</si>
  <si>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</si>
  <si>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</si>
  <si>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</si>
  <si>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</si>
  <si>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</si>
  <si>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</si>
  <si>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</si>
  <si>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</si>
  <si>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</si>
  <si>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</si>
  <si>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</si>
  <si>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</si>
  <si>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</si>
  <si>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</si>
  <si>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</si>
  <si>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</si>
  <si>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</si>
  <si>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</si>
  <si>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</si>
  <si>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</si>
  <si>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</si>
  <si>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</si>
  <si>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</si>
  <si>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</si>
  <si>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</si>
  <si>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</si>
  <si>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</si>
  <si>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</si>
  <si>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</si>
  <si>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</si>
  <si>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</si>
  <si>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</si>
  <si>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</si>
  <si>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</si>
  <si>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</si>
  <si>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</si>
  <si>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</si>
  <si>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</si>
  <si>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</si>
  <si>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</si>
  <si>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</si>
  <si>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</si>
  <si>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</si>
  <si>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</si>
  <si>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</si>
  <si>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</si>
  <si>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</si>
  <si>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</si>
  <si>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</si>
  <si>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</si>
  <si>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</si>
  <si>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</si>
  <si>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</si>
  <si>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</si>
  <si>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</si>
  <si>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</si>
  <si>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</si>
  <si>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</si>
  <si>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</si>
  <si>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</si>
  <si>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</si>
  <si>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</si>
  <si>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</si>
  <si>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</si>
  <si>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</si>
  <si>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</si>
  <si>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</si>
  <si>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</si>
  <si>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</si>
  <si>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</si>
  <si>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</si>
  <si>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</si>
  <si>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</si>
  <si>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</si>
  <si>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</si>
  <si>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</si>
  <si>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</si>
  <si>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</si>
  <si>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</si>
  <si>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</si>
  <si>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</si>
  <si>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</si>
  <si>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</si>
  <si>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</si>
  <si>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</si>
  <si>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</si>
  <si>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</si>
  <si>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</si>
  <si>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</si>
  <si>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</si>
  <si>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</si>
  <si>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</si>
  <si>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</si>
  <si>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</si>
  <si>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</si>
  <si>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</si>
  <si>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</si>
  <si>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</si>
  <si>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</si>
  <si>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</si>
  <si>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</si>
  <si>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</si>
  <si>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</si>
  <si>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</si>
  <si>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</si>
  <si>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</si>
  <si>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</si>
  <si>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</si>
  <si>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</si>
  <si>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</si>
  <si>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</si>
  <si>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</si>
  <si>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</si>
  <si>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</si>
  <si>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</si>
  <si>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</si>
  <si>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</si>
  <si>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</si>
  <si>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</si>
  <si>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</si>
  <si>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</si>
  <si>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</si>
  <si>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</si>
  <si>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</si>
  <si>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</si>
  <si>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</si>
  <si>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</si>
  <si>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</si>
  <si>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</si>
  <si>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</si>
  <si>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</si>
  <si>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</si>
  <si>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</si>
  <si>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</si>
  <si>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</si>
  <si>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</si>
  <si>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</si>
  <si>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</si>
  <si>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</si>
  <si>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</si>
  <si>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</si>
  <si>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</si>
  <si>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</si>
  <si>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</si>
  <si>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</si>
  <si>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</si>
  <si>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</si>
  <si>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</si>
  <si>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</si>
  <si>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</si>
  <si>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</si>
  <si>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</si>
  <si>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</si>
  <si>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</si>
  <si>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</si>
  <si>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</si>
  <si>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</si>
  <si>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</si>
  <si>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</si>
  <si>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</si>
  <si>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</si>
  <si>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</si>
  <si>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</si>
  <si>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</si>
  <si>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</si>
  <si>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</si>
  <si>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</si>
  <si>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</si>
  <si>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</si>
  <si>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</si>
  <si>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</si>
  <si>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</si>
  <si>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</si>
  <si>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</si>
  <si>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</si>
  <si>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</si>
  <si>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</si>
  <si>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</si>
  <si>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</si>
  <si>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</si>
  <si>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</si>
  <si>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</si>
  <si>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</si>
  <si>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</si>
  <si>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</si>
  <si>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</si>
  <si>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</si>
  <si>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</si>
  <si>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</si>
  <si>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</si>
  <si>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</si>
  <si>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</si>
  <si>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</si>
  <si>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</si>
  <si>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</si>
  <si>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</si>
  <si>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</si>
  <si>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</si>
  <si>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</si>
  <si>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</si>
  <si>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</si>
  <si>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</si>
  <si>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</si>
  <si>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</si>
  <si>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</si>
  <si>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</si>
  <si>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</si>
  <si>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</si>
  <si>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</si>
  <si>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</si>
  <si>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</si>
  <si>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</si>
  <si>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</si>
  <si>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</si>
  <si>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</si>
  <si>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</si>
  <si>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</si>
  <si>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</si>
  <si>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</si>
  <si>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</si>
  <si>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</si>
  <si>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</si>
  <si>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</si>
  <si>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</si>
  <si>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</si>
  <si>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</si>
  <si>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</si>
  <si>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</si>
  <si>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</si>
  <si>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</si>
  <si>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</si>
  <si>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</si>
  <si>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</si>
  <si>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</si>
  <si>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</si>
  <si>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</si>
  <si>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</si>
  <si>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</si>
  <si>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</si>
  <si>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</si>
  <si>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</si>
  <si>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</si>
  <si>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</si>
  <si>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</si>
  <si>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</si>
  <si>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</si>
  <si>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</si>
  <si>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</si>
  <si>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</si>
  <si>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</si>
  <si>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</si>
  <si>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</si>
  <si>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</si>
  <si>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</si>
  <si>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</si>
  <si>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</si>
  <si>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</si>
  <si>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</si>
  <si>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</si>
  <si>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</si>
  <si>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</si>
  <si>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</si>
  <si>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</si>
  <si>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</si>
  <si>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</si>
  <si>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</si>
  <si>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</si>
  <si>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</si>
  <si>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</si>
  <si>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</si>
  <si>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</si>
  <si>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</si>
  <si>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</si>
  <si>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</si>
  <si>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</si>
  <si>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</si>
  <si>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</si>
  <si>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</si>
  <si>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</si>
  <si>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</si>
  <si>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</si>
  <si>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</si>
  <si>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</si>
  <si>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</si>
  <si>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</si>
  <si>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</si>
  <si>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</si>
  <si>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</si>
  <si>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</si>
  <si>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</si>
  <si>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</si>
  <si>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</si>
  <si>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</si>
  <si>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</si>
  <si>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</si>
  <si>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</si>
  <si>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</si>
  <si>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</si>
  <si>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</si>
  <si>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</si>
  <si>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</si>
  <si>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</si>
  <si>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</si>
  <si>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</si>
  <si>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</si>
  <si>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</si>
  <si>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</si>
  <si>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</si>
  <si>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</si>
  <si>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</si>
  <si>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</si>
  <si>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</si>
  <si>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</si>
  <si>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</si>
  <si>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</si>
  <si>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</si>
  <si>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</si>
  <si>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</si>
  <si>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</si>
  <si>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</si>
  <si>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</si>
  <si>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</si>
  <si>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</si>
  <si>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</si>
  <si>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</si>
  <si>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</si>
  <si>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</si>
  <si>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</si>
  <si>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</si>
  <si>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</si>
  <si>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</si>
  <si>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</si>
  <si>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</si>
  <si>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</si>
  <si>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</si>
  <si>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</si>
  <si>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</si>
  <si>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</si>
  <si>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</si>
  <si>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</si>
  <si>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</si>
  <si>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</si>
  <si>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</si>
  <si>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</si>
  <si>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</si>
  <si>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</si>
  <si>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</si>
  <si>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</si>
  <si>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</si>
  <si>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</si>
  <si>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</si>
  <si>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</si>
  <si>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</si>
  <si>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</si>
  <si>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</si>
  <si>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</si>
  <si>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</si>
  <si>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</si>
  <si>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</si>
  <si>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</si>
  <si>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</si>
  <si>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</si>
  <si>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</si>
  <si>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</si>
  <si>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</si>
  <si>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</si>
  <si>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</si>
  <si>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</si>
  <si>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</si>
  <si>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</si>
  <si>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</si>
  <si>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</si>
  <si>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</si>
  <si>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</si>
  <si>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</si>
  <si>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</si>
  <si>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</si>
  <si>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</si>
  <si>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</si>
  <si>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</si>
  <si>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</si>
  <si>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</si>
  <si>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</si>
  <si>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</si>
  <si>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</si>
  <si>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</si>
  <si>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</si>
  <si>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</si>
  <si>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</si>
  <si>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</si>
  <si>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</si>
  <si>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</si>
  <si>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</si>
  <si>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</si>
  <si>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</si>
  <si>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</si>
  <si>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</si>
  <si>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</si>
  <si>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</si>
  <si>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</si>
  <si>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</si>
  <si>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</si>
  <si>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</si>
  <si>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</si>
  <si>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</si>
  <si>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</si>
  <si>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</si>
  <si>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</si>
  <si>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</si>
  <si>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</si>
  <si>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</si>
  <si>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</si>
  <si>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</si>
  <si>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</si>
  <si>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</si>
  <si>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</si>
  <si>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</si>
  <si>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</si>
  <si>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</si>
  <si>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</si>
  <si>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</si>
  <si>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</si>
  <si>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</si>
  <si>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</si>
  <si>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</si>
  <si>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</si>
  <si>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</si>
  <si>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</si>
  <si>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</si>
  <si>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</si>
  <si>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</si>
  <si>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</si>
  <si>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</si>
  <si>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</si>
  <si>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</si>
  <si>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</si>
  <si>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</si>
  <si>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</si>
  <si>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</si>
  <si>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</si>
  <si>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</si>
  <si>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</si>
  <si>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</si>
  <si>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</si>
  <si>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</si>
  <si>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</si>
  <si>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</si>
  <si>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</si>
  <si>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</si>
  <si>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</si>
  <si>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</si>
  <si>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</si>
  <si>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</si>
  <si>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</si>
  <si>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</si>
  <si>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</si>
  <si>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</si>
  <si>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</si>
  <si>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</si>
  <si>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</si>
  <si>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</si>
  <si>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</si>
  <si>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</si>
  <si>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</si>
  <si>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</si>
  <si>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</si>
  <si>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</si>
  <si>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</si>
  <si>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</si>
  <si>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</si>
  <si>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</si>
  <si>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</si>
  <si>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</si>
  <si>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</si>
  <si>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</si>
  <si>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</si>
  <si>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</si>
  <si>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</si>
  <si>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</si>
  <si>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</si>
  <si>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</si>
  <si>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</si>
  <si>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</si>
  <si>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</si>
  <si>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</si>
  <si>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</si>
  <si>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</si>
  <si>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</si>
  <si>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</si>
  <si>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</si>
  <si>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</si>
  <si>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</si>
  <si>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</si>
  <si>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</si>
  <si>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</si>
  <si>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</si>
  <si>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</si>
  <si>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</si>
  <si>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</si>
  <si>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</si>
  <si>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</si>
  <si>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</si>
  <si>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</si>
  <si>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</si>
  <si>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</si>
  <si>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</si>
  <si>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</si>
  <si>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</si>
  <si>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</si>
  <si>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</si>
  <si>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</si>
  <si>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</si>
  <si>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</si>
  <si>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</si>
  <si>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</si>
  <si>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</si>
  <si>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</si>
  <si>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</si>
  <si>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</si>
  <si>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</si>
  <si>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</si>
  <si>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</si>
  <si>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</si>
  <si>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</si>
  <si>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</si>
  <si>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</si>
  <si>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</si>
  <si>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</si>
  <si>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</si>
  <si>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</si>
  <si>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</si>
  <si>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</si>
  <si>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</si>
  <si>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</si>
  <si>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</si>
  <si>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</si>
  <si>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</si>
  <si>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</si>
  <si>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</si>
  <si>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</si>
  <si>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</si>
  <si>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</si>
  <si>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</si>
  <si>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</si>
  <si>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</si>
  <si>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</si>
  <si>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</si>
  <si>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</si>
  <si>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</si>
  <si>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</si>
  <si>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</si>
  <si>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</si>
  <si>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</si>
  <si>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</si>
  <si>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</si>
  <si>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</si>
  <si>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</si>
  <si>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</si>
  <si>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</si>
  <si>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</si>
  <si>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</si>
  <si>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</si>
  <si>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</si>
  <si>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</si>
  <si>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</si>
  <si>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</si>
  <si>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</si>
  <si>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</si>
  <si>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</si>
  <si>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</si>
  <si>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</si>
  <si>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</si>
  <si>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</si>
  <si>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</si>
  <si>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</si>
  <si>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</si>
  <si>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</si>
  <si>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</si>
  <si>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</si>
  <si>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</si>
  <si>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</si>
  <si>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</si>
  <si>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</si>
  <si>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</si>
  <si>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</si>
  <si>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</si>
  <si>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</si>
  <si>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</si>
  <si>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</si>
  <si>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</si>
  <si>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</si>
  <si>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</si>
  <si>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</si>
  <si>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</si>
  <si>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</si>
  <si>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</si>
  <si>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</si>
  <si>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</si>
  <si>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</si>
  <si>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</si>
  <si>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</si>
  <si>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</si>
  <si>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</si>
  <si>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</si>
  <si>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</si>
  <si>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</si>
  <si>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</si>
  <si>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</si>
  <si>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</si>
  <si>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</si>
  <si>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</si>
  <si>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</si>
  <si>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</si>
  <si>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</si>
  <si>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</si>
  <si>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</si>
  <si>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</si>
  <si>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</si>
  <si>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</si>
  <si>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</si>
  <si>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</si>
  <si>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</si>
  <si>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</si>
  <si>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</si>
  <si>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</si>
  <si>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</si>
  <si>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</si>
  <si>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</si>
  <si>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</si>
  <si>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</si>
  <si>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</si>
  <si>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</si>
  <si>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</si>
  <si>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</si>
  <si>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</si>
  <si>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</si>
  <si>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</si>
  <si>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</si>
  <si>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</si>
  <si>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</si>
  <si>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</si>
  <si>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</si>
  <si>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</si>
  <si>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</si>
  <si>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</si>
  <si>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</si>
  <si>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</si>
  <si>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</si>
  <si>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</si>
  <si>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</si>
  <si>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</si>
  <si>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</si>
  <si>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</si>
  <si>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</si>
  <si>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</si>
  <si>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</si>
  <si>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</si>
  <si>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</si>
  <si>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</si>
  <si>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</si>
  <si>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</si>
  <si>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</si>
  <si>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</si>
  <si>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</si>
  <si>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</si>
  <si>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</si>
  <si>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</si>
  <si>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</si>
  <si>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</si>
  <si>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</si>
  <si>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</si>
  <si>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</si>
  <si>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</si>
  <si>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</si>
  <si>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</si>
  <si>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</si>
  <si>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</si>
  <si>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</si>
  <si>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</si>
  <si>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</si>
  <si>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</si>
  <si>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</si>
  <si>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</si>
  <si>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</si>
  <si>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</si>
  <si>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</si>
  <si>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</si>
  <si>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</si>
  <si>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</si>
  <si>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</si>
  <si>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</si>
  <si>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</si>
  <si>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</si>
  <si>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</si>
  <si>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</si>
  <si>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</si>
  <si>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</si>
  <si>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</si>
  <si>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</si>
  <si>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</si>
  <si>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</si>
  <si>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</si>
  <si>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</si>
  <si>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</si>
  <si>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</si>
  <si>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</si>
  <si>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</si>
  <si>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</si>
  <si>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</si>
  <si>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</si>
  <si>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</si>
  <si>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</si>
  <si>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</si>
  <si>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</si>
  <si>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</si>
  <si>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</si>
  <si>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</si>
  <si>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</si>
  <si>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</si>
  <si>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</si>
  <si>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</si>
  <si>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</si>
  <si>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</si>
  <si>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</si>
  <si>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</si>
  <si>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</si>
  <si>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</si>
  <si>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</si>
  <si>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</si>
  <si>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</si>
  <si>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</si>
  <si>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</si>
  <si>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</si>
  <si>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</si>
  <si>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</si>
  <si>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</si>
  <si>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</si>
  <si>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</si>
  <si>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</si>
  <si>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</si>
  <si>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</si>
  <si>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</si>
  <si>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</si>
  <si>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</si>
  <si>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</si>
  <si>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</si>
  <si>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</si>
  <si>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</si>
  <si>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</si>
  <si>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</si>
  <si>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</si>
  <si>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</si>
  <si>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</si>
  <si>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</si>
  <si>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</si>
  <si>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</si>
  <si>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</si>
  <si>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</si>
  <si>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</si>
  <si>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</si>
  <si>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</si>
  <si>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</si>
  <si>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</si>
  <si>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</si>
  <si>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</si>
  <si>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</si>
  <si>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</si>
  <si>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</si>
  <si>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</si>
  <si>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</si>
  <si>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</si>
  <si>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</si>
  <si>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</si>
  <si>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</si>
  <si>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</si>
  <si>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</si>
  <si>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</si>
  <si>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</si>
  <si>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</si>
  <si>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</si>
  <si>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</si>
  <si>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</si>
  <si>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</si>
  <si>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</si>
  <si>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</si>
  <si>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</si>
  <si>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</si>
  <si>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</si>
  <si>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</si>
  <si>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</si>
  <si>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</si>
  <si>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</si>
  <si>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</si>
  <si>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</si>
  <si>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</si>
  <si>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</si>
  <si>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</si>
  <si>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</si>
  <si>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</si>
  <si>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</si>
  <si>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</si>
  <si>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</si>
  <si>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</si>
  <si>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</si>
  <si>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</si>
  <si>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</si>
  <si>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</si>
  <si>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</si>
  <si>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</si>
  <si>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</si>
  <si>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</si>
  <si>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</si>
  <si>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</si>
  <si>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</si>
  <si>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</si>
  <si>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</si>
  <si>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</si>
  <si>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</si>
  <si>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</si>
  <si>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</si>
  <si>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</si>
  <si>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</si>
  <si>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</si>
  <si>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</si>
  <si>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</si>
  <si>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</si>
  <si>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</si>
  <si>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</si>
  <si>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</si>
  <si>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</si>
  <si>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</si>
  <si>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</si>
  <si>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</si>
  <si>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</si>
  <si>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</si>
  <si>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</si>
  <si>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</si>
  <si>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</si>
  <si>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</si>
  <si>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</si>
  <si>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</si>
  <si>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</si>
  <si>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</si>
  <si>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</si>
  <si>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</si>
  <si>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</si>
  <si>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</si>
  <si>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</si>
  <si>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</si>
  <si>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</si>
  <si>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</si>
  <si>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</si>
  <si>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</si>
  <si>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</si>
  <si>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</si>
  <si>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</si>
  <si>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</si>
  <si>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</si>
  <si>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</si>
  <si>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</si>
  <si>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</si>
  <si>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</si>
  <si>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</si>
  <si>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</si>
  <si>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</si>
  <si>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</si>
  <si>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</si>
  <si>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</si>
  <si>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</si>
  <si>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</si>
  <si>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</si>
  <si>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</si>
  <si>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</si>
  <si>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</si>
  <si>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</si>
  <si>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</si>
  <si>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</si>
  <si>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</si>
  <si>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</si>
  <si>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</si>
  <si>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</si>
  <si>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</si>
  <si>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</si>
  <si>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</si>
  <si>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</si>
  <si>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</si>
  <si>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</si>
  <si>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</si>
  <si>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</si>
  <si>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</si>
  <si>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</si>
  <si>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</si>
  <si>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</si>
  <si>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</si>
  <si>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</si>
  <si>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</si>
  <si>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</si>
  <si>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</si>
  <si>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</si>
  <si>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</si>
  <si>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</si>
  <si>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</si>
  <si>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</si>
  <si>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</si>
  <si>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</si>
  <si>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</si>
  <si>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</si>
  <si>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</si>
  <si>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</si>
  <si>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</si>
  <si>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</si>
  <si>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</si>
  <si>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</si>
  <si>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</si>
  <si>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</si>
  <si>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</si>
  <si>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</si>
  <si>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</si>
  <si>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</si>
  <si>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</si>
  <si>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</si>
  <si>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</si>
  <si>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</si>
  <si>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</si>
  <si>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</si>
  <si>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</si>
  <si>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</si>
  <si>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</si>
  <si>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</si>
  <si>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</si>
  <si>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</si>
  <si>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</si>
  <si>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</si>
  <si>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</si>
  <si>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</si>
  <si>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</si>
  <si>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</si>
  <si>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</si>
  <si>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</si>
  <si>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</si>
  <si>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</si>
  <si>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</si>
  <si>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</si>
  <si>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</si>
  <si>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</si>
  <si>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</si>
  <si>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</si>
  <si>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</si>
  <si>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</si>
  <si>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</si>
  <si>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</si>
  <si>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</si>
  <si>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</si>
  <si>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</si>
  <si>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</si>
  <si>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</si>
  <si>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</si>
  <si>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</si>
  <si>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</si>
  <si>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</si>
  <si>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</si>
  <si>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</si>
  <si>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</si>
  <si>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</si>
  <si>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</si>
  <si>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</si>
  <si>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</si>
  <si>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</si>
  <si>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</si>
  <si>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</si>
  <si>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</si>
  <si>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</si>
  <si>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</si>
  <si>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</si>
  <si>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</si>
  <si>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</si>
  <si>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</si>
  <si>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</si>
  <si>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</si>
  <si>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</si>
  <si>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</si>
  <si>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</si>
  <si>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</si>
  <si>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</si>
  <si>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</si>
  <si>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</si>
  <si>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</si>
  <si>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</si>
  <si>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</si>
  <si>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</si>
  <si>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</si>
  <si>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</si>
  <si>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</si>
  <si>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</si>
  <si>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</si>
  <si>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</si>
  <si>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</si>
  <si>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</si>
  <si>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</si>
  <si>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</si>
  <si>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</si>
  <si>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</si>
  <si>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</si>
  <si>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</si>
  <si>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</si>
  <si>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</si>
  <si>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</si>
  <si>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</si>
  <si>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</si>
  <si>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</si>
  <si>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</si>
  <si>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</si>
  <si>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</si>
  <si>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</si>
  <si>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</si>
  <si>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</si>
  <si>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</si>
  <si>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</si>
  <si>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</si>
  <si>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</si>
  <si>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</si>
  <si>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</si>
  <si>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</si>
  <si>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</si>
  <si>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</si>
  <si>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</si>
  <si>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</si>
  <si>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</si>
  <si>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</si>
  <si>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</si>
  <si>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</si>
  <si>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</si>
  <si>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</si>
  <si>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</si>
  <si>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</si>
  <si>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</si>
  <si>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</si>
  <si>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</si>
  <si>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</si>
  <si>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</si>
  <si>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</si>
  <si>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</si>
  <si>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</si>
  <si>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</si>
  <si>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</si>
  <si>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</si>
  <si>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</si>
  <si>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</si>
  <si>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</si>
  <si>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</si>
  <si>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</si>
  <si>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</si>
  <si>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</si>
  <si>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</si>
  <si>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</si>
  <si>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</si>
  <si>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</si>
  <si>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</si>
  <si>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</si>
  <si>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</si>
  <si>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</si>
  <si>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</si>
  <si>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</si>
  <si>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</si>
  <si>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</si>
  <si>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</si>
  <si>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</si>
  <si>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</si>
  <si>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</si>
  <si>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</si>
  <si>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</si>
  <si>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</si>
  <si>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</si>
  <si>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</si>
  <si>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</si>
  <si>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</si>
  <si>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</si>
  <si>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</si>
  <si>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</si>
  <si>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</si>
  <si>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</si>
  <si>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</si>
  <si>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</si>
  <si>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</si>
  <si>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</si>
  <si>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</si>
  <si>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</si>
  <si>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</si>
  <si>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</si>
  <si>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</si>
  <si>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</si>
  <si>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</si>
  <si>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</si>
  <si>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</si>
  <si>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</si>
  <si>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</si>
  <si>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</si>
  <si>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</si>
  <si>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</si>
  <si>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</si>
  <si>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</si>
  <si>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</si>
  <si>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</si>
  <si>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</si>
  <si>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</si>
  <si>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</si>
  <si>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</si>
  <si>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</si>
  <si>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</si>
  <si>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</si>
  <si>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</si>
  <si>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</si>
  <si>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</si>
  <si>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</si>
  <si>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</si>
  <si>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</si>
  <si>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</si>
  <si>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</si>
  <si>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</si>
  <si>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</si>
  <si>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</si>
  <si>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</si>
  <si>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</si>
  <si>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</si>
  <si>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</si>
  <si>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</si>
  <si>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</si>
  <si>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</si>
  <si>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</si>
  <si>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</si>
  <si>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</si>
  <si>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</si>
  <si>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</si>
  <si>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</si>
  <si>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</si>
  <si>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</si>
  <si>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</si>
  <si>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</si>
  <si>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</si>
  <si>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</si>
  <si>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</si>
  <si>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</si>
  <si>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</si>
  <si>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</si>
  <si>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</si>
  <si>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</si>
  <si>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</si>
  <si>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</si>
  <si>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</si>
  <si>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</si>
  <si>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</si>
  <si>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</si>
  <si>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</si>
  <si>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</si>
  <si>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</si>
  <si>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</si>
  <si>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</si>
  <si>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</si>
  <si>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</si>
  <si>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</si>
  <si>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</si>
  <si>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</si>
  <si>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</si>
  <si>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</si>
  <si>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</si>
  <si>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</si>
  <si>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</si>
  <si>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</si>
  <si>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</si>
  <si>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</si>
  <si>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</si>
  <si>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</si>
  <si>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</si>
  <si>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</si>
  <si>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</si>
  <si>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</si>
  <si>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</si>
  <si>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</si>
  <si>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</si>
  <si>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</si>
  <si>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</si>
  <si>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</si>
  <si>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</si>
  <si>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</si>
  <si>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</si>
  <si>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</si>
  <si>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</si>
  <si>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</si>
  <si>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</si>
  <si>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</si>
  <si>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</si>
  <si>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</si>
  <si>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</si>
  <si>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</si>
  <si>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</si>
  <si>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</si>
  <si>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</si>
  <si>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</si>
  <si>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</si>
  <si>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</si>
  <si>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</si>
  <si>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</si>
  <si>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</si>
  <si>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</si>
  <si>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</si>
  <si>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</si>
  <si>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</si>
  <si>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</si>
  <si>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</si>
  <si>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</si>
  <si>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</si>
  <si>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</si>
  <si>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</si>
  <si>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</si>
  <si>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</si>
  <si>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</si>
  <si>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</si>
  <si>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</si>
  <si>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</si>
  <si>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</si>
  <si>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</si>
  <si>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</si>
  <si>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</si>
  <si>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</si>
  <si>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</si>
  <si>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</si>
  <si>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</si>
  <si>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</si>
  <si>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</si>
  <si>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</si>
  <si>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</si>
  <si>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</si>
  <si>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</si>
  <si>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</si>
  <si>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</si>
  <si>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</si>
  <si>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</si>
  <si>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</si>
  <si>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</si>
  <si>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</si>
  <si>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</si>
  <si>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</si>
  <si>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</si>
  <si>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</si>
  <si>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</si>
  <si>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</si>
  <si>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</si>
  <si>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</si>
  <si>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</si>
  <si>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</si>
  <si>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</si>
  <si>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</si>
  <si>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</si>
  <si>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</si>
  <si>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</si>
  <si>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</si>
  <si>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</si>
  <si>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</si>
  <si>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</si>
  <si>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</si>
  <si>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</si>
  <si>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</si>
  <si>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</si>
  <si>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</si>
  <si>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</si>
  <si>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</si>
  <si>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</si>
  <si>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</si>
  <si>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</si>
  <si>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</si>
  <si>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</si>
  <si>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</si>
  <si>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</si>
  <si>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</si>
  <si>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</si>
  <si>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</si>
  <si>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</si>
  <si>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</si>
  <si>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</si>
  <si>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</si>
  <si>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</si>
  <si>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</si>
  <si>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</si>
  <si>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</si>
  <si>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</si>
  <si>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</si>
  <si>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</si>
  <si>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</si>
  <si>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</si>
  <si>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</si>
  <si>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</si>
  <si>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</si>
  <si>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</si>
  <si>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</si>
  <si>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</si>
  <si>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</si>
  <si>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</si>
  <si>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</si>
  <si>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</si>
  <si>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</si>
  <si>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</si>
  <si>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</si>
  <si>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</si>
  <si>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</si>
  <si>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</si>
  <si>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</si>
  <si>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</si>
  <si>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</si>
  <si>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</si>
  <si>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</si>
  <si>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</si>
  <si>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</si>
  <si>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</si>
  <si>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</si>
  <si>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</si>
  <si>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</si>
  <si>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</si>
  <si>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</si>
  <si>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</si>
  <si>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</si>
  <si>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</si>
  <si>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</si>
  <si>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</si>
  <si>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</si>
  <si>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</si>
  <si>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</si>
  <si>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</si>
  <si>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</si>
  <si>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</si>
  <si>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</si>
  <si>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</si>
  <si>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</si>
  <si>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</si>
  <si>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</si>
  <si>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</si>
  <si>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</si>
  <si>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</si>
  <si>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</si>
  <si>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</si>
  <si>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</si>
  <si>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</si>
  <si>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</si>
  <si>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</si>
  <si>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</si>
  <si>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</si>
  <si>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</si>
  <si>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</si>
  <si>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</si>
  <si>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</si>
  <si>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</si>
  <si>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</si>
  <si>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</si>
  <si>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</si>
  <si>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</si>
  <si>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</si>
  <si>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</si>
  <si>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</si>
  <si>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</si>
  <si>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</si>
  <si>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</si>
  <si>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</si>
  <si>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</si>
  <si>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</si>
  <si>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</si>
  <si>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</si>
  <si>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</si>
  <si>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</si>
  <si>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</si>
  <si>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</si>
  <si>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</si>
  <si>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</si>
  <si>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</si>
  <si>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</si>
  <si>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</si>
  <si>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</si>
  <si>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</si>
  <si>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</si>
  <si>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</si>
  <si>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</si>
  <si>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</si>
  <si>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</si>
  <si>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</si>
  <si>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</si>
  <si>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</si>
  <si>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</si>
  <si>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</si>
  <si>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</si>
  <si>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</si>
  <si>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</si>
  <si>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</si>
  <si>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</si>
  <si>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</si>
  <si>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</si>
  <si>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</si>
  <si>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</si>
  <si>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</si>
  <si>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</si>
  <si>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</si>
  <si>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</si>
  <si>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</si>
  <si>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</si>
  <si>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</si>
  <si>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</si>
  <si>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</si>
  <si>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</si>
  <si>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</si>
  <si>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</si>
  <si>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</si>
  <si>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</si>
  <si>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</si>
  <si>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</si>
  <si>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</si>
  <si>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</si>
  <si>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</si>
  <si>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</si>
  <si>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</si>
  <si>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</si>
  <si>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</si>
  <si>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</si>
  <si>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</si>
  <si>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</si>
  <si>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</si>
  <si>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</si>
  <si>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</si>
  <si>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</si>
  <si>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</si>
  <si>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</si>
  <si>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</si>
  <si>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</si>
  <si>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</si>
  <si>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</si>
  <si>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</si>
  <si>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</si>
  <si>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</si>
  <si>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</si>
  <si>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</si>
  <si>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</si>
  <si>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</si>
  <si>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</si>
  <si>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</si>
  <si>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</si>
  <si>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</si>
  <si>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</si>
  <si>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</si>
  <si>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</si>
  <si>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</si>
  <si>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</si>
  <si>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</si>
  <si>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</si>
  <si>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</si>
  <si>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</si>
  <si>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</si>
  <si>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</si>
  <si>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</si>
  <si>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</si>
  <si>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</si>
  <si>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</si>
  <si>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</si>
  <si>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</si>
  <si>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</si>
  <si>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</si>
  <si>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</si>
  <si>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</si>
  <si>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</si>
  <si>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</si>
  <si>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</si>
  <si>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</si>
  <si>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</si>
  <si>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</si>
  <si>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</si>
  <si>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</si>
  <si>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</si>
  <si>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</si>
  <si>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</si>
  <si>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</si>
  <si>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</si>
  <si>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</si>
  <si>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</si>
  <si>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</si>
  <si>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</si>
  <si>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</si>
  <si>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</si>
  <si>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</si>
  <si>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</si>
  <si>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</si>
  <si>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</si>
  <si>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</si>
  <si>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</si>
  <si>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</si>
  <si>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</si>
  <si>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</si>
  <si>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</si>
  <si>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</si>
  <si>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</si>
  <si>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</si>
  <si>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</si>
  <si>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</si>
  <si>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</si>
  <si>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</si>
  <si>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</si>
  <si>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</si>
  <si>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</si>
  <si>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</si>
  <si>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</si>
  <si>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</si>
  <si>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</si>
  <si>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</si>
  <si>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</si>
  <si>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</si>
  <si>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</si>
  <si>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</si>
  <si>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</si>
  <si>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</si>
  <si>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</si>
  <si>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</si>
  <si>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</si>
  <si>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</si>
  <si>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</si>
  <si>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</si>
  <si>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</si>
  <si>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</si>
  <si>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</si>
  <si>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</si>
  <si>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</si>
  <si>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</si>
  <si>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</si>
  <si>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</si>
  <si>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</si>
  <si>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</si>
  <si>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</si>
  <si>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</si>
  <si>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</si>
  <si>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</si>
  <si>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</si>
  <si>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</si>
  <si>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</si>
  <si>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</si>
  <si>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</si>
  <si>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</si>
  <si>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</si>
  <si>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</si>
  <si>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</si>
  <si>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</si>
  <si>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</si>
  <si>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</si>
  <si>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</si>
  <si>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</si>
  <si>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</si>
  <si>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</si>
  <si>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</si>
  <si>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</si>
  <si>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</si>
  <si>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</si>
  <si>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</si>
  <si>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</si>
  <si>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</si>
  <si>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</si>
  <si>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</si>
  <si>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</si>
  <si>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</si>
  <si>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</si>
  <si>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</si>
  <si>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</si>
  <si>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</si>
  <si>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</si>
  <si>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</si>
  <si>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</si>
  <si>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</si>
  <si>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</si>
  <si>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</si>
  <si>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</si>
  <si>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</si>
  <si>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</si>
  <si>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</si>
  <si>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</si>
  <si>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</si>
  <si>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</si>
  <si>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</si>
  <si>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</si>
  <si>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</si>
  <si>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</si>
  <si>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</si>
  <si>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</si>
  <si>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</si>
  <si>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</si>
  <si>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</si>
  <si>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</si>
  <si>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</si>
  <si>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</si>
  <si>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</si>
  <si>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</si>
  <si>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</si>
  <si>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</si>
  <si>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</si>
  <si>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</si>
  <si>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</si>
  <si>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</si>
  <si>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</si>
  <si>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</si>
  <si>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</si>
  <si>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</si>
  <si>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</si>
  <si>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</si>
  <si>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</si>
  <si>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</si>
  <si>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</si>
  <si>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</si>
  <si>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</si>
  <si>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</si>
  <si>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</si>
  <si>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</si>
  <si>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</si>
  <si>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</si>
  <si>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</si>
  <si>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</si>
  <si>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</si>
  <si>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</si>
  <si>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</si>
  <si>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</si>
  <si>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</si>
  <si>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</si>
  <si>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</si>
  <si>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</si>
  <si>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</si>
  <si>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</si>
  <si>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</si>
  <si>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</si>
  <si>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</si>
  <si>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</si>
  <si>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</si>
  <si>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</si>
  <si>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</si>
  <si>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</si>
  <si>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</si>
  <si>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</si>
  <si>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</si>
  <si>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</si>
  <si>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</si>
  <si>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</si>
  <si>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</si>
  <si>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</si>
  <si>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</si>
  <si>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</si>
  <si>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</si>
  <si>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</si>
  <si>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</si>
  <si>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</si>
  <si>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</si>
  <si>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</si>
  <si>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</si>
  <si>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</si>
  <si>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</si>
  <si>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</si>
  <si>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</si>
  <si>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</si>
  <si>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</si>
  <si>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</si>
  <si>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</si>
  <si>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</si>
  <si>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</si>
  <si>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</si>
  <si>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</si>
  <si>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</si>
  <si>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</si>
  <si>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</si>
  <si>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</si>
  <si>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</si>
  <si>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</si>
  <si>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</si>
  <si>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</si>
  <si>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</si>
  <si>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</si>
  <si>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</si>
  <si>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</si>
  <si>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</si>
  <si>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</si>
  <si>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</si>
  <si>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</si>
  <si>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</si>
  <si>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</si>
  <si>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</si>
  <si>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</si>
  <si>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</si>
  <si>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</si>
  <si>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</si>
  <si>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</si>
  <si>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</si>
  <si>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</si>
  <si>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</si>
  <si>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</si>
  <si>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</si>
  <si>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</si>
  <si>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</si>
  <si>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</si>
  <si>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</si>
  <si>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</si>
  <si>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</si>
  <si>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</si>
  <si>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</si>
  <si>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</si>
  <si>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</si>
  <si>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</si>
  <si>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</si>
  <si>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</si>
  <si>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</si>
  <si>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</si>
  <si>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</si>
  <si>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</si>
  <si>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</si>
  <si>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</si>
  <si>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</si>
  <si>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</si>
  <si>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</si>
  <si>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</si>
  <si>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</si>
  <si>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</si>
  <si>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</si>
  <si>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</si>
  <si>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</si>
  <si>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</si>
  <si>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</si>
  <si>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</si>
  <si>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</si>
  <si>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</si>
  <si>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</si>
  <si>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</si>
  <si>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</si>
  <si>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</si>
  <si>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</si>
  <si>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</si>
  <si>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</si>
  <si>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</si>
  <si>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</si>
  <si>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</si>
  <si>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</si>
  <si>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</si>
  <si>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</si>
  <si>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</si>
  <si>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</si>
  <si>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</si>
  <si>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</si>
  <si>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</si>
  <si>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</si>
  <si>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</si>
  <si>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</si>
  <si>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</si>
  <si>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</si>
  <si>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</si>
  <si>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</si>
  <si>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</si>
  <si>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</si>
  <si>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</si>
  <si>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</si>
  <si>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</si>
  <si>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</si>
  <si>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</si>
  <si>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</si>
  <si>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</si>
  <si>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</si>
  <si>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</si>
  <si>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</si>
  <si>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</si>
  <si>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</si>
  <si>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</si>
  <si>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</si>
  <si>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</si>
  <si>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</si>
  <si>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</si>
  <si>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</si>
  <si>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</si>
  <si>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</si>
  <si>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</si>
  <si>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</si>
  <si>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</si>
  <si>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</si>
  <si>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</si>
  <si>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</si>
  <si>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</si>
  <si>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</si>
  <si>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</si>
  <si>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</si>
  <si>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</si>
  <si>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</si>
  <si>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</si>
  <si>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</si>
  <si>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</si>
  <si>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</si>
  <si>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</si>
  <si>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</si>
  <si>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</si>
  <si>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</si>
  <si>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</si>
  <si>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</si>
  <si>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</si>
  <si>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</si>
  <si>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</si>
  <si>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</si>
  <si>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</si>
  <si>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</si>
  <si>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</si>
  <si>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</si>
  <si>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</si>
  <si>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</si>
  <si>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</si>
  <si>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</si>
  <si>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</si>
  <si>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</si>
  <si>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</si>
  <si>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</si>
  <si>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</si>
  <si>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</si>
  <si>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</si>
  <si>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</si>
  <si>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</si>
  <si>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</si>
  <si>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</si>
  <si>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</si>
  <si>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</si>
  <si>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</si>
  <si>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</si>
  <si>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</si>
  <si>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</si>
  <si>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</si>
  <si>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</si>
  <si>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</si>
  <si>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</si>
  <si>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</si>
  <si>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</si>
  <si>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</si>
  <si>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</si>
  <si>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</si>
  <si>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</si>
  <si>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</si>
  <si>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</si>
  <si>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</si>
  <si>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</si>
  <si>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</si>
  <si>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</si>
  <si>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</si>
  <si>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</si>
  <si>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</si>
  <si>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</si>
  <si>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</si>
  <si>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</si>
  <si>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</si>
  <si>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</si>
  <si>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</si>
  <si>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</si>
  <si>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</si>
  <si>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</si>
  <si>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</si>
  <si>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</si>
  <si>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</si>
  <si>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</si>
  <si>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</si>
  <si>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</si>
  <si>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</si>
  <si>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</si>
  <si>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</si>
  <si>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</si>
  <si>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</si>
  <si>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</si>
  <si>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</si>
  <si>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</si>
  <si>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</si>
  <si>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</si>
  <si>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</si>
  <si>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</si>
  <si>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</si>
  <si>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</si>
  <si>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</si>
  <si>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</si>
  <si>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</si>
  <si>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</si>
  <si>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</si>
  <si>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</si>
  <si>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</si>
  <si>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</si>
  <si>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</si>
  <si>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</si>
  <si>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</si>
  <si>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</si>
  <si>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</si>
  <si>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</si>
  <si>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</si>
  <si>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</si>
  <si>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</si>
  <si>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</si>
  <si>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</si>
  <si>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</si>
  <si>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</si>
  <si>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</si>
  <si>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</si>
  <si>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</si>
  <si>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</si>
  <si>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</si>
  <si>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</si>
  <si>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</si>
  <si>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</si>
  <si>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</si>
  <si>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</si>
  <si>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</si>
  <si>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</si>
  <si>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</si>
  <si>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</si>
  <si>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</si>
  <si>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</si>
  <si>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</si>
  <si>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</si>
  <si>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</si>
  <si>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</si>
  <si>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</si>
  <si>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</si>
  <si>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</si>
  <si>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</si>
  <si>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</si>
  <si>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</si>
  <si>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</si>
  <si>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</si>
  <si>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</si>
  <si>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</si>
  <si>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</si>
  <si>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</si>
  <si>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</si>
  <si>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</si>
  <si>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</si>
  <si>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</si>
  <si>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</si>
  <si>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</si>
  <si>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</si>
  <si>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</si>
  <si>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</si>
  <si>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</si>
  <si>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</si>
  <si>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</si>
  <si>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</si>
  <si>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</si>
  <si>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</si>
  <si>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</si>
  <si>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</si>
  <si>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</si>
  <si>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</si>
  <si>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</si>
  <si>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</si>
  <si>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</si>
  <si>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</si>
  <si>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</si>
  <si>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</si>
  <si>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</si>
  <si>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</si>
  <si>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</si>
  <si>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</si>
  <si>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</si>
  <si>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</si>
  <si>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</si>
  <si>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</si>
  <si>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</si>
  <si>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</si>
  <si>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</si>
  <si>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</si>
  <si>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</si>
  <si>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</si>
  <si>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</si>
  <si>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</si>
  <si>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</si>
  <si>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</si>
  <si>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</si>
  <si>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</si>
  <si>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</si>
  <si>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</si>
  <si>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</si>
  <si>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</si>
  <si>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</si>
  <si>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</si>
  <si>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</si>
  <si>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</si>
  <si>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</si>
  <si>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</si>
  <si>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</si>
  <si>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</si>
  <si>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</si>
  <si>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</si>
  <si>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</si>
  <si>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</si>
  <si>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</si>
  <si>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</si>
  <si>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</si>
  <si>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</si>
  <si>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</si>
  <si>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</si>
  <si>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</si>
  <si>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</si>
  <si>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</si>
  <si>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</si>
  <si>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</si>
  <si>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</si>
  <si>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</si>
  <si>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</si>
  <si>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</si>
  <si>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</si>
  <si>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</si>
  <si>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</si>
  <si>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</si>
  <si>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</si>
  <si>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</si>
  <si>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</si>
  <si>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</si>
  <si>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</si>
  <si>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</si>
  <si>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</si>
  <si>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</si>
  <si>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</si>
  <si>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</si>
  <si>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</si>
  <si>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</si>
  <si>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</si>
  <si>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</si>
  <si>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</si>
  <si>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</si>
  <si>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</si>
  <si>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</si>
  <si>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</si>
  <si>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</si>
  <si>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</si>
  <si>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</si>
  <si>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</si>
  <si>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</si>
  <si>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</si>
  <si>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</si>
  <si>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</si>
  <si>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</si>
  <si>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</si>
  <si>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</si>
  <si>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</si>
  <si>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</si>
  <si>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</si>
  <si>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</si>
  <si>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</si>
  <si>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</si>
  <si>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</si>
  <si>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</si>
  <si>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</si>
  <si>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</si>
  <si>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</si>
  <si>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</si>
  <si>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</si>
  <si>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</si>
  <si>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</si>
  <si>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</si>
  <si>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</si>
  <si>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</si>
  <si>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</si>
  <si>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</si>
  <si>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</si>
  <si>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</si>
  <si>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</si>
  <si>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</si>
  <si>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</si>
  <si>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</si>
  <si>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</si>
  <si>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</si>
  <si>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</si>
  <si>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</si>
  <si>
    <t>FR8141530</t>
  </si>
  <si>
    <t>CSCALA_1025$ITEF_V40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</si>
</sst>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7.154267939812" createdVersion="7" refreshedVersion="7" minRefreshableVersion="3" recordCount="5330" xr:uid="{11839AE3-6158-4318-87AD-2C711D0BF451}">
  <cacheSource type="worksheet">
    <worksheetSource name="Proc"/>
  </cacheSource>
  <cacheFields count="19">
    <cacheField name="App" numFmtId="0">
      <sharedItems containsBlank="1" count="16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1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2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7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7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7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7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7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7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7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7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7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7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7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7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7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7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7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7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7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7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7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7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7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7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7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7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7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7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7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7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7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7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7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7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7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7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7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7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7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7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7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7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7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7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7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7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7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7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7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7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7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7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7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7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7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7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7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7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7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7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7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7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7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7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7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7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7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7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7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7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7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7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7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7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7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7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7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7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7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7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7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7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7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7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7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7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7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7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7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7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7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7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7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7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7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7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7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7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7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7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7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7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7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7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7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7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7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8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8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8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8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8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8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8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8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8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8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8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6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4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4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4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4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4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4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4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4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4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1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1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1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1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1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1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1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1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1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1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1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1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1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1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1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1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1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1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1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1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1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1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1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1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1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1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1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1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1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0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9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8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8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8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8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8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8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8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8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8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8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8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8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8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8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8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8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8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8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8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8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8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8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8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8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7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7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7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7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7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7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7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7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7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7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7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7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7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7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7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7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7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7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7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7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7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7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7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7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6"/>
    <s v="Ruby Grace Garcia"/>
    <m/>
  </r>
  <r>
    <x v="408"/>
    <x v="1"/>
    <x v="5"/>
    <s v="ITEMPEU_001700006137"/>
    <s v="H000004596"/>
    <s v="H000004594"/>
    <s v="Non-LFF"/>
    <s v=""/>
    <m/>
    <b v="0"/>
    <x v="1"/>
    <x v="0"/>
    <d v="2025-10-24T00:00:00"/>
    <m/>
    <m/>
    <x v="1"/>
    <n v="59"/>
    <s v="Anna Glab"/>
    <m/>
  </r>
  <r>
    <x v="408"/>
    <x v="1"/>
    <x v="5"/>
    <s v="ITEMPEU_001700006138"/>
    <s v="H000004597"/>
    <s v="H000004594"/>
    <s v="Non-LFF"/>
    <s v=""/>
    <m/>
    <b v="0"/>
    <x v="1"/>
    <x v="0"/>
    <d v="2025-10-24T00:00:00"/>
    <m/>
    <m/>
    <x v="1"/>
    <n v="59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4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4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4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4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4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4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4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4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4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4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4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4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4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4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4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4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4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4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4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4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2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2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2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2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2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2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2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2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2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2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2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2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2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2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2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2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2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2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2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2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2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2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2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2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2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2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2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2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2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1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9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9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9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6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6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6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6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6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3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3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3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3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3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3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2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2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2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2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2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0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8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8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8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8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8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8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8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8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8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8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8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8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8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8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8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8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8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8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8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8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8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8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8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8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8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8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8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8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8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8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8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8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8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7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7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7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7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7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7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7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5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5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5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5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5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5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5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5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5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5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5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5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5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5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5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5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5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5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5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5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5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5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5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5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5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5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5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5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5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5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5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5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5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5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4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4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4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4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4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4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4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4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4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4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4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4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4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4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4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4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4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4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4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4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3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3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3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3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3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3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3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3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3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2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2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2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2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2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2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2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2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2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2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2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1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0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0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8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8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8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8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8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8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6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4"/>
    <s v="Roselle Delos Angeles"/>
    <m/>
  </r>
  <r>
    <x v="466"/>
    <x v="1"/>
    <x v="5"/>
    <s v="CFLTFLE_2152IMIPPCRD01"/>
    <s v="P000000540"/>
    <s v="DFLTPGCOH_002152"/>
    <s v="Non-LFF"/>
    <s v=""/>
    <m/>
    <b v="0"/>
    <x v="3"/>
    <x v="0"/>
    <d v="2025-12-12T00:00:00"/>
    <m/>
    <m/>
    <x v="1"/>
    <n v="24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4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4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4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3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3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0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0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0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0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0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0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0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0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0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3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3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3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9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1"/>
    <n v="9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9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9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9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9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80"/>
    <x v="1"/>
    <x v="5"/>
    <s v="CSCALA_1022$ITR"/>
    <s v="G000001238"/>
    <s v="G000000243_DEFAULT"/>
    <s v="Non-LFF"/>
    <s v=""/>
    <s v="Wait for Jay-r to respond whether for 2025 or 2026"/>
    <b v="0"/>
    <x v="0"/>
    <x v="0"/>
    <d v="2026-01-06T00:00:00"/>
    <m/>
    <m/>
    <x v="1"/>
    <n v="7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7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7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7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7"/>
    <s v="Jay-R Lizardo"/>
    <m/>
  </r>
  <r>
    <x v="481"/>
    <x v="1"/>
    <x v="4"/>
    <s v="FP000000466_IO EL-SC Integrated Supply Chain (IO)"/>
    <s v="P000000578"/>
    <m/>
    <m/>
    <s v=""/>
    <m/>
    <b v="0"/>
    <x v="3"/>
    <x v="0"/>
    <d v="2026-01-15T00:00:00"/>
    <m/>
    <m/>
    <x v="0"/>
    <n v="0"/>
    <s v="John Rowie Del Rosario"/>
    <m/>
  </r>
  <r>
    <x v="481"/>
    <x v="1"/>
    <x v="4"/>
    <s v="P000000466_IO EL-SC Integrated Supply Chain (IO)"/>
    <s v="P000000578"/>
    <m/>
    <m/>
    <s v=""/>
    <m/>
    <b v="0"/>
    <x v="3"/>
    <x v="0"/>
    <d v="2026-01-15T00:00:00"/>
    <m/>
    <m/>
    <x v="0"/>
    <n v="0"/>
    <s v="John Rowie Del Rosario"/>
    <m/>
  </r>
  <r>
    <x v="481"/>
    <x v="1"/>
    <x v="4"/>
    <s v="IPHOENX_000400757375 PM-OSL Mgt. cost to WH"/>
    <s v="P000000578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IPHOENX_000400757376 PM-OSL Mgt. Cost to GDP"/>
    <s v="P000000578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AA04 Atsugi - Filling M30"/>
    <s v="P000000578"/>
    <m/>
    <s v="LFF (MDG-F)"/>
    <s v="JP02TAAA04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FAZ01 XX_Atsugi Site Common"/>
    <s v="P000000087"/>
    <m/>
    <s v="LFF (MDG-F)"/>
    <s v="JP02TFA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PAZ01 Display SC Planning"/>
    <s v="P000000087"/>
    <m/>
    <s v="LFF (MDG-F)"/>
    <s v="JP02TPA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1TFAZ01 Atsugi Site Common"/>
    <s v="P000000087"/>
    <m/>
    <s v="LFF (MDG-F)"/>
    <s v="JP01TFAZ01"/>
    <s v="TO BE DONE IN 2026"/>
    <b v="0"/>
    <x v="3"/>
    <x v="0"/>
    <d v="2026-01-15T00:00:00"/>
    <m/>
    <m/>
    <x v="0"/>
    <n v="0"/>
    <s v="John Rowie Del Rosario"/>
    <m/>
  </r>
  <r>
    <x v="481"/>
    <x v="1"/>
    <x v="4"/>
    <s v="PL_E1_JPAC ProcOrd_'PM Atsugi_JPAC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L_E1_JPAK ProcOrd_PM Atsugi_JPAK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RPL_E1_JPAK ProcOrd_PM Atsugi_JPAK(IO)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ASD02 Sheboygan Filling Equipment"/>
    <s v="P000000578"/>
    <m/>
    <s v="LFF (MDG-F)"/>
    <s v="US01TASD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PHZ02 Sheboygan Delta Inbound Freight"/>
    <s v="P000000578"/>
    <m/>
    <s v="LFF (MDG-F)"/>
    <s v="US01TP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00 XXXHVR PDMAT Product"/>
    <s v="P000000219"/>
    <m/>
    <s v="LFF (MDG-F)"/>
    <s v="US01TAHA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01 HVR PDMAT Equip"/>
    <s v="P000000219"/>
    <m/>
    <s v="LFF (MDG-F)"/>
    <s v="US01TAHA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99 DL -  Haverhill PDMAT"/>
    <s v="P000000219"/>
    <m/>
    <s v="LFF (MDG-F)"/>
    <s v="US01TAHA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00 XXXHVR ALDM1 Product"/>
    <s v="P000000219"/>
    <m/>
    <s v="LFF (MDG-F)"/>
    <s v="US01TAHB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01 HVR ALDM1 Equip"/>
    <s v="P000000219"/>
    <m/>
    <s v="LFF (MDG-F)"/>
    <s v="US01TAHB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99 XXXHVR ALDM1 DL"/>
    <s v="P000000219"/>
    <m/>
    <s v="LFF (MDG-F)"/>
    <s v="US01TAHB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C01 Production Fix Equipment  -  HVR TMA"/>
    <s v="P000000219"/>
    <m/>
    <s v="LFF (MDG-F)"/>
    <s v="US01TAHC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0 XXXHVR FG Preparatio"/>
    <s v="P000000219"/>
    <m/>
    <s v="LFF (MDG-F)"/>
    <s v="US01TAHD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1 Production Fix Equipment  -  Bubbler Pre"/>
    <s v="P000000219"/>
    <m/>
    <s v="LFF (MDG-F)"/>
    <s v="US01TAHD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2 HVR Transfill Equ"/>
    <s v="P000000219"/>
    <m/>
    <s v="LFF (MDG-F)"/>
    <s v="US01TAHD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99 XXXHVR FG Prep DL"/>
    <s v="P000000219"/>
    <m/>
    <s v="LFF (MDG-F)"/>
    <s v="US01TAHD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11 Site Director + Assistant"/>
    <s v="P000000219"/>
    <m/>
    <s v="LFF (MDG-F)"/>
    <s v="US01TAHZ1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12 Ind. Personnel (Prod. Man. + Line Man.)"/>
    <s v="P000000219"/>
    <m/>
    <s v="LFF (MDG-F)"/>
    <s v="US01TAHZ1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99 Haverhill - Direct Labor Pool"/>
    <s v="P000000219"/>
    <m/>
    <s v="LFF (MDG-F)"/>
    <s v="US01TAHZ99"/>
    <s v="TO BE DONE IN 2026"/>
    <b v="0"/>
    <x v="3"/>
    <x v="0"/>
    <d v="2026-01-15T00:00:00"/>
    <m/>
    <m/>
    <x v="0"/>
    <n v="0"/>
    <s v="John Rowie Del Rosario"/>
    <m/>
  </r>
  <r>
    <x v="481"/>
    <x v="1"/>
    <x v="4"/>
    <s v="FP000000220_IO THF-US-HA, Production (T1) 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000000220_IO THF-US-HA, Production (T1) 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IQUATRO_001050000220 US01 Volume variance HVR TAHB00 100% H2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IQUATRO_001050000222 US01 Volume variance HVR TAHD00 100% H2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MHZ01 Bubbler, Sensor &amp; Parts"/>
    <s v="P000000219"/>
    <m/>
    <s v="LFF (MDG-F)"/>
    <s v="US01TMHZ01"/>
    <s v="TO BE DONE IN 2026"/>
    <b v="0"/>
    <x v="3"/>
    <x v="0"/>
    <d v="2026-01-15T00:00:00"/>
    <m/>
    <m/>
    <x v="0"/>
    <n v="0"/>
    <s v="John Rowie Del Rosario"/>
    <m/>
  </r>
  <r>
    <x v="481"/>
    <x v="1"/>
    <x v="4"/>
    <s v="FI500613000000 Containers to support thin films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I500613000000 Containers to support thin films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QUATRO_I500613US01000000 Technical Projec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000000 Technical Projec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100000 Ca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0000 Ca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101000 Technical Equipmen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1000 Technical Equipmen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1001 Mechanical installations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700000 O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0000 O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701000 Operative Expenditure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1000 Operative Expenditure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1001 Process consulting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CHZ01 XXXHVR Engineering"/>
    <s v="P000000219"/>
    <m/>
    <s v="LFF (MDG-F)"/>
    <s v="US01TC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DHZ01 XXXHVR Energy &amp; Util"/>
    <s v="P000000219"/>
    <m/>
    <s v="LFF (MDG-F)"/>
    <s v="US01TD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EHZ01 Haverhill EH&amp;S Waste AU"/>
    <s v="P000000219"/>
    <m/>
    <s v="LFF (MDG-F)"/>
    <s v="US01TE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1 HVR Building"/>
    <s v="P000000219"/>
    <m/>
    <s v="LFF (MDG-F)"/>
    <s v="US01TF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2 XXXHVR General Site"/>
    <s v="P000000219"/>
    <m/>
    <s v="LFF (MDG-F)"/>
    <s v="US01TF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3 HVR EH&amp;S Dept"/>
    <s v="P000000219"/>
    <m/>
    <s v="LFF (MDG-F)"/>
    <s v="US01TFHZ03"/>
    <s v="TO BE DONE IN 2026"/>
    <b v="0"/>
    <x v="3"/>
    <x v="0"/>
    <d v="2026-01-15T00:00:00"/>
    <m/>
    <m/>
    <x v="0"/>
    <n v="0"/>
    <s v="John Rowie Del Rosario"/>
    <m/>
  </r>
  <r>
    <x v="481"/>
    <x v="1"/>
    <x v="4"/>
    <s v="FK10001195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K10001195000 Fire Suppresion System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QUATRO_K10001195US01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K10001195US01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K10001195US011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KHZ01 XXXHVR Mat-OH Surcha"/>
    <s v="P000000219"/>
    <m/>
    <s v="LFF (MDG-F)"/>
    <s v="US01TK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QHZ02 XXXLogistics - Haver"/>
    <s v="P000000219"/>
    <m/>
    <s v="LFF (MDG-F)"/>
    <s v="US01TQ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LHZ01 Operations/Process Excellence, Process I"/>
    <s v="P000000219"/>
    <m/>
    <s v="LFF (MDG-F)"/>
    <s v="US01TL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BHZ01 XXXHVR QA"/>
    <s v="P000000219"/>
    <m/>
    <s v="LFF (MDG-F)"/>
    <s v="US01TB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BHZ02 Haverhill Quality Control"/>
    <s v="P000000219"/>
    <m/>
    <s v="LFF (MDG-F)"/>
    <s v="US01TBHZ02"/>
    <s v="TO BE DONE IN 2026"/>
    <b v="0"/>
    <x v="3"/>
    <x v="0"/>
    <d v="2026-01-15T00:00:00"/>
    <m/>
    <m/>
    <x v="0"/>
    <n v="0"/>
    <s v="John Rowie Del Rosario"/>
    <m/>
  </r>
  <r>
    <x v="481"/>
    <x v="1"/>
    <x v="4"/>
    <s v="PL_E1_USAX ProcOrd_SAFC Hitech, Inc._USA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RPL_E1_USAX ProcOrd_SAFC Hitech, Inc._USAX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VMCA$$$US10C06080 Planarization ISC"/>
    <s v="P000000522"/>
    <m/>
    <s v="LFF (MDG-F)"/>
    <s v="US10C0608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GB10C05000 PM-IOL-Y SC Planning"/>
    <s v="P000000522"/>
    <m/>
    <s v="LFF (MDG-F)"/>
    <s v="GB10C050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KR07PD2332 Material Planning/Operations PLA/PAT"/>
    <s v="P000000522"/>
    <m/>
    <s v="LFF (MDG-F)"/>
    <s v="KR07PD233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808 Material Planning/Operations"/>
    <s v="P000000522"/>
    <m/>
    <s v="LFF (MDG-F)"/>
    <s v="US10PD1808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N0001 US ELDP Central CC"/>
    <s v="P000001272"/>
    <m/>
    <s v="LFF (MDG-F)"/>
    <s v="US01TN00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TN2100 US ELDP Central CC"/>
    <s v="P000001272"/>
    <m/>
    <s v="LFF (MDG-F)"/>
    <s v="US10TN21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DE04TAKZ01 Strategic Projects Thin Films"/>
    <s v="P000001412"/>
    <m/>
    <s v="LFF (MDG-F)"/>
    <s v="DE04TAK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TW03TBKZ02 QA Quality Assurance"/>
    <s v="P000000250"/>
    <m/>
    <s v="LFF (MDG-F)"/>
    <s v="TW03TBK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TW03TQKZ01 Warehouse _ site allocation"/>
    <s v="P000000250"/>
    <m/>
    <s v="LFF (MDG-F)"/>
    <s v="TW03TQK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L81000 DSS Global Head of ISC"/>
    <s v="P000001411"/>
    <m/>
    <s v="LFF (MDG-F)"/>
    <s v="US10L810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C01710 DS Mech/Sys Eng"/>
    <s v="P000001300"/>
    <m/>
    <s v="LFF (MDG-F)"/>
    <s v="US10C0171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C01711 DS Polyflow Engineering"/>
    <s v="P000001300"/>
    <m/>
    <s v="LFF (MDG-F)"/>
    <s v="US10C0171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014 Engineering Licenses"/>
    <s v="P000001300"/>
    <m/>
    <s v="LFF (MDG-F)"/>
    <s v="US10PD1014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807 DS Svcs Engineering Admin"/>
    <s v="P000001300"/>
    <m/>
    <s v="LFF (MDG-F)"/>
    <s v="US10PD1807"/>
    <s v="TO BE DONE IN 2026"/>
    <b v="0"/>
    <x v="3"/>
    <x v="0"/>
    <d v="2026-01-15T00:00:00"/>
    <m/>
    <m/>
    <x v="0"/>
    <n v="0"/>
    <s v="John Rowie Del Rosario"/>
    <m/>
  </r>
  <r>
    <x v="481"/>
    <x v="1"/>
    <x v="4"/>
    <s v="CVRSM_VMCA$$US10PD1807 DS Svcs Engineering Admin"/>
    <s v="P000001300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TW10C06306 DSS Engineering TW10"/>
    <s v="P000001301"/>
    <m/>
    <s v="LFF (MDG-F)"/>
    <s v="TW10C0630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TW91C06026 DSS Engineering TW91"/>
    <s v="P000001301"/>
    <m/>
    <s v="LFF (MDG-F)"/>
    <s v="TW91C0602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KR08PD2806 KR08 DSS Project Engineering"/>
    <s v="P000001302"/>
    <m/>
    <s v="LFF (MDG-F)"/>
    <s v="KR08PD280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0 Main Cost Collector - KFC (PHPS)"/>
    <s v="P000000521"/>
    <m/>
    <s v="LFF (MDG-F)"/>
    <s v="JP02TASC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1 Kawaken PHPS Plant 1"/>
    <s v="P000000521"/>
    <m/>
    <s v="LFF (MDG-F)"/>
    <s v="JP02TASC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2 Kawaken PHPS Plant 2"/>
    <s v="P000000521"/>
    <m/>
    <s v="LFF (MDG-F)"/>
    <s v="JP02TASC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DE04OF0402 Strategic Supply Network Planning"/>
    <s v="P000001396"/>
    <m/>
    <s v="LFF (MDG-F)"/>
    <s v="DE04OF0402"/>
    <s v="TO BE DONE IN 2026"/>
    <b v="0"/>
    <x v="3"/>
    <x v="0"/>
    <d v="2026-01-15T00:00:00"/>
    <m/>
    <m/>
    <x v="0"/>
    <n v="0"/>
    <s v="John Rowie Del Rosario"/>
    <m/>
  </r>
  <r>
    <x v="482"/>
    <x v="1"/>
    <x v="5"/>
    <s v="CFLTFLE_23960000000460"/>
    <s v="L000009196"/>
    <m/>
    <s v="Non-LFF"/>
    <s v=""/>
    <s v="To be done in 2025"/>
    <b v="0"/>
    <x v="2"/>
    <x v="0"/>
    <d v="2026-01-15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9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665">
        <item m="1" x="1049"/>
        <item x="0"/>
        <item m="1" x="1119"/>
        <item m="1" x="1540"/>
        <item m="1" x="702"/>
        <item m="1" x="1557"/>
        <item m="1" x="1079"/>
        <item m="1" x="1169"/>
        <item m="1" x="1590"/>
        <item m="1" x="1384"/>
        <item m="1" x="1072"/>
        <item m="1" x="1656"/>
        <item m="1" x="1402"/>
        <item m="1" x="1646"/>
        <item m="1" x="1020"/>
        <item m="1" x="921"/>
        <item m="1" x="625"/>
        <item m="1" x="886"/>
        <item m="1" x="1610"/>
        <item m="1" x="678"/>
        <item m="1" x="986"/>
        <item m="1" x="1354"/>
        <item m="1" x="1069"/>
        <item m="1" x="1162"/>
        <item m="1" x="1458"/>
        <item m="1" x="1643"/>
        <item m="1" x="1104"/>
        <item m="1" x="1126"/>
        <item m="1" x="891"/>
        <item m="1" x="1292"/>
        <item m="1" x="1051"/>
        <item m="1" x="1597"/>
        <item m="1" x="1254"/>
        <item m="1" x="687"/>
        <item m="1" x="795"/>
        <item m="1" x="1582"/>
        <item m="1" x="1346"/>
        <item m="1" x="600"/>
        <item m="1" x="1432"/>
        <item m="1" x="1098"/>
        <item m="1" x="1393"/>
        <item m="1" x="979"/>
        <item m="1" x="1331"/>
        <item m="1" x="590"/>
        <item m="1" x="620"/>
        <item m="1" x="1659"/>
        <item m="1" x="1338"/>
        <item m="1" x="1406"/>
        <item m="1" x="1513"/>
        <item m="1" x="1282"/>
        <item m="1" x="1380"/>
        <item m="1" x="1219"/>
        <item m="1" x="674"/>
        <item m="1" x="865"/>
        <item m="1" x="1641"/>
        <item m="1" x="1209"/>
        <item m="1" x="1349"/>
        <item m="1" x="877"/>
        <item m="1" x="838"/>
        <item m="1" x="1130"/>
        <item m="1" x="1022"/>
        <item m="1" x="1055"/>
        <item m="1" x="614"/>
        <item m="1" x="753"/>
        <item m="1" x="1415"/>
        <item m="1" x="1632"/>
        <item m="1" x="818"/>
        <item m="1" x="1223"/>
        <item m="1" x="1233"/>
        <item m="1" x="1410"/>
        <item m="1" x="1520"/>
        <item m="1" x="1398"/>
        <item m="1" x="693"/>
        <item m="1" x="1541"/>
        <item m="1" x="1271"/>
        <item m="1" x="1258"/>
        <item m="1" x="793"/>
        <item m="1" x="1146"/>
        <item m="1" x="1493"/>
        <item m="1" x="611"/>
        <item m="1" x="1190"/>
        <item m="1" x="1543"/>
        <item m="1" x="1381"/>
        <item m="1" x="1116"/>
        <item m="1" x="1158"/>
        <item m="1" x="1039"/>
        <item m="1" x="1274"/>
        <item m="1" x="1086"/>
        <item m="1" x="1318"/>
        <item m="1" x="802"/>
        <item m="1" x="1631"/>
        <item m="1" x="1156"/>
        <item m="1" x="1442"/>
        <item m="1" x="519"/>
        <item m="1" x="1647"/>
        <item m="1" x="1183"/>
        <item m="1" x="1472"/>
        <item m="1" x="1385"/>
        <item m="1" x="1163"/>
        <item m="1" x="673"/>
        <item m="1" x="680"/>
        <item m="1" x="720"/>
        <item m="1" x="902"/>
        <item m="1" x="1326"/>
        <item m="1" x="1087"/>
        <item m="1" x="1203"/>
        <item m="1" x="1266"/>
        <item m="1" x="1413"/>
        <item m="1" x="1496"/>
        <item m="1" x="1058"/>
        <item m="1" x="779"/>
        <item m="1" x="622"/>
        <item m="1" x="765"/>
        <item m="1" x="1640"/>
        <item m="1" x="797"/>
        <item m="1" x="1478"/>
        <item m="1" x="1407"/>
        <item m="1" x="1025"/>
        <item m="1" x="1097"/>
        <item m="1" x="963"/>
        <item m="1" x="1220"/>
        <item m="1" x="1595"/>
        <item m="1" x="771"/>
        <item m="1" x="719"/>
        <item m="1" x="654"/>
        <item m="1" x="1320"/>
        <item m="1" x="1580"/>
        <item m="1" x="1508"/>
        <item m="1" x="1165"/>
        <item m="1" x="689"/>
        <item m="1" x="1414"/>
        <item m="1" x="866"/>
        <item m="1" x="1120"/>
        <item m="1" x="1295"/>
        <item m="1" x="1403"/>
        <item m="1" x="523"/>
        <item m="1" x="1352"/>
        <item m="1" x="1315"/>
        <item m="1" x="756"/>
        <item m="1" x="1204"/>
        <item m="1" x="1092"/>
        <item m="1" x="1045"/>
        <item m="1" x="778"/>
        <item m="1" x="714"/>
        <item m="1" x="954"/>
        <item m="1" x="1141"/>
        <item m="1" x="548"/>
        <item m="1" x="887"/>
        <item m="1" x="746"/>
        <item m="1" x="488"/>
        <item m="1" x="998"/>
        <item m="1" x="1199"/>
        <item m="1" x="1081"/>
        <item m="1" x="1127"/>
        <item m="1" x="1446"/>
        <item m="1" x="1028"/>
        <item m="1" x="1554"/>
        <item m="1" x="1278"/>
        <item m="1" x="1217"/>
        <item m="1" x="731"/>
        <item m="1" x="1364"/>
        <item m="1" x="1642"/>
        <item m="1" x="1330"/>
        <item m="1" x="1314"/>
        <item m="1" x="601"/>
        <item m="1" x="649"/>
        <item m="1" x="1184"/>
        <item m="1" x="690"/>
        <item m="1" x="1627"/>
        <item m="1" x="1293"/>
        <item m="1" x="1218"/>
        <item m="1" x="1170"/>
        <item m="1" x="971"/>
        <item m="1" x="599"/>
        <item m="1" x="699"/>
        <item m="1" x="805"/>
        <item m="1" x="1538"/>
        <item m="1" x="1570"/>
        <item m="1" x="1269"/>
        <item m="1" x="996"/>
        <item m="1" x="1084"/>
        <item m="1" x="594"/>
        <item m="1" x="634"/>
        <item m="1" x="973"/>
        <item m="1" x="1198"/>
        <item m="1" x="1111"/>
        <item m="1" x="769"/>
        <item m="1" x="1002"/>
        <item m="1" x="716"/>
        <item m="1" x="911"/>
        <item m="1" x="833"/>
        <item m="1" x="668"/>
        <item m="1" x="804"/>
        <item m="1" x="1174"/>
        <item m="1" x="584"/>
        <item m="1" x="823"/>
        <item m="1" x="615"/>
        <item m="1" x="1308"/>
        <item m="1" x="1497"/>
        <item m="1" x="1107"/>
        <item m="1" x="751"/>
        <item m="1" x="1401"/>
        <item m="1" x="1246"/>
        <item m="1" x="763"/>
        <item m="1" x="764"/>
        <item m="1" x="949"/>
        <item m="1" x="639"/>
        <item m="1" x="828"/>
        <item m="1" x="623"/>
        <item m="1" x="809"/>
        <item m="1" x="1377"/>
        <item m="1" x="888"/>
        <item m="1" x="1255"/>
        <item m="1" x="1305"/>
        <item m="1" x="1439"/>
        <item m="1" x="1443"/>
        <item m="1" x="1160"/>
        <item m="1" x="1001"/>
        <item m="1" x="1040"/>
        <item m="1" x="1607"/>
        <item m="1" x="900"/>
        <item m="1" x="712"/>
        <item m="1" x="1090"/>
        <item m="1" x="547"/>
        <item m="1" x="1611"/>
        <item m="1" x="1074"/>
        <item m="1" x="508"/>
        <item m="1" x="1529"/>
        <item m="1" x="1572"/>
        <item m="1" x="1409"/>
        <item m="1" x="786"/>
        <item m="1" x="525"/>
        <item m="1" x="1459"/>
        <item m="1" x="850"/>
        <item m="1" x="486"/>
        <item m="1" x="1630"/>
        <item m="1" x="874"/>
        <item m="1" x="1029"/>
        <item m="1" x="1474"/>
        <item m="1" x="561"/>
        <item m="1" x="1386"/>
        <item m="1" x="1194"/>
        <item m="1" x="1059"/>
        <item m="1" x="929"/>
        <item m="1" x="676"/>
        <item m="1" x="1177"/>
        <item m="1" x="879"/>
        <item m="1" x="1417"/>
        <item m="1" x="739"/>
        <item m="1" x="1487"/>
        <item m="1" x="1494"/>
        <item m="1" x="1178"/>
        <item m="1" x="1368"/>
        <item m="1" x="785"/>
        <item m="1" x="1082"/>
        <item m="1" x="1371"/>
        <item m="1" x="955"/>
        <item m="1" x="1245"/>
        <item m="1" x="884"/>
        <item m="1" x="669"/>
        <item m="1" x="873"/>
        <item m="1" x="1639"/>
        <item m="1" x="1581"/>
        <item m="1" x="726"/>
        <item m="1" x="1527"/>
        <item m="1" x="533"/>
        <item m="1" x="1549"/>
        <item m="1" x="568"/>
        <item m="1" x="870"/>
        <item m="1" x="968"/>
        <item m="1" x="915"/>
        <item m="1" x="1522"/>
        <item m="1" x="1425"/>
        <item m="1" x="666"/>
        <item m="1" x="1236"/>
        <item m="1" x="1444"/>
        <item m="1" x="1578"/>
        <item m="1" x="1485"/>
        <item m="1" x="571"/>
        <item m="1" x="1651"/>
        <item m="1" x="722"/>
        <item m="1" x="1003"/>
        <item m="1" x="1447"/>
        <item m="1" x="570"/>
        <item m="1" x="1506"/>
        <item m="1" x="735"/>
        <item m="1" x="1379"/>
        <item m="1" x="1243"/>
        <item m="1" x="1221"/>
        <item m="1" x="800"/>
        <item m="1" x="762"/>
        <item m="1" x="1574"/>
        <item m="1" x="515"/>
        <item m="1" x="697"/>
        <item m="1" x="1356"/>
        <item m="1" x="1467"/>
        <item m="1" x="1394"/>
        <item m="1" x="1598"/>
        <item m="1" x="1102"/>
        <item m="1" x="729"/>
        <item m="1" x="849"/>
        <item m="1" x="1168"/>
        <item m="1" x="910"/>
        <item m="1" x="1238"/>
        <item m="1" x="851"/>
        <item m="1" x="653"/>
        <item m="1" x="1306"/>
        <item m="1" x="708"/>
        <item m="1" x="588"/>
        <item m="1" x="1440"/>
        <item m="1" x="1587"/>
        <item m="1" x="1288"/>
        <item m="1" x="553"/>
        <item m="1" x="1479"/>
        <item m="1" x="1277"/>
        <item m="1" x="1387"/>
        <item m="1" x="1526"/>
        <item m="1" x="754"/>
        <item m="1" x="946"/>
        <item m="1" x="784"/>
        <item m="1" x="1052"/>
        <item m="1" x="976"/>
        <item m="1" x="1006"/>
        <item m="1" x="1542"/>
        <item m="1" x="988"/>
        <item m="1" x="1191"/>
        <item m="1" x="723"/>
        <item m="1" x="922"/>
        <item m="1" x="896"/>
        <item m="1" x="1239"/>
        <item m="1" x="1142"/>
        <item m="1" x="1370"/>
        <item m="1" x="892"/>
        <item m="1" x="1528"/>
        <item m="1" x="730"/>
        <item m="1" x="656"/>
        <item m="1" x="912"/>
        <item m="1" x="1453"/>
        <item m="1" x="563"/>
        <item m="1" x="564"/>
        <item m="1" x="860"/>
        <item m="1" x="1533"/>
        <item m="1" x="927"/>
        <item m="1" x="572"/>
        <item m="1" x="732"/>
        <item m="1" x="974"/>
        <item m="1" x="1285"/>
        <item m="1" x="1257"/>
        <item m="1" x="928"/>
        <item m="1" x="509"/>
        <item m="1" x="647"/>
        <item m="1" x="859"/>
        <item m="1" x="747"/>
        <item m="1" x="504"/>
        <item m="1" x="1457"/>
        <item m="1" x="1586"/>
        <item m="1" x="1056"/>
        <item m="1" x="1486"/>
        <item m="1" x="1546"/>
        <item m="1" x="569"/>
        <item m="1" x="1584"/>
        <item m="1" x="1322"/>
        <item m="1" x="745"/>
        <item m="1" x="931"/>
        <item m="1" x="835"/>
        <item m="1" x="1197"/>
        <item m="1" x="768"/>
        <item m="1" x="984"/>
        <item m="1" x="1279"/>
        <item m="1" x="1404"/>
        <item m="1" x="907"/>
        <item m="1" x="1035"/>
        <item m="1" x="847"/>
        <item m="1" x="773"/>
        <item m="1" x="1284"/>
        <item m="1" x="1399"/>
        <item m="1" x="1561"/>
        <item m="1" x="603"/>
        <item m="1" x="807"/>
        <item m="1" x="1247"/>
        <item m="1" x="648"/>
        <item m="1" x="935"/>
        <item m="1" x="1316"/>
        <item m="1" x="581"/>
        <item m="1" x="791"/>
        <item m="1" x="901"/>
        <item m="1" x="1507"/>
        <item m="1" x="740"/>
        <item m="1" x="1010"/>
        <item m="1" x="1563"/>
        <item m="1" x="691"/>
        <item m="1" x="880"/>
        <item m="1" x="1068"/>
        <item m="1" x="1405"/>
        <item m="1" x="703"/>
        <item m="1" x="959"/>
        <item m="1" x="801"/>
        <item m="1" x="1297"/>
        <item m="1" x="1483"/>
        <item m="1" x="609"/>
        <item m="1" x="829"/>
        <item m="1" x="1565"/>
        <item m="1" x="1530"/>
        <item m="1" x="630"/>
        <item m="1" x="947"/>
        <item m="1" x="1471"/>
        <item m="1" x="1602"/>
        <item m="1" x="1473"/>
        <item m="1" x="1448"/>
        <item m="1" x="579"/>
        <item m="1" x="755"/>
        <item m="1" x="837"/>
        <item m="1" x="826"/>
        <item m="1" x="1053"/>
        <item m="1" x="541"/>
        <item m="1" x="1240"/>
        <item m="1" x="1311"/>
        <item m="1" x="493"/>
        <item m="1" x="1571"/>
        <item m="1" x="1433"/>
        <item m="1" x="1562"/>
        <item m="1" x="1592"/>
        <item m="1" x="1628"/>
        <item m="1" x="1566"/>
        <item m="1" x="930"/>
        <item m="1" x="1290"/>
        <item m="1" x="897"/>
        <item m="1" x="1303"/>
        <item m="1" x="1268"/>
        <item m="1" x="706"/>
        <item m="1" x="744"/>
        <item m="1" x="882"/>
        <item m="1" x="1347"/>
        <item m="1" x="867"/>
        <item m="1" x="613"/>
        <item m="1" x="1612"/>
        <item m="1" x="1362"/>
        <item m="1" x="1195"/>
        <item m="1" x="1227"/>
        <item m="1" x="1276"/>
        <item m="1" x="701"/>
        <item m="1" x="1043"/>
        <item m="1" x="1388"/>
        <item m="1" x="539"/>
        <item m="1" x="782"/>
        <item m="1" x="682"/>
        <item m="1" x="679"/>
        <item m="1" x="683"/>
        <item m="1" x="484"/>
        <item m="1" x="705"/>
        <item m="1" x="1502"/>
        <item m="1" x="506"/>
        <item m="1" x="1152"/>
        <item m="1" x="1589"/>
        <item m="1" x="1400"/>
        <item m="1" x="660"/>
        <item m="1" x="1660"/>
        <item m="1" x="589"/>
        <item m="1" x="956"/>
        <item m="1" x="1179"/>
        <item m="1" x="635"/>
        <item m="1" x="1088"/>
        <item m="1" x="1248"/>
        <item m="1" x="1516"/>
        <item m="1" x="1418"/>
        <item m="1" x="497"/>
        <item m="1" x="1180"/>
        <item m="1" x="580"/>
        <item m="1" x="816"/>
        <item m="1" x="788"/>
        <item m="1" x="550"/>
        <item m="1" x="1143"/>
        <item m="1" x="1150"/>
        <item m="1" x="1250"/>
        <item m="1" x="999"/>
        <item m="1" x="1499"/>
        <item m="1" x="908"/>
        <item m="1" x="1618"/>
        <item m="1" x="1253"/>
        <item m="1" x="1144"/>
        <item m="1" x="808"/>
        <item m="1" x="1216"/>
        <item m="1" x="1514"/>
        <item m="1" x="1579"/>
        <item m="1" x="1558"/>
        <item m="1" x="1488"/>
        <item m="1" x="1237"/>
        <item m="1" x="1350"/>
        <item m="1" x="863"/>
        <item m="1" x="1312"/>
        <item m="1" x="1137"/>
        <item m="1" x="1096"/>
        <item m="1" x="1094"/>
        <item m="1" x="1095"/>
        <item m="1" x="792"/>
        <item m="1" x="836"/>
        <item m="1" x="1449"/>
        <item m="1" x="1014"/>
        <item m="1" x="856"/>
        <item m="1" x="898"/>
        <item m="1" x="944"/>
        <item m="1" x="1196"/>
        <item m="1" x="1534"/>
        <item m="1" x="1623"/>
        <item m="1" x="741"/>
        <item m="1" x="692"/>
        <item m="1" x="529"/>
        <item m="1" x="551"/>
        <item m="1" x="848"/>
        <item m="1" x="636"/>
        <item m="1" x="964"/>
        <item m="1" x="1500"/>
        <item m="1" x="841"/>
        <item m="1" x="633"/>
        <item m="1" x="1392"/>
        <item m="1" x="510"/>
        <item m="1" x="1518"/>
        <item m="1" x="1593"/>
        <item m="1" x="1657"/>
        <item m="1" x="1532"/>
        <item m="1" x="775"/>
        <item m="1" x="552"/>
        <item m="1" x="1016"/>
        <item m="1" x="1100"/>
        <item m="1" x="1296"/>
        <item m="1" x="1264"/>
        <item m="1" x="1300"/>
        <item m="1" x="1077"/>
        <item m="1" x="1115"/>
        <item m="1" x="1556"/>
        <item m="1" x="1319"/>
        <item m="1" x="1289"/>
        <item m="1" x="1228"/>
        <item m="1" x="1301"/>
        <item m="1" x="502"/>
        <item m="1" x="507"/>
        <item m="1" x="1110"/>
        <item m="1" x="1495"/>
        <item m="1" x="1065"/>
        <item m="1" x="1635"/>
        <item m="1" x="1034"/>
        <item m="1" x="1210"/>
        <item m="1" x="1281"/>
        <item m="1" x="895"/>
        <item m="1" x="727"/>
        <item m="1" x="1103"/>
        <item m="1" x="789"/>
        <item m="1" x="1644"/>
        <item m="1" x="1559"/>
        <item m="1" x="1372"/>
        <item m="1" x="629"/>
        <item m="1" x="556"/>
        <item m="1" x="1129"/>
        <item m="1" x="1373"/>
        <item m="1" x="1662"/>
        <item m="1" x="1008"/>
        <item m="1" x="1609"/>
        <item m="1" x="543"/>
        <item m="1" x="657"/>
        <item m="1" x="969"/>
        <item m="1" x="1060"/>
        <item m="1" x="1489"/>
        <item m="1" x="813"/>
        <item m="1" x="1492"/>
        <item m="1" x="909"/>
        <item m="1" x="1481"/>
        <item m="1" x="1645"/>
        <item m="1" x="573"/>
        <item m="1" x="1629"/>
        <item m="1" x="520"/>
        <item m="1" x="1382"/>
        <item m="1" x="1000"/>
        <item m="1" x="831"/>
        <item m="1" x="794"/>
        <item m="1" x="938"/>
        <item m="1" x="537"/>
        <item m="1" x="1622"/>
        <item m="1" x="621"/>
        <item m="1" x="642"/>
        <item m="1" x="1515"/>
        <item m="1" x="1594"/>
        <item m="1" x="1108"/>
        <item m="1" x="1249"/>
        <item m="1" x="950"/>
        <item m="1" x="1063"/>
        <item m="1" x="1212"/>
        <item m="1" x="1329"/>
        <item m="1" x="916"/>
        <item m="1" x="1192"/>
        <item m="1" x="1011"/>
        <item m="1" x="1648"/>
        <item m="1" x="501"/>
        <item m="1" x="940"/>
        <item m="1" x="881"/>
        <item m="1" x="842"/>
        <item m="1" x="1636"/>
        <item m="1" x="1454"/>
        <item m="1" x="1585"/>
        <item m="1" x="598"/>
        <item m="1" x="1596"/>
        <item m="1" x="1583"/>
        <item m="1" x="1460"/>
        <item m="1" x="695"/>
        <item m="1" x="1064"/>
        <item m="1" x="1157"/>
        <item m="1" x="903"/>
        <item m="1" x="1501"/>
        <item m="1" x="1287"/>
        <item m="1" x="1307"/>
        <item m="1" x="1201"/>
        <item m="1" x="544"/>
        <item m="1" x="1374"/>
        <item m="1" x="1536"/>
        <item m="1" x="941"/>
        <item m="1" x="1655"/>
        <item m="1" x="1149"/>
        <item m="1" x="736"/>
        <item m="1" x="869"/>
        <item m="1" x="905"/>
        <item m="1" x="1564"/>
        <item m="1" x="1548"/>
        <item m="1" x="608"/>
        <item m="1" x="610"/>
        <item m="1" x="524"/>
        <item m="1" x="1484"/>
        <item m="1" x="526"/>
        <item m="1" x="943"/>
        <item m="1" x="843"/>
        <item m="1" x="1299"/>
        <item m="1" x="1242"/>
        <item m="1" x="1591"/>
        <item m="1" x="1523"/>
        <item m="1" x="1015"/>
        <item m="1" x="1229"/>
        <item m="1" x="1464"/>
        <item m="1" x="577"/>
        <item m="1" x="1009"/>
        <item m="1" x="939"/>
        <item m="1" x="1633"/>
        <item m="1" x="1600"/>
        <item m="1" x="1031"/>
        <item m="1" x="637"/>
        <item m="1" x="932"/>
        <item m="1" x="1105"/>
        <item m="1" x="559"/>
        <item m="1" x="1395"/>
        <item m="1" x="989"/>
        <item m="1" x="799"/>
        <item m="1" x="893"/>
        <item m="1" x="1339"/>
        <item m="1" x="1638"/>
        <item m="1" x="717"/>
        <item m="1" x="1490"/>
        <item m="1" x="711"/>
        <item m="1" x="1275"/>
        <item m="1" x="1047"/>
        <item m="1" x="978"/>
        <item m="1" x="700"/>
        <item m="1" x="767"/>
        <item m="1" x="555"/>
        <item m="1" x="1355"/>
        <item m="1" x="868"/>
        <item m="1" x="592"/>
        <item m="1" x="1206"/>
        <item m="1" x="1521"/>
        <item m="1" x="1061"/>
        <item m="1" x="1019"/>
        <item m="1" x="490"/>
        <item m="1" x="1626"/>
        <item m="1" x="876"/>
        <item m="1" x="936"/>
        <item m="1" x="1343"/>
        <item m="1" x="1620"/>
        <item m="1" x="1545"/>
        <item m="1" x="1396"/>
        <item m="1" x="1511"/>
        <item m="1" x="672"/>
        <item m="1" x="871"/>
        <item m="1" x="704"/>
        <item m="1" x="496"/>
        <item m="1" x="1109"/>
        <item m="1" x="558"/>
        <item m="1" x="780"/>
        <item m="1" x="724"/>
        <item m="1" x="670"/>
        <item m="1" x="1625"/>
        <item m="1" x="721"/>
        <item m="1" x="1323"/>
        <item m="1" x="1535"/>
        <item m="1" x="661"/>
        <item m="1" x="565"/>
        <item m="1" x="1358"/>
        <item m="1" x="1334"/>
        <item m="1" x="1375"/>
        <item m="1" x="1294"/>
        <item m="1" x="638"/>
        <item m="1" x="994"/>
        <item m="1" x="1262"/>
        <item m="1" x="1512"/>
        <item m="1" x="1106"/>
        <item m="1" x="1224"/>
        <item m="1" x="1568"/>
        <item m="1" x="980"/>
        <item m="1" x="824"/>
        <item m="1" x="1057"/>
        <item m="1" x="1004"/>
        <item m="1" x="934"/>
        <item m="1" x="1451"/>
        <item m="1" x="1138"/>
        <item m="1" x="1234"/>
        <item m="1" x="485"/>
        <item m="1" x="1030"/>
        <item m="1" x="632"/>
        <item m="1" x="899"/>
        <item m="1" x="1037"/>
        <item m="1" x="567"/>
        <item m="1" x="684"/>
        <item m="1" x="1139"/>
        <item m="1" x="1336"/>
        <item m="1" x="1606"/>
        <item m="1" x="1649"/>
        <item m="1" x="1259"/>
        <item m="1" x="607"/>
        <item m="1" x="535"/>
        <item m="1" x="1121"/>
        <item m="1" x="743"/>
        <item m="1" x="1017"/>
        <item m="1" x="645"/>
        <item m="1" x="748"/>
        <item m="1" x="1175"/>
        <item m="1" x="1531"/>
        <item m="1" x="1462"/>
        <item m="1" x="878"/>
        <item m="1" x="913"/>
        <item m="1" x="1189"/>
        <item m="1" x="1619"/>
        <item m="1" x="1345"/>
        <item m="1" x="511"/>
        <item m="1" x="1573"/>
        <item m="1" x="619"/>
        <item m="1" x="1265"/>
        <item m="1" x="1310"/>
        <item m="1" x="1313"/>
        <item m="1" x="1653"/>
        <item m="1" x="546"/>
        <item m="1" x="1324"/>
        <item m="1" x="1421"/>
        <item m="1" x="1193"/>
        <item m="1" x="1363"/>
        <item m="1" x="605"/>
        <item m="1" x="997"/>
        <item m="1" x="844"/>
        <item m="1" x="1456"/>
        <item m="1" x="1551"/>
        <item m="1" x="1080"/>
        <item m="1" x="1519"/>
        <item m="1" x="1567"/>
        <item m="1" x="920"/>
        <item m="1" x="1423"/>
        <item m="1" x="1286"/>
        <item m="1" x="1569"/>
        <item m="1" x="1613"/>
        <item m="1" x="1351"/>
        <item m="1" x="961"/>
        <item m="1" x="766"/>
        <item m="1" x="1601"/>
        <item m="1" x="1148"/>
        <item m="1" x="1122"/>
        <item m="1" x="1131"/>
        <item m="1" x="1652"/>
        <item m="1" x="1376"/>
        <item m="1" x="1071"/>
        <item m="1" x="1340"/>
        <item m="1" x="1317"/>
        <item m="1" x="933"/>
        <item m="1" x="834"/>
        <item m="1" x="1333"/>
        <item m="1" x="728"/>
        <item m="1" x="685"/>
        <item m="1" x="627"/>
        <item m="1" x="1614"/>
        <item m="1" x="1230"/>
        <item m="1" x="965"/>
        <item m="1" x="1046"/>
        <item m="1" x="527"/>
        <item m="1" x="1603"/>
        <item m="1" x="1154"/>
        <item m="1" x="1302"/>
        <item m="1" x="750"/>
        <item m="1" x="1434"/>
        <item m="1" x="937"/>
        <item m="1" x="830"/>
        <item m="1" x="1658"/>
        <item m="1" x="960"/>
        <item m="1" x="1599"/>
        <item m="1" x="1185"/>
        <item m="1" x="861"/>
        <item m="1" x="652"/>
        <item m="1" x="595"/>
        <item m="1" x="889"/>
        <item m="1" x="586"/>
        <item m="1" x="557"/>
        <item m="1" x="574"/>
        <item m="1" x="853"/>
        <item m="1" x="698"/>
        <item m="1" x="1005"/>
        <item m="1" x="1062"/>
        <item m="1" x="1161"/>
        <item m="1" x="1032"/>
        <item m="1" x="1365"/>
        <item m="1" x="1429"/>
        <item m="1" x="641"/>
        <item m="1" x="651"/>
        <item m="1" x="840"/>
        <item m="1" x="982"/>
        <item m="1" x="772"/>
        <item m="1" x="1325"/>
        <item m="1" x="1075"/>
        <item m="1" x="992"/>
        <item m="1" x="1125"/>
        <item m="1" x="1431"/>
        <item m="1" x="1369"/>
        <item m="1" x="1455"/>
        <item m="1" x="1211"/>
        <item m="1" x="631"/>
        <item m="1" x="1637"/>
        <item m="1" x="1050"/>
        <item m="1" x="665"/>
        <item m="1" x="489"/>
        <item m="1" x="1634"/>
        <item m="1" x="1118"/>
        <item m="1" x="1085"/>
        <item m="1" x="857"/>
        <item m="1" x="737"/>
        <item m="1" x="821"/>
        <item m="1" x="975"/>
        <item m="1" x="1550"/>
        <item m="1" x="1469"/>
        <item m="1" x="845"/>
        <item m="1" x="918"/>
        <item m="1" x="925"/>
        <item m="1" x="1463"/>
        <item m="1" x="1066"/>
        <item m="1" x="538"/>
        <item m="1" x="1099"/>
        <item m="1" x="1378"/>
        <item m="1" x="1504"/>
        <item m="1" x="1397"/>
        <item m="1" x="1205"/>
        <item m="1" x="1503"/>
        <item m="1" x="517"/>
        <item m="1" x="1420"/>
        <item m="1" x="499"/>
        <item m="1" x="839"/>
        <item m="1" x="503"/>
        <item m="1" x="662"/>
        <item m="1" x="752"/>
        <item m="1" x="758"/>
        <item m="1" x="1176"/>
        <item m="1" x="1430"/>
        <item m="1" x="957"/>
        <item m="1" x="528"/>
        <item m="1" x="734"/>
        <item m="1" x="522"/>
        <item m="1" x="1517"/>
        <item m="1" x="742"/>
        <item m="1" x="1078"/>
        <item m="1" x="1537"/>
        <item m="1" x="864"/>
        <item m="1" x="806"/>
        <item m="1" x="1202"/>
        <item m="1" x="759"/>
        <item m="1" x="1067"/>
        <item m="1" x="1361"/>
        <item m="1" x="500"/>
        <item m="1" x="1013"/>
        <item m="1" x="1132"/>
        <item m="1" x="624"/>
        <item m="1" x="966"/>
        <item m="1" x="1101"/>
        <item m="1" x="852"/>
        <item m="1" x="890"/>
        <item m="1" x="617"/>
        <item m="1" x="1023"/>
        <item m="1" x="487"/>
        <item m="1" x="1159"/>
        <item m="1" x="1552"/>
        <item m="1" x="1273"/>
        <item m="1" x="1267"/>
        <item m="1" x="1166"/>
        <item m="1" x="492"/>
        <item m="1" x="1298"/>
        <item m="1" x="1341"/>
        <item m="1" x="1147"/>
        <item m="1" x="491"/>
        <item m="1" x="1498"/>
        <item m="1" x="1465"/>
        <item m="1" x="495"/>
        <item m="1" x="774"/>
        <item m="1" x="1164"/>
        <item m="1" x="1419"/>
        <item m="1" x="616"/>
        <item m="1" x="512"/>
        <item m="1" x="671"/>
        <item m="1" x="562"/>
        <item m="1" x="970"/>
        <item m="1" x="783"/>
        <item m="1" x="781"/>
        <item m="1" x="952"/>
        <item m="1" x="1054"/>
        <item m="1" x="958"/>
        <item m="1" x="1155"/>
        <item m="1" x="1007"/>
        <item m="1" x="872"/>
        <item m="1" x="987"/>
        <item m="1" x="1480"/>
        <item m="1" x="1575"/>
        <item m="1" x="832"/>
        <item m="1" x="1555"/>
        <item m="1" x="597"/>
        <item m="1" x="1544"/>
        <item m="1" x="1241"/>
        <item m="1" x="1412"/>
        <item m="1" x="1491"/>
        <item m="1" x="1171"/>
        <item m="1" x="1383"/>
        <item m="1" x="675"/>
        <item m="1" x="658"/>
        <item m="1" x="1280"/>
        <item m="1" x="1252"/>
        <item m="1" x="814"/>
        <item m="1" x="1650"/>
        <item m="1" x="1222"/>
        <item m="1" x="962"/>
        <item m="1" x="1036"/>
        <item m="1" x="995"/>
        <item m="1" x="1505"/>
        <item m="1" x="1509"/>
        <item m="1" x="505"/>
        <item m="1" x="1389"/>
        <item m="1" x="1435"/>
        <item m="1" x="554"/>
        <item m="1" x="926"/>
        <item m="1" x="917"/>
        <item m="1" x="1424"/>
        <item m="1" x="1123"/>
        <item m="1" x="1327"/>
        <item m="1" x="993"/>
        <item m="1" x="1344"/>
        <item m="1" x="532"/>
        <item m="1" x="655"/>
        <item m="1" x="1624"/>
        <item m="1" x="1244"/>
        <item m="1" x="1616"/>
        <item m="1" x="536"/>
        <item m="1" x="796"/>
        <item m="1" x="612"/>
        <item m="1" x="545"/>
        <item m="1" x="560"/>
        <item m="1" x="1112"/>
        <item m="1" x="1145"/>
        <item m="1" x="817"/>
        <item m="1" x="1235"/>
        <item m="1" x="1553"/>
        <item m="1" x="904"/>
        <item m="1" x="983"/>
        <item m="1" x="1133"/>
        <item m="1" x="1621"/>
        <item m="1" x="798"/>
        <item m="1" x="810"/>
        <item m="1" x="820"/>
        <item m="1" x="1441"/>
        <item m="1" x="1577"/>
        <item m="1" x="494"/>
        <item m="1" x="1321"/>
        <item m="1" x="1617"/>
        <item m="1" x="718"/>
        <item m="1" x="1033"/>
        <item m="1" x="1654"/>
        <item m="1" x="1560"/>
        <item m="1" x="707"/>
        <item m="1" x="819"/>
        <item m="1" x="906"/>
        <item m="1" x="1231"/>
        <item m="1" x="1428"/>
        <item m="1" x="663"/>
        <item m="1" x="1134"/>
        <item m="1" x="659"/>
        <item m="1" x="628"/>
        <item m="1" x="576"/>
        <item m="1" x="1547"/>
        <item m="1" x="1140"/>
        <item m="1" x="1588"/>
        <item m="1" x="981"/>
        <item m="1" x="1605"/>
        <item m="1" x="1357"/>
        <item m="1" x="646"/>
        <item m="1" x="1461"/>
        <item m="1" x="1475"/>
        <item m="1" x="1135"/>
        <item m="1" x="1510"/>
        <item m="1" x="1348"/>
        <item m="1" x="1213"/>
        <item m="1" x="530"/>
        <item m="1" x="1359"/>
        <item m="1" x="1091"/>
        <item m="1" x="1024"/>
        <item m="1" x="1367"/>
        <item m="1" x="951"/>
        <item m="1" x="585"/>
        <item m="1" x="757"/>
        <item m="1" x="534"/>
        <item m="1" x="883"/>
        <item m="1" x="1261"/>
        <item m="1" x="846"/>
        <item m="1" x="709"/>
        <item m="1" x="924"/>
        <item m="1" x="602"/>
        <item m="1" x="854"/>
        <item m="1" x="725"/>
        <item m="1" x="1076"/>
        <item m="1" x="1663"/>
        <item m="1" x="1117"/>
        <item m="1" x="713"/>
        <item m="1" x="990"/>
        <item m="1" x="696"/>
        <item m="1" x="749"/>
        <item m="1" x="1041"/>
        <item m="1" x="1309"/>
        <item m="1" x="1026"/>
        <item m="1" x="1476"/>
        <item m="1" x="1038"/>
        <item m="1" x="1272"/>
        <item m="1" x="587"/>
        <item m="1" x="1070"/>
        <item m="1" x="710"/>
        <item m="1" x="640"/>
        <item m="1" x="1366"/>
        <item m="1" x="681"/>
        <item m="1" x="1390"/>
        <item m="1" x="582"/>
        <item m="1" x="1207"/>
        <item m="1" x="1214"/>
        <item m="1" x="618"/>
        <item m="1" x="1136"/>
        <item m="1" x="514"/>
        <item m="1" x="1337"/>
        <item m="1" x="1042"/>
        <item m="1" x="1263"/>
        <item m="1" x="1232"/>
        <item m="1" x="1452"/>
        <item m="1" x="1225"/>
        <item m="1" x="803"/>
        <item m="1" x="1304"/>
        <item m="1" x="1438"/>
        <item m="1" x="1128"/>
        <item m="1" x="1260"/>
        <item m="1" x="593"/>
        <item m="1" x="1426"/>
        <item m="1" x="1083"/>
        <item m="1" x="948"/>
        <item m="1" x="1332"/>
        <item m="1" x="858"/>
        <item m="1" x="1181"/>
        <item m="1" x="715"/>
        <item m="1" x="811"/>
        <item m="1" x="1208"/>
        <item m="1" x="977"/>
        <item m="1" x="521"/>
        <item m="1" x="855"/>
        <item m="1" x="1335"/>
        <item m="1" x="1437"/>
        <item m="1" x="540"/>
        <item m="1" x="825"/>
        <item m="1" x="760"/>
        <item m="1" x="1093"/>
        <item m="1" x="1186"/>
        <item m="1" x="626"/>
        <item m="1" x="1608"/>
        <item m="1" x="591"/>
        <item m="1" x="664"/>
        <item m="1" x="1445"/>
        <item m="1" x="953"/>
        <item m="1" x="967"/>
        <item m="1" x="1021"/>
        <item m="1" x="596"/>
        <item m="1" x="875"/>
        <item m="1" x="1270"/>
        <item m="1" x="1182"/>
        <item m="1" x="972"/>
        <item m="1" x="919"/>
        <item m="1" x="549"/>
        <item m="1" x="787"/>
        <item m="1" x="1251"/>
        <item m="1" x="885"/>
        <item m="1" x="1048"/>
        <item m="1" x="985"/>
        <item m="1" x="1167"/>
        <item m="1" x="531"/>
        <item m="1" x="1012"/>
        <item m="1" x="686"/>
        <item m="1" x="1089"/>
        <item m="1" x="1215"/>
        <item m="1" x="1291"/>
        <item m="1" x="1226"/>
        <item m="1" x="1187"/>
        <item m="1" x="1113"/>
        <item m="1" x="1524"/>
        <item m="1" x="1416"/>
        <item m="1" x="667"/>
        <item m="1" x="1408"/>
        <item m="1" x="862"/>
        <item m="1" x="1172"/>
        <item m="1" x="578"/>
        <item m="1" x="1151"/>
        <item m="1" x="1018"/>
        <item m="1" x="1450"/>
        <item m="1" x="604"/>
        <item m="1" x="1661"/>
        <item m="1" x="643"/>
        <item m="1" x="583"/>
        <item m="1" x="1153"/>
        <item m="1" x="1353"/>
        <item m="1" x="1256"/>
        <item m="1" x="542"/>
        <item m="1" x="694"/>
        <item m="1" x="1482"/>
        <item m="1" x="1422"/>
        <item m="1" x="677"/>
        <item m="1" x="650"/>
        <item m="1" x="945"/>
        <item m="1" x="566"/>
        <item m="1" x="1173"/>
        <item m="1" x="606"/>
        <item m="1" x="776"/>
        <item m="1" x="1073"/>
        <item m="1" x="1604"/>
        <item m="1" x="644"/>
        <item m="1" x="914"/>
        <item m="1" x="761"/>
        <item m="1" x="923"/>
        <item m="1" x="1477"/>
        <item m="1" x="1360"/>
        <item m="1" x="822"/>
        <item m="1" x="575"/>
        <item m="1" x="1525"/>
        <item m="1" x="688"/>
        <item m="1" x="1470"/>
        <item m="1" x="1027"/>
        <item m="1" x="1411"/>
        <item m="1" x="770"/>
        <item m="1" x="942"/>
        <item m="1" x="1427"/>
        <item m="1" x="1615"/>
        <item m="1" x="1391"/>
        <item m="1" x="790"/>
        <item m="1" x="733"/>
        <item m="1" x="1436"/>
        <item m="1" x="1200"/>
        <item m="1" x="1044"/>
        <item m="1" x="1468"/>
        <item m="1" x="516"/>
        <item m="1" x="513"/>
        <item m="1" x="1188"/>
        <item m="1" x="1328"/>
        <item m="1" x="1283"/>
        <item m="1" x="1466"/>
        <item m="1" x="991"/>
        <item m="1" x="738"/>
        <item m="1" x="812"/>
        <item m="1" x="1342"/>
        <item m="1" x="894"/>
        <item m="1" x="1124"/>
        <item m="1" x="1539"/>
        <item m="1" x="777"/>
        <item m="1" x="1114"/>
        <item m="1" x="498"/>
        <item m="1" x="8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m="1" x="815"/>
        <item m="1" x="1576"/>
        <item m="1" x="518"/>
        <item m="1" x="4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658"/>
    </i>
    <i r="2">
      <x v="10"/>
    </i>
    <i r="2">
      <x v="11"/>
    </i>
    <i r="1">
      <x v="1659"/>
    </i>
    <i r="2">
      <x v="8"/>
    </i>
    <i>
      <x v="1"/>
    </i>
    <i r="1">
      <x v="1580"/>
    </i>
    <i r="2">
      <x v="8"/>
    </i>
    <i r="1">
      <x v="1631"/>
    </i>
    <i r="2">
      <x v="13"/>
    </i>
    <i r="1">
      <x v="1643"/>
    </i>
    <i r="2">
      <x v="3"/>
    </i>
    <i r="2">
      <x v="8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31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3">
  <autoFilter ref="A1:C140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332" totalsRowShown="0">
  <autoFilter ref="A1:S5332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2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306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5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216</v>
      </c>
    </row>
    <row r="19" spans="1:2">
      <c r="A19" s="111" t="s">
        <v>370</v>
      </c>
      <c r="B19" s="150">
        <v>2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1</v>
      </c>
    </row>
    <row r="22" spans="1:2">
      <c r="A22" s="17" t="s">
        <v>570</v>
      </c>
      <c r="B22" s="150">
        <v>393</v>
      </c>
    </row>
    <row r="23" spans="1:2">
      <c r="A23" s="111" t="s">
        <v>369</v>
      </c>
      <c r="B23" s="150">
        <v>297</v>
      </c>
    </row>
    <row r="24" spans="1:2">
      <c r="A24" s="111" t="s">
        <v>370</v>
      </c>
      <c r="B24" s="150">
        <v>1</v>
      </c>
    </row>
    <row r="25" spans="1:2">
      <c r="A25" s="111" t="s">
        <v>377</v>
      </c>
      <c r="B25" s="150">
        <v>42</v>
      </c>
    </row>
    <row r="26" spans="1:2">
      <c r="A26" s="111" t="s">
        <v>375</v>
      </c>
      <c r="B26" s="150">
        <v>53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16</v>
      </c>
    </row>
    <row r="30" spans="1:2">
      <c r="A30" s="111" t="s">
        <v>369</v>
      </c>
      <c r="B30" s="150">
        <v>5</v>
      </c>
    </row>
    <row r="31" spans="1:2">
      <c r="A31" s="111" t="s">
        <v>370</v>
      </c>
      <c r="B31" s="150">
        <v>11</v>
      </c>
    </row>
    <row r="32" spans="1:2">
      <c r="A32" s="17" t="s">
        <v>381</v>
      </c>
      <c r="B32" s="150">
        <v>1227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B4" sqref="B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87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377</v>
      </c>
      <c r="B7" s="150">
        <v>33</v>
      </c>
      <c r="C7"/>
      <c r="D7"/>
      <c r="E7"/>
    </row>
    <row r="8" spans="1:6">
      <c r="A8" s="112" t="s">
        <v>375</v>
      </c>
      <c r="B8" s="150">
        <v>53</v>
      </c>
      <c r="C8" s="56"/>
      <c r="D8" s="124"/>
      <c r="E8" s="124"/>
    </row>
    <row r="9" spans="1:6">
      <c r="A9" s="111" t="s">
        <v>7654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59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11" t="s">
        <v>7343</v>
      </c>
      <c r="B14" s="150">
        <v>1</v>
      </c>
      <c r="C14" s="126"/>
      <c r="D14"/>
    </row>
    <row r="15" spans="1:6">
      <c r="A15" s="112" t="s">
        <v>692</v>
      </c>
      <c r="B15" s="150">
        <v>1</v>
      </c>
      <c r="C15"/>
      <c r="D15" s="124"/>
      <c r="E15" s="124"/>
    </row>
    <row r="16" spans="1:6">
      <c r="A16" s="111" t="s">
        <v>7364</v>
      </c>
      <c r="B16" s="150">
        <v>5</v>
      </c>
      <c r="C16"/>
      <c r="D16"/>
    </row>
    <row r="17" spans="1:5">
      <c r="A17" s="112" t="s">
        <v>369</v>
      </c>
      <c r="B17" s="150">
        <v>4</v>
      </c>
      <c r="C17"/>
      <c r="D17" s="124"/>
      <c r="E17" s="124"/>
    </row>
    <row r="18" spans="1:5">
      <c r="A18" s="112" t="s">
        <v>370</v>
      </c>
      <c r="B18" s="150">
        <v>1</v>
      </c>
      <c r="C18" s="126"/>
      <c r="D18"/>
    </row>
    <row r="19" spans="1:5">
      <c r="A19" s="111" t="s">
        <v>7376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11" t="s">
        <v>7519</v>
      </c>
      <c r="B21" s="150">
        <v>11</v>
      </c>
    </row>
    <row r="22" spans="1:5">
      <c r="A22" s="112" t="s">
        <v>370</v>
      </c>
      <c r="B22" s="150">
        <v>11</v>
      </c>
    </row>
    <row r="23" spans="1:5">
      <c r="A23" s="111" t="s">
        <v>7476</v>
      </c>
      <c r="B23" s="150">
        <v>34</v>
      </c>
    </row>
    <row r="24" spans="1:5">
      <c r="A24" s="112" t="s">
        <v>369</v>
      </c>
      <c r="B24" s="150">
        <v>30</v>
      </c>
    </row>
    <row r="25" spans="1:5">
      <c r="A25" s="112" t="s">
        <v>370</v>
      </c>
      <c r="B25" s="150">
        <v>4</v>
      </c>
      <c r="D25" s="124"/>
      <c r="E25" s="124"/>
    </row>
    <row r="26" spans="1:5">
      <c r="A26" s="111" t="s">
        <v>7532</v>
      </c>
      <c r="B26" s="150">
        <v>5</v>
      </c>
      <c r="C26" s="126"/>
    </row>
    <row r="27" spans="1:5">
      <c r="A27" s="112" t="s">
        <v>369</v>
      </c>
      <c r="B27" s="150">
        <v>1</v>
      </c>
    </row>
    <row r="28" spans="1:5">
      <c r="A28" s="112" t="s">
        <v>370</v>
      </c>
      <c r="B28" s="150">
        <v>4</v>
      </c>
    </row>
    <row r="29" spans="1:5">
      <c r="A29" s="17" t="s">
        <v>381</v>
      </c>
      <c r="B29" s="150">
        <v>146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332"/>
  <sheetViews>
    <sheetView tabSelected="1" topLeftCell="A5276" zoomScale="105" zoomScaleNormal="105" workbookViewId="0">
      <selection activeCell="E5318" sqref="E531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tr">
        <f>VLOOKUP(Proc[[#This Row],[Obj]],Sheet2!A:B,2,0)</f>
        <v>H000004594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tr">
        <f>VLOOKUP(Proc[[#This Row],[Obj]],Sheet2!A:B,2,0)</f>
        <v>H000004594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55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53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53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53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50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43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41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41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41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41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41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41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41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39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39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39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39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39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39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39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39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39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39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39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39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39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39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39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39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39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39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39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39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39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39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39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39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39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39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39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39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39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39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39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39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39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39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39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39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39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39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39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39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39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39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39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39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39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39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39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39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39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39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39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39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39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39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39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39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39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39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39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39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39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39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39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39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38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38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38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38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38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38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38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38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38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38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36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36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36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36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36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36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36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36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36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36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36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36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36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36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36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36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36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36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36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36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36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36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36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36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36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36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36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36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36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36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36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36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36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36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35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35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35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35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35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35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35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35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35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35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35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35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35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35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35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35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35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35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35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35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35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35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35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35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35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35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35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35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35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35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35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35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35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35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35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35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35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35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35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35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35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35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35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35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35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35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35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35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35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35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35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35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35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35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35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35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35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35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35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35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35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35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35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35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35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35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35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35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35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35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35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35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35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35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35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35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35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35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35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35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35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35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35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35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35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35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35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35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35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35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35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35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35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35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35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35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35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35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35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35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35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35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35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35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35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35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35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35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35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35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35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35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35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35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35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35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35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35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35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35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35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35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35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35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35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35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35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35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35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35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35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35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35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35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35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35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35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35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35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35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35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35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35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35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35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34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34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34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34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34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34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34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34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34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34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34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34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34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34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34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34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34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34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34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34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34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34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34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34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34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34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34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34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33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33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33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33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33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33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33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33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33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33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33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32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32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32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32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32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32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32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32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32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32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32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32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32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32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32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32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32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32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32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32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32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32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32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32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32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32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31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31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30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30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30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30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30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30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30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30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30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30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30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30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30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30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30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30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30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30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30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30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29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29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29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29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29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29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29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29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29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29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29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29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29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29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29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29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29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29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29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29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29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29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29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29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29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29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29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29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Row],[Obj]],Sheet2!A:B,2,0)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29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29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29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29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29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29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27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27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27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27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27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27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27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27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25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370</v>
      </c>
      <c r="D5105" t="s">
        <v>7367</v>
      </c>
      <c r="E5105" t="s">
        <v>2467</v>
      </c>
      <c r="F5105" s="150" t="str">
        <f>VLOOKUP(Proc[[#This Row],[Obj]],Sheet2!A:B,2,0)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25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25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25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25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24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24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24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24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24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24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Row],[Obj]],Sheet2!A:B,2,0)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24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21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21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21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21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21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21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21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21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21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21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21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21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21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21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21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17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17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17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17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17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17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17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17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17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17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17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17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17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17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17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17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14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14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14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10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10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10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10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10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10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10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10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10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10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10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10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10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10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10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10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10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10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10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10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10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10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10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10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10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10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10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10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10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10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10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10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10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10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10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10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10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10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10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10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10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10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tr">
        <f>VLOOKUP(Proc[[#This Row],[Obj]],Sheet2!A:B,2,0)</f>
        <v>L000011321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10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10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10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10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10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10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Row],[Obj]],Sheet2!A:B,2,0)</f>
        <v>L000013174_IO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10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Row],[Obj]],Sheet2!A:B,2,0)</f>
        <v>CC_002098_DEFAULTL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10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10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10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10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10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10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10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10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10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10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10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10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10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10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10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10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10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10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10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10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10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10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10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10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10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Row],[Obj]],Sheet2!A:B,2,0)</f>
        <v>L000006429_IO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10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Row],[Obj]],Sheet2!A:B,2,0)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10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Row],[Obj]],Sheet2!A:B,2,0)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10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Row],[Obj]],Sheet2!A:B,2,0)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10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Row],[Obj]],Sheet2!A:B,2,0)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10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Row],[Obj]],Sheet2!A:B,2,0)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10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Row],[Obj]],Sheet2!A:B,2,0)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10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Row],[Obj]],Sheet2!A:B,2,0)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10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Row],[Obj]],Sheet2!A:B,2,0)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10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Row],[Obj]],Sheet2!A:B,2,0)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10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Row],[Obj]],Sheet2!A:B,2,0)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10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Row],[Obj]],Sheet2!A:B,2,0)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10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8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8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8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8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tr">
        <f>VLOOKUP(Proc[[#This Row],[Obj]],Sheet2!A:B,2,0)</f>
        <v>G000000243_DEFAULT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8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8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Row],[Obj]],Sheet2!A:B,2,0)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8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Row],[Obj]],Sheet2!A:B,2,0)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8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Row],[Obj]],Sheet2!A:B,2,0)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8</v>
      </c>
      <c r="R5244" s="178" t="s">
        <v>1459</v>
      </c>
      <c r="S5244" s="150"/>
    </row>
    <row r="5245" spans="1:19" hidden="1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/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on track</v>
      </c>
      <c r="Q5245" s="3">
        <f ca="1">IF(Proc[[#This Row],[DateClosed]]="",ABS(NETWORKDAYS(Proc[[#This Row],[DateOpened]],TODAY()))-1,ABS(NETWORKDAYS(Proc[[#This Row],[DateOpened]],Proc[[#This Row],[DateClosed]]))-1)</f>
        <v>1</v>
      </c>
      <c r="R5245" s="178" t="s">
        <v>5709</v>
      </c>
      <c r="S5245" s="150"/>
    </row>
    <row r="5246" spans="1:19" hidden="1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/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on track</v>
      </c>
      <c r="Q5246" s="3">
        <f ca="1">IF(Proc[[#This Row],[DateClosed]]="",ABS(NETWORKDAYS(Proc[[#This Row],[DateOpened]],TODAY()))-1,ABS(NETWORKDAYS(Proc[[#This Row],[DateOpened]],Proc[[#This Row],[DateClosed]]))-1)</f>
        <v>1</v>
      </c>
      <c r="R5246" s="178" t="s">
        <v>5709</v>
      </c>
      <c r="S5246" s="150"/>
    </row>
    <row r="5247" spans="1:19" hidden="1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/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on track</v>
      </c>
      <c r="Q5247" s="3">
        <f ca="1">IF(Proc[[#This Row],[DateClosed]]="",ABS(NETWORKDAYS(Proc[[#This Row],[DateOpened]],TODAY()))-1,ABS(NETWORKDAYS(Proc[[#This Row],[DateOpened]],Proc[[#This Row],[DateClosed]]))-1)</f>
        <v>1</v>
      </c>
      <c r="R5247" s="178" t="s">
        <v>5709</v>
      </c>
      <c r="S5247" s="150"/>
    </row>
    <row r="5248" spans="1:19" hidden="1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/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on track</v>
      </c>
      <c r="Q5248" s="3">
        <f ca="1">IF(Proc[[#This Row],[DateClosed]]="",ABS(NETWORKDAYS(Proc[[#This Row],[DateOpened]],TODAY()))-1,ABS(NETWORKDAYS(Proc[[#This Row],[DateOpened]],Proc[[#This Row],[DateClosed]]))-1)</f>
        <v>1</v>
      </c>
      <c r="R5248" s="178" t="s">
        <v>5709</v>
      </c>
      <c r="S5248" s="150"/>
    </row>
    <row r="5249" spans="1:19">
      <c r="A5249" s="149" t="s">
        <v>7545</v>
      </c>
      <c r="B5249" s="150" t="str">
        <f>IFERROR(VLOOKUP(Proc[[#This Row],[App]],Table2[],3,0),"open")</f>
        <v>open</v>
      </c>
      <c r="C5249" s="149" t="s">
        <v>370</v>
      </c>
      <c r="D5249" t="s">
        <v>7550</v>
      </c>
      <c r="E5249" t="s">
        <v>7644</v>
      </c>
      <c r="F5249" s="150"/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on track</v>
      </c>
      <c r="Q5249" s="3">
        <f ca="1">IF(Proc[[#This Row],[DateClosed]]="",ABS(NETWORKDAYS(Proc[[#This Row],[DateOpened]],TODAY()))-1,ABS(NETWORKDAYS(Proc[[#This Row],[DateOpened]],Proc[[#This Row],[DateClosed]]))-1)</f>
        <v>1</v>
      </c>
      <c r="R5249" s="178" t="s">
        <v>5709</v>
      </c>
      <c r="S5249" s="150"/>
    </row>
    <row r="5250" spans="1:19">
      <c r="A5250" s="149" t="s">
        <v>7545</v>
      </c>
      <c r="B5250" s="150" t="str">
        <f>IFERROR(VLOOKUP(Proc[[#This Row],[App]],Table2[],3,0),"open")</f>
        <v>open</v>
      </c>
      <c r="C5250" s="149" t="s">
        <v>370</v>
      </c>
      <c r="D5250" t="s">
        <v>7551</v>
      </c>
      <c r="E5250" t="s">
        <v>7645</v>
      </c>
      <c r="F5250" s="150"/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on track</v>
      </c>
      <c r="Q5250" s="3">
        <f ca="1">IF(Proc[[#This Row],[DateClosed]]="",ABS(NETWORKDAYS(Proc[[#This Row],[DateOpened]],TODAY()))-1,ABS(NETWORKDAYS(Proc[[#This Row],[DateOpened]],Proc[[#This Row],[DateClosed]]))-1)</f>
        <v>1</v>
      </c>
      <c r="R5250" s="178" t="s">
        <v>5709</v>
      </c>
      <c r="S5250" s="150"/>
    </row>
    <row r="5251" spans="1:19">
      <c r="A5251" s="149" t="s">
        <v>7545</v>
      </c>
      <c r="B5251" s="150" t="str">
        <f>IFERROR(VLOOKUP(Proc[[#This Row],[App]],Table2[],3,0),"open")</f>
        <v>open</v>
      </c>
      <c r="C5251" s="149" t="s">
        <v>370</v>
      </c>
      <c r="D5251" t="s">
        <v>7552</v>
      </c>
      <c r="E5251" t="s">
        <v>7645</v>
      </c>
      <c r="F5251" s="150"/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on track</v>
      </c>
      <c r="Q5251" s="3">
        <f ca="1">IF(Proc[[#This Row],[DateClosed]]="",ABS(NETWORKDAYS(Proc[[#This Row],[DateOpened]],TODAY()))-1,ABS(NETWORKDAYS(Proc[[#This Row],[DateOpened]],Proc[[#This Row],[DateClosed]]))-1)</f>
        <v>1</v>
      </c>
      <c r="R5251" s="178" t="s">
        <v>5709</v>
      </c>
      <c r="S5251" s="150"/>
    </row>
    <row r="5252" spans="1:19">
      <c r="A5252" s="149" t="s">
        <v>7545</v>
      </c>
      <c r="B5252" s="150" t="str">
        <f>IFERROR(VLOOKUP(Proc[[#This Row],[App]],Table2[],3,0),"open")</f>
        <v>open</v>
      </c>
      <c r="C5252" s="149" t="s">
        <v>370</v>
      </c>
      <c r="D5252" t="s">
        <v>7553</v>
      </c>
      <c r="E5252" t="s">
        <v>7645</v>
      </c>
      <c r="F5252" s="150"/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on track</v>
      </c>
      <c r="Q5252" s="3">
        <f ca="1">IF(Proc[[#This Row],[DateClosed]]="",ABS(NETWORKDAYS(Proc[[#This Row],[DateOpened]],TODAY()))-1,ABS(NETWORKDAYS(Proc[[#This Row],[DateOpened]],Proc[[#This Row],[DateClosed]]))-1)</f>
        <v>1</v>
      </c>
      <c r="R5252" s="178" t="s">
        <v>5709</v>
      </c>
      <c r="S5252" s="150"/>
    </row>
    <row r="5253" spans="1:19" hidden="1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/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on track</v>
      </c>
      <c r="Q5253" s="3">
        <f ca="1">IF(Proc[[#This Row],[DateClosed]]="",ABS(NETWORKDAYS(Proc[[#This Row],[DateOpened]],TODAY()))-1,ABS(NETWORKDAYS(Proc[[#This Row],[DateOpened]],Proc[[#This Row],[DateClosed]]))-1)</f>
        <v>1</v>
      </c>
      <c r="R5253" s="178" t="s">
        <v>5709</v>
      </c>
      <c r="S5253" s="150"/>
    </row>
    <row r="5254" spans="1:19" hidden="1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/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on track</v>
      </c>
      <c r="Q5254" s="3">
        <f ca="1">IF(Proc[[#This Row],[DateClosed]]="",ABS(NETWORKDAYS(Proc[[#This Row],[DateOpened]],TODAY()))-1,ABS(NETWORKDAYS(Proc[[#This Row],[DateOpened]],Proc[[#This Row],[DateClosed]]))-1)</f>
        <v>1</v>
      </c>
      <c r="R5254" s="178" t="s">
        <v>5709</v>
      </c>
      <c r="S5254" s="150"/>
    </row>
    <row r="5255" spans="1:19" hidden="1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/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on track</v>
      </c>
      <c r="Q5255" s="3">
        <f ca="1">IF(Proc[[#This Row],[DateClosed]]="",ABS(NETWORKDAYS(Proc[[#This Row],[DateOpened]],TODAY()))-1,ABS(NETWORKDAYS(Proc[[#This Row],[DateOpened]],Proc[[#This Row],[DateClosed]]))-1)</f>
        <v>1</v>
      </c>
      <c r="R5255" s="178" t="s">
        <v>5709</v>
      </c>
      <c r="S5255" s="150"/>
    </row>
    <row r="5256" spans="1:19">
      <c r="A5256" s="149" t="s">
        <v>7545</v>
      </c>
      <c r="B5256" s="150" t="str">
        <f>IFERROR(VLOOKUP(Proc[[#This Row],[App]],Table2[],3,0),"open")</f>
        <v>open</v>
      </c>
      <c r="C5256" s="149" t="s">
        <v>370</v>
      </c>
      <c r="D5256" t="s">
        <v>7557</v>
      </c>
      <c r="E5256" t="s">
        <v>7644</v>
      </c>
      <c r="F5256" s="150"/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on track</v>
      </c>
      <c r="Q5256" s="3">
        <f ca="1">IF(Proc[[#This Row],[DateClosed]]="",ABS(NETWORKDAYS(Proc[[#This Row],[DateOpened]],TODAY()))-1,ABS(NETWORKDAYS(Proc[[#This Row],[DateOpened]],Proc[[#This Row],[DateClosed]]))-1)</f>
        <v>1</v>
      </c>
      <c r="R5256" s="178" t="s">
        <v>5709</v>
      </c>
      <c r="S5256" s="150"/>
    </row>
    <row r="5257" spans="1:19">
      <c r="A5257" s="149" t="s">
        <v>7545</v>
      </c>
      <c r="B5257" s="150" t="str">
        <f>IFERROR(VLOOKUP(Proc[[#This Row],[App]],Table2[],3,0),"open")</f>
        <v>open</v>
      </c>
      <c r="C5257" s="149" t="s">
        <v>370</v>
      </c>
      <c r="D5257" t="s">
        <v>7558</v>
      </c>
      <c r="E5257" t="s">
        <v>7644</v>
      </c>
      <c r="F5257" s="150"/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on track</v>
      </c>
      <c r="Q5257" s="3">
        <f ca="1">IF(Proc[[#This Row],[DateClosed]]="",ABS(NETWORKDAYS(Proc[[#This Row],[DateOpened]],TODAY()))-1,ABS(NETWORKDAYS(Proc[[#This Row],[DateOpened]],Proc[[#This Row],[DateClosed]]))-1)</f>
        <v>1</v>
      </c>
      <c r="R5257" s="178" t="s">
        <v>5709</v>
      </c>
      <c r="S5257" s="150"/>
    </row>
    <row r="5258" spans="1:19">
      <c r="A5258" s="149" t="s">
        <v>7545</v>
      </c>
      <c r="B5258" s="150" t="str">
        <f>IFERROR(VLOOKUP(Proc[[#This Row],[App]],Table2[],3,0),"open")</f>
        <v>open</v>
      </c>
      <c r="C5258" s="149" t="s">
        <v>370</v>
      </c>
      <c r="D5258" t="s">
        <v>7559</v>
      </c>
      <c r="E5258" t="s">
        <v>7646</v>
      </c>
      <c r="F5258" s="150"/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on track</v>
      </c>
      <c r="Q5258" s="3">
        <f ca="1">IF(Proc[[#This Row],[DateClosed]]="",ABS(NETWORKDAYS(Proc[[#This Row],[DateOpened]],TODAY()))-1,ABS(NETWORKDAYS(Proc[[#This Row],[DateOpened]],Proc[[#This Row],[DateClosed]]))-1)</f>
        <v>1</v>
      </c>
      <c r="R5258" s="178" t="s">
        <v>5709</v>
      </c>
      <c r="S5258" s="150"/>
    </row>
    <row r="5259" spans="1:19">
      <c r="A5259" s="149" t="s">
        <v>7545</v>
      </c>
      <c r="B5259" s="150" t="str">
        <f>IFERROR(VLOOKUP(Proc[[#This Row],[App]],Table2[],3,0),"open")</f>
        <v>open</v>
      </c>
      <c r="C5259" s="149" t="s">
        <v>370</v>
      </c>
      <c r="D5259" t="s">
        <v>7560</v>
      </c>
      <c r="E5259" t="s">
        <v>7646</v>
      </c>
      <c r="F5259" s="150"/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on track</v>
      </c>
      <c r="Q5259" s="3">
        <f ca="1">IF(Proc[[#This Row],[DateClosed]]="",ABS(NETWORKDAYS(Proc[[#This Row],[DateOpened]],TODAY()))-1,ABS(NETWORKDAYS(Proc[[#This Row],[DateOpened]],Proc[[#This Row],[DateClosed]]))-1)</f>
        <v>1</v>
      </c>
      <c r="R5259" s="178" t="s">
        <v>5709</v>
      </c>
      <c r="S5259" s="150"/>
    </row>
    <row r="5260" spans="1:19">
      <c r="A5260" s="149" t="s">
        <v>7545</v>
      </c>
      <c r="B5260" s="150" t="str">
        <f>IFERROR(VLOOKUP(Proc[[#This Row],[App]],Table2[],3,0),"open")</f>
        <v>open</v>
      </c>
      <c r="C5260" s="149" t="s">
        <v>370</v>
      </c>
      <c r="D5260" t="s">
        <v>7561</v>
      </c>
      <c r="E5260" t="s">
        <v>7646</v>
      </c>
      <c r="F5260" s="150"/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on track</v>
      </c>
      <c r="Q5260" s="3">
        <f ca="1">IF(Proc[[#This Row],[DateClosed]]="",ABS(NETWORKDAYS(Proc[[#This Row],[DateOpened]],TODAY()))-1,ABS(NETWORKDAYS(Proc[[#This Row],[DateOpened]],Proc[[#This Row],[DateClosed]]))-1)</f>
        <v>1</v>
      </c>
      <c r="R5260" s="178" t="s">
        <v>5709</v>
      </c>
      <c r="S5260" s="150"/>
    </row>
    <row r="5261" spans="1:19">
      <c r="A5261" s="149" t="s">
        <v>7545</v>
      </c>
      <c r="B5261" s="150" t="str">
        <f>IFERROR(VLOOKUP(Proc[[#This Row],[App]],Table2[],3,0),"open")</f>
        <v>open</v>
      </c>
      <c r="C5261" s="149" t="s">
        <v>370</v>
      </c>
      <c r="D5261" t="s">
        <v>7562</v>
      </c>
      <c r="E5261" t="s">
        <v>7646</v>
      </c>
      <c r="F5261" s="150"/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on track</v>
      </c>
      <c r="Q5261" s="3">
        <f ca="1">IF(Proc[[#This Row],[DateClosed]]="",ABS(NETWORKDAYS(Proc[[#This Row],[DateOpened]],TODAY()))-1,ABS(NETWORKDAYS(Proc[[#This Row],[DateOpened]],Proc[[#This Row],[DateClosed]]))-1)</f>
        <v>1</v>
      </c>
      <c r="R5261" s="178" t="s">
        <v>5709</v>
      </c>
      <c r="S5261" s="150"/>
    </row>
    <row r="5262" spans="1:19">
      <c r="A5262" s="149" t="s">
        <v>7545</v>
      </c>
      <c r="B5262" s="150" t="str">
        <f>IFERROR(VLOOKUP(Proc[[#This Row],[App]],Table2[],3,0),"open")</f>
        <v>open</v>
      </c>
      <c r="C5262" s="149" t="s">
        <v>370</v>
      </c>
      <c r="D5262" t="s">
        <v>7563</v>
      </c>
      <c r="E5262" t="s">
        <v>7646</v>
      </c>
      <c r="F5262" s="150"/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on track</v>
      </c>
      <c r="Q5262" s="3">
        <f ca="1">IF(Proc[[#This Row],[DateClosed]]="",ABS(NETWORKDAYS(Proc[[#This Row],[DateOpened]],TODAY()))-1,ABS(NETWORKDAYS(Proc[[#This Row],[DateOpened]],Proc[[#This Row],[DateClosed]]))-1)</f>
        <v>1</v>
      </c>
      <c r="R5262" s="178" t="s">
        <v>5709</v>
      </c>
      <c r="S5262" s="150"/>
    </row>
    <row r="5263" spans="1:19">
      <c r="A5263" s="149" t="s">
        <v>7545</v>
      </c>
      <c r="B5263" s="150" t="str">
        <f>IFERROR(VLOOKUP(Proc[[#This Row],[App]],Table2[],3,0),"open")</f>
        <v>open</v>
      </c>
      <c r="C5263" s="149" t="s">
        <v>370</v>
      </c>
      <c r="D5263" t="s">
        <v>7564</v>
      </c>
      <c r="E5263" t="s">
        <v>7646</v>
      </c>
      <c r="F5263" s="150"/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on track</v>
      </c>
      <c r="Q5263" s="3">
        <f ca="1">IF(Proc[[#This Row],[DateClosed]]="",ABS(NETWORKDAYS(Proc[[#This Row],[DateOpened]],TODAY()))-1,ABS(NETWORKDAYS(Proc[[#This Row],[DateOpened]],Proc[[#This Row],[DateClosed]]))-1)</f>
        <v>1</v>
      </c>
      <c r="R5263" s="178" t="s">
        <v>5709</v>
      </c>
      <c r="S5263" s="150"/>
    </row>
    <row r="5264" spans="1:19">
      <c r="A5264" s="149" t="s">
        <v>7545</v>
      </c>
      <c r="B5264" s="150" t="str">
        <f>IFERROR(VLOOKUP(Proc[[#This Row],[App]],Table2[],3,0),"open")</f>
        <v>open</v>
      </c>
      <c r="C5264" s="149" t="s">
        <v>370</v>
      </c>
      <c r="D5264" t="s">
        <v>7565</v>
      </c>
      <c r="E5264" t="s">
        <v>7646</v>
      </c>
      <c r="F5264" s="150"/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on track</v>
      </c>
      <c r="Q5264" s="3">
        <f ca="1">IF(Proc[[#This Row],[DateClosed]]="",ABS(NETWORKDAYS(Proc[[#This Row],[DateOpened]],TODAY()))-1,ABS(NETWORKDAYS(Proc[[#This Row],[DateOpened]],Proc[[#This Row],[DateClosed]]))-1)</f>
        <v>1</v>
      </c>
      <c r="R5264" s="178" t="s">
        <v>5709</v>
      </c>
      <c r="S5264" s="150"/>
    </row>
    <row r="5265" spans="1:19">
      <c r="A5265" s="149" t="s">
        <v>7545</v>
      </c>
      <c r="B5265" s="150" t="str">
        <f>IFERROR(VLOOKUP(Proc[[#This Row],[App]],Table2[],3,0),"open")</f>
        <v>open</v>
      </c>
      <c r="C5265" s="149" t="s">
        <v>370</v>
      </c>
      <c r="D5265" t="s">
        <v>7566</v>
      </c>
      <c r="E5265" t="s">
        <v>7646</v>
      </c>
      <c r="F5265" s="150"/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on track</v>
      </c>
      <c r="Q5265" s="3">
        <f ca="1">IF(Proc[[#This Row],[DateClosed]]="",ABS(NETWORKDAYS(Proc[[#This Row],[DateOpened]],TODAY()))-1,ABS(NETWORKDAYS(Proc[[#This Row],[DateOpened]],Proc[[#This Row],[DateClosed]]))-1)</f>
        <v>1</v>
      </c>
      <c r="R5265" s="178" t="s">
        <v>5709</v>
      </c>
      <c r="S5265" s="150"/>
    </row>
    <row r="5266" spans="1:19">
      <c r="A5266" s="149" t="s">
        <v>7545</v>
      </c>
      <c r="B5266" s="150" t="str">
        <f>IFERROR(VLOOKUP(Proc[[#This Row],[App]],Table2[],3,0),"open")</f>
        <v>open</v>
      </c>
      <c r="C5266" s="149" t="s">
        <v>370</v>
      </c>
      <c r="D5266" t="s">
        <v>7567</v>
      </c>
      <c r="E5266" t="s">
        <v>7646</v>
      </c>
      <c r="F5266" s="150"/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on track</v>
      </c>
      <c r="Q5266" s="3">
        <f ca="1">IF(Proc[[#This Row],[DateClosed]]="",ABS(NETWORKDAYS(Proc[[#This Row],[DateOpened]],TODAY()))-1,ABS(NETWORKDAYS(Proc[[#This Row],[DateOpened]],Proc[[#This Row],[DateClosed]]))-1)</f>
        <v>1</v>
      </c>
      <c r="R5266" s="178" t="s">
        <v>5709</v>
      </c>
      <c r="S5266" s="150"/>
    </row>
    <row r="5267" spans="1:19">
      <c r="A5267" s="149" t="s">
        <v>7545</v>
      </c>
      <c r="B5267" s="150" t="str">
        <f>IFERROR(VLOOKUP(Proc[[#This Row],[App]],Table2[],3,0),"open")</f>
        <v>open</v>
      </c>
      <c r="C5267" s="149" t="s">
        <v>370</v>
      </c>
      <c r="D5267" t="s">
        <v>7568</v>
      </c>
      <c r="E5267" t="s">
        <v>7646</v>
      </c>
      <c r="F5267" s="150"/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on track</v>
      </c>
      <c r="Q5267" s="3">
        <f ca="1">IF(Proc[[#This Row],[DateClosed]]="",ABS(NETWORKDAYS(Proc[[#This Row],[DateOpened]],TODAY()))-1,ABS(NETWORKDAYS(Proc[[#This Row],[DateOpened]],Proc[[#This Row],[DateClosed]]))-1)</f>
        <v>1</v>
      </c>
      <c r="R5267" s="178" t="s">
        <v>5709</v>
      </c>
      <c r="S5267" s="150"/>
    </row>
    <row r="5268" spans="1:19">
      <c r="A5268" s="149" t="s">
        <v>7545</v>
      </c>
      <c r="B5268" s="150" t="str">
        <f>IFERROR(VLOOKUP(Proc[[#This Row],[App]],Table2[],3,0),"open")</f>
        <v>open</v>
      </c>
      <c r="C5268" s="149" t="s">
        <v>370</v>
      </c>
      <c r="D5268" t="s">
        <v>7569</v>
      </c>
      <c r="E5268" t="s">
        <v>7646</v>
      </c>
      <c r="F5268" s="150"/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on track</v>
      </c>
      <c r="Q5268" s="3">
        <f ca="1">IF(Proc[[#This Row],[DateClosed]]="",ABS(NETWORKDAYS(Proc[[#This Row],[DateOpened]],TODAY()))-1,ABS(NETWORKDAYS(Proc[[#This Row],[DateOpened]],Proc[[#This Row],[DateClosed]]))-1)</f>
        <v>1</v>
      </c>
      <c r="R5268" s="178" t="s">
        <v>5709</v>
      </c>
      <c r="S5268" s="150"/>
    </row>
    <row r="5269" spans="1:19">
      <c r="A5269" s="149" t="s">
        <v>7545</v>
      </c>
      <c r="B5269" s="150" t="str">
        <f>IFERROR(VLOOKUP(Proc[[#This Row],[App]],Table2[],3,0),"open")</f>
        <v>open</v>
      </c>
      <c r="C5269" s="149" t="s">
        <v>370</v>
      </c>
      <c r="D5269" t="s">
        <v>7570</v>
      </c>
      <c r="E5269" t="s">
        <v>7646</v>
      </c>
      <c r="F5269" s="150"/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on track</v>
      </c>
      <c r="Q5269" s="3">
        <f ca="1">IF(Proc[[#This Row],[DateClosed]]="",ABS(NETWORKDAYS(Proc[[#This Row],[DateOpened]],TODAY()))-1,ABS(NETWORKDAYS(Proc[[#This Row],[DateOpened]],Proc[[#This Row],[DateClosed]]))-1)</f>
        <v>1</v>
      </c>
      <c r="R5269" s="178" t="s">
        <v>5709</v>
      </c>
      <c r="S5269" s="150"/>
    </row>
    <row r="5270" spans="1:19">
      <c r="A5270" s="149" t="s">
        <v>7545</v>
      </c>
      <c r="B5270" s="150" t="str">
        <f>IFERROR(VLOOKUP(Proc[[#This Row],[App]],Table2[],3,0),"open")</f>
        <v>open</v>
      </c>
      <c r="C5270" s="149" t="s">
        <v>370</v>
      </c>
      <c r="D5270" t="s">
        <v>7571</v>
      </c>
      <c r="E5270" t="s">
        <v>7646</v>
      </c>
      <c r="F5270" s="150"/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on track</v>
      </c>
      <c r="Q5270" s="3">
        <f ca="1">IF(Proc[[#This Row],[DateClosed]]="",ABS(NETWORKDAYS(Proc[[#This Row],[DateOpened]],TODAY()))-1,ABS(NETWORKDAYS(Proc[[#This Row],[DateOpened]],Proc[[#This Row],[DateClosed]]))-1)</f>
        <v>1</v>
      </c>
      <c r="R5270" s="178" t="s">
        <v>5709</v>
      </c>
      <c r="S5270" s="150"/>
    </row>
    <row r="5271" spans="1:19">
      <c r="A5271" s="149" t="s">
        <v>7545</v>
      </c>
      <c r="B5271" s="150" t="str">
        <f>IFERROR(VLOOKUP(Proc[[#This Row],[App]],Table2[],3,0),"open")</f>
        <v>open</v>
      </c>
      <c r="C5271" s="149" t="s">
        <v>370</v>
      </c>
      <c r="D5271" t="s">
        <v>7572</v>
      </c>
      <c r="E5271" t="s">
        <v>7646</v>
      </c>
      <c r="F5271" s="150"/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on track</v>
      </c>
      <c r="Q5271" s="3">
        <f ca="1">IF(Proc[[#This Row],[DateClosed]]="",ABS(NETWORKDAYS(Proc[[#This Row],[DateOpened]],TODAY()))-1,ABS(NETWORKDAYS(Proc[[#This Row],[DateOpened]],Proc[[#This Row],[DateClosed]]))-1)</f>
        <v>1</v>
      </c>
      <c r="R5271" s="178" t="s">
        <v>5709</v>
      </c>
      <c r="S5271" s="150"/>
    </row>
    <row r="5272" spans="1:19" hidden="1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/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on track</v>
      </c>
      <c r="Q5272" s="3">
        <f ca="1">IF(Proc[[#This Row],[DateClosed]]="",ABS(NETWORKDAYS(Proc[[#This Row],[DateOpened]],TODAY()))-1,ABS(NETWORKDAYS(Proc[[#This Row],[DateOpened]],Proc[[#This Row],[DateClosed]]))-1)</f>
        <v>1</v>
      </c>
      <c r="R5272" s="178" t="s">
        <v>5709</v>
      </c>
      <c r="S5272" s="150"/>
    </row>
    <row r="5273" spans="1:19" hidden="1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/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on track</v>
      </c>
      <c r="Q5273" s="3">
        <f ca="1">IF(Proc[[#This Row],[DateClosed]]="",ABS(NETWORKDAYS(Proc[[#This Row],[DateOpened]],TODAY()))-1,ABS(NETWORKDAYS(Proc[[#This Row],[DateOpened]],Proc[[#This Row],[DateClosed]]))-1)</f>
        <v>1</v>
      </c>
      <c r="R5273" s="178" t="s">
        <v>5709</v>
      </c>
      <c r="S5273" s="150"/>
    </row>
    <row r="5274" spans="1:19" hidden="1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/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on track</v>
      </c>
      <c r="Q5274" s="3">
        <f ca="1">IF(Proc[[#This Row],[DateClosed]]="",ABS(NETWORKDAYS(Proc[[#This Row],[DateOpened]],TODAY()))-1,ABS(NETWORKDAYS(Proc[[#This Row],[DateOpened]],Proc[[#This Row],[DateClosed]]))-1)</f>
        <v>1</v>
      </c>
      <c r="R5274" s="178" t="s">
        <v>5709</v>
      </c>
      <c r="S5274" s="150"/>
    </row>
    <row r="5275" spans="1:19" hidden="1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/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on track</v>
      </c>
      <c r="Q5275" s="3">
        <f ca="1">IF(Proc[[#This Row],[DateClosed]]="",ABS(NETWORKDAYS(Proc[[#This Row],[DateOpened]],TODAY()))-1,ABS(NETWORKDAYS(Proc[[#This Row],[DateOpened]],Proc[[#This Row],[DateClosed]]))-1)</f>
        <v>1</v>
      </c>
      <c r="R5275" s="178" t="s">
        <v>5709</v>
      </c>
      <c r="S5275" s="150"/>
    </row>
    <row r="5276" spans="1:19">
      <c r="A5276" s="149" t="s">
        <v>7545</v>
      </c>
      <c r="B5276" s="150" t="str">
        <f>IFERROR(VLOOKUP(Proc[[#This Row],[App]],Table2[],3,0),"open")</f>
        <v>open</v>
      </c>
      <c r="C5276" s="149" t="s">
        <v>370</v>
      </c>
      <c r="D5276" t="s">
        <v>7577</v>
      </c>
      <c r="E5276" t="s">
        <v>7646</v>
      </c>
      <c r="F5276" s="150"/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on track</v>
      </c>
      <c r="Q5276" s="3">
        <f ca="1">IF(Proc[[#This Row],[DateClosed]]="",ABS(NETWORKDAYS(Proc[[#This Row],[DateOpened]],TODAY()))-1,ABS(NETWORKDAYS(Proc[[#This Row],[DateOpened]],Proc[[#This Row],[DateClosed]]))-1)</f>
        <v>1</v>
      </c>
      <c r="R5276" s="178" t="s">
        <v>5709</v>
      </c>
      <c r="S5276" s="150"/>
    </row>
    <row r="5277" spans="1:19" hidden="1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/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on track</v>
      </c>
      <c r="Q5277" s="3">
        <f ca="1">IF(Proc[[#This Row],[DateClosed]]="",ABS(NETWORKDAYS(Proc[[#This Row],[DateOpened]],TODAY()))-1,ABS(NETWORKDAYS(Proc[[#This Row],[DateOpened]],Proc[[#This Row],[DateClosed]]))-1)</f>
        <v>1</v>
      </c>
      <c r="R5277" s="178" t="s">
        <v>5709</v>
      </c>
      <c r="S5277" s="150"/>
    </row>
    <row r="5278" spans="1:19" hidden="1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/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on track</v>
      </c>
      <c r="Q5278" s="3">
        <f ca="1">IF(Proc[[#This Row],[DateClosed]]="",ABS(NETWORKDAYS(Proc[[#This Row],[DateOpened]],TODAY()))-1,ABS(NETWORKDAYS(Proc[[#This Row],[DateOpened]],Proc[[#This Row],[DateClosed]]))-1)</f>
        <v>1</v>
      </c>
      <c r="R5278" s="178" t="s">
        <v>5709</v>
      </c>
      <c r="S5278" s="150"/>
    </row>
    <row r="5279" spans="1:19" hidden="1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/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on track</v>
      </c>
      <c r="Q5279" s="3">
        <f ca="1">IF(Proc[[#This Row],[DateClosed]]="",ABS(NETWORKDAYS(Proc[[#This Row],[DateOpened]],TODAY()))-1,ABS(NETWORKDAYS(Proc[[#This Row],[DateOpened]],Proc[[#This Row],[DateClosed]]))-1)</f>
        <v>1</v>
      </c>
      <c r="R5279" s="178" t="s">
        <v>5709</v>
      </c>
      <c r="S5279" s="150"/>
    </row>
    <row r="5280" spans="1:19" hidden="1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/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on track</v>
      </c>
      <c r="Q5280" s="3">
        <f ca="1">IF(Proc[[#This Row],[DateClosed]]="",ABS(NETWORKDAYS(Proc[[#This Row],[DateOpened]],TODAY()))-1,ABS(NETWORKDAYS(Proc[[#This Row],[DateOpened]],Proc[[#This Row],[DateClosed]]))-1)</f>
        <v>1</v>
      </c>
      <c r="R5280" s="178" t="s">
        <v>5709</v>
      </c>
      <c r="S5280" s="150"/>
    </row>
    <row r="5281" spans="1:19" hidden="1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/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on track</v>
      </c>
      <c r="Q5281" s="3">
        <f ca="1">IF(Proc[[#This Row],[DateClosed]]="",ABS(NETWORKDAYS(Proc[[#This Row],[DateOpened]],TODAY()))-1,ABS(NETWORKDAYS(Proc[[#This Row],[DateOpened]],Proc[[#This Row],[DateClosed]]))-1)</f>
        <v>1</v>
      </c>
      <c r="R5281" s="178" t="s">
        <v>5709</v>
      </c>
      <c r="S5281" s="150"/>
    </row>
    <row r="5282" spans="1:19" hidden="1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/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on track</v>
      </c>
      <c r="Q5282" s="3">
        <f ca="1">IF(Proc[[#This Row],[DateClosed]]="",ABS(NETWORKDAYS(Proc[[#This Row],[DateOpened]],TODAY()))-1,ABS(NETWORKDAYS(Proc[[#This Row],[DateOpened]],Proc[[#This Row],[DateClosed]]))-1)</f>
        <v>1</v>
      </c>
      <c r="R5282" s="178" t="s">
        <v>5709</v>
      </c>
      <c r="S5282" s="150"/>
    </row>
    <row r="5283" spans="1:19" hidden="1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/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on track</v>
      </c>
      <c r="Q5283" s="3">
        <f ca="1">IF(Proc[[#This Row],[DateClosed]]="",ABS(NETWORKDAYS(Proc[[#This Row],[DateOpened]],TODAY()))-1,ABS(NETWORKDAYS(Proc[[#This Row],[DateOpened]],Proc[[#This Row],[DateClosed]]))-1)</f>
        <v>1</v>
      </c>
      <c r="R5283" s="178" t="s">
        <v>5709</v>
      </c>
      <c r="S5283" s="150"/>
    </row>
    <row r="5284" spans="1:19" hidden="1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/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on track</v>
      </c>
      <c r="Q5284" s="3">
        <f ca="1">IF(Proc[[#This Row],[DateClosed]]="",ABS(NETWORKDAYS(Proc[[#This Row],[DateOpened]],TODAY()))-1,ABS(NETWORKDAYS(Proc[[#This Row],[DateOpened]],Proc[[#This Row],[DateClosed]]))-1)</f>
        <v>1</v>
      </c>
      <c r="R5284" s="178" t="s">
        <v>5709</v>
      </c>
      <c r="S5284" s="150"/>
    </row>
    <row r="5285" spans="1:19" hidden="1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/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on track</v>
      </c>
      <c r="Q5285" s="3">
        <f ca="1">IF(Proc[[#This Row],[DateClosed]]="",ABS(NETWORKDAYS(Proc[[#This Row],[DateOpened]],TODAY()))-1,ABS(NETWORKDAYS(Proc[[#This Row],[DateOpened]],Proc[[#This Row],[DateClosed]]))-1)</f>
        <v>1</v>
      </c>
      <c r="R5285" s="178" t="s">
        <v>5709</v>
      </c>
      <c r="S5285" s="150"/>
    </row>
    <row r="5286" spans="1:19" hidden="1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/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on track</v>
      </c>
      <c r="Q5286" s="3">
        <f ca="1">IF(Proc[[#This Row],[DateClosed]]="",ABS(NETWORKDAYS(Proc[[#This Row],[DateOpened]],TODAY()))-1,ABS(NETWORKDAYS(Proc[[#This Row],[DateOpened]],Proc[[#This Row],[DateClosed]]))-1)</f>
        <v>1</v>
      </c>
      <c r="R5286" s="178" t="s">
        <v>5709</v>
      </c>
      <c r="S5286" s="150"/>
    </row>
    <row r="5287" spans="1:19" hidden="1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/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on track</v>
      </c>
      <c r="Q5287" s="3">
        <f ca="1">IF(Proc[[#This Row],[DateClosed]]="",ABS(NETWORKDAYS(Proc[[#This Row],[DateOpened]],TODAY()))-1,ABS(NETWORKDAYS(Proc[[#This Row],[DateOpened]],Proc[[#This Row],[DateClosed]]))-1)</f>
        <v>1</v>
      </c>
      <c r="R5287" s="178" t="s">
        <v>5709</v>
      </c>
      <c r="S5287" s="150"/>
    </row>
    <row r="5288" spans="1:19" hidden="1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/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on track</v>
      </c>
      <c r="Q5288" s="3">
        <f ca="1">IF(Proc[[#This Row],[DateClosed]]="",ABS(NETWORKDAYS(Proc[[#This Row],[DateOpened]],TODAY()))-1,ABS(NETWORKDAYS(Proc[[#This Row],[DateOpened]],Proc[[#This Row],[DateClosed]]))-1)</f>
        <v>1</v>
      </c>
      <c r="R5288" s="178" t="s">
        <v>5709</v>
      </c>
      <c r="S5288" s="150"/>
    </row>
    <row r="5289" spans="1:19" hidden="1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/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on track</v>
      </c>
      <c r="Q5289" s="3">
        <f ca="1">IF(Proc[[#This Row],[DateClosed]]="",ABS(NETWORKDAYS(Proc[[#This Row],[DateOpened]],TODAY()))-1,ABS(NETWORKDAYS(Proc[[#This Row],[DateOpened]],Proc[[#This Row],[DateClosed]]))-1)</f>
        <v>1</v>
      </c>
      <c r="R5289" s="178" t="s">
        <v>5709</v>
      </c>
      <c r="S5289" s="150"/>
    </row>
    <row r="5290" spans="1:19" hidden="1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/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on track</v>
      </c>
      <c r="Q5290" s="3">
        <f ca="1">IF(Proc[[#This Row],[DateClosed]]="",ABS(NETWORKDAYS(Proc[[#This Row],[DateOpened]],TODAY()))-1,ABS(NETWORKDAYS(Proc[[#This Row],[DateOpened]],Proc[[#This Row],[DateClosed]]))-1)</f>
        <v>1</v>
      </c>
      <c r="R5290" s="178" t="s">
        <v>5709</v>
      </c>
      <c r="S5290" s="150"/>
    </row>
    <row r="5291" spans="1:19">
      <c r="A5291" s="149" t="s">
        <v>7545</v>
      </c>
      <c r="B5291" s="150" t="str">
        <f>IFERROR(VLOOKUP(Proc[[#This Row],[App]],Table2[],3,0),"open")</f>
        <v>open</v>
      </c>
      <c r="C5291" s="149" t="s">
        <v>370</v>
      </c>
      <c r="D5291" t="s">
        <v>7592</v>
      </c>
      <c r="E5291" t="s">
        <v>7646</v>
      </c>
      <c r="F5291" s="150"/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on track</v>
      </c>
      <c r="Q5291" s="3">
        <f ca="1">IF(Proc[[#This Row],[DateClosed]]="",ABS(NETWORKDAYS(Proc[[#This Row],[DateOpened]],TODAY()))-1,ABS(NETWORKDAYS(Proc[[#This Row],[DateOpened]],Proc[[#This Row],[DateClosed]]))-1)</f>
        <v>1</v>
      </c>
      <c r="R5291" s="178" t="s">
        <v>5709</v>
      </c>
      <c r="S5291" s="150"/>
    </row>
    <row r="5292" spans="1:19">
      <c r="A5292" s="149" t="s">
        <v>7545</v>
      </c>
      <c r="B5292" s="150" t="str">
        <f>IFERROR(VLOOKUP(Proc[[#This Row],[App]],Table2[],3,0),"open")</f>
        <v>open</v>
      </c>
      <c r="C5292" s="149" t="s">
        <v>370</v>
      </c>
      <c r="D5292" t="s">
        <v>7593</v>
      </c>
      <c r="E5292" t="s">
        <v>7646</v>
      </c>
      <c r="F5292" s="150"/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on track</v>
      </c>
      <c r="Q5292" s="3">
        <f ca="1">IF(Proc[[#This Row],[DateClosed]]="",ABS(NETWORKDAYS(Proc[[#This Row],[DateOpened]],TODAY()))-1,ABS(NETWORKDAYS(Proc[[#This Row],[DateOpened]],Proc[[#This Row],[DateClosed]]))-1)</f>
        <v>1</v>
      </c>
      <c r="R5292" s="178" t="s">
        <v>5709</v>
      </c>
      <c r="S5292" s="150"/>
    </row>
    <row r="5293" spans="1:19">
      <c r="A5293" s="149" t="s">
        <v>7545</v>
      </c>
      <c r="B5293" s="150" t="str">
        <f>IFERROR(VLOOKUP(Proc[[#This Row],[App]],Table2[],3,0),"open")</f>
        <v>open</v>
      </c>
      <c r="C5293" s="149" t="s">
        <v>370</v>
      </c>
      <c r="D5293" t="s">
        <v>7594</v>
      </c>
      <c r="E5293" t="s">
        <v>7646</v>
      </c>
      <c r="F5293" s="150"/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on track</v>
      </c>
      <c r="Q5293" s="3">
        <f ca="1">IF(Proc[[#This Row],[DateClosed]]="",ABS(NETWORKDAYS(Proc[[#This Row],[DateOpened]],TODAY()))-1,ABS(NETWORKDAYS(Proc[[#This Row],[DateOpened]],Proc[[#This Row],[DateClosed]]))-1)</f>
        <v>1</v>
      </c>
      <c r="R5293" s="178" t="s">
        <v>5709</v>
      </c>
      <c r="S5293" s="150"/>
    </row>
    <row r="5294" spans="1:19">
      <c r="A5294" s="149" t="s">
        <v>7545</v>
      </c>
      <c r="B5294" s="150" t="str">
        <f>IFERROR(VLOOKUP(Proc[[#This Row],[App]],Table2[],3,0),"open")</f>
        <v>open</v>
      </c>
      <c r="C5294" s="149" t="s">
        <v>370</v>
      </c>
      <c r="D5294" t="s">
        <v>7595</v>
      </c>
      <c r="E5294" t="s">
        <v>7646</v>
      </c>
      <c r="F5294" s="150"/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on track</v>
      </c>
      <c r="Q5294" s="3">
        <f ca="1">IF(Proc[[#This Row],[DateClosed]]="",ABS(NETWORKDAYS(Proc[[#This Row],[DateOpened]],TODAY()))-1,ABS(NETWORKDAYS(Proc[[#This Row],[DateOpened]],Proc[[#This Row],[DateClosed]]))-1)</f>
        <v>1</v>
      </c>
      <c r="R5294" s="178" t="s">
        <v>5709</v>
      </c>
      <c r="S5294" s="150"/>
    </row>
    <row r="5295" spans="1:19">
      <c r="A5295" s="149" t="s">
        <v>7545</v>
      </c>
      <c r="B5295" s="150" t="str">
        <f>IFERROR(VLOOKUP(Proc[[#This Row],[App]],Table2[],3,0),"open")</f>
        <v>open</v>
      </c>
      <c r="C5295" s="149" t="s">
        <v>370</v>
      </c>
      <c r="D5295" t="s">
        <v>7596</v>
      </c>
      <c r="E5295" t="s">
        <v>7646</v>
      </c>
      <c r="F5295" s="150"/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on track</v>
      </c>
      <c r="Q5295" s="3">
        <f ca="1">IF(Proc[[#This Row],[DateClosed]]="",ABS(NETWORKDAYS(Proc[[#This Row],[DateOpened]],TODAY()))-1,ABS(NETWORKDAYS(Proc[[#This Row],[DateOpened]],Proc[[#This Row],[DateClosed]]))-1)</f>
        <v>1</v>
      </c>
      <c r="R5295" s="178" t="s">
        <v>5709</v>
      </c>
      <c r="S5295" s="150"/>
    </row>
    <row r="5296" spans="1:19">
      <c r="A5296" s="149" t="s">
        <v>7545</v>
      </c>
      <c r="B5296" s="150" t="str">
        <f>IFERROR(VLOOKUP(Proc[[#This Row],[App]],Table2[],3,0),"open")</f>
        <v>open</v>
      </c>
      <c r="C5296" s="149" t="s">
        <v>370</v>
      </c>
      <c r="D5296" t="s">
        <v>7597</v>
      </c>
      <c r="E5296" t="s">
        <v>7646</v>
      </c>
      <c r="F5296" s="150"/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on track</v>
      </c>
      <c r="Q5296" s="3">
        <f ca="1">IF(Proc[[#This Row],[DateClosed]]="",ABS(NETWORKDAYS(Proc[[#This Row],[DateOpened]],TODAY()))-1,ABS(NETWORKDAYS(Proc[[#This Row],[DateOpened]],Proc[[#This Row],[DateClosed]]))-1)</f>
        <v>1</v>
      </c>
      <c r="R5296" s="178" t="s">
        <v>5709</v>
      </c>
      <c r="S5296" s="150"/>
    </row>
    <row r="5297" spans="1:19" hidden="1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/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on track</v>
      </c>
      <c r="Q5297" s="3">
        <f ca="1">IF(Proc[[#This Row],[DateClosed]]="",ABS(NETWORKDAYS(Proc[[#This Row],[DateOpened]],TODAY()))-1,ABS(NETWORKDAYS(Proc[[#This Row],[DateOpened]],Proc[[#This Row],[DateClosed]]))-1)</f>
        <v>1</v>
      </c>
      <c r="R5297" s="178" t="s">
        <v>5709</v>
      </c>
      <c r="S5297" s="150"/>
    </row>
    <row r="5298" spans="1:19" hidden="1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/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on track</v>
      </c>
      <c r="Q5298" s="3">
        <f ca="1">IF(Proc[[#This Row],[DateClosed]]="",ABS(NETWORKDAYS(Proc[[#This Row],[DateOpened]],TODAY()))-1,ABS(NETWORKDAYS(Proc[[#This Row],[DateOpened]],Proc[[#This Row],[DateClosed]]))-1)</f>
        <v>1</v>
      </c>
      <c r="R5298" s="178" t="s">
        <v>5709</v>
      </c>
      <c r="S5298" s="150"/>
    </row>
    <row r="5299" spans="1:19" hidden="1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/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on track</v>
      </c>
      <c r="Q5299" s="3">
        <f ca="1">IF(Proc[[#This Row],[DateClosed]]="",ABS(NETWORKDAYS(Proc[[#This Row],[DateOpened]],TODAY()))-1,ABS(NETWORKDAYS(Proc[[#This Row],[DateOpened]],Proc[[#This Row],[DateClosed]]))-1)</f>
        <v>1</v>
      </c>
      <c r="R5299" s="178" t="s">
        <v>5709</v>
      </c>
      <c r="S5299" s="150"/>
    </row>
    <row r="5300" spans="1:19" hidden="1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/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on track</v>
      </c>
      <c r="Q5300" s="3">
        <f ca="1">IF(Proc[[#This Row],[DateClosed]]="",ABS(NETWORKDAYS(Proc[[#This Row],[DateOpened]],TODAY()))-1,ABS(NETWORKDAYS(Proc[[#This Row],[DateOpened]],Proc[[#This Row],[DateClosed]]))-1)</f>
        <v>1</v>
      </c>
      <c r="R5300" s="178" t="s">
        <v>5709</v>
      </c>
      <c r="S5300" s="150"/>
    </row>
    <row r="5301" spans="1:19" hidden="1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/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on track</v>
      </c>
      <c r="Q5301" s="3">
        <f ca="1">IF(Proc[[#This Row],[DateClosed]]="",ABS(NETWORKDAYS(Proc[[#This Row],[DateOpened]],TODAY()))-1,ABS(NETWORKDAYS(Proc[[#This Row],[DateOpened]],Proc[[#This Row],[DateClosed]]))-1)</f>
        <v>1</v>
      </c>
      <c r="R5301" s="178" t="s">
        <v>5709</v>
      </c>
      <c r="S5301" s="150"/>
    </row>
    <row r="5302" spans="1:19">
      <c r="A5302" s="149" t="s">
        <v>7545</v>
      </c>
      <c r="B5302" s="150" t="str">
        <f>IFERROR(VLOOKUP(Proc[[#This Row],[App]],Table2[],3,0),"open")</f>
        <v>open</v>
      </c>
      <c r="C5302" s="149" t="s">
        <v>370</v>
      </c>
      <c r="D5302" t="s">
        <v>7603</v>
      </c>
      <c r="E5302" t="s">
        <v>7646</v>
      </c>
      <c r="F5302" s="150"/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on track</v>
      </c>
      <c r="Q5302" s="3">
        <f ca="1">IF(Proc[[#This Row],[DateClosed]]="",ABS(NETWORKDAYS(Proc[[#This Row],[DateOpened]],TODAY()))-1,ABS(NETWORKDAYS(Proc[[#This Row],[DateOpened]],Proc[[#This Row],[DateClosed]]))-1)</f>
        <v>1</v>
      </c>
      <c r="R5302" s="178" t="s">
        <v>5709</v>
      </c>
      <c r="S5302" s="150"/>
    </row>
    <row r="5303" spans="1:19">
      <c r="A5303" s="149" t="s">
        <v>7545</v>
      </c>
      <c r="B5303" s="150" t="str">
        <f>IFERROR(VLOOKUP(Proc[[#This Row],[App]],Table2[],3,0),"open")</f>
        <v>open</v>
      </c>
      <c r="C5303" s="149" t="s">
        <v>370</v>
      </c>
      <c r="D5303" t="s">
        <v>7604</v>
      </c>
      <c r="E5303" t="s">
        <v>7646</v>
      </c>
      <c r="F5303" s="150"/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on track</v>
      </c>
      <c r="Q5303" s="3">
        <f ca="1">IF(Proc[[#This Row],[DateClosed]]="",ABS(NETWORKDAYS(Proc[[#This Row],[DateOpened]],TODAY()))-1,ABS(NETWORKDAYS(Proc[[#This Row],[DateOpened]],Proc[[#This Row],[DateClosed]]))-1)</f>
        <v>1</v>
      </c>
      <c r="R5303" s="178" t="s">
        <v>5709</v>
      </c>
      <c r="S5303" s="150"/>
    </row>
    <row r="5304" spans="1:19">
      <c r="A5304" s="149" t="s">
        <v>7545</v>
      </c>
      <c r="B5304" s="150" t="str">
        <f>IFERROR(VLOOKUP(Proc[[#This Row],[App]],Table2[],3,0),"open")</f>
        <v>open</v>
      </c>
      <c r="C5304" s="149" t="s">
        <v>370</v>
      </c>
      <c r="D5304" t="s">
        <v>7605</v>
      </c>
      <c r="E5304" t="s">
        <v>7646</v>
      </c>
      <c r="F5304" s="150"/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on track</v>
      </c>
      <c r="Q5304" s="3">
        <f ca="1">IF(Proc[[#This Row],[DateClosed]]="",ABS(NETWORKDAYS(Proc[[#This Row],[DateOpened]],TODAY()))-1,ABS(NETWORKDAYS(Proc[[#This Row],[DateOpened]],Proc[[#This Row],[DateClosed]]))-1)</f>
        <v>1</v>
      </c>
      <c r="R5304" s="178" t="s">
        <v>5709</v>
      </c>
      <c r="S5304" s="150"/>
    </row>
    <row r="5305" spans="1:19">
      <c r="A5305" s="149" t="s">
        <v>7545</v>
      </c>
      <c r="B5305" s="150" t="str">
        <f>IFERROR(VLOOKUP(Proc[[#This Row],[App]],Table2[],3,0),"open")</f>
        <v>open</v>
      </c>
      <c r="C5305" s="149" t="s">
        <v>370</v>
      </c>
      <c r="D5305" t="s">
        <v>7606</v>
      </c>
      <c r="E5305" t="s">
        <v>7646</v>
      </c>
      <c r="F5305" s="150"/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on track</v>
      </c>
      <c r="Q5305" s="3">
        <f ca="1">IF(Proc[[#This Row],[DateClosed]]="",ABS(NETWORKDAYS(Proc[[#This Row],[DateOpened]],TODAY()))-1,ABS(NETWORKDAYS(Proc[[#This Row],[DateOpened]],Proc[[#This Row],[DateClosed]]))-1)</f>
        <v>1</v>
      </c>
      <c r="R5305" s="178" t="s">
        <v>5709</v>
      </c>
      <c r="S5305" s="150"/>
    </row>
    <row r="5306" spans="1:19">
      <c r="A5306" s="149" t="s">
        <v>7545</v>
      </c>
      <c r="B5306" s="150" t="str">
        <f>IFERROR(VLOOKUP(Proc[[#This Row],[App]],Table2[],3,0),"open")</f>
        <v>open</v>
      </c>
      <c r="C5306" s="149" t="s">
        <v>370</v>
      </c>
      <c r="D5306" t="s">
        <v>7607</v>
      </c>
      <c r="E5306" t="s">
        <v>7646</v>
      </c>
      <c r="F5306" s="150"/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on track</v>
      </c>
      <c r="Q5306" s="3">
        <f ca="1">IF(Proc[[#This Row],[DateClosed]]="",ABS(NETWORKDAYS(Proc[[#This Row],[DateOpened]],TODAY()))-1,ABS(NETWORKDAYS(Proc[[#This Row],[DateOpened]],Proc[[#This Row],[DateClosed]]))-1)</f>
        <v>1</v>
      </c>
      <c r="R5306" s="178" t="s">
        <v>5709</v>
      </c>
      <c r="S5306" s="150"/>
    </row>
    <row r="5307" spans="1:19" hidden="1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/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on track</v>
      </c>
      <c r="Q5307" s="3">
        <f ca="1">IF(Proc[[#This Row],[DateClosed]]="",ABS(NETWORKDAYS(Proc[[#This Row],[DateOpened]],TODAY()))-1,ABS(NETWORKDAYS(Proc[[#This Row],[DateOpened]],Proc[[#This Row],[DateClosed]]))-1)</f>
        <v>1</v>
      </c>
      <c r="R5307" s="178" t="s">
        <v>5709</v>
      </c>
      <c r="S5307" s="150"/>
    </row>
    <row r="5308" spans="1:19" hidden="1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/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on track</v>
      </c>
      <c r="Q5308" s="3">
        <f ca="1">IF(Proc[[#This Row],[DateClosed]]="",ABS(NETWORKDAYS(Proc[[#This Row],[DateOpened]],TODAY()))-1,ABS(NETWORKDAYS(Proc[[#This Row],[DateOpened]],Proc[[#This Row],[DateClosed]]))-1)</f>
        <v>1</v>
      </c>
      <c r="R5308" s="178" t="s">
        <v>5709</v>
      </c>
      <c r="S5308" s="150"/>
    </row>
    <row r="5309" spans="1:19">
      <c r="A5309" s="149" t="s">
        <v>7545</v>
      </c>
      <c r="B5309" s="150" t="str">
        <f>IFERROR(VLOOKUP(Proc[[#This Row],[App]],Table2[],3,0),"open")</f>
        <v>open</v>
      </c>
      <c r="C5309" s="149" t="s">
        <v>370</v>
      </c>
      <c r="D5309" t="s">
        <v>7610</v>
      </c>
      <c r="E5309" t="s">
        <v>7647</v>
      </c>
      <c r="F5309" s="150"/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on track</v>
      </c>
      <c r="Q5309" s="3">
        <f ca="1">IF(Proc[[#This Row],[DateClosed]]="",ABS(NETWORKDAYS(Proc[[#This Row],[DateOpened]],TODAY()))-1,ABS(NETWORKDAYS(Proc[[#This Row],[DateOpened]],Proc[[#This Row],[DateClosed]]))-1)</f>
        <v>1</v>
      </c>
      <c r="R5309" s="178" t="s">
        <v>5709</v>
      </c>
      <c r="S5309" s="150"/>
    </row>
    <row r="5310" spans="1:19">
      <c r="A5310" s="149" t="s">
        <v>7545</v>
      </c>
      <c r="B5310" s="150" t="str">
        <f>IFERROR(VLOOKUP(Proc[[#This Row],[App]],Table2[],3,0),"open")</f>
        <v>open</v>
      </c>
      <c r="C5310" s="149" t="s">
        <v>370</v>
      </c>
      <c r="D5310" t="s">
        <v>7611</v>
      </c>
      <c r="E5310" t="s">
        <v>7647</v>
      </c>
      <c r="F5310" s="150"/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on track</v>
      </c>
      <c r="Q5310" s="3">
        <f ca="1">IF(Proc[[#This Row],[DateClosed]]="",ABS(NETWORKDAYS(Proc[[#This Row],[DateOpened]],TODAY()))-1,ABS(NETWORKDAYS(Proc[[#This Row],[DateOpened]],Proc[[#This Row],[DateClosed]]))-1)</f>
        <v>1</v>
      </c>
      <c r="R5310" s="178" t="s">
        <v>5709</v>
      </c>
      <c r="S5310" s="150"/>
    </row>
    <row r="5311" spans="1:19">
      <c r="A5311" s="149" t="s">
        <v>7545</v>
      </c>
      <c r="B5311" s="150" t="str">
        <f>IFERROR(VLOOKUP(Proc[[#This Row],[App]],Table2[],3,0),"open")</f>
        <v>open</v>
      </c>
      <c r="C5311" s="149" t="s">
        <v>370</v>
      </c>
      <c r="D5311" t="s">
        <v>7612</v>
      </c>
      <c r="E5311" t="s">
        <v>7647</v>
      </c>
      <c r="F5311" s="150"/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on track</v>
      </c>
      <c r="Q5311" s="3">
        <f ca="1">IF(Proc[[#This Row],[DateClosed]]="",ABS(NETWORKDAYS(Proc[[#This Row],[DateOpened]],TODAY()))-1,ABS(NETWORKDAYS(Proc[[#This Row],[DateOpened]],Proc[[#This Row],[DateClosed]]))-1)</f>
        <v>1</v>
      </c>
      <c r="R5311" s="178" t="s">
        <v>5709</v>
      </c>
      <c r="S5311" s="150"/>
    </row>
    <row r="5312" spans="1:19">
      <c r="A5312" s="149" t="s">
        <v>7545</v>
      </c>
      <c r="B5312" s="150" t="str">
        <f>IFERROR(VLOOKUP(Proc[[#This Row],[App]],Table2[],3,0),"open")</f>
        <v>open</v>
      </c>
      <c r="C5312" s="149" t="s">
        <v>370</v>
      </c>
      <c r="D5312" t="s">
        <v>7613</v>
      </c>
      <c r="E5312" t="s">
        <v>7647</v>
      </c>
      <c r="F5312" s="150"/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on track</v>
      </c>
      <c r="Q5312" s="3">
        <f ca="1">IF(Proc[[#This Row],[DateClosed]]="",ABS(NETWORKDAYS(Proc[[#This Row],[DateOpened]],TODAY()))-1,ABS(NETWORKDAYS(Proc[[#This Row],[DateOpened]],Proc[[#This Row],[DateClosed]]))-1)</f>
        <v>1</v>
      </c>
      <c r="R5312" s="178" t="s">
        <v>5709</v>
      </c>
      <c r="S5312" s="150"/>
    </row>
    <row r="5313" spans="1:19">
      <c r="A5313" s="149" t="s">
        <v>7545</v>
      </c>
      <c r="B5313" s="150" t="str">
        <f>IFERROR(VLOOKUP(Proc[[#This Row],[App]],Table2[],3,0),"open")</f>
        <v>open</v>
      </c>
      <c r="C5313" s="149" t="s">
        <v>370</v>
      </c>
      <c r="D5313" t="s">
        <v>1994</v>
      </c>
      <c r="E5313" t="s">
        <v>7648</v>
      </c>
      <c r="F5313" s="150"/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on track</v>
      </c>
      <c r="Q5313" s="3">
        <f ca="1">IF(Proc[[#This Row],[DateClosed]]="",ABS(NETWORKDAYS(Proc[[#This Row],[DateOpened]],TODAY()))-1,ABS(NETWORKDAYS(Proc[[#This Row],[DateOpened]],Proc[[#This Row],[DateClosed]]))-1)</f>
        <v>1</v>
      </c>
      <c r="R5313" s="178" t="s">
        <v>5709</v>
      </c>
      <c r="S5313" s="150"/>
    </row>
    <row r="5314" spans="1:19">
      <c r="A5314" s="149" t="s">
        <v>7545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7648</v>
      </c>
      <c r="F5314" s="150"/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on track</v>
      </c>
      <c r="Q5314" s="3">
        <f ca="1">IF(Proc[[#This Row],[DateClosed]]="",ABS(NETWORKDAYS(Proc[[#This Row],[DateOpened]],TODAY()))-1,ABS(NETWORKDAYS(Proc[[#This Row],[DateOpened]],Proc[[#This Row],[DateClosed]]))-1)</f>
        <v>1</v>
      </c>
      <c r="R5314" s="178" t="s">
        <v>5709</v>
      </c>
      <c r="S5314" s="150"/>
    </row>
    <row r="5315" spans="1:19">
      <c r="A5315" s="149" t="s">
        <v>7545</v>
      </c>
      <c r="B5315" s="150" t="str">
        <f>IFERROR(VLOOKUP(Proc[[#This Row],[App]],Table2[],3,0),"open")</f>
        <v>open</v>
      </c>
      <c r="C5315" s="149" t="s">
        <v>370</v>
      </c>
      <c r="D5315" t="s">
        <v>7614</v>
      </c>
      <c r="E5315" t="s">
        <v>7641</v>
      </c>
      <c r="F5315" s="150"/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on track</v>
      </c>
      <c r="Q5315" s="3">
        <f ca="1">IF(Proc[[#This Row],[DateClosed]]="",ABS(NETWORKDAYS(Proc[[#This Row],[DateOpened]],TODAY()))-1,ABS(NETWORKDAYS(Proc[[#This Row],[DateOpened]],Proc[[#This Row],[DateClosed]]))-1)</f>
        <v>1</v>
      </c>
      <c r="R5315" s="178" t="s">
        <v>5709</v>
      </c>
      <c r="S5315" s="150"/>
    </row>
    <row r="5316" spans="1:19">
      <c r="A5316" s="149" t="s">
        <v>7545</v>
      </c>
      <c r="B5316" s="150" t="str">
        <f>IFERROR(VLOOKUP(Proc[[#This Row],[App]],Table2[],3,0),"open")</f>
        <v>open</v>
      </c>
      <c r="C5316" s="149" t="s">
        <v>370</v>
      </c>
      <c r="D5316" t="s">
        <v>7615</v>
      </c>
      <c r="E5316" t="s">
        <v>7649</v>
      </c>
      <c r="F5316" s="150"/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on track</v>
      </c>
      <c r="Q5316" s="3">
        <f ca="1">IF(Proc[[#This Row],[DateClosed]]="",ABS(NETWORKDAYS(Proc[[#This Row],[DateOpened]],TODAY()))-1,ABS(NETWORKDAYS(Proc[[#This Row],[DateOpened]],Proc[[#This Row],[DateClosed]]))-1)</f>
        <v>1</v>
      </c>
      <c r="R5316" s="178" t="s">
        <v>5709</v>
      </c>
      <c r="S5316" s="150"/>
    </row>
    <row r="5317" spans="1:19">
      <c r="A5317" s="149" t="s">
        <v>7545</v>
      </c>
      <c r="B5317" s="150" t="str">
        <f>IFERROR(VLOOKUP(Proc[[#This Row],[App]],Table2[],3,0),"open")</f>
        <v>open</v>
      </c>
      <c r="C5317" s="149" t="s">
        <v>370</v>
      </c>
      <c r="D5317" t="s">
        <v>7616</v>
      </c>
      <c r="E5317" t="s">
        <v>7649</v>
      </c>
      <c r="F5317" s="150"/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on track</v>
      </c>
      <c r="Q5317" s="3">
        <f ca="1">IF(Proc[[#This Row],[DateClosed]]="",ABS(NETWORKDAYS(Proc[[#This Row],[DateOpened]],TODAY()))-1,ABS(NETWORKDAYS(Proc[[#This Row],[DateOpened]],Proc[[#This Row],[DateClosed]]))-1)</f>
        <v>1</v>
      </c>
      <c r="R5317" s="178" t="s">
        <v>5709</v>
      </c>
      <c r="S5317" s="150"/>
    </row>
    <row r="5318" spans="1:19">
      <c r="A5318" s="149" t="s">
        <v>7545</v>
      </c>
      <c r="B5318" s="150" t="str">
        <f>IFERROR(VLOOKUP(Proc[[#This Row],[App]],Table2[],3,0),"open")</f>
        <v>open</v>
      </c>
      <c r="C5318" s="149" t="s">
        <v>370</v>
      </c>
      <c r="D5318" t="s">
        <v>7617</v>
      </c>
      <c r="E5318" t="s">
        <v>7642</v>
      </c>
      <c r="F5318" s="150"/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on track</v>
      </c>
      <c r="Q5318" s="3">
        <f ca="1">IF(Proc[[#This Row],[DateClosed]]="",ABS(NETWORKDAYS(Proc[[#This Row],[DateOpened]],TODAY()))-1,ABS(NETWORKDAYS(Proc[[#This Row],[DateOpened]],Proc[[#This Row],[DateClosed]]))-1)</f>
        <v>1</v>
      </c>
      <c r="R5318" s="178" t="s">
        <v>5709</v>
      </c>
      <c r="S5318" s="150"/>
    </row>
    <row r="5319" spans="1:19">
      <c r="A5319" s="149" t="s">
        <v>7545</v>
      </c>
      <c r="B5319" s="150" t="str">
        <f>IFERROR(VLOOKUP(Proc[[#This Row],[App]],Table2[],3,0),"open")</f>
        <v>open</v>
      </c>
      <c r="C5319" s="149" t="s">
        <v>370</v>
      </c>
      <c r="D5319" t="s">
        <v>7618</v>
      </c>
      <c r="E5319" t="s">
        <v>7650</v>
      </c>
      <c r="F5319" s="150"/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on track</v>
      </c>
      <c r="Q5319" s="3">
        <f ca="1">IF(Proc[[#This Row],[DateClosed]]="",ABS(NETWORKDAYS(Proc[[#This Row],[DateOpened]],TODAY()))-1,ABS(NETWORKDAYS(Proc[[#This Row],[DateOpened]],Proc[[#This Row],[DateClosed]]))-1)</f>
        <v>1</v>
      </c>
      <c r="R5319" s="178" t="s">
        <v>5709</v>
      </c>
      <c r="S5319" s="150"/>
    </row>
    <row r="5320" spans="1:19">
      <c r="A5320" s="149" t="s">
        <v>7545</v>
      </c>
      <c r="B5320" s="150" t="str">
        <f>IFERROR(VLOOKUP(Proc[[#This Row],[App]],Table2[],3,0),"open")</f>
        <v>open</v>
      </c>
      <c r="C5320" s="149" t="s">
        <v>370</v>
      </c>
      <c r="D5320" t="s">
        <v>7619</v>
      </c>
      <c r="E5320" t="s">
        <v>7650</v>
      </c>
      <c r="F5320" s="150"/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on track</v>
      </c>
      <c r="Q5320" s="3">
        <f ca="1">IF(Proc[[#This Row],[DateClosed]]="",ABS(NETWORKDAYS(Proc[[#This Row],[DateOpened]],TODAY()))-1,ABS(NETWORKDAYS(Proc[[#This Row],[DateOpened]],Proc[[#This Row],[DateClosed]]))-1)</f>
        <v>1</v>
      </c>
      <c r="R5320" s="178" t="s">
        <v>5709</v>
      </c>
      <c r="S5320" s="150"/>
    </row>
    <row r="5321" spans="1:19">
      <c r="A5321" s="149" t="s">
        <v>7545</v>
      </c>
      <c r="B5321" s="150" t="str">
        <f>IFERROR(VLOOKUP(Proc[[#This Row],[App]],Table2[],3,0),"open")</f>
        <v>open</v>
      </c>
      <c r="C5321" s="149" t="s">
        <v>370</v>
      </c>
      <c r="D5321" t="s">
        <v>7620</v>
      </c>
      <c r="E5321" t="s">
        <v>7650</v>
      </c>
      <c r="F5321" s="150"/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on track</v>
      </c>
      <c r="Q5321" s="3">
        <f ca="1">IF(Proc[[#This Row],[DateClosed]]="",ABS(NETWORKDAYS(Proc[[#This Row],[DateOpened]],TODAY()))-1,ABS(NETWORKDAYS(Proc[[#This Row],[DateOpened]],Proc[[#This Row],[DateClosed]]))-1)</f>
        <v>1</v>
      </c>
      <c r="R5321" s="178" t="s">
        <v>5709</v>
      </c>
      <c r="S5321" s="150"/>
    </row>
    <row r="5322" spans="1:19">
      <c r="A5322" s="149" t="s">
        <v>7545</v>
      </c>
      <c r="B5322" s="150" t="str">
        <f>IFERROR(VLOOKUP(Proc[[#This Row],[App]],Table2[],3,0),"open")</f>
        <v>open</v>
      </c>
      <c r="C5322" s="149" t="s">
        <v>370</v>
      </c>
      <c r="D5322" t="s">
        <v>7621</v>
      </c>
      <c r="E5322" t="s">
        <v>7650</v>
      </c>
      <c r="F5322" s="150"/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on track</v>
      </c>
      <c r="Q5322" s="3">
        <f ca="1">IF(Proc[[#This Row],[DateClosed]]="",ABS(NETWORKDAYS(Proc[[#This Row],[DateOpened]],TODAY()))-1,ABS(NETWORKDAYS(Proc[[#This Row],[DateOpened]],Proc[[#This Row],[DateClosed]]))-1)</f>
        <v>1</v>
      </c>
      <c r="R5322" s="178" t="s">
        <v>5709</v>
      </c>
      <c r="S5322" s="150"/>
    </row>
    <row r="5323" spans="1:19" hidden="1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/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on track</v>
      </c>
      <c r="Q5323" s="3">
        <f ca="1">IF(Proc[[#This Row],[DateClosed]]="",ABS(NETWORKDAYS(Proc[[#This Row],[DateOpened]],TODAY()))-1,ABS(NETWORKDAYS(Proc[[#This Row],[DateOpened]],Proc[[#This Row],[DateClosed]]))-1)</f>
        <v>1</v>
      </c>
      <c r="R5323" s="178" t="s">
        <v>5709</v>
      </c>
      <c r="S5323" s="150"/>
    </row>
    <row r="5324" spans="1:19">
      <c r="A5324" s="149" t="s">
        <v>7545</v>
      </c>
      <c r="B5324" s="150" t="str">
        <f>IFERROR(VLOOKUP(Proc[[#This Row],[App]],Table2[],3,0),"open")</f>
        <v>open</v>
      </c>
      <c r="C5324" s="149" t="s">
        <v>370</v>
      </c>
      <c r="D5324" t="s">
        <v>7623</v>
      </c>
      <c r="E5324" t="s">
        <v>7651</v>
      </c>
      <c r="F5324" s="150"/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on track</v>
      </c>
      <c r="Q5324" s="3">
        <f ca="1">IF(Proc[[#This Row],[DateClosed]]="",ABS(NETWORKDAYS(Proc[[#This Row],[DateOpened]],TODAY()))-1,ABS(NETWORKDAYS(Proc[[#This Row],[DateOpened]],Proc[[#This Row],[DateClosed]]))-1)</f>
        <v>1</v>
      </c>
      <c r="R5324" s="178" t="s">
        <v>5709</v>
      </c>
      <c r="S5324" s="150"/>
    </row>
    <row r="5325" spans="1:19">
      <c r="A5325" s="149" t="s">
        <v>7545</v>
      </c>
      <c r="B5325" s="150" t="str">
        <f>IFERROR(VLOOKUP(Proc[[#This Row],[App]],Table2[],3,0),"open")</f>
        <v>open</v>
      </c>
      <c r="C5325" s="149" t="s">
        <v>370</v>
      </c>
      <c r="D5325" t="s">
        <v>7624</v>
      </c>
      <c r="E5325" t="s">
        <v>7651</v>
      </c>
      <c r="F5325" s="150"/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on track</v>
      </c>
      <c r="Q5325" s="3">
        <f ca="1">IF(Proc[[#This Row],[DateClosed]]="",ABS(NETWORKDAYS(Proc[[#This Row],[DateOpened]],TODAY()))-1,ABS(NETWORKDAYS(Proc[[#This Row],[DateOpened]],Proc[[#This Row],[DateClosed]]))-1)</f>
        <v>1</v>
      </c>
      <c r="R5325" s="178" t="s">
        <v>5709</v>
      </c>
      <c r="S5325" s="150"/>
    </row>
    <row r="5326" spans="1:19">
      <c r="A5326" s="149" t="s">
        <v>7545</v>
      </c>
      <c r="B5326" s="150" t="str">
        <f>IFERROR(VLOOKUP(Proc[[#This Row],[App]],Table2[],3,0),"open")</f>
        <v>open</v>
      </c>
      <c r="C5326" s="149" t="s">
        <v>370</v>
      </c>
      <c r="D5326" t="s">
        <v>7625</v>
      </c>
      <c r="E5326" t="s">
        <v>7652</v>
      </c>
      <c r="F5326" s="150"/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on track</v>
      </c>
      <c r="Q5326" s="3">
        <f ca="1">IF(Proc[[#This Row],[DateClosed]]="",ABS(NETWORKDAYS(Proc[[#This Row],[DateOpened]],TODAY()))-1,ABS(NETWORKDAYS(Proc[[#This Row],[DateOpened]],Proc[[#This Row],[DateClosed]]))-1)</f>
        <v>1</v>
      </c>
      <c r="R5326" s="178" t="s">
        <v>5709</v>
      </c>
      <c r="S5326" s="150"/>
    </row>
    <row r="5327" spans="1:19">
      <c r="A5327" s="149" t="s">
        <v>7545</v>
      </c>
      <c r="B5327" s="150" t="str">
        <f>IFERROR(VLOOKUP(Proc[[#This Row],[App]],Table2[],3,0),"open")</f>
        <v>open</v>
      </c>
      <c r="C5327" s="149" t="s">
        <v>370</v>
      </c>
      <c r="D5327" t="s">
        <v>7626</v>
      </c>
      <c r="E5327" t="s">
        <v>7653</v>
      </c>
      <c r="F5327" s="150"/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on track</v>
      </c>
      <c r="Q5327" s="3">
        <f ca="1">IF(Proc[[#This Row],[DateClosed]]="",ABS(NETWORKDAYS(Proc[[#This Row],[DateOpened]],TODAY()))-1,ABS(NETWORKDAYS(Proc[[#This Row],[DateOpened]],Proc[[#This Row],[DateClosed]]))-1)</f>
        <v>1</v>
      </c>
      <c r="R5327" s="178" t="s">
        <v>5709</v>
      </c>
      <c r="S5327" s="150"/>
    </row>
    <row r="5328" spans="1:19">
      <c r="A5328" s="149" t="s">
        <v>7545</v>
      </c>
      <c r="B5328" s="150" t="str">
        <f>IFERROR(VLOOKUP(Proc[[#This Row],[App]],Table2[],3,0),"open")</f>
        <v>open</v>
      </c>
      <c r="C5328" s="149" t="s">
        <v>370</v>
      </c>
      <c r="D5328" t="s">
        <v>7627</v>
      </c>
      <c r="E5328" t="s">
        <v>7653</v>
      </c>
      <c r="F5328" s="150"/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on track</v>
      </c>
      <c r="Q5328" s="3">
        <f ca="1">IF(Proc[[#This Row],[DateClosed]]="",ABS(NETWORKDAYS(Proc[[#This Row],[DateOpened]],TODAY()))-1,ABS(NETWORKDAYS(Proc[[#This Row],[DateOpened]],Proc[[#This Row],[DateClosed]]))-1)</f>
        <v>1</v>
      </c>
      <c r="R5328" s="178" t="s">
        <v>5709</v>
      </c>
      <c r="S5328" s="150"/>
    </row>
    <row r="5329" spans="1:19">
      <c r="A5329" s="149" t="s">
        <v>7545</v>
      </c>
      <c r="B5329" s="150" t="str">
        <f>IFERROR(VLOOKUP(Proc[[#This Row],[App]],Table2[],3,0),"open")</f>
        <v>open</v>
      </c>
      <c r="C5329" s="149" t="s">
        <v>370</v>
      </c>
      <c r="D5329" t="s">
        <v>7628</v>
      </c>
      <c r="E5329" t="s">
        <v>7653</v>
      </c>
      <c r="F5329" s="150"/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on track</v>
      </c>
      <c r="Q5329" s="3">
        <f ca="1">IF(Proc[[#This Row],[DateClosed]]="",ABS(NETWORKDAYS(Proc[[#This Row],[DateOpened]],TODAY()))-1,ABS(NETWORKDAYS(Proc[[#This Row],[DateOpened]],Proc[[#This Row],[DateClosed]]))-1)</f>
        <v>1</v>
      </c>
      <c r="R5329" s="178" t="s">
        <v>5709</v>
      </c>
      <c r="S5329" s="150"/>
    </row>
    <row r="5330" spans="1:19">
      <c r="A5330" s="149" t="s">
        <v>7545</v>
      </c>
      <c r="B5330" s="150" t="str">
        <f>IFERROR(VLOOKUP(Proc[[#This Row],[App]],Table2[],3,0),"open")</f>
        <v>open</v>
      </c>
      <c r="C5330" s="149" t="s">
        <v>370</v>
      </c>
      <c r="D5330" t="s">
        <v>7629</v>
      </c>
      <c r="E5330" t="s">
        <v>7643</v>
      </c>
      <c r="F5330" s="150"/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on track</v>
      </c>
      <c r="Q5330" s="3">
        <f ca="1">IF(Proc[[#This Row],[DateClosed]]="",ABS(NETWORKDAYS(Proc[[#This Row],[DateOpened]],TODAY()))-1,ABS(NETWORKDAYS(Proc[[#This Row],[DateOpened]],Proc[[#This Row],[DateClosed]]))-1)</f>
        <v>1</v>
      </c>
      <c r="R5330" s="178" t="s">
        <v>5709</v>
      </c>
      <c r="S5330" s="150"/>
    </row>
    <row r="5331" spans="1:19">
      <c r="A5331" t="s">
        <v>7654</v>
      </c>
      <c r="B5331" s="150" t="str">
        <f>IFERROR(VLOOKUP(Proc[[#This Row],[App]],Table2[],3,0),"open")</f>
        <v>open</v>
      </c>
      <c r="C5331" s="149" t="s">
        <v>370</v>
      </c>
      <c r="D5331" t="s">
        <v>7655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on track</v>
      </c>
      <c r="Q5331" s="3">
        <f ca="1">IF(Proc[[#This Row],[DateClosed]]="",ABS(NETWORKDAYS(Proc[[#This Row],[DateOpened]],TODAY()))-1,ABS(NETWORKDAYS(Proc[[#This Row],[DateOpened]],Proc[[#This Row],[DateClosed]]))-1)</f>
        <v>1</v>
      </c>
      <c r="R5331" s="178" t="s">
        <v>489</v>
      </c>
      <c r="S5331" s="150"/>
    </row>
    <row r="5332" spans="1:19">
      <c r="A5332" t="s">
        <v>7712</v>
      </c>
      <c r="B5332" s="150" t="str">
        <f>IFERROR(VLOOKUP(Proc[[#This Row],[App]],Table2[],3,0),"open")</f>
        <v>open</v>
      </c>
      <c r="C5332" s="149" t="s">
        <v>370</v>
      </c>
      <c r="D5332" t="s">
        <v>7713</v>
      </c>
      <c r="E5332" t="s">
        <v>2625</v>
      </c>
      <c r="F5332" s="150"/>
      <c r="G5332" s="149" t="s">
        <v>400</v>
      </c>
      <c r="H5332" s="150" t="str">
        <f>IF(Proc[[#This Row],[type]]="LFF (MDG-F)",MID(Proc[[#This Row],[Obj]],13,10),"")</f>
        <v/>
      </c>
      <c r="I5332" s="149" t="s">
        <v>7656</v>
      </c>
      <c r="J5332" s="150" t="b">
        <f>Proc[[#This Row],[Requested]]=Proc[[#This Row],[CurrentParent]]</f>
        <v>0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on track</v>
      </c>
      <c r="Q5332" s="3">
        <f ca="1">IF(Proc[[#This Row],[DateClosed]]="",ABS(NETWORKDAYS(Proc[[#This Row],[DateOpened]],TODAY()))-1,ABS(NETWORKDAYS(Proc[[#This Row],[DateOpened]],Proc[[#This Row],[DateClosed]]))-1)</f>
        <v>1</v>
      </c>
      <c r="R5332" s="178" t="s">
        <v>1459</v>
      </c>
      <c r="S5332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G2:G5332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Sheet5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2026-01-16T13:47:03Z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